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aefb2ed5cdd49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showInkAnnotation="0" codeName="ThisWorkbook1"/>
  <mc:AlternateContent xmlns:mc="http://schemas.openxmlformats.org/markup-compatibility/2006">
    <mc:Choice Requires="x15">
      <x15ac:absPath xmlns:x15ac="http://schemas.microsoft.com/office/spreadsheetml/2010/11/ac" url="D:\Oficina\Oficina 2016\Gerente de cuentas\Antonio Habib\Tabla de Costos\"/>
    </mc:Choice>
  </mc:AlternateContent>
  <bookViews>
    <workbookView xWindow="-60" yWindow="3795" windowWidth="24960" windowHeight="11385" tabRatio="500"/>
  </bookViews>
  <sheets>
    <sheet name="Tabla de costos" sheetId="147" r:id="rId1"/>
    <sheet name="Servicios" sheetId="15" r:id="rId2"/>
    <sheet name="Reglas servicios" sheetId="77" r:id="rId3"/>
    <sheet name="Garantias" sheetId="3" r:id="rId4"/>
    <sheet name="Exhibits" sheetId="4" r:id="rId5"/>
    <sheet name="Tabla de costos base" sheetId="90" r:id="rId6"/>
    <sheet name="Botones" sheetId="89" r:id="rId7"/>
    <sheet name="Plataforma CDG" sheetId="88" r:id="rId8"/>
    <sheet name="Parametros" sheetId="6" r:id="rId9"/>
    <sheet name="Parametros CDG" sheetId="87" r:id="rId10"/>
    <sheet name="Tabla Compras" sheetId="31" r:id="rId11"/>
    <sheet name="Tabla Cliente (2)" sheetId="76" r:id="rId12"/>
    <sheet name="Lista de Precios" sheetId="37" r:id="rId13"/>
    <sheet name="Portafolio Power" sheetId="42" r:id="rId14"/>
    <sheet name="Portafolio System x" sheetId="43" r:id="rId15"/>
    <sheet name="Temporal garantias" sheetId="135" r:id="rId16"/>
    <sheet name="Garantias base" sheetId="134" r:id="rId17"/>
    <sheet name="Caracteristicas ambientales" sheetId="80" r:id="rId18"/>
    <sheet name="Formato tabla caracteristicas" sheetId="81" r:id="rId19"/>
    <sheet name="Portafolio Storage - DOU" sheetId="45" r:id="rId20"/>
    <sheet name="Portafolio Storage" sheetId="46" r:id="rId21"/>
    <sheet name="Portafolio PureFlex" sheetId="51" r:id="rId22"/>
    <sheet name="Categorias Hardware" sheetId="50" r:id="rId23"/>
    <sheet name="Lista productos" sheetId="79" r:id="rId24"/>
    <sheet name="Historia" sheetId="141" r:id="rId25"/>
  </sheets>
  <functionGroups builtInGroupCount="18"/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" i="147" l="1"/>
  <c r="H12" i="147"/>
  <c r="K12" i="147"/>
  <c r="O12" i="147"/>
  <c r="H13" i="147"/>
  <c r="J13" i="147"/>
  <c r="K13" i="147"/>
  <c r="Q13" i="147"/>
  <c r="R13" i="147"/>
  <c r="M12" i="147"/>
  <c r="N12" i="147"/>
  <c r="Q12" i="147"/>
  <c r="R12" i="147"/>
  <c r="G10" i="147"/>
  <c r="H10" i="147"/>
  <c r="K10" i="147"/>
  <c r="M10" i="147"/>
  <c r="N10" i="147"/>
  <c r="Q10" i="147"/>
  <c r="R10" i="147"/>
  <c r="O10" i="147"/>
  <c r="H11" i="147"/>
  <c r="J11" i="147"/>
  <c r="K11" i="147"/>
  <c r="Q11" i="147"/>
  <c r="R11" i="147"/>
  <c r="M8" i="147"/>
  <c r="N8" i="147"/>
  <c r="G8" i="147"/>
  <c r="J8" i="147"/>
  <c r="H8" i="147"/>
  <c r="K8" i="147"/>
  <c r="Q8" i="147"/>
  <c r="R8" i="147" s="1"/>
  <c r="O8" i="147"/>
  <c r="E9" i="147"/>
  <c r="J9" i="147"/>
  <c r="K9" i="147"/>
  <c r="M9" i="147"/>
  <c r="N9" i="147"/>
  <c r="Q9" i="147"/>
  <c r="R9" i="147" s="1"/>
  <c r="H4" i="147"/>
  <c r="K4" i="147"/>
  <c r="M4" i="147"/>
  <c r="N4" i="147"/>
  <c r="O4" i="147"/>
  <c r="G5" i="147"/>
  <c r="J5" i="147"/>
  <c r="H5" i="147"/>
  <c r="K5" i="147"/>
  <c r="M5" i="147"/>
  <c r="N5" i="147"/>
  <c r="O5" i="147"/>
  <c r="G6" i="147"/>
  <c r="J6" i="147"/>
  <c r="H6" i="147"/>
  <c r="K6" i="147"/>
  <c r="M6" i="147"/>
  <c r="N6" i="147"/>
  <c r="O6" i="147"/>
  <c r="E7" i="147"/>
  <c r="J7" i="147"/>
  <c r="K7" i="147"/>
  <c r="M7" i="147"/>
  <c r="N7" i="147"/>
  <c r="Q7" i="147"/>
  <c r="R7" i="147" s="1"/>
  <c r="Q4" i="147"/>
  <c r="R4" i="147" s="1"/>
  <c r="Q5" i="147"/>
  <c r="R5" i="147"/>
  <c r="Q6" i="147"/>
  <c r="R6" i="147"/>
  <c r="G17" i="147"/>
  <c r="J17" i="147"/>
  <c r="V17" i="147"/>
  <c r="P17" i="147"/>
  <c r="Q17" i="147"/>
  <c r="R17" i="147"/>
  <c r="O17" i="147"/>
  <c r="M17" i="147"/>
  <c r="N17" i="147"/>
  <c r="H17" i="147"/>
  <c r="K17" i="147"/>
  <c r="I17" i="147"/>
  <c r="F17" i="147"/>
  <c r="C17" i="147"/>
  <c r="G16" i="147"/>
  <c r="J16" i="147"/>
  <c r="V16" i="147"/>
  <c r="P16" i="147"/>
  <c r="Q16" i="147"/>
  <c r="R16" i="147"/>
  <c r="O16" i="147"/>
  <c r="M16" i="147"/>
  <c r="N16" i="147"/>
  <c r="H16" i="147"/>
  <c r="K16" i="147"/>
  <c r="I16" i="147"/>
  <c r="F16" i="147"/>
  <c r="C16" i="147"/>
  <c r="G15" i="147"/>
  <c r="J15" i="147"/>
  <c r="V15" i="147"/>
  <c r="P15" i="147"/>
  <c r="Q15" i="147"/>
  <c r="R15" i="147"/>
  <c r="O15" i="147"/>
  <c r="M15" i="147"/>
  <c r="N15" i="147"/>
  <c r="H15" i="147"/>
  <c r="K15" i="147"/>
  <c r="I15" i="147"/>
  <c r="F15" i="147"/>
  <c r="C15" i="147"/>
  <c r="G14" i="147"/>
  <c r="J14" i="147"/>
  <c r="V14" i="147"/>
  <c r="P14" i="147"/>
  <c r="Q14" i="147"/>
  <c r="R14" i="147"/>
  <c r="O14" i="147"/>
  <c r="M14" i="147"/>
  <c r="N14" i="147"/>
  <c r="H14" i="147"/>
  <c r="K14" i="147"/>
  <c r="I14" i="147"/>
  <c r="F14" i="147"/>
  <c r="C14" i="147"/>
  <c r="V13" i="147"/>
  <c r="O13" i="147"/>
  <c r="M13" i="147"/>
  <c r="N13" i="147"/>
  <c r="I13" i="147"/>
  <c r="F13" i="147"/>
  <c r="V12" i="147"/>
  <c r="I12" i="147"/>
  <c r="F12" i="147"/>
  <c r="V11" i="147"/>
  <c r="O11" i="147"/>
  <c r="M11" i="147"/>
  <c r="N11" i="147"/>
  <c r="I11" i="147"/>
  <c r="F11" i="147"/>
  <c r="V10" i="147"/>
  <c r="I10" i="147"/>
  <c r="F10" i="147"/>
  <c r="V9" i="147"/>
  <c r="H9" i="147"/>
  <c r="O9" i="147"/>
  <c r="I9" i="147"/>
  <c r="F9" i="147"/>
  <c r="I8" i="147"/>
  <c r="F8" i="147"/>
  <c r="V7" i="147"/>
  <c r="H7" i="147"/>
  <c r="O7" i="147"/>
  <c r="I7" i="147"/>
  <c r="F7" i="147"/>
  <c r="V6" i="147"/>
  <c r="I6" i="147"/>
  <c r="F6" i="147"/>
  <c r="V5" i="147"/>
  <c r="I5" i="147"/>
  <c r="F5" i="147"/>
  <c r="I4" i="147"/>
  <c r="F4" i="147"/>
  <c r="G18" i="147"/>
  <c r="J18" i="147"/>
  <c r="P18" i="147"/>
  <c r="Q18" i="147"/>
  <c r="R18" i="147"/>
  <c r="G19" i="147"/>
  <c r="J19" i="147"/>
  <c r="P19" i="147"/>
  <c r="Q19" i="147"/>
  <c r="R19" i="147"/>
  <c r="E1063" i="79"/>
  <c r="C1063" i="79"/>
  <c r="B1063" i="79"/>
  <c r="E1062" i="79"/>
  <c r="C1062" i="79"/>
  <c r="B1062" i="79"/>
  <c r="E1061" i="79"/>
  <c r="C1061" i="79"/>
  <c r="B1061" i="79"/>
  <c r="E1060" i="79"/>
  <c r="C1060" i="79"/>
  <c r="B1060" i="79"/>
  <c r="E1059" i="79"/>
  <c r="C1059" i="79"/>
  <c r="B1059" i="79"/>
  <c r="E1058" i="79"/>
  <c r="C1058" i="79"/>
  <c r="B1058" i="79"/>
  <c r="E1057" i="79"/>
  <c r="C1057" i="79"/>
  <c r="B1057" i="79"/>
  <c r="E1056" i="79"/>
  <c r="C1056" i="79"/>
  <c r="B1056" i="79"/>
  <c r="E1055" i="79"/>
  <c r="C1055" i="79"/>
  <c r="B1055" i="79"/>
  <c r="E1054" i="79"/>
  <c r="C1054" i="79"/>
  <c r="B1054" i="79"/>
  <c r="E1053" i="79"/>
  <c r="C1053" i="79"/>
  <c r="B1053" i="79"/>
  <c r="E1052" i="79"/>
  <c r="C1052" i="79"/>
  <c r="B1052" i="79"/>
  <c r="E1051" i="79"/>
  <c r="C1051" i="79"/>
  <c r="B1051" i="79"/>
  <c r="E1050" i="79"/>
  <c r="C1050" i="79"/>
  <c r="B1050" i="79"/>
  <c r="E1049" i="79"/>
  <c r="C1049" i="79"/>
  <c r="B1049" i="79"/>
  <c r="E1048" i="79"/>
  <c r="C1048" i="79"/>
  <c r="B1048" i="79"/>
  <c r="E1047" i="79"/>
  <c r="C1047" i="79"/>
  <c r="B1047" i="79"/>
  <c r="E1046" i="79"/>
  <c r="C1046" i="79"/>
  <c r="B1046" i="79"/>
  <c r="E1045" i="79"/>
  <c r="C1045" i="79"/>
  <c r="B1045" i="79"/>
  <c r="E1044" i="79"/>
  <c r="C1044" i="79"/>
  <c r="B1044" i="79"/>
  <c r="E1043" i="79"/>
  <c r="C1043" i="79"/>
  <c r="B1043" i="79"/>
  <c r="E1042" i="79"/>
  <c r="C1042" i="79"/>
  <c r="B1042" i="79"/>
  <c r="E1041" i="79"/>
  <c r="C1041" i="79"/>
  <c r="B1041" i="79"/>
  <c r="E1040" i="79"/>
  <c r="C1040" i="79"/>
  <c r="B1040" i="79"/>
  <c r="E1039" i="79"/>
  <c r="C1039" i="79"/>
  <c r="B1039" i="79"/>
  <c r="F19" i="81"/>
  <c r="E19" i="81"/>
  <c r="D19" i="81"/>
  <c r="C316" i="80"/>
  <c r="C317" i="80"/>
  <c r="C318" i="80"/>
  <c r="C319" i="80"/>
  <c r="D312" i="80"/>
  <c r="D311" i="80"/>
  <c r="D310" i="80"/>
  <c r="D309" i="80"/>
  <c r="D308" i="80"/>
  <c r="D307" i="80"/>
  <c r="D306" i="80"/>
  <c r="D305" i="80"/>
  <c r="D304" i="80"/>
  <c r="D303" i="80"/>
  <c r="D302" i="80"/>
  <c r="D301" i="80"/>
  <c r="D300" i="80"/>
  <c r="D299" i="80"/>
  <c r="D298" i="80"/>
  <c r="D297" i="80"/>
  <c r="D296" i="80"/>
  <c r="D295" i="80"/>
  <c r="D294" i="80"/>
  <c r="D293" i="80"/>
  <c r="D292" i="80"/>
  <c r="D291" i="80"/>
  <c r="D290" i="80"/>
  <c r="D289" i="80"/>
  <c r="D288" i="80"/>
  <c r="D287" i="80"/>
  <c r="D286" i="80"/>
  <c r="D285" i="80"/>
  <c r="D284" i="80"/>
  <c r="D283" i="80"/>
  <c r="D282" i="80"/>
  <c r="D281" i="80"/>
  <c r="D280" i="80"/>
  <c r="D279" i="80"/>
  <c r="D278" i="80"/>
  <c r="D277" i="80"/>
  <c r="D276" i="80"/>
  <c r="D275" i="80"/>
  <c r="D274" i="80"/>
  <c r="D273" i="80"/>
  <c r="D272" i="80"/>
  <c r="D271" i="80"/>
  <c r="D270" i="80"/>
  <c r="E268" i="80"/>
  <c r="E267" i="80"/>
  <c r="D264" i="80"/>
  <c r="C265" i="80"/>
  <c r="D266" i="80"/>
  <c r="D235" i="80"/>
  <c r="D234" i="80"/>
  <c r="D233" i="80"/>
  <c r="D232" i="80"/>
  <c r="D231" i="80"/>
  <c r="D230" i="80"/>
  <c r="D229" i="80"/>
  <c r="D228" i="80"/>
  <c r="D227" i="80"/>
  <c r="D226" i="80"/>
  <c r="D225" i="80"/>
  <c r="D224" i="80"/>
  <c r="D223" i="80"/>
  <c r="D222" i="80"/>
  <c r="D221" i="80"/>
  <c r="D220" i="80"/>
  <c r="D219" i="80"/>
  <c r="D218" i="80"/>
  <c r="D217" i="80"/>
  <c r="D216" i="80"/>
  <c r="D215" i="80"/>
  <c r="D214" i="80"/>
  <c r="D213" i="80"/>
  <c r="D212" i="80"/>
  <c r="D211" i="80"/>
  <c r="D210" i="80"/>
  <c r="D209" i="80"/>
  <c r="D208" i="80"/>
  <c r="D207" i="80"/>
  <c r="D206" i="80"/>
  <c r="D205" i="80"/>
  <c r="D204" i="80"/>
  <c r="D203" i="80"/>
  <c r="D202" i="80"/>
  <c r="D201" i="80"/>
  <c r="D200" i="80"/>
  <c r="D199" i="80"/>
  <c r="D198" i="80"/>
  <c r="D197" i="80"/>
  <c r="D196" i="80"/>
  <c r="D195" i="80"/>
  <c r="D194" i="80"/>
  <c r="D193" i="80"/>
  <c r="D192" i="80"/>
  <c r="C175" i="80"/>
  <c r="I168" i="80"/>
  <c r="H168" i="80"/>
  <c r="G168" i="80"/>
  <c r="E159" i="80"/>
  <c r="E158" i="80"/>
  <c r="E146" i="80"/>
  <c r="I38" i="80"/>
  <c r="H38" i="80"/>
  <c r="G38" i="80"/>
  <c r="E20" i="76"/>
  <c r="E21" i="76"/>
  <c r="F19" i="76"/>
  <c r="E18" i="76"/>
  <c r="F18" i="76"/>
  <c r="E17" i="76"/>
  <c r="F17" i="76"/>
  <c r="E16" i="76"/>
  <c r="F16" i="76"/>
  <c r="E15" i="76"/>
  <c r="F15" i="76"/>
  <c r="E14" i="76"/>
  <c r="F14" i="76"/>
  <c r="E13" i="76"/>
  <c r="F13" i="76"/>
  <c r="E12" i="76"/>
  <c r="F12" i="76"/>
  <c r="E11" i="76"/>
  <c r="F11" i="76"/>
  <c r="E10" i="76"/>
  <c r="F10" i="76"/>
  <c r="E9" i="76"/>
  <c r="F9" i="76"/>
  <c r="E8" i="76"/>
  <c r="F8" i="76"/>
  <c r="E7" i="76"/>
  <c r="F7" i="76"/>
  <c r="E6" i="76"/>
  <c r="F6" i="76"/>
  <c r="E5" i="76"/>
  <c r="F5" i="76"/>
  <c r="E4" i="76"/>
  <c r="F4" i="76"/>
  <c r="G4" i="31"/>
  <c r="I4" i="31"/>
  <c r="J4" i="31"/>
  <c r="G5" i="31"/>
  <c r="I5" i="31"/>
  <c r="J5" i="31"/>
  <c r="G6" i="31"/>
  <c r="I6" i="31"/>
  <c r="J6" i="31"/>
  <c r="G7" i="31"/>
  <c r="I7" i="31"/>
  <c r="J7" i="31"/>
  <c r="G8" i="31"/>
  <c r="I8" i="31"/>
  <c r="J8" i="31"/>
  <c r="G9" i="31"/>
  <c r="I9" i="31"/>
  <c r="J9" i="31"/>
  <c r="G10" i="31"/>
  <c r="I10" i="31"/>
  <c r="J10" i="31"/>
  <c r="G11" i="31"/>
  <c r="I11" i="31"/>
  <c r="J11" i="31"/>
  <c r="G12" i="31"/>
  <c r="I12" i="31"/>
  <c r="J12" i="31"/>
  <c r="G13" i="31"/>
  <c r="I13" i="31"/>
  <c r="J13" i="31"/>
  <c r="G14" i="31"/>
  <c r="I14" i="31"/>
  <c r="J14" i="31"/>
  <c r="G15" i="31"/>
  <c r="I15" i="31"/>
  <c r="J15" i="31"/>
  <c r="G16" i="31"/>
  <c r="I16" i="31"/>
  <c r="J16" i="31"/>
  <c r="G17" i="31"/>
  <c r="I17" i="31"/>
  <c r="J17" i="31"/>
  <c r="G18" i="31"/>
  <c r="I18" i="31"/>
  <c r="J18" i="31"/>
  <c r="J19" i="31"/>
  <c r="K18" i="31"/>
  <c r="E18" i="31"/>
  <c r="K17" i="31"/>
  <c r="E17" i="31"/>
  <c r="K16" i="31"/>
  <c r="E16" i="31"/>
  <c r="K15" i="31"/>
  <c r="E15" i="31"/>
  <c r="K14" i="31"/>
  <c r="E14" i="31"/>
  <c r="K13" i="31"/>
  <c r="E13" i="31"/>
  <c r="K12" i="31"/>
  <c r="E12" i="31"/>
  <c r="K11" i="31"/>
  <c r="E11" i="31"/>
  <c r="K10" i="31"/>
  <c r="E10" i="31"/>
  <c r="K9" i="31"/>
  <c r="E9" i="31"/>
  <c r="K8" i="31"/>
  <c r="E8" i="31"/>
  <c r="K7" i="31"/>
  <c r="E7" i="31"/>
  <c r="K6" i="31"/>
  <c r="E6" i="31"/>
  <c r="K5" i="31"/>
  <c r="E5" i="31"/>
  <c r="K4" i="31"/>
  <c r="E4" i="31"/>
  <c r="J5" i="87"/>
  <c r="J6" i="87"/>
  <c r="J7" i="87"/>
  <c r="J8" i="87"/>
  <c r="J9" i="87"/>
  <c r="J10" i="87"/>
  <c r="J11" i="87"/>
  <c r="J12" i="87"/>
  <c r="J13" i="87"/>
  <c r="J14" i="87"/>
  <c r="J15" i="87"/>
  <c r="J16" i="87"/>
  <c r="J17" i="87"/>
  <c r="J18" i="87"/>
  <c r="J19" i="87"/>
  <c r="J20" i="87"/>
  <c r="J21" i="87"/>
  <c r="J22" i="87"/>
  <c r="J23" i="87"/>
  <c r="J24" i="87"/>
  <c r="J25" i="87"/>
  <c r="J26" i="87"/>
  <c r="J27" i="87"/>
  <c r="J28" i="87"/>
  <c r="J29" i="87"/>
  <c r="J30" i="87"/>
  <c r="J31" i="87"/>
  <c r="J32" i="87"/>
  <c r="J33" i="87"/>
  <c r="M33" i="87"/>
  <c r="L33" i="87"/>
  <c r="K4" i="87"/>
  <c r="K33" i="87"/>
  <c r="M32" i="87"/>
  <c r="L32" i="87"/>
  <c r="K32" i="87"/>
  <c r="M31" i="87"/>
  <c r="L31" i="87"/>
  <c r="K31" i="87"/>
  <c r="M30" i="87"/>
  <c r="L30" i="87"/>
  <c r="K30" i="87"/>
  <c r="M29" i="87"/>
  <c r="L29" i="87"/>
  <c r="K29" i="87"/>
  <c r="M28" i="87"/>
  <c r="L28" i="87"/>
  <c r="K28" i="87"/>
  <c r="M27" i="87"/>
  <c r="L27" i="87"/>
  <c r="K27" i="87"/>
  <c r="M26" i="87"/>
  <c r="L26" i="87"/>
  <c r="K26" i="87"/>
  <c r="M25" i="87"/>
  <c r="L25" i="87"/>
  <c r="K25" i="87"/>
  <c r="M24" i="87"/>
  <c r="L24" i="87"/>
  <c r="K24" i="87"/>
  <c r="M23" i="87"/>
  <c r="L23" i="87"/>
  <c r="K23" i="87"/>
  <c r="M22" i="87"/>
  <c r="L22" i="87"/>
  <c r="K22" i="87"/>
  <c r="M21" i="87"/>
  <c r="L21" i="87"/>
  <c r="K21" i="87"/>
  <c r="M20" i="87"/>
  <c r="L20" i="87"/>
  <c r="K20" i="87"/>
  <c r="M19" i="87"/>
  <c r="L19" i="87"/>
  <c r="K19" i="87"/>
  <c r="M18" i="87"/>
  <c r="L18" i="87"/>
  <c r="K18" i="87"/>
  <c r="M17" i="87"/>
  <c r="L17" i="87"/>
  <c r="K17" i="87"/>
  <c r="M16" i="87"/>
  <c r="L16" i="87"/>
  <c r="K16" i="87"/>
  <c r="M15" i="87"/>
  <c r="L15" i="87"/>
  <c r="K15" i="87"/>
  <c r="M14" i="87"/>
  <c r="L14" i="87"/>
  <c r="K14" i="87"/>
  <c r="M13" i="87"/>
  <c r="L13" i="87"/>
  <c r="K13" i="87"/>
  <c r="M12" i="87"/>
  <c r="L12" i="87"/>
  <c r="K12" i="87"/>
  <c r="M11" i="87"/>
  <c r="L11" i="87"/>
  <c r="K11" i="87"/>
  <c r="M10" i="87"/>
  <c r="L10" i="87"/>
  <c r="K10" i="87"/>
  <c r="M9" i="87"/>
  <c r="L9" i="87"/>
  <c r="K9" i="87"/>
  <c r="D9" i="87"/>
  <c r="C9" i="87"/>
  <c r="M8" i="87"/>
  <c r="L8" i="87"/>
  <c r="K8" i="87"/>
  <c r="M7" i="87"/>
  <c r="L7" i="87"/>
  <c r="K7" i="87"/>
  <c r="M6" i="87"/>
  <c r="L6" i="87"/>
  <c r="K6" i="87"/>
  <c r="M5" i="87"/>
  <c r="L5" i="87"/>
  <c r="K5" i="87"/>
  <c r="M4" i="87"/>
  <c r="L4" i="87"/>
  <c r="G9" i="88"/>
  <c r="T9" i="88"/>
  <c r="Q9" i="88"/>
  <c r="U9" i="88"/>
  <c r="V9" i="88"/>
  <c r="V35" i="88"/>
  <c r="U36" i="88"/>
  <c r="T36" i="88"/>
  <c r="U35" i="88"/>
  <c r="T35" i="88"/>
  <c r="H9" i="88"/>
  <c r="P9" i="88"/>
  <c r="R9" i="88"/>
  <c r="H10" i="88"/>
  <c r="P10" i="88"/>
  <c r="Q10" i="88"/>
  <c r="R10" i="88"/>
  <c r="H11" i="88"/>
  <c r="P11" i="88"/>
  <c r="Q11" i="88"/>
  <c r="R11" i="88"/>
  <c r="H12" i="88"/>
  <c r="P12" i="88"/>
  <c r="Q12" i="88"/>
  <c r="R12" i="88"/>
  <c r="H14" i="88"/>
  <c r="P14" i="88"/>
  <c r="Q14" i="88"/>
  <c r="R14" i="88"/>
  <c r="H15" i="88"/>
  <c r="P15" i="88"/>
  <c r="Q15" i="88"/>
  <c r="R15" i="88"/>
  <c r="H16" i="88"/>
  <c r="P16" i="88"/>
  <c r="Q16" i="88"/>
  <c r="R16" i="88"/>
  <c r="H17" i="88"/>
  <c r="P17" i="88"/>
  <c r="Q17" i="88"/>
  <c r="R17" i="88"/>
  <c r="H18" i="88"/>
  <c r="P18" i="88"/>
  <c r="Q18" i="88"/>
  <c r="R18" i="88"/>
  <c r="G20" i="88"/>
  <c r="P20" i="88"/>
  <c r="Q20" i="88"/>
  <c r="R20" i="88"/>
  <c r="G21" i="88"/>
  <c r="P21" i="88"/>
  <c r="Q21" i="88"/>
  <c r="R21" i="88"/>
  <c r="G22" i="88"/>
  <c r="P22" i="88"/>
  <c r="Q22" i="88"/>
  <c r="R22" i="88"/>
  <c r="G23" i="88"/>
  <c r="P23" i="88"/>
  <c r="Q23" i="88"/>
  <c r="R23" i="88"/>
  <c r="G24" i="88"/>
  <c r="P24" i="88"/>
  <c r="Q24" i="88"/>
  <c r="R24" i="88"/>
  <c r="G28" i="88"/>
  <c r="P28" i="88"/>
  <c r="Q28" i="88"/>
  <c r="R28" i="88"/>
  <c r="G29" i="88"/>
  <c r="P29" i="88"/>
  <c r="Q29" i="88"/>
  <c r="R29" i="88"/>
  <c r="G30" i="88"/>
  <c r="P30" i="88"/>
  <c r="Q30" i="88"/>
  <c r="R30" i="88"/>
  <c r="H31" i="88"/>
  <c r="P31" i="88"/>
  <c r="Q31" i="88"/>
  <c r="R31" i="88"/>
  <c r="H32" i="88"/>
  <c r="P32" i="88"/>
  <c r="Q32" i="88"/>
  <c r="R32" i="88"/>
  <c r="G34" i="88"/>
  <c r="P34" i="88"/>
  <c r="Q34" i="88"/>
  <c r="R34" i="88"/>
  <c r="R35" i="88"/>
  <c r="M9" i="88"/>
  <c r="M10" i="88"/>
  <c r="M11" i="88"/>
  <c r="M12" i="88"/>
  <c r="M14" i="88"/>
  <c r="M15" i="88"/>
  <c r="M16" i="88"/>
  <c r="M17" i="88"/>
  <c r="M18" i="88"/>
  <c r="H20" i="88"/>
  <c r="M20" i="88"/>
  <c r="H21" i="88"/>
  <c r="M21" i="88"/>
  <c r="H22" i="88"/>
  <c r="M22" i="88"/>
  <c r="H23" i="88"/>
  <c r="M23" i="88"/>
  <c r="H24" i="88"/>
  <c r="M24" i="88"/>
  <c r="K28" i="88"/>
  <c r="M28" i="88"/>
  <c r="K29" i="88"/>
  <c r="M29" i="88"/>
  <c r="K30" i="88"/>
  <c r="M30" i="88"/>
  <c r="M31" i="88"/>
  <c r="M32" i="88"/>
  <c r="K34" i="88"/>
  <c r="M34" i="88"/>
  <c r="M35" i="88"/>
  <c r="T34" i="88"/>
  <c r="U34" i="88"/>
  <c r="V34" i="88"/>
  <c r="W34" i="88"/>
  <c r="O34" i="88"/>
  <c r="L34" i="88"/>
  <c r="J34" i="88"/>
  <c r="H34" i="88"/>
  <c r="G32" i="88"/>
  <c r="T32" i="88"/>
  <c r="U32" i="88"/>
  <c r="V32" i="88"/>
  <c r="W32" i="88"/>
  <c r="O32" i="88"/>
  <c r="L32" i="88"/>
  <c r="K32" i="88"/>
  <c r="J32" i="88"/>
  <c r="G31" i="88"/>
  <c r="T31" i="88"/>
  <c r="U31" i="88"/>
  <c r="V31" i="88"/>
  <c r="W31" i="88"/>
  <c r="O31" i="88"/>
  <c r="L31" i="88"/>
  <c r="K31" i="88"/>
  <c r="J31" i="88"/>
  <c r="T30" i="88"/>
  <c r="U30" i="88"/>
  <c r="V30" i="88"/>
  <c r="W30" i="88"/>
  <c r="O30" i="88"/>
  <c r="L30" i="88"/>
  <c r="J30" i="88"/>
  <c r="H30" i="88"/>
  <c r="T29" i="88"/>
  <c r="U29" i="88"/>
  <c r="V29" i="88"/>
  <c r="W29" i="88"/>
  <c r="O29" i="88"/>
  <c r="L29" i="88"/>
  <c r="J29" i="88"/>
  <c r="H29" i="88"/>
  <c r="T28" i="88"/>
  <c r="U28" i="88"/>
  <c r="V28" i="88"/>
  <c r="W28" i="88"/>
  <c r="O28" i="88"/>
  <c r="L28" i="88"/>
  <c r="J28" i="88"/>
  <c r="H28" i="88"/>
  <c r="T24" i="88"/>
  <c r="U24" i="88"/>
  <c r="V24" i="88"/>
  <c r="W24" i="88"/>
  <c r="O24" i="88"/>
  <c r="L24" i="88"/>
  <c r="K24" i="88"/>
  <c r="J24" i="88"/>
  <c r="T23" i="88"/>
  <c r="U23" i="88"/>
  <c r="V23" i="88"/>
  <c r="W23" i="88"/>
  <c r="O23" i="88"/>
  <c r="L23" i="88"/>
  <c r="K23" i="88"/>
  <c r="J23" i="88"/>
  <c r="T22" i="88"/>
  <c r="U22" i="88"/>
  <c r="V22" i="88"/>
  <c r="W22" i="88"/>
  <c r="O22" i="88"/>
  <c r="L22" i="88"/>
  <c r="K22" i="88"/>
  <c r="J22" i="88"/>
  <c r="T21" i="88"/>
  <c r="U21" i="88"/>
  <c r="V21" i="88"/>
  <c r="W21" i="88"/>
  <c r="O21" i="88"/>
  <c r="L21" i="88"/>
  <c r="K21" i="88"/>
  <c r="J21" i="88"/>
  <c r="T20" i="88"/>
  <c r="U20" i="88"/>
  <c r="V20" i="88"/>
  <c r="W20" i="88"/>
  <c r="O20" i="88"/>
  <c r="L20" i="88"/>
  <c r="K20" i="88"/>
  <c r="J20" i="88"/>
  <c r="G18" i="88"/>
  <c r="T18" i="88"/>
  <c r="U18" i="88"/>
  <c r="V18" i="88"/>
  <c r="W18" i="88"/>
  <c r="O18" i="88"/>
  <c r="L18" i="88"/>
  <c r="K18" i="88"/>
  <c r="J18" i="88"/>
  <c r="G17" i="88"/>
  <c r="T17" i="88"/>
  <c r="U17" i="88"/>
  <c r="V17" i="88"/>
  <c r="W17" i="88"/>
  <c r="O17" i="88"/>
  <c r="L17" i="88"/>
  <c r="K17" i="88"/>
  <c r="J17" i="88"/>
  <c r="G16" i="88"/>
  <c r="T16" i="88"/>
  <c r="U16" i="88"/>
  <c r="V16" i="88"/>
  <c r="W16" i="88"/>
  <c r="O16" i="88"/>
  <c r="L16" i="88"/>
  <c r="K16" i="88"/>
  <c r="J16" i="88"/>
  <c r="G15" i="88"/>
  <c r="T15" i="88"/>
  <c r="U15" i="88"/>
  <c r="V15" i="88"/>
  <c r="W15" i="88"/>
  <c r="O15" i="88"/>
  <c r="L15" i="88"/>
  <c r="K15" i="88"/>
  <c r="J15" i="88"/>
  <c r="G14" i="88"/>
  <c r="T14" i="88"/>
  <c r="U14" i="88"/>
  <c r="V14" i="88"/>
  <c r="W14" i="88"/>
  <c r="O14" i="88"/>
  <c r="L14" i="88"/>
  <c r="K14" i="88"/>
  <c r="J14" i="88"/>
  <c r="G12" i="88"/>
  <c r="T12" i="88"/>
  <c r="U12" i="88"/>
  <c r="V12" i="88"/>
  <c r="W12" i="88"/>
  <c r="O12" i="88"/>
  <c r="L12" i="88"/>
  <c r="K12" i="88"/>
  <c r="J12" i="88"/>
  <c r="G11" i="88"/>
  <c r="T11" i="88"/>
  <c r="U11" i="88"/>
  <c r="V11" i="88"/>
  <c r="W11" i="88"/>
  <c r="O11" i="88"/>
  <c r="L11" i="88"/>
  <c r="K11" i="88"/>
  <c r="J11" i="88"/>
  <c r="G10" i="88"/>
  <c r="T10" i="88"/>
  <c r="U10" i="88"/>
  <c r="V10" i="88"/>
  <c r="W10" i="88"/>
  <c r="O10" i="88"/>
  <c r="L10" i="88"/>
  <c r="K10" i="88"/>
  <c r="J10" i="88"/>
  <c r="W9" i="88"/>
  <c r="O9" i="88"/>
  <c r="L9" i="88"/>
  <c r="K9" i="88"/>
  <c r="J9" i="88"/>
  <c r="C3" i="89"/>
  <c r="C4" i="89"/>
  <c r="C5" i="89"/>
  <c r="C6" i="89"/>
  <c r="C7" i="89"/>
  <c r="C8" i="89"/>
  <c r="C9" i="89"/>
  <c r="C10" i="89"/>
  <c r="C11" i="89"/>
  <c r="C12" i="89"/>
  <c r="C13" i="89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K4" i="3"/>
  <c r="L4" i="3"/>
  <c r="D4" i="3"/>
  <c r="E4" i="3"/>
  <c r="M4" i="3"/>
  <c r="N4" i="3"/>
  <c r="O4" i="3"/>
  <c r="P4" i="3"/>
  <c r="Q4" i="3"/>
  <c r="R4" i="3"/>
  <c r="K5" i="3"/>
  <c r="L5" i="3"/>
  <c r="D5" i="3"/>
  <c r="E5" i="3"/>
  <c r="M5" i="3"/>
  <c r="N5" i="3"/>
  <c r="O5" i="3"/>
  <c r="P5" i="3"/>
  <c r="Q5" i="3"/>
  <c r="R5" i="3"/>
  <c r="K6" i="3"/>
  <c r="L6" i="3"/>
  <c r="D6" i="3"/>
  <c r="E6" i="3"/>
  <c r="M6" i="3"/>
  <c r="N6" i="3"/>
  <c r="O6" i="3"/>
  <c r="P6" i="3"/>
  <c r="Q6" i="3"/>
  <c r="R6" i="3"/>
  <c r="K7" i="3"/>
  <c r="L7" i="3"/>
  <c r="D7" i="3"/>
  <c r="E7" i="3"/>
  <c r="M7" i="3"/>
  <c r="N7" i="3"/>
  <c r="O7" i="3"/>
  <c r="P7" i="3"/>
  <c r="Q7" i="3"/>
  <c r="R7" i="3"/>
  <c r="K8" i="3"/>
  <c r="L8" i="3"/>
  <c r="D8" i="3"/>
  <c r="E8" i="3"/>
  <c r="M8" i="3"/>
  <c r="N8" i="3"/>
  <c r="O8" i="3"/>
  <c r="P8" i="3"/>
  <c r="Q8" i="3"/>
  <c r="R8" i="3"/>
  <c r="K9" i="3"/>
  <c r="L9" i="3"/>
  <c r="D9" i="3"/>
  <c r="E9" i="3"/>
  <c r="M9" i="3"/>
  <c r="N9" i="3"/>
  <c r="O9" i="3"/>
  <c r="P9" i="3"/>
  <c r="Q9" i="3"/>
  <c r="R9" i="3"/>
  <c r="K10" i="3"/>
  <c r="L10" i="3"/>
  <c r="D10" i="3"/>
  <c r="E10" i="3"/>
  <c r="M10" i="3"/>
  <c r="N10" i="3"/>
  <c r="O10" i="3"/>
  <c r="P10" i="3"/>
  <c r="Q10" i="3"/>
  <c r="R10" i="3"/>
  <c r="K11" i="3"/>
  <c r="L11" i="3"/>
  <c r="D11" i="3"/>
  <c r="E11" i="3"/>
  <c r="M11" i="3"/>
  <c r="N11" i="3"/>
  <c r="O11" i="3"/>
  <c r="P11" i="3"/>
  <c r="Q11" i="3"/>
  <c r="R11" i="3"/>
  <c r="K12" i="3"/>
  <c r="L12" i="3"/>
  <c r="D12" i="3"/>
  <c r="E12" i="3"/>
  <c r="M12" i="3"/>
  <c r="N12" i="3"/>
  <c r="O12" i="3"/>
  <c r="P12" i="3"/>
  <c r="Q12" i="3"/>
  <c r="R12" i="3"/>
  <c r="K13" i="3"/>
  <c r="L13" i="3"/>
  <c r="D13" i="3"/>
  <c r="E13" i="3"/>
  <c r="M13" i="3"/>
  <c r="N13" i="3"/>
  <c r="O13" i="3"/>
  <c r="P13" i="3"/>
  <c r="Q13" i="3"/>
  <c r="R13" i="3"/>
  <c r="K14" i="3"/>
  <c r="L14" i="3"/>
  <c r="D14" i="3"/>
  <c r="E14" i="3"/>
  <c r="M14" i="3"/>
  <c r="N14" i="3"/>
  <c r="O14" i="3"/>
  <c r="P14" i="3"/>
  <c r="Q14" i="3"/>
  <c r="R14" i="3"/>
  <c r="K15" i="3"/>
  <c r="L15" i="3"/>
  <c r="D15" i="3"/>
  <c r="E15" i="3"/>
  <c r="M15" i="3"/>
  <c r="N15" i="3"/>
  <c r="O15" i="3"/>
  <c r="P15" i="3"/>
  <c r="Q15" i="3"/>
  <c r="R15" i="3"/>
  <c r="K16" i="3"/>
  <c r="L16" i="3"/>
  <c r="D16" i="3"/>
  <c r="E16" i="3"/>
  <c r="M16" i="3"/>
  <c r="N16" i="3"/>
  <c r="O16" i="3"/>
  <c r="P16" i="3"/>
  <c r="Q16" i="3"/>
  <c r="R16" i="3"/>
  <c r="K17" i="3"/>
  <c r="L17" i="3"/>
  <c r="D17" i="3"/>
  <c r="E17" i="3"/>
  <c r="M17" i="3"/>
  <c r="N17" i="3"/>
  <c r="O17" i="3"/>
  <c r="P17" i="3"/>
  <c r="Q17" i="3"/>
  <c r="R17" i="3"/>
  <c r="K18" i="3"/>
  <c r="L18" i="3"/>
  <c r="D18" i="3"/>
  <c r="E18" i="3"/>
  <c r="M18" i="3"/>
  <c r="N18" i="3"/>
  <c r="O18" i="3"/>
  <c r="P18" i="3"/>
  <c r="Q18" i="3"/>
  <c r="R18" i="3"/>
  <c r="K19" i="3"/>
  <c r="L19" i="3"/>
  <c r="D19" i="3"/>
  <c r="E19" i="3"/>
  <c r="M19" i="3"/>
  <c r="N19" i="3"/>
  <c r="O19" i="3"/>
  <c r="P19" i="3"/>
  <c r="Q19" i="3"/>
  <c r="R19" i="3"/>
  <c r="R20" i="3"/>
  <c r="O20" i="3"/>
  <c r="P20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O18" i="147"/>
  <c r="O19" i="147"/>
  <c r="O20" i="147"/>
  <c r="V19" i="147"/>
  <c r="M19" i="147"/>
  <c r="N19" i="147"/>
  <c r="H19" i="147"/>
  <c r="K19" i="147"/>
  <c r="I19" i="147"/>
  <c r="F19" i="147"/>
  <c r="C19" i="147"/>
  <c r="V18" i="147"/>
  <c r="M18" i="147"/>
  <c r="N18" i="147"/>
  <c r="H18" i="147"/>
  <c r="K18" i="147"/>
  <c r="I18" i="147"/>
  <c r="F18" i="147"/>
  <c r="C18" i="147"/>
  <c r="T4" i="147" l="1"/>
  <c r="V4" i="147" s="1"/>
  <c r="T8" i="147"/>
  <c r="V8" i="147" s="1"/>
  <c r="R20" i="147"/>
  <c r="R23" i="147" l="1"/>
  <c r="R25" i="147" s="1"/>
  <c r="P20" i="147"/>
</calcChain>
</file>

<file path=xl/sharedStrings.xml><?xml version="1.0" encoding="utf-8"?>
<sst xmlns="http://schemas.openxmlformats.org/spreadsheetml/2006/main" count="58318" uniqueCount="14054">
  <si>
    <t>Referencia</t>
  </si>
  <si>
    <t>Cant</t>
  </si>
  <si>
    <t>P Lista U</t>
  </si>
  <si>
    <t>P Lista T</t>
  </si>
  <si>
    <t>C/U Col.</t>
  </si>
  <si>
    <t>C/U FOB Miami</t>
  </si>
  <si>
    <t>Importacion</t>
  </si>
  <si>
    <t>C/U CIF</t>
  </si>
  <si>
    <t>Costo total</t>
  </si>
  <si>
    <t>Margen</t>
  </si>
  <si>
    <t xml:space="preserve">P Venta Unit </t>
  </si>
  <si>
    <t>P Venta Total</t>
  </si>
  <si>
    <t>Totales</t>
  </si>
  <si>
    <t>Proveedor</t>
  </si>
  <si>
    <t>Pestaña de equipos:</t>
  </si>
  <si>
    <t>Tabla de costos</t>
  </si>
  <si>
    <t>Plataforma</t>
  </si>
  <si>
    <t>Exhibit</t>
  </si>
  <si>
    <t>Hardware</t>
  </si>
  <si>
    <t>IBM System Power</t>
  </si>
  <si>
    <t>Redsis</t>
  </si>
  <si>
    <t>Software</t>
  </si>
  <si>
    <t>IBM Tivoli</t>
  </si>
  <si>
    <t>Tipo-Modelo</t>
  </si>
  <si>
    <t>Precio lista</t>
  </si>
  <si>
    <t>ServicePack</t>
  </si>
  <si>
    <t>Tipo</t>
  </si>
  <si>
    <t>Modelo</t>
  </si>
  <si>
    <t>Descuento base</t>
  </si>
  <si>
    <t>Cobertura</t>
  </si>
  <si>
    <t>Transaccional</t>
  </si>
  <si>
    <t>High End</t>
  </si>
  <si>
    <t>9117-MMA</t>
  </si>
  <si>
    <t>MMA</t>
  </si>
  <si>
    <t>Power 570</t>
  </si>
  <si>
    <t>9117-MMB</t>
  </si>
  <si>
    <t>MMB</t>
  </si>
  <si>
    <t>Power 770</t>
  </si>
  <si>
    <t>Power 595</t>
  </si>
  <si>
    <t>9119-FHA</t>
  </si>
  <si>
    <t>FHA</t>
  </si>
  <si>
    <t>Low End</t>
  </si>
  <si>
    <t>7989-BCH</t>
  </si>
  <si>
    <t>BCH</t>
  </si>
  <si>
    <t>8202-E4B</t>
  </si>
  <si>
    <t>E4B</t>
  </si>
  <si>
    <t>8202-E4C</t>
  </si>
  <si>
    <t>E4C</t>
  </si>
  <si>
    <t>Power 720</t>
  </si>
  <si>
    <t>8205-E6B</t>
  </si>
  <si>
    <t>E6B</t>
  </si>
  <si>
    <t>Power 740</t>
  </si>
  <si>
    <t>8231-E2B</t>
  </si>
  <si>
    <t>E2B</t>
  </si>
  <si>
    <t>Power 710/730</t>
  </si>
  <si>
    <t>8231-E1C</t>
  </si>
  <si>
    <t>E1C</t>
  </si>
  <si>
    <t>Power 710</t>
  </si>
  <si>
    <t>8231-E2C</t>
  </si>
  <si>
    <t>E2C</t>
  </si>
  <si>
    <t>8406-70Y</t>
  </si>
  <si>
    <t>70Y</t>
  </si>
  <si>
    <t>Power 550</t>
  </si>
  <si>
    <t>Rack</t>
  </si>
  <si>
    <t>7014-T00</t>
  </si>
  <si>
    <t>T00</t>
  </si>
  <si>
    <t>7014-T42</t>
  </si>
  <si>
    <t>T42</t>
  </si>
  <si>
    <t>7014-S25</t>
  </si>
  <si>
    <t>S25</t>
  </si>
  <si>
    <t>LNX</t>
  </si>
  <si>
    <t>ZC1</t>
  </si>
  <si>
    <t>ZS1</t>
  </si>
  <si>
    <t>AP1</t>
  </si>
  <si>
    <t/>
  </si>
  <si>
    <t>Storage</t>
  </si>
  <si>
    <t>1814-20A</t>
  </si>
  <si>
    <t>20A</t>
  </si>
  <si>
    <t>1814-52A</t>
  </si>
  <si>
    <t>52A</t>
  </si>
  <si>
    <t>1818-D1A</t>
  </si>
  <si>
    <t>D1A</t>
  </si>
  <si>
    <t>2053</t>
  </si>
  <si>
    <t>2054</t>
  </si>
  <si>
    <t>IBM Storwize V7000</t>
  </si>
  <si>
    <t>2101</t>
  </si>
  <si>
    <t>239X-LFA</t>
  </si>
  <si>
    <t>2498</t>
  </si>
  <si>
    <t>2498-B80</t>
  </si>
  <si>
    <t>B80</t>
  </si>
  <si>
    <t>2805</t>
  </si>
  <si>
    <t>IBM System Storage Productivity Center</t>
  </si>
  <si>
    <t>2810</t>
  </si>
  <si>
    <t>IBM XIV Storage System</t>
  </si>
  <si>
    <t>2812</t>
  </si>
  <si>
    <t>3584</t>
  </si>
  <si>
    <t>3588</t>
  </si>
  <si>
    <t>IBM TotalStorage Tape Drive</t>
  </si>
  <si>
    <t>3589</t>
  </si>
  <si>
    <t>3590</t>
  </si>
  <si>
    <t>Tape Drive</t>
  </si>
  <si>
    <t>3592</t>
  </si>
  <si>
    <t>3599</t>
  </si>
  <si>
    <t>3758</t>
  </si>
  <si>
    <t>3952</t>
  </si>
  <si>
    <t>3953</t>
  </si>
  <si>
    <t>IBM TotalStorage Library Manager</t>
  </si>
  <si>
    <t>3956</t>
  </si>
  <si>
    <t>3957</t>
  </si>
  <si>
    <t>IBM Virtualization Engine TS7740 Server</t>
  </si>
  <si>
    <t>3958</t>
  </si>
  <si>
    <t>IBM System Storage TS7650G Server</t>
  </si>
  <si>
    <t>5608-R61</t>
  </si>
  <si>
    <t>5608-WB1</t>
  </si>
  <si>
    <t>5608-WC4</t>
  </si>
  <si>
    <t>IBM Tivoli SPC For Disk</t>
  </si>
  <si>
    <t>5608-R68</t>
  </si>
  <si>
    <t>5608-R73</t>
  </si>
  <si>
    <t>5608-WB2</t>
  </si>
  <si>
    <t>5608-WB3</t>
  </si>
  <si>
    <t>5608-A92</t>
  </si>
  <si>
    <t>5608-A99</t>
  </si>
  <si>
    <t>5639</t>
  </si>
  <si>
    <t>SAN Volume Controller Software</t>
  </si>
  <si>
    <t>IBM System Storage Linear Tape File System</t>
  </si>
  <si>
    <t>5697</t>
  </si>
  <si>
    <t>IBM Software Virtual Tape Library</t>
  </si>
  <si>
    <t>7014</t>
  </si>
  <si>
    <t>Multi-media Enclosure</t>
  </si>
  <si>
    <t>Valor</t>
  </si>
  <si>
    <t>VMWARE vSphere</t>
  </si>
  <si>
    <t>IBM System X</t>
  </si>
  <si>
    <t>IBM System Storage</t>
  </si>
  <si>
    <t>Capacitacion</t>
  </si>
  <si>
    <t>MICROSOFT Server</t>
  </si>
  <si>
    <t>IBM Lotus</t>
  </si>
  <si>
    <t>Horas</t>
  </si>
  <si>
    <t>IBM POS</t>
  </si>
  <si>
    <t>IBM Director</t>
  </si>
  <si>
    <t>LINUX</t>
  </si>
  <si>
    <t>MICROSOFT SQL</t>
  </si>
  <si>
    <t>Secciones tabla de costos</t>
  </si>
  <si>
    <t>HARDWARE</t>
  </si>
  <si>
    <t>SOFTWARE</t>
  </si>
  <si>
    <t>MANTENIMIENTO</t>
  </si>
  <si>
    <t>Plataformas</t>
  </si>
  <si>
    <t>IBM AiX</t>
  </si>
  <si>
    <t>Post garantia 1 año 5x9x4</t>
  </si>
  <si>
    <t>Post garantia 2 años 5x9x4</t>
  </si>
  <si>
    <t>Post garantia 3 años 5x9x4</t>
  </si>
  <si>
    <t>Post garantia 1 año 24x7x4</t>
  </si>
  <si>
    <t>Post garantia 2 años 24x7x4</t>
  </si>
  <si>
    <t>Post garantia 3 años 24x7x4</t>
  </si>
  <si>
    <t>Proveedores</t>
  </si>
  <si>
    <t>IBM</t>
  </si>
  <si>
    <t>EMC</t>
  </si>
  <si>
    <t>Proveedores de servicios</t>
  </si>
  <si>
    <t>Externos</t>
  </si>
  <si>
    <t>N/A</t>
  </si>
  <si>
    <t>51J9036</t>
  </si>
  <si>
    <t>2076-124</t>
  </si>
  <si>
    <t>2076-224</t>
  </si>
  <si>
    <t>2498-B24</t>
  </si>
  <si>
    <t>IBM System Storage SAN40B-4</t>
  </si>
  <si>
    <t>3573-L4U</t>
  </si>
  <si>
    <t>7014-B42</t>
  </si>
  <si>
    <t>B42</t>
  </si>
  <si>
    <t>7779-BCS</t>
  </si>
  <si>
    <t>BCS</t>
  </si>
  <si>
    <t>8233-E8B</t>
  </si>
  <si>
    <t>E8B</t>
  </si>
  <si>
    <t>Power 750</t>
  </si>
  <si>
    <t>9119-FHB</t>
  </si>
  <si>
    <t>FHB</t>
  </si>
  <si>
    <t>Power 795</t>
  </si>
  <si>
    <t>9179-MHB</t>
  </si>
  <si>
    <t>MHB</t>
  </si>
  <si>
    <t>Power 780</t>
  </si>
  <si>
    <t>Descuento BP</t>
  </si>
  <si>
    <t xml:space="preserve"> </t>
  </si>
  <si>
    <t>Precio de 20 a 49</t>
  </si>
  <si>
    <t>Precio de 50 a 99</t>
  </si>
  <si>
    <t xml:space="preserve">Precio &gt; a 100 </t>
  </si>
  <si>
    <t>Part Number</t>
  </si>
  <si>
    <t>Dolares</t>
  </si>
  <si>
    <t>39K3167</t>
  </si>
  <si>
    <t>39K3168</t>
  </si>
  <si>
    <t>39K3169</t>
  </si>
  <si>
    <t>91Y9078</t>
  </si>
  <si>
    <t>39K3170</t>
  </si>
  <si>
    <t>MPS</t>
  </si>
  <si>
    <t>IMPRESISTEM</t>
  </si>
  <si>
    <t>NEXSYS</t>
  </si>
  <si>
    <t>ADISTEC</t>
  </si>
  <si>
    <t>AFINA</t>
  </si>
  <si>
    <t>AVNET</t>
  </si>
  <si>
    <t>DELL</t>
  </si>
  <si>
    <t>FABIO LOPEZ</t>
  </si>
  <si>
    <t>ELKIN SUAREZ</t>
  </si>
  <si>
    <t>EDISON VELOZA</t>
  </si>
  <si>
    <t>ALFREDO MUÑOZ</t>
  </si>
  <si>
    <t>HUGO GONZALEZ</t>
  </si>
  <si>
    <t>CARLOS CARVAJALINO</t>
  </si>
  <si>
    <t>KENETH CORRADINE</t>
  </si>
  <si>
    <t>ECLOSION</t>
  </si>
  <si>
    <t>SUMMAN</t>
  </si>
  <si>
    <t>PERSONAL SOFT</t>
  </si>
  <si>
    <t>STACK POINTER</t>
  </si>
  <si>
    <t>TEAMVIEWER</t>
  </si>
  <si>
    <t>PROMETRIC</t>
  </si>
  <si>
    <t>CUBIX</t>
  </si>
  <si>
    <t>HERNAN PAJARO</t>
  </si>
  <si>
    <t>BTG</t>
  </si>
  <si>
    <t>RADAR IDEAS</t>
  </si>
  <si>
    <t>AMAZON</t>
  </si>
  <si>
    <t>REPOSTOR</t>
  </si>
  <si>
    <t>TSGROUP</t>
  </si>
  <si>
    <t>EXTERNO</t>
  </si>
  <si>
    <t>C/U Col. (Desc)</t>
  </si>
  <si>
    <t>Exhibit (PWR/ST)</t>
  </si>
  <si>
    <t>Descuento especial o exhibit x</t>
  </si>
  <si>
    <t>Fecha:</t>
  </si>
  <si>
    <t>DS8000 Series Function Authorizations</t>
  </si>
  <si>
    <t>2417-C48</t>
  </si>
  <si>
    <t>IBM System Storate TS2900 Tape Library</t>
  </si>
  <si>
    <t>Ultrascalable Tape Library</t>
  </si>
  <si>
    <t>IBM TotalStorage Enterprise Tape Controller</t>
  </si>
  <si>
    <t>IBM System Storage 3952 Tape Frame</t>
  </si>
  <si>
    <t>IBM Tivoli Storage Prod. Center for Replication /Three site</t>
  </si>
  <si>
    <t>IBM Tivoli Lifecycle manager Reg/Ren: 1 Yr</t>
  </si>
  <si>
    <t>IBM Tivoli Key Lifecycle Manager V 2.0</t>
  </si>
  <si>
    <t>5639-XXX</t>
  </si>
  <si>
    <t>SW Diligent / Protectier</t>
  </si>
  <si>
    <t>REDSIS</t>
  </si>
  <si>
    <t>GREEN LIGHT</t>
  </si>
  <si>
    <t>Descuento cliente</t>
  </si>
  <si>
    <t>Precio lista total</t>
  </si>
  <si>
    <t>Precio lista unitario</t>
  </si>
  <si>
    <t>Precio final</t>
  </si>
  <si>
    <t>Tipos tabla cliente</t>
  </si>
  <si>
    <t>Costo unitario</t>
  </si>
  <si>
    <t>C/U (Desc)</t>
  </si>
  <si>
    <t>Descuento final</t>
  </si>
  <si>
    <t>Código Special Bid</t>
  </si>
  <si>
    <t>P Venta Unit</t>
  </si>
  <si>
    <t>Tabla:</t>
  </si>
  <si>
    <t>Precio venta total</t>
  </si>
  <si>
    <t>68Y6601</t>
  </si>
  <si>
    <t>IBM BladeCenter H 2980W AC Power Modules w/Fan Pack</t>
  </si>
  <si>
    <t>59Y5705</t>
  </si>
  <si>
    <t>44T1596</t>
  </si>
  <si>
    <t>4GB (1x4GB, 2Rx8, 1.5V) PC3-10600 CL9 ECC DDR3 1333MHz VLP RDIMM</t>
  </si>
  <si>
    <t>42D0637</t>
  </si>
  <si>
    <t>300GB 10K SFF G2 HS SAS Option</t>
  </si>
  <si>
    <t>Servidores</t>
  </si>
  <si>
    <t>Nueva Modalidad</t>
  </si>
  <si>
    <t>Categoria</t>
  </si>
  <si>
    <t>46C7499</t>
  </si>
  <si>
    <t>8GB (1x8GB, 4Rx8, 1.5V) PC3-8500 CL7 ECC DDR3 1066MHz VLP RDIMM</t>
  </si>
  <si>
    <t>42D0677</t>
  </si>
  <si>
    <t>146GB 15K SFF G2 HS SAS Option</t>
  </si>
  <si>
    <t>x3100 M4, Core 2C i3-2100 65W 3.1GHz/1333MHz/3MB, 1x2GB, O/Bay SS 3.5in SATA, SR C100, DVD-ROM, 350W p/s, Tower</t>
  </si>
  <si>
    <t>IBM 500GB 3.5in 7.2K SS SATA HDD</t>
  </si>
  <si>
    <t>x3100 M4, Xeon 4C E3-1220 80W 3.1GHz/1333MHz/8MB, 1x2GB, O/Bay SS 3.5in SATA, SR C100, DVD-ROM, 350W p/s, Tower</t>
  </si>
  <si>
    <t>2583EBU</t>
  </si>
  <si>
    <t>Express x3250 M4, Xeon 4C E3-1230 80W 3.2GHz/1333MHz/8MB, 1x4GB, O/Bay HS 2.5in SAS, SR BR10il, Multi-Burner , 460W p/s, Rack</t>
  </si>
  <si>
    <t>7379B4U</t>
  </si>
  <si>
    <t>x3400 M3, Xeon 4C E5606 80W 2.13GHz/1066MHz/8MB, 1x2GB, O/Bay HS 3.5in SATA/SAS, SR BR10il, DVD-ROM, 670W p/s, Tower</t>
  </si>
  <si>
    <t>7380E8U</t>
  </si>
  <si>
    <t>Express x3500 M3, Xeon 6C E5645 80W 2.40GHz/1333MHz/12MB, 3x4GB, O/Bay HS 2.5in SATA/SAS, SR M5015, DVD-ROM, 2x920W p/s, Tower</t>
  </si>
  <si>
    <t>794452U</t>
  </si>
  <si>
    <t>x3550 M3, Xeon 6C E5645 80W 2.4GHz/1333MHz/12MB, 1x4GB, O/Bay 2.5in HS SAS/SATA, SR M5014, 460W p/s, Rack</t>
  </si>
  <si>
    <t>7944D4U</t>
  </si>
  <si>
    <t>x3550 M3, Xeon 4C E5620 80W 2.4GHz/1066MHz/12MB, 1x4GB, O/Bay 2.5in HS SAS/SATA, SR M1015, 460W p/s, Rack</t>
  </si>
  <si>
    <t>7376E2U</t>
  </si>
  <si>
    <t>Express x3620 M3, Xeon 4C E5620 80W 2.40GHz/1066MHz/12MB, 3x2GB, O/Bay 3.5in HS SAS/SATA, SR M5014, 675W p/s, Rack</t>
  </si>
  <si>
    <t>737764U</t>
  </si>
  <si>
    <t>x3630 M3, Xeon 6C X5650 95W 2.66GHz/1333MHz/12MB, 1x4GB, O/Bay 3.5 HS SAS/SATA, SR M5015, 675W p/s, Rack</t>
  </si>
  <si>
    <t>794552U</t>
  </si>
  <si>
    <t>x3650 M3, Xeon 6C E5645 80W 2.40GHz/1333MHz/12MB,1x4GB, O/Bay 2.5in HS SAS/SATA, SR M5014, 460W p/s, Rack</t>
  </si>
  <si>
    <t>7945D4U</t>
  </si>
  <si>
    <t>x3650 M3, Xeon 4C E5620 80W 2.40GHz/1066MHz/12MB,1x4GB, O/Bay 2.5in HS SAS/SATA ,SR M1015, 460W p/s, Rack</t>
  </si>
  <si>
    <t>794582U</t>
  </si>
  <si>
    <t>x3650 M3, Xeon 6C X5690 130W 3.46GHz/1333MHz/12MB,1x4GB, O/Bay 2.5in HS SAS/SATA, SR M5015, 675W p/s, Rack</t>
  </si>
  <si>
    <t>69Y1229</t>
  </si>
  <si>
    <t>Intel Xeon 6C Processor Model X5650 95W 2.66GHz/1333MHz/12MB</t>
  </si>
  <si>
    <t>HV-Option</t>
  </si>
  <si>
    <t>59Y4006</t>
  </si>
  <si>
    <t>Intel Xeon 4C Processor Model E5620 80W 2.40GHz/1066MHz/12MB</t>
  </si>
  <si>
    <t>69Y1225</t>
  </si>
  <si>
    <t>69Y0854</t>
  </si>
  <si>
    <t>59Y4020</t>
  </si>
  <si>
    <t>81Y6542</t>
  </si>
  <si>
    <t>Intel Xeon 6C Processor Model E5649 80W 2.53GHz/1333MHz/12MB</t>
  </si>
  <si>
    <t>81Y6552</t>
  </si>
  <si>
    <t>Intel Xeon 6C Processor Model E5649 80W 2.53GHz/1333MHz/12MB W/Fan</t>
  </si>
  <si>
    <t>81Y6546</t>
  </si>
  <si>
    <t>Intel Xeon 6C Processor Model X5690 130W 3.46GHz/1333MHz/12MB</t>
  </si>
  <si>
    <t>81Y6556</t>
  </si>
  <si>
    <t>Intel Xeon 6C Processor Model X5690 130W 3.46GHz/1333MHz/12MB W/Fan</t>
  </si>
  <si>
    <t>Intel Xeon 4C Processor Model E5620 80W  2.40GHz/1066MHz/12MB</t>
  </si>
  <si>
    <t>81Y6537</t>
  </si>
  <si>
    <t>Intel Xeon 6C Processor Model E5645 80W 2.40GHz/1333MHz/12MB</t>
  </si>
  <si>
    <t>59Y5709</t>
  </si>
  <si>
    <t>81Y9331</t>
  </si>
  <si>
    <t>81Y5945</t>
  </si>
  <si>
    <t>Intel Xeon 6C Processor Model E5645 80w 2.40GHz/1333MHz/12MB</t>
  </si>
  <si>
    <t>81Y9758</t>
  </si>
  <si>
    <t>IBM 3TB 3.5in 7.2K 6Gbps NL HS SAS HDD</t>
  </si>
  <si>
    <t>39M4514</t>
  </si>
  <si>
    <t>39M4530</t>
  </si>
  <si>
    <t>IBM 500GB 3.5in 7.2K HS SATA HDD</t>
  </si>
  <si>
    <t>43W7626</t>
  </si>
  <si>
    <t>IBM Server 1 TB 7200 SATA 3.5in HS</t>
  </si>
  <si>
    <t>44W2294</t>
  </si>
  <si>
    <t>IBM 146GB 2.5in SFF Slim-HS 15K 6Gbps SAS SED (Self Encription Device)</t>
  </si>
  <si>
    <t>44W2234</t>
  </si>
  <si>
    <t>IBM 300GB 3.5in SL HS 15K 6Gbps SAS HDD</t>
  </si>
  <si>
    <t>44W2264</t>
  </si>
  <si>
    <t>IBM 300GB 2.5in SFF Slim-HS 10K 6Gbps SAS SED (Self Encription Device)</t>
  </si>
  <si>
    <t>44W2239</t>
  </si>
  <si>
    <t>IBM 450GB 3.5in SL HS 15K 6Gbps SAS HDD</t>
  </si>
  <si>
    <t>42D0707</t>
  </si>
  <si>
    <t>IBM 500GB 2.5in SFF Slim-HS 7.2K 6Gbps NL SAS HDD</t>
  </si>
  <si>
    <t>49Y2003</t>
  </si>
  <si>
    <t>IBM 600GB 2.5in SFF Slim-HS 10K 6Gbps SAS HDD</t>
  </si>
  <si>
    <t>44W2244</t>
  </si>
  <si>
    <t>IBM 600GB 3.5in SL HS 15K 6Gbps SAS HDD</t>
  </si>
  <si>
    <t>81Y9774</t>
  </si>
  <si>
    <t>IBM 3TB 3.5in 7.2K 6Gbps NL HS SATA HDD</t>
  </si>
  <si>
    <t>43W7622</t>
  </si>
  <si>
    <t>IBM 1TB 7.2K SATA 3.5in Simple-Swap HDD</t>
  </si>
  <si>
    <t>81Y9650</t>
  </si>
  <si>
    <t>IBM 900GB 10K 6Gbps SAS 2.5 HS HDD</t>
  </si>
  <si>
    <t>81Y9670</t>
  </si>
  <si>
    <t>IBM 300GB 15K 6Gbps SAS 2.5 SFF G2 HS HDD</t>
  </si>
  <si>
    <t>81Y4492</t>
  </si>
  <si>
    <t>ServeRAID H1110 SAS/SATA Controller for IBM System x</t>
  </si>
  <si>
    <t>42D0777</t>
  </si>
  <si>
    <t>IBM 1TB 3.5in HS 7.2K 6Gbps NL SAS HDD</t>
  </si>
  <si>
    <t>69Y4236</t>
  </si>
  <si>
    <t>IBM System x3650 M3 Hot-swap SAS/SATA 4 Pac HDD Upgrade Option</t>
  </si>
  <si>
    <t>59Y3952</t>
  </si>
  <si>
    <t>IBM System x3550 M3 R2 ODD Kit</t>
  </si>
  <si>
    <t>42D0787</t>
  </si>
  <si>
    <t>IBM 2TB 7200 NL SATA 3.5in SS HDD</t>
  </si>
  <si>
    <t>43W3581</t>
  </si>
  <si>
    <t>IBM BladeCenter S 6-Disk Storage Module</t>
  </si>
  <si>
    <t>59Y3806</t>
  </si>
  <si>
    <t>Tape Enablement Kit (TEK) option for IBM System x3650 M3</t>
  </si>
  <si>
    <t>69Y0895</t>
  </si>
  <si>
    <t>2.5in Hot Swap SAS/SATA 8 Pac HDD Upgrade Kit (expander included)</t>
  </si>
  <si>
    <t>59Y3951</t>
  </si>
  <si>
    <t>IBM System x3550 M3 R2 plus 4 HDD Kit</t>
  </si>
  <si>
    <t>81Y9726</t>
  </si>
  <si>
    <t>IBM 500GB 2.5in SFF HS 7.2K 6Gbps NL SATA HDD</t>
  </si>
  <si>
    <t>81Y9730</t>
  </si>
  <si>
    <t>IBM 1TB 2.5in SFF HS 7.2K 6Gbps NL SATA HDD</t>
  </si>
  <si>
    <t>81Y9690</t>
  </si>
  <si>
    <t>IBM 1TB 2.5in SFF HS 7.2K 6Gbps NL SAS HDD</t>
  </si>
  <si>
    <t>49Y9898</t>
  </si>
  <si>
    <t>IBM Internal Half High LTO Gen 5 SAS Tape Drive</t>
  </si>
  <si>
    <t>42D0782</t>
  </si>
  <si>
    <t>IBM 2TB 7200 NL SATA 3.5in HS HDD</t>
  </si>
  <si>
    <t>42D0767</t>
  </si>
  <si>
    <t>IBM 2TB 3.5in HS 7.2K 6Gbps NL SAS HDD</t>
  </si>
  <si>
    <t>81Y9654</t>
  </si>
  <si>
    <t>IBM 900GB 10K 6Gbps SAS 2.5 SS HDD</t>
  </si>
  <si>
    <t>81Y9674</t>
  </si>
  <si>
    <t>IBM 300GB 15K 6Gbps SAS 2.5 SFF SS HDD</t>
  </si>
  <si>
    <t>46C0568</t>
  </si>
  <si>
    <t>8GB (1x8GB, 2Rx4, 1.35V) PC3-10600 CL9 ECC DDR3 1333MHz VLP RDIMM</t>
  </si>
  <si>
    <t>46C0563</t>
  </si>
  <si>
    <t>4GB (1x4GB, 1Rx4, 1.35V) PC3L-10600 CL9 ECC DDR3 1333MHz VLP RDIMM</t>
  </si>
  <si>
    <t>44T1568</t>
  </si>
  <si>
    <t>1GB (1x1GB, Single Rankx8) PC3-10600 CL9 ECC DDR3 1333MHz LP UDIMM</t>
  </si>
  <si>
    <t>44T1569</t>
  </si>
  <si>
    <t>2GB (1x2GB, Dual Rankx8) PC3-10600 CL9 ECC DDR3-1333MHz LP UDIMM</t>
  </si>
  <si>
    <t>44T1571</t>
  </si>
  <si>
    <t>4GB (1x4GB, Dual Rank x8) PC3-10600 CL9 ECC DDR3 1333MHz LP UDIMM</t>
  </si>
  <si>
    <t>46C7482</t>
  </si>
  <si>
    <t>8GB (1x8GB, Quad Rankx8) PC3-8500 CL7 ECC DDR3 1066MHz LP RDIMM</t>
  </si>
  <si>
    <t>49Y1433</t>
  </si>
  <si>
    <t>2GB (1x2GB, 2Rx8, 1.5V) PC3-10600 CL9 ECC DDR3 1333MHz LP RDIMM</t>
  </si>
  <si>
    <t>49Y1435</t>
  </si>
  <si>
    <t>4GB (1x4GB, 2Rx4, 1.5V) PC3-10600 CL9 ECC DDR3 1333MHz LP RDIMM</t>
  </si>
  <si>
    <t>49Y1436</t>
  </si>
  <si>
    <t>8GB (1x8GB, 2Rx4, 1.5V) PC3-10600 CL9 ECC DDR3 1333MHz LP RDIMM</t>
  </si>
  <si>
    <t>44T1592</t>
  </si>
  <si>
    <t>2GB (1x2GB, Single Rankx8) PC3-10600 CL9 ECC DDR3 1333MHz LP RDIMM</t>
  </si>
  <si>
    <t>44T1599</t>
  </si>
  <si>
    <t>4GB (1x4GB, Dual Rankx8) PC3-10600 CL9 ECC DDR3-1333MHz LP RDIMM</t>
  </si>
  <si>
    <t>46C7483</t>
  </si>
  <si>
    <t>16GB (1x16GB, Quad Rankx4) PC3-8500 CL7 ECC DDR3 1066MHz LP RDIMM</t>
  </si>
  <si>
    <t>49Y1405</t>
  </si>
  <si>
    <t>2GB (1x2GB, 1Rx8, 1.35V) PC3L-10600 CL9 ECC DDR3 1333MHz LP RDIMM</t>
  </si>
  <si>
    <t>44T1570</t>
  </si>
  <si>
    <t>2GB (1x2GB, Single Rankx8) PC3-10600 CL9 ECC DDR3 1333MHz LP UDIMM</t>
  </si>
  <si>
    <t>49Y1406</t>
  </si>
  <si>
    <t>4GB (1x4GB, 1Rx4, 1.35V) PC3L-10600 CL9 ECC DDR3 1333MHz LP RDIMM</t>
  </si>
  <si>
    <t>49Y1407</t>
  </si>
  <si>
    <t>4GB (1x4GB, 2Rx8, 1.35V) PC3L-10600 CL9 ECC DDR3 1333MHz LP RDIMM</t>
  </si>
  <si>
    <t>49Y1397</t>
  </si>
  <si>
    <t>8GB (1x8GB, 2Rx4, 1.35V) PC3L-10600 CL9 ECC DDR3 1333MHz LP RDIMM</t>
  </si>
  <si>
    <t>49Y1400</t>
  </si>
  <si>
    <t>16GB (1x16GB, 4Rx4, 1.35V) PC3L-8500 CL7 ECC DDR3 1066MHz LP RDIMM</t>
  </si>
  <si>
    <t>49Y1428</t>
  </si>
  <si>
    <t>2GB (1x2GB, 2Rx8, 1.5V) PC3-10600 CL9 ECC DDR3 1333MHz VLP RDIMM</t>
  </si>
  <si>
    <t>49Y1431</t>
  </si>
  <si>
    <t>8GB (1x8GB, 2Rx4, 1.5V) PC3-10600 CL9 ECC DDR3 1333MHz VLP RDIMM</t>
  </si>
  <si>
    <t>69Y1213</t>
  </si>
  <si>
    <t>Redundant Power Supply 675W</t>
  </si>
  <si>
    <t>49Y7342</t>
  </si>
  <si>
    <t>1100W Redundant Power Supply</t>
  </si>
  <si>
    <t>81Y6558</t>
  </si>
  <si>
    <t>IBM 460W Redundant  Power Supply Unit</t>
  </si>
  <si>
    <t>39Y8951</t>
  </si>
  <si>
    <t>DPI Universal Rack PDU with Nema L5-20P and L6-20P (US line Cord)</t>
  </si>
  <si>
    <t>94Y6236</t>
  </si>
  <si>
    <t>IBM 460W Redundant Power Supply Unit with 80+ certified</t>
  </si>
  <si>
    <t>81Y6557</t>
  </si>
  <si>
    <t>IBM 675W High Efficiency Redundant AC Power Supply</t>
  </si>
  <si>
    <t>46C7438</t>
  </si>
  <si>
    <t>IBM BladeCenter S C14 950W/1450W Auto-sensing Power Supplies 3 &amp; 4</t>
  </si>
  <si>
    <t>46M0831</t>
  </si>
  <si>
    <t>ServeRAID M1015 SAS/SATA Controller</t>
  </si>
  <si>
    <t>46M0832</t>
  </si>
  <si>
    <t>ServeRAID M1000 Series Advance Feature Key</t>
  </si>
  <si>
    <t>46M0916</t>
  </si>
  <si>
    <t>ServeRAID M5014 SAS/SATA Controller</t>
  </si>
  <si>
    <t>46M0829</t>
  </si>
  <si>
    <t>ServeRAID M5015 SAS/SATA Controller</t>
  </si>
  <si>
    <t>46M0830</t>
  </si>
  <si>
    <t>ServeRAID M5025 SAS/SATA Controller</t>
  </si>
  <si>
    <t>46M0907</t>
  </si>
  <si>
    <t>IBM 6Gb SAS HBA</t>
  </si>
  <si>
    <t>46M0930</t>
  </si>
  <si>
    <t>ServeRAID M5000 Series Advance Feature Key</t>
  </si>
  <si>
    <t>68Y7396</t>
  </si>
  <si>
    <t>ServeRAID M5000 Series Battery Remote Mount Cable</t>
  </si>
  <si>
    <t>59Y1993</t>
  </si>
  <si>
    <t>Brocade 4Gb FC Dual-port HBA for IBM System x</t>
  </si>
  <si>
    <t>59Y1987</t>
  </si>
  <si>
    <t>Brocade 4Gb FC Single-port HBA for IBM System x</t>
  </si>
  <si>
    <t>46M6050</t>
  </si>
  <si>
    <t>Brocade 8Gb FC Dual-port HBA for IBM System x</t>
  </si>
  <si>
    <t>46M6049</t>
  </si>
  <si>
    <t>Brocade 8Gb FC Single-port HBA for IBM System x</t>
  </si>
  <si>
    <t>81Y4426</t>
  </si>
  <si>
    <t>ServeRAID M5000 Series Performance Accelerator Key</t>
  </si>
  <si>
    <t>42C2069</t>
  </si>
  <si>
    <t>42C2071</t>
  </si>
  <si>
    <t>42D0485</t>
  </si>
  <si>
    <t>Emulex 8Gb FC Single-port HBA for IBM System x</t>
  </si>
  <si>
    <t>42D0494</t>
  </si>
  <si>
    <t>Emulex 8Gb FC Dual-port HBA for IBM System x</t>
  </si>
  <si>
    <t>49Y4230</t>
  </si>
  <si>
    <t>Intel Ethernet Dual Port Server Adapter I340-T2 for IBM System x</t>
  </si>
  <si>
    <t>49Y4240</t>
  </si>
  <si>
    <t>Intel Ethernet Quad Port Server Adapter I340-T4 for IBM System x</t>
  </si>
  <si>
    <t>46M1076</t>
  </si>
  <si>
    <t>Dual Port 1Gb Ethernet Daughter Card</t>
  </si>
  <si>
    <t>39M5636</t>
  </si>
  <si>
    <t>IBM DDS Generation 6 USB Tape Drive</t>
  </si>
  <si>
    <t>93074RX</t>
  </si>
  <si>
    <t>NetBAY S2 42U Standard Rack Cabinet</t>
  </si>
  <si>
    <t>49Y7332</t>
  </si>
  <si>
    <t>AMD Opteron 8C Processor Model 6128 115w 2.0GHz/12MB</t>
  </si>
  <si>
    <t>81Y5943</t>
  </si>
  <si>
    <t>Intel Xeon 4C Processor Model E5606 80w 2.13GHz/1066MHz/8MB</t>
  </si>
  <si>
    <t>201886X</t>
  </si>
  <si>
    <t>IBM BladeCenter Office Enablement Kit</t>
  </si>
  <si>
    <t>1754A1X</t>
  </si>
  <si>
    <t>IBM Local 1x8 Console Manager (LCM8)</t>
  </si>
  <si>
    <t>1754A2X</t>
  </si>
  <si>
    <t>IBM Local 2x16 Console Manager (LCM16)</t>
  </si>
  <si>
    <t>93072RX</t>
  </si>
  <si>
    <t>NetBAY S2 25U Standard Rack Cabinet</t>
  </si>
  <si>
    <t>43W7630</t>
  </si>
  <si>
    <t>IBM Storage and I/O Blade 1 TB 7200 Dual Port  SATA 3.5in HS</t>
  </si>
  <si>
    <t>88861TU</t>
  </si>
  <si>
    <t>258232U</t>
  </si>
  <si>
    <t>x3100 M4, Pentium 2C G850 65W 2.9GHz/1333MHz/3MB, 1x2GB, 0/Bay SS 3.5in SATA, SR C100, DVD-ROM, 350W p/s, Tower</t>
  </si>
  <si>
    <t>258242U</t>
  </si>
  <si>
    <t>258282U</t>
  </si>
  <si>
    <t>x3100 M4, Xeon 4C E3-1270 80W 3.4GHz/1333MHz/8MB, 1x4GB, O/Bay SS 3.5in SATA, SR C100, DVD-ROM, 300W p/s, Tower</t>
  </si>
  <si>
    <t>2582EBU</t>
  </si>
  <si>
    <t>Express x3100 M4, Core 2C i3-2100 65W 3.1GHz/1333MHz/3MB, 1x2GB, 0/Bay SS 3.5in SATA, SR C100, Multi-burner, 350W p/s, Tower</t>
  </si>
  <si>
    <t>2582EDU</t>
  </si>
  <si>
    <t>Express x3100 M4, Xeon 4C E3-1220 80W 3.1GHz/1333MHz/8MB, 1x2GB, 0/Bay SS 3.5in SATA, SR C100, Multi-burner, 350W p/s, Tower</t>
  </si>
  <si>
    <t>2582EEU</t>
  </si>
  <si>
    <t>Express x3100 M4, Xeon 4C E3-1230 80W 3.2GHz/1333MHz/8MB, 1x4GB, 0/Bay SS 3.5in SATA, SR C100, Multi-burner, 350W p/s, Tower</t>
  </si>
  <si>
    <t>737956U</t>
  </si>
  <si>
    <t>x3400 M3, Xeon 4C E5620 80W 2.4GHz/1066MHz/12MB, 1x4GB, O/Bay HS 3.5in SATA/SAS, SR BR10il, DVD-ROM, 670W p/s, Tower</t>
  </si>
  <si>
    <t>737958U</t>
  </si>
  <si>
    <t>x3400 M3, Xeon 4C E5620 80W 2.4GHz/1066MHz/12MB, 1x4GB, O/Bay HS 2.5in SATA/SAS, SR M1015, DVD-ROM, 920W p/s, Tower</t>
  </si>
  <si>
    <t>7379A2U</t>
  </si>
  <si>
    <t>x3400 M3, Xeon 4C E5603 80W 1.6GHz/1066MHz/4MB, 1x2GB, O/Bay SS 3.5in SATA, DVD-ROM, 670W p/s, Tower</t>
  </si>
  <si>
    <t>7379A4U</t>
  </si>
  <si>
    <t>x3400 M3, Xeon 4C E5603 80W 1.6GHz/1066MH/4MB, 1x2GB, O/Bay HS 3.5in SATA/SAS, SR BR10il, DVD-ROM, 670W p/s, Tower</t>
  </si>
  <si>
    <t>7379B2U</t>
  </si>
  <si>
    <t>x3400 M3, Xeon 4C E5606 80W 2.13GHz/1066MHz/8MB, 1x2GB, O/Bay SS 3.5in SATA, DVD-ROM, 670W p/s, Tower</t>
  </si>
  <si>
    <t>7379C2U</t>
  </si>
  <si>
    <t>x3400 M3, Xeon 4C E5607 80W 2.26GHz/1066MHz/8MB, 1x2GB, O/Bay HS 3.5in SATA/SAS, SR BR10il, DVD-ROM, 670W p/s, Tower</t>
  </si>
  <si>
    <t>7379D2U</t>
  </si>
  <si>
    <t>x3400 M3, Xeon 6C E5645 80W 2.4GHz/1333MHz/12MB, 1x4GB, O/Bay HS 2.5in SATA/SAS, SR M1015, DVD-ROM, 670W p/s, Tower</t>
  </si>
  <si>
    <t>7379E4U</t>
  </si>
  <si>
    <t>x3400 M3, Xeon 4C E5606 80W 2.13GHz/1066MHz/8MB, 1x2GB, O/Bay SS 3.5in SATA, SR M1015, DVD-ROM, 920W p/s, Tower</t>
  </si>
  <si>
    <t>7379E5U</t>
  </si>
  <si>
    <t>x3400 M3, Xeon 4C E5620 80W 2.4GHz/1066MHz/12MB, 1x2GB, O/Bay HS 3.5in SATA/SAS, SR M1015, DVD-ROM, 920W p/s, Tower</t>
  </si>
  <si>
    <t>7379E6U</t>
  </si>
  <si>
    <t>x3400 M3, Xeon 4C E5620 80W 2.4GHz/1066MHz/12MB, 1x2GB, O/Bay HS 2.5in SATA/SAS, SR M1015, DVD-ROM, 920W p/s, Tower</t>
  </si>
  <si>
    <t>7379F2U</t>
  </si>
  <si>
    <t>x3400 M3, Xeon 6C E5649 80W 2.53GHz/1333MHz/12MB, 1x4GB, O/Bay HS 2.5in SATA/SAS, SR M5014, DVD-ROM, 920W p/s, Tower</t>
  </si>
  <si>
    <t>738042U</t>
  </si>
  <si>
    <t>x3500 M3, Xeon 4C E5620 80W 2.4GHz/1066MHz/12MB, 1x4GB, O/Bay HS 2.5in SATA/SAS, SR M1015, DVD-ROM, 920W p/s, Tower</t>
  </si>
  <si>
    <t>738074U</t>
  </si>
  <si>
    <t>x3500 M3, Xeon 6C X5650 95W 2.66GHz/1333MHz/12MB, 1x4GB, O/Bay HS 2.5in SATA/SAS, SR M5015, DVD-ROM, 920W p/s, Tower</t>
  </si>
  <si>
    <t>7380B2U</t>
  </si>
  <si>
    <t>x3500 M3, Xeon 4C E5606 80W 2.13GHz/1066MHz/8MB, 1x4GB, O/Bay HS 2.5in SATA/SAS, SR M1015, DVD-ROM, 920W p/s, Tower</t>
  </si>
  <si>
    <t>7380D2U</t>
  </si>
  <si>
    <t>x3500 M3, Xeon 6C E5645 80W 2.40GHz/1333MHz/12MB, 1x4GB, O/Bay HS 2.5in SATA/SAS, SR M1015, DVD-ROM, 920W p/s, Tower</t>
  </si>
  <si>
    <t>7380F2U</t>
  </si>
  <si>
    <t>x3500 M3, Xeon 6C E5649 80W 2.53GHz/1333MHz/12MB, 1x4GB, O/Bay HS 2.5in SATA/SAS, SR M5014, DVD-ROM, 920W p/s, Tower</t>
  </si>
  <si>
    <t>7380G2U</t>
  </si>
  <si>
    <t>x3500 M3, Xeon 6C X5675 95W 3.06GHz/1333MHz/12MB, 1x4GB, O/Bay HS 2.5in SATA/SAS, SR M5015, DVD-ROM, 920W p/s, Tower</t>
  </si>
  <si>
    <t>7380H2U</t>
  </si>
  <si>
    <t>x3500 M3, Xeon 6C X5690 130W 3.46GHz/1333MHz/12MB, 1x4GB, O/Bay HS 2.5in SATA/SAS, SR M5015, DVD-ROM, 920W p/s, Tower</t>
  </si>
  <si>
    <t>738044U</t>
  </si>
  <si>
    <t>x3250 M3, Xeon 4C X3440 2.53GHz/1333MHz/8MB, 2x1GB, O/Bay HS 3.5in SATA/SAS, SR BR10il, 351W p/s, Rack</t>
  </si>
  <si>
    <t>x3250 M3, Xeon 4C X3450 2.67GHz/1333MHz/8MB, 2x1GB, O/Bay HS 3.5in SATA/SAS, SR BR10il, 351W p/s, Rack</t>
  </si>
  <si>
    <t>x3250 M3, Xeon 4C X3460 2.8GHz/1333MHz/8MB, 2x1GB, O/Bay HS 2.5in SAS, SR BR10il, 351W p/s, Rack</t>
  </si>
  <si>
    <t>x3250 M3, Xeon 4C X3430 2.4GHz/1333MHz/8MB, 2x1GB, O/Bay SS 3.5in SATA, 351W p/s, Rack</t>
  </si>
  <si>
    <t>425252U</t>
  </si>
  <si>
    <t>425262U</t>
  </si>
  <si>
    <t>4252C2U</t>
  </si>
  <si>
    <t>4252E1U</t>
  </si>
  <si>
    <t>Express x3250 M3, Xeon 4C X3450 2.67GHz/1333MHz/8MB, 2x2GB, O/Bay HS 3.5in SATA/SAS, SR BR10il, UltraSlim Enhanced SATA Multi-Burner, 351W p/s, Rack</t>
  </si>
  <si>
    <t>4252E3U</t>
  </si>
  <si>
    <t>Express x3250 M3, Xeon 4C X3440 2.53GHz/1333MHz/8MB, 2x4GB, O/Bay HS 3.5in SATA/SAS, SR BR10il, UltraSlim Enhanced SATA CD-RW / DVD-ROM, 351W p/s, Rack</t>
  </si>
  <si>
    <t>x3250 M3, Pentium 2C G6950 73W 2.8GHz/1333MHz/3MB, 1x1GB, O/Bay SS 3.5in SATA, 351W p/s, Rack</t>
  </si>
  <si>
    <t>x3250 M3, Core 2C i3-540 73W 3.06GHz/1333MHz/4MB, 1x1GB, O/Bay SS 3.5in SATA, 351W p/s, Rack</t>
  </si>
  <si>
    <t>4252A2U</t>
  </si>
  <si>
    <t>4252B2U</t>
  </si>
  <si>
    <t>258332U</t>
  </si>
  <si>
    <t>x3250 M4, Pentium 2C G850 65W 2.9GHz/1333MHz/3MB, 1x2GB, O/Bay SS 3.5in SATA, SR C100, 300W p/s, Rack</t>
  </si>
  <si>
    <t>258342U</t>
  </si>
  <si>
    <t>x3250 M4, Core 2C  i3-2100 65W 3.1GHz/1333MHz/3MB, 1x2GB, O/Bay SS 3.5in SATA, SR C100, 300W p/s, Rack</t>
  </si>
  <si>
    <t>258362U</t>
  </si>
  <si>
    <t>x3250 M4, Xeon 4C E3-1220 80W 3.1GHz/1333MHz/8MB,1x2GB, O/Bay SS 3.5in SATA, SR C100, 300W p/s, Rack</t>
  </si>
  <si>
    <t>258372U</t>
  </si>
  <si>
    <t>x3250 M4, Xeon 4C E3-1270 80W 3.4GHz/1333MHz/8MB, 1x4GB, O/Bay HS 2.5in SAS, SR BR10il, 460W p/s, Rack</t>
  </si>
  <si>
    <t>2583EAU</t>
  </si>
  <si>
    <t>Express x3250 M4, Xeon 4C E3-1220 80W 3.1GHz/1333MHz/8MB, 1x2GB, O/Bay SS 3.5in SATA, SR C100, Multi-Burner, 300W p/s, Rack</t>
  </si>
  <si>
    <t>7944D2U</t>
  </si>
  <si>
    <t>x3550 M3, Xeon 4C E5620 80W 2.40GHz/1066MHz/12MB, 1x4GB, O/Bay 2.5in HS SAS/SATA, SR M1015, 675W p/s, Rack</t>
  </si>
  <si>
    <t>794412U</t>
  </si>
  <si>
    <t>x3550 M3, Xeon 4C E5603 80W 1.6GHz/1066MHz/4MB, 1x4GB, O/Bay 2.5in HS SAS/SATA, SR BR10il, 460W p/s, Rack</t>
  </si>
  <si>
    <t>794422U</t>
  </si>
  <si>
    <t>x3550 M3, Xeon 4C E5606 80W 2.13GHz/1066MHz/8MB, 1x4GB, O/Bay 2.5in HS SAS/SATA, SR M1015, 460W p/s, Rack</t>
  </si>
  <si>
    <t>794432U</t>
  </si>
  <si>
    <t>x3550 M3, Xeon 4C E5607 80W 2.26GHz/1066MHz/8MB, 1x4GB, O/Bay 2.5in HS SAS/SATA, SR M1015, 460W p/s, Rack</t>
  </si>
  <si>
    <t>794454U</t>
  </si>
  <si>
    <t>x3550 M3, 2xXeon 6C E5645 80W 2.4GHz/1333MHz/12MB, 2x4GB, O/Bay 2.5in HS SAS/SATA, SR M5014, 2x 675W p/s, Rack</t>
  </si>
  <si>
    <t>794472U</t>
  </si>
  <si>
    <t>x3550 M3, Xeon 6C X5675 95W 3.06GHz/1333MHz/12MB, 1x4GB, O/Bay 2.5in HS SAS/SATA, SR M5015, 675W p/s, Rack</t>
  </si>
  <si>
    <t>7944E4U</t>
  </si>
  <si>
    <t>Express x3550 M3, Xeon 4C E5607 80W 2.26GHz/1066MHz/8MB, 3x2GB, O/Bay 2.5in HS SAS/SATA, SR M1015, Multi-Burner, 460W p/s, Rack</t>
  </si>
  <si>
    <t>7944E5U</t>
  </si>
  <si>
    <t>Express x3550 M3, Xeon 6C E5649 80W 2.53GHz/1333MHz/12MB, 3x2GB, O/Bay 2.5in HS SAS/SATA, SR M1015, Multi-Burner, 460W p/s, Rack</t>
  </si>
  <si>
    <t>7944E6U</t>
  </si>
  <si>
    <t>Express x3550 M3, Xeon 6C X5650 95W 2.66GHz/1333MHz/12MB, 3x4GB, O/Bay 2.5in HS SAS/SATA, SR M1015, Multi-Burner, 2x675W p/s, Rack</t>
  </si>
  <si>
    <t>7944H4U</t>
  </si>
  <si>
    <t>x3550 M3, Xeon 6C L5640 60W 2.26GHz/1333MHz/12MB, 1x4GB, O/Bay 2.5in HS SAS/SATA, SR M5015, 460W p/s, Rack</t>
  </si>
  <si>
    <t>7944J4U</t>
  </si>
  <si>
    <t>x3550 M3, Xeon 6C X5650 95W  2.66GHz/1333MHz/12MB, 1x4GB, O/Bay 2.5in HS SAS/SATA, SR M5015, 675W p/s, Rack</t>
  </si>
  <si>
    <t>7944E7U</t>
  </si>
  <si>
    <t>Express x3550 M3, Xeon 4C E5606 80W 2.13GHz/1066MHz/8MB, 1x4GB, 1x500GB HS 2.5in SATA, SR M1015, Multi-Burner, 460W p/s, Rack</t>
  </si>
  <si>
    <t>7944E8U</t>
  </si>
  <si>
    <t>Express x3550 M3, Xeon 6C E5645 80W 2.40GHz/1333MHz/12MB, 2x4GB, O/Bay HS 2.5in SAS/SATA, SR M5014, Multi-Burner, 2x460W p/s, Rack</t>
  </si>
  <si>
    <t>794462U</t>
  </si>
  <si>
    <t>x3550 M3, Xeon 6C E5649 80W 2.53GHz/1333MHz/12MB, 1x4GB, O/Bay 2.5in HS SAS/SATA, SR M5014, 460W p/s, Rack</t>
  </si>
  <si>
    <t>794482U</t>
  </si>
  <si>
    <t>x3550 M3, Xeon 6C X5690 130W 3.46GHz/1333MHz/12MB, 1x4GB, O/Bay 2.5in HS SAS/SATA, SR M5015, 675W p/s, Rack</t>
  </si>
  <si>
    <t>7376E3U</t>
  </si>
  <si>
    <t>Express x3620 M3, Xeon 6C X5650 95W 2.66GHz/1333MHz/12MB, 3x4GB, O/Bay 3.5in HS SAS/SATA, SR M5015, 2x675W p/s, Rack</t>
  </si>
  <si>
    <t>737644U</t>
  </si>
  <si>
    <t>x3620 M3, Xeon 4C E5620 80W 2.40GHz/1066MHz/12MB, 1x4GB, O/Bay 3.5in HS SAS/SATA, SR M1015, 460W p/s, Rack</t>
  </si>
  <si>
    <t>737664U</t>
  </si>
  <si>
    <t>x3620 M3, Xeon 6C X5650 95W 2.66GHz/1333MHz/12MB, 1x4GB, O/Bay 3.5in HS SAS/SATA, SR M5015, 675W p/s, Rack</t>
  </si>
  <si>
    <t>7376A2U</t>
  </si>
  <si>
    <t>x3620 M3, Xeon 4C E5603 80W 1.60GHz/1066MHz/4MB, 1x2GB, O/Bay 3.5in SS SATA, 460W p/s, Rack</t>
  </si>
  <si>
    <t>7376B2U</t>
  </si>
  <si>
    <t>x3620 M3, Xeon 4C E5607 80W 2.26GHz/1066MHz/8MB, 1x4GB, O/Bay 3.5in HS SAS/SATA, SR M1015, 460W p/s, Rack</t>
  </si>
  <si>
    <t>7376D2U</t>
  </si>
  <si>
    <t>x3620 M3, Xeon 6C E5645 80W 2.40GHz/1333MHz/12MB, 1x4GB, O/Bay 3.5in HS SAS/SATA, SR M5014, 460W p/s, Rack</t>
  </si>
  <si>
    <t>7376E4U</t>
  </si>
  <si>
    <t>Express x3620 M3, Xeon 4C E5606 80W 2.13GHz/1066MHz/8MB, 1X4GB, O/Bay 3.5in HS SAS/SATA, SR M1015, Multi-Burner, 460W p/s, Rack</t>
  </si>
  <si>
    <t>7377E1U</t>
  </si>
  <si>
    <t>Express x3630 M3, 2xXeon 4C E5620 80W 2.40GHz/1066MHz/12MB, 6x2GB, 4x1TB 3.5in HS SAS/SATA, SR M5015, 2x675W p/s, Rack</t>
  </si>
  <si>
    <t>7377E2U</t>
  </si>
  <si>
    <t>Express x3630 M3, 2xXeon 4C E5620 80W 2.40GHz/1066MHz/12MB, 6x4GB, 6x1TB 3.5in HS SAS/SATA, SR M5015, 2x675W p/s, Rack</t>
  </si>
  <si>
    <t>7377F2U</t>
  </si>
  <si>
    <t>x3630 M3, Xeon 6C E5649 80W 2.53GHz/1333MHz/12MB, 1x4GB, O/Bay 2.5 HS SAS/SATA, SR M5014, 675W p/s, Rack</t>
  </si>
  <si>
    <t>7377A2U</t>
  </si>
  <si>
    <t>x3630 M3, Xeon 4C E5603 80W 1.60GHz/1066MHz/4MB, 1x4GB, O/Bay 3.5 HS SAS/SATA, SR M1015, 675W p/s, Rack</t>
  </si>
  <si>
    <t>7377B2U</t>
  </si>
  <si>
    <t>x3630 M3, Xeon 4C E5607 80W 2.26GHz/1066MHz/8MB, 1x4GB, O/Bay 3.5 HS SAS/SATA, SR M1015, 675W p/s, Rack</t>
  </si>
  <si>
    <t>7377C2U</t>
  </si>
  <si>
    <t>x3630 M3, Xeon 4C E5620 80W 2.40GHz/1066MHz/12MB, 1x4GB, O/Bay 2.5 HS SAS/SATA, SR M5014, 675W p/s, Rack</t>
  </si>
  <si>
    <t>7377D2U</t>
  </si>
  <si>
    <t>x3630 M3, Xeon 6C E5645 80W 2.40GHz/1333MHz/12MB, 1x4GB, O/Bay 3.5 HS SAS/SATA, SR M5014, 675W p/s, Rack</t>
  </si>
  <si>
    <t>7377G2U</t>
  </si>
  <si>
    <t>x3630 M3, Xeon 6C X5675 95W 3.06GHz/1333MHz/12MB, 1x4GB, O/Bay 2.5 HS SAS/SATA, SR M5015, 675W p/s, Rack</t>
  </si>
  <si>
    <t>794512U</t>
  </si>
  <si>
    <t>x3650 M3, Xeon 4C E5603 80W 1.60GHz/1066MHz/4MB,1x4GB, O/Bay 2.5in HS  SAS/SATA, SR BR10il, 460W p/s, Rack</t>
  </si>
  <si>
    <t>794522U</t>
  </si>
  <si>
    <t>x3650 M3, Xeon 4C E5606 80W 2.13GHz/1066MHz/8MB,1x4GB, O/Bay 2.5in HS SAS/SATA, SR M1015, 460W p/s, Rack</t>
  </si>
  <si>
    <t>794532U</t>
  </si>
  <si>
    <t>x3650 M3, Xeon 4C E5607 80W 2.26GHz/1066MHz/8MB,1x4GB, O/Bay 2.5in HS SAS/SATA, SR M1015, 460W p/s, Rack</t>
  </si>
  <si>
    <t>794554U</t>
  </si>
  <si>
    <t>x3650 M3, 2x Xeon 6C E5645 80W 2.40GHz/1333MHz/12MB,2x4GB, O/Bay 2.5in HS SAS/SATA, SR M5014, 2x675W p/s, Rack</t>
  </si>
  <si>
    <t>794562U</t>
  </si>
  <si>
    <t>x3650 M3, Xeon 6C E5649 80W 2.53GHz/1333MHz/12MB,1x4GB, O/Bay 2.5in HS SAS/SATA, SR M5014, 460W p/s, Rack</t>
  </si>
  <si>
    <t>794572U</t>
  </si>
  <si>
    <t>x3650 M3, Xeon 6C X5675 95W 3.06GHz/1333MHz/12MB,1x4GB, O/Bay 2.5in HS SAS/SATA, SR M5015, 675W p/s, Rack</t>
  </si>
  <si>
    <t>7945E4U</t>
  </si>
  <si>
    <t>Express x3650 M3, Xeon 4C E5607 80W 2.26GHz/1066MHz/8MB, 3x2GB, O/Bay HS 2.5in SAS/SATA, SR M1015, Multi-Burner, 460W p/s, Rack</t>
  </si>
  <si>
    <t>7945E5U</t>
  </si>
  <si>
    <t>Express x3650 M3, Xeon 4C E5620 80W 2.40GHz/1066MHz/12MB, 3x2GB, O/Bay HS 2.5in SAS/SATA, SR M1015, Multi-Burner, 460W p/s, Rack</t>
  </si>
  <si>
    <t>7945E6U</t>
  </si>
  <si>
    <t>Express x3650 M3, Xeon 6C E5649 80W 2.53GHz/1333MHz/12MB, 3x4GB, O/Bay HS 2.5in SAS/SATA, SR M1015, Multi-Burner, 2x460W p/s, Rack</t>
  </si>
  <si>
    <t>7945E7U</t>
  </si>
  <si>
    <t>Express x3650 M3, 2x Xeon 6C X5675 95W 3.06GHz/1333MHz/12MB, 6x4GB, O/Bay HS 2.5in SAS/SATA, SR M5015, Multi-Burner, 2x675W p/s, Rack</t>
  </si>
  <si>
    <t>7945H4U</t>
  </si>
  <si>
    <t>x3650 M3, Xeon 6C L5640 60W 2.26GHz/1333MHz/12MB,1x4GB, O/Bay 2.5in HS SAS/SATA, SR M5015, 460W p/s, Rack</t>
  </si>
  <si>
    <t>7945L4U</t>
  </si>
  <si>
    <t>x3650 M3, Xeon 6C X5660 95W 2.80GHz/1333MHz/12MB,1x4GB, O/Bay 2.5in HS SAS/SATA, SR M5015, 675W p/s, Rack</t>
  </si>
  <si>
    <t>7945E8U</t>
  </si>
  <si>
    <t>Express x3650 M3, Xeon 6C E5649 80W 2.53GHz/1333MHz/12MB, 3x4GB, O/Bay HS 2.5in SAS/SATA, SR M5015, Multi-Burner, 2x460W p/s, Rack</t>
  </si>
  <si>
    <t>7945EAU</t>
  </si>
  <si>
    <t>Express x3650 M3, Xeon 6C E5645 80W 2.40GHz/1333MHz/12MB, 1x4GB, 1x146GB HS 2.5in SAS, SR M1015, Multi-Burner, 460W p/s, Rack</t>
  </si>
  <si>
    <t>7945EBU</t>
  </si>
  <si>
    <t>Express x3650 M3, Xeon 6C E5649 80W 2.53GHz/1333MHz/12MB, 2x4GB, 1x300GB HS 2.5in SAS, SR M5014, Multi-Burner, 2x460W p/s, Rack</t>
  </si>
  <si>
    <t>7945D2U</t>
  </si>
  <si>
    <t>x3650 M3, Xeon 4C E5620 80W 2.40GHz/1066MHz/12MB, 1x4GB, O/Bay 2.5in HS SAS, SR M1015, 675W p/s, Rack</t>
  </si>
  <si>
    <t>7945J4U</t>
  </si>
  <si>
    <t>x3650 M3, Xeon 6C X5650 95W 2.66GHz/1333MHz/12MB,1x4GB, O/Bay 2.5in HS SAS/SATA, SR M5015, 675W p/s, Rack</t>
  </si>
  <si>
    <t>7147A1U</t>
  </si>
  <si>
    <t>x3690 X5,  Xeon 6C E7-2803 105W 1.73GHz/18MB L3, 2x4GB, O/Bay HS 2.5in SAS,  675W p/s, Rack</t>
  </si>
  <si>
    <t>7147A2U</t>
  </si>
  <si>
    <t>x3690 X5, Xeon 8C E7-2820 105W 2.00GHz/18MB L3, 2x4GB, O/Bay HS 2.5in SAS, SR M1015, 2x675W p/s, Rack</t>
  </si>
  <si>
    <t>7147A3U</t>
  </si>
  <si>
    <t>x3690 X5, Xeon 8C E7-2830 105W 2.13GHz/24MB L3, 2x4GB, O/Bay 2.5in HS SAS, SR M1015, 2x675W p/s, Rack</t>
  </si>
  <si>
    <t>7147A5U</t>
  </si>
  <si>
    <t>x3690 X5, Xeon 10C E7-2850 130W 2.00GHz/24MB L3, 2x4GB, O/Bay 2.5in HS SAS, SR M1015, 2x675W p/s, Rack</t>
  </si>
  <si>
    <t>7147A6U</t>
  </si>
  <si>
    <t>x3690 X5, Xeon 10C E7-2860 130W 2.26GHz/24MB L3, 2x4GB, O/Bay 2.5in HS SAS, SR M1015, 2x675W p/s, Rack</t>
  </si>
  <si>
    <t>7147A7U</t>
  </si>
  <si>
    <t>x3690 X5, Xeon 10C E7-2870 130W 2.40GHz/30MB L3, 2x4GB, O/Bay 2.5in HS SAS, SR M1015, 2x675W p/s, Rack</t>
  </si>
  <si>
    <t>7147C1U</t>
  </si>
  <si>
    <t>x3690 X5, Xeon 8C E7-8837 130W 2.67GHz/24MB L3, 2x4GB, O/Bay 2.5in HS SAS, SR M1015, 2x675W p/s, Rack</t>
  </si>
  <si>
    <t>7147D1U</t>
  </si>
  <si>
    <t>x3690 X5, 2xXeon 10C E7-2860 130W 2.26GHz/24MB L3, 16x4GB, 16x200GB 1.8in SATA SSD, 4xSR B5015, 4x675W p/s, Rack</t>
  </si>
  <si>
    <t>7147D2U</t>
  </si>
  <si>
    <t>x3690 X5, 2xXeon 10C E7-2860 130W 2.26GHz/24MB L3, 16x4GB, 16x200GB 1.8in SATA SSD, 2x6Gb SSD HBA, 320GB HiOPS SSD, 4x675W p/s, Rack</t>
  </si>
  <si>
    <t>716472U</t>
  </si>
  <si>
    <t>x3755 M3, 4xAMD Opteron 12C 6174 115W 2.2GHz/12MB, 4x4GB, O/Bay HS 3.5in SATA/SAS, SR M5015, 2x1100W p/s, Rack</t>
  </si>
  <si>
    <t>7143B1U</t>
  </si>
  <si>
    <t>x3850 X5, 2xXeon 6C E7-4807 95W 1.86GHz/18MB L3, 2x4GB, O/Bay HS 2.5in SAS, 1975W p/s, Rack</t>
  </si>
  <si>
    <t>7143B2U</t>
  </si>
  <si>
    <t>x3850 X5, 2xXeon 8C E7-4820 105W 2.00GHz/18MB L3, 4x4GB, O/Bay HS 2.5in SAS, SR M1015, 2x1975W p/s, Rack</t>
  </si>
  <si>
    <t>7143B3U</t>
  </si>
  <si>
    <t>x3850 X5, 2xXeon 8C E7-4830 105W 2.13GHz/24MB L3, 4x4GB, O/Bay HS 2.5in SAS, SR M1015, 2x1975W p/s, Rack</t>
  </si>
  <si>
    <t>7143B5U</t>
  </si>
  <si>
    <t>x3850 X5, 2xXeon 10C E7-4850 130W 2.00GHz/24MB L3, 4x4GB, O/Bay HS 2.5in SAS, SR M1015, 2x1975W p/s, Rack</t>
  </si>
  <si>
    <t>7143B6U</t>
  </si>
  <si>
    <t>x3850 X5, 2xXeon 10C E7-4860 130W 2.26GHz/24MB L3, 4x4GB, O/Bay HS 2.5in SAS, SR M1015, 2x1975W p/s, Rack</t>
  </si>
  <si>
    <t>7143B7U</t>
  </si>
  <si>
    <t>x3850 X5, 2xXeon 10C E7-4870 130W 2.40GHz/30MB L3, 4x4GB, O/Bay HS 2.5in SAS, SR M1015, 2x1975W p/s, Rack</t>
  </si>
  <si>
    <t>7143C1U</t>
  </si>
  <si>
    <t>x3850 X5, 2xXeon 10C E7-8850 130W 2.00GHz/24MB L3, 4x4GB, O/Bay HS 2.5in SAS, SR M1015, 2x1975W p/s, Rack</t>
  </si>
  <si>
    <t>7143C2U</t>
  </si>
  <si>
    <t>x3850 X5, 2xXeon 10C E7-8860 130W 2.26GHz/24MB L3, 4x4GB, O/Bay HS 2.5in SAS, SR M1015, 2x1975W p/s, Rack</t>
  </si>
  <si>
    <t>7143F1U</t>
  </si>
  <si>
    <t>7147F1U</t>
  </si>
  <si>
    <t>8886ETU</t>
  </si>
  <si>
    <t>8886EVU</t>
  </si>
  <si>
    <t>87402RU</t>
  </si>
  <si>
    <t>87502RU</t>
  </si>
  <si>
    <t>IBM BladeCenter HT AC Power Model with 4x3160W PSU, Rackable</t>
  </si>
  <si>
    <t>7873A1U</t>
  </si>
  <si>
    <t>7873A2U</t>
  </si>
  <si>
    <t>7873A3U</t>
  </si>
  <si>
    <t>7873B1U</t>
  </si>
  <si>
    <t>7873B2U</t>
  </si>
  <si>
    <t>7873C1U</t>
  </si>
  <si>
    <t>7873D1U</t>
  </si>
  <si>
    <t>RAC</t>
  </si>
  <si>
    <t>IBM x3690 X5 16-DIMM Internal Memory Expansion</t>
  </si>
  <si>
    <t>PRC</t>
  </si>
  <si>
    <t>44T1884</t>
  </si>
  <si>
    <t>Intel Xeon QC Processor Model E5540 80W 2.53GHz/1066MHz/8MB L2</t>
  </si>
  <si>
    <t>BOB</t>
  </si>
  <si>
    <t>46D1354</t>
  </si>
  <si>
    <t xml:space="preserve">Intel Xeon 4C Processor Model E5540 80W 2.53GHz/1066MHz/8MB L2 </t>
  </si>
  <si>
    <t>49Y5052</t>
  </si>
  <si>
    <t>Intel Xeon 4C Processor Model L5518 60W 2.13GHz/1066MHz/8MB</t>
  </si>
  <si>
    <t>49Y5151</t>
  </si>
  <si>
    <t>Intel Xeon 4C Processor Model E5506 80W 2.13GHz/800MHz/4MB</t>
  </si>
  <si>
    <t>49Y5163</t>
  </si>
  <si>
    <t>Intel Xeon 4C Processor Model E5540 80W 2.53GHz/1066MHz/8MB</t>
  </si>
  <si>
    <t>49Y5172</t>
  </si>
  <si>
    <t>Intel Xeon 4C Processor Model X5570 95W 2.93GHz/1333MHz/8MB</t>
  </si>
  <si>
    <t>Intel Xeon 4C Processor Model E7520 95W 1.86GHz/18MB</t>
  </si>
  <si>
    <t>49Y4306</t>
  </si>
  <si>
    <t>49Y5184</t>
  </si>
  <si>
    <t>Intel Xeon 4C Processor Model L5609 40W 1.86GHz/1066MHz/12MB</t>
  </si>
  <si>
    <t>59Y4003</t>
  </si>
  <si>
    <t>59Y4004</t>
  </si>
  <si>
    <t>Intel Xeon 4C Processor Model L5630 40W 2.13GHz/1066MHz/12MB</t>
  </si>
  <si>
    <t>59Y4005</t>
  </si>
  <si>
    <t>Intel Xeon 6C Processor Model L5640 60W 2.26GHz/1333MHz/12MB</t>
  </si>
  <si>
    <t>Intel Xeon 4C Processor Model E5630 80W 2.53GHz/1066MHz/12MB</t>
  </si>
  <si>
    <t>Intel Xeon 4C Processor Model E5640 80W 2.66GHz/1066MHz/12MB</t>
  </si>
  <si>
    <t>59Y4009</t>
  </si>
  <si>
    <t>59Y4010</t>
  </si>
  <si>
    <t>Intel Xeon 6C Processor Model X5660 95W 2.80GHz/1333MHz/12MB</t>
  </si>
  <si>
    <t>Intel Xeon 6C Processor Model X5670 95W 2.93GHz/1333MHz/12MB</t>
  </si>
  <si>
    <t>Intel Xeon 6C Processor Model X5680 130W 3.33GHz/1333MHz/12MB</t>
  </si>
  <si>
    <t>Intel Xeon 2C Processor Model E5503 80W 2.0GHz/800MHz/4MB</t>
  </si>
  <si>
    <t>59Y4017</t>
  </si>
  <si>
    <t>59Y4018</t>
  </si>
  <si>
    <t>59Y4019</t>
  </si>
  <si>
    <t>59Y4022</t>
  </si>
  <si>
    <t>59Y4024</t>
  </si>
  <si>
    <t>59Y4025</t>
  </si>
  <si>
    <t>59Y4028</t>
  </si>
  <si>
    <t>59Y5704</t>
  </si>
  <si>
    <t>Intel Xeon 4C Processor Model L5630 40W  2.13GHz/1066MHz/12MB</t>
  </si>
  <si>
    <t>59Y5706</t>
  </si>
  <si>
    <t>59Y5707</t>
  </si>
  <si>
    <t>Intel Xeon 4C Processor Model E5630 80W  2.53GHz/1066MHz/12MB</t>
  </si>
  <si>
    <t>59Y5710</t>
  </si>
  <si>
    <t>59Y5711</t>
  </si>
  <si>
    <t>69Y0853</t>
  </si>
  <si>
    <t>69Y0855</t>
  </si>
  <si>
    <t>69Y0922</t>
  </si>
  <si>
    <t>69Y0923</t>
  </si>
  <si>
    <t>69Y0924</t>
  </si>
  <si>
    <t>69Y0926</t>
  </si>
  <si>
    <t>69Y0927</t>
  </si>
  <si>
    <t>69Y0928</t>
  </si>
  <si>
    <t>69Y5000</t>
  </si>
  <si>
    <t>69Y5001</t>
  </si>
  <si>
    <t>69Y5002</t>
  </si>
  <si>
    <t>68Y8124</t>
  </si>
  <si>
    <t>Intel Xeon 6C Processor Model L5638 60W 2.0GHz/1333MHz/12MB</t>
  </si>
  <si>
    <t>68Y8125</t>
  </si>
  <si>
    <t>69Y4744</t>
  </si>
  <si>
    <t>69Y4745</t>
  </si>
  <si>
    <t>Intel Xeon 6C Processor Model L5638 60W 2.00GHz/1333MHz/12MB</t>
  </si>
  <si>
    <t>69Y4746</t>
  </si>
  <si>
    <t>69Y4748</t>
  </si>
  <si>
    <t>49Y7335</t>
  </si>
  <si>
    <t>AMD Opteron 8C Processor Model 6134 115w 2.3GHz/12MB</t>
  </si>
  <si>
    <t>49Y7336</t>
  </si>
  <si>
    <t>AMD Opteron 12C Processor Model 6172 115w 2.1GHz/12MB</t>
  </si>
  <si>
    <t>49Y7338</t>
  </si>
  <si>
    <t>AMD Opteron 8C Processor Model 6124HE 79w 1.8GHz/12MB</t>
  </si>
  <si>
    <t>49Y7341</t>
  </si>
  <si>
    <t>AMD Opteron 12C Processor Model 6176SE 137w 2.3GHz/12MB</t>
  </si>
  <si>
    <t>49Y7333</t>
  </si>
  <si>
    <t>AMD Opteron 8C Processor Model 6128HE  79W 2.0GHz/12MB</t>
  </si>
  <si>
    <t>49Y7334</t>
  </si>
  <si>
    <t>AMD Opteron 8C Processor Model 6136 115W 2.4GHz/12MB</t>
  </si>
  <si>
    <t>49Y7337</t>
  </si>
  <si>
    <t>AMD Opteron 12C Processor Model 6174 115W 2.2GHz/12MB</t>
  </si>
  <si>
    <t>49Y7339</t>
  </si>
  <si>
    <t>AMD Opteron 12C Processor Model 6164HE 79w 1.7GHz/12MB</t>
  </si>
  <si>
    <t>49Y7340</t>
  </si>
  <si>
    <t>AMD Opteron 12C Processor Model 6168 115w 1.9GHz/12MB</t>
  </si>
  <si>
    <t>69Y5251</t>
  </si>
  <si>
    <t>81Y5942</t>
  </si>
  <si>
    <t>Intel Xeon 4C Processor Model E5603 80w 1.60GHz/1066MHz/4MB</t>
  </si>
  <si>
    <t>81Y5944</t>
  </si>
  <si>
    <t>Intel Xeon 4C Processor Model E5607 80w 2.26GHz/1066MHz/8MB</t>
  </si>
  <si>
    <t>81Y5947</t>
  </si>
  <si>
    <t>Intel Xeon 4C Processor Model X5647 130w 2.93GHz/1066MHz/12MB</t>
  </si>
  <si>
    <t>81Y5949</t>
  </si>
  <si>
    <t>Intel Xeon 6C Processor Model X5675 95w 3.06GHz/1333MHz/12MB</t>
  </si>
  <si>
    <t>81Y5950</t>
  </si>
  <si>
    <t>Intel Xeon 4C Processor Model X5687 130w 3.60GHz/1333MHz/12MB</t>
  </si>
  <si>
    <t>81Y5951</t>
  </si>
  <si>
    <t>Intel Xeon 6C Processor Model X5690 130w 3.46GHz/1333MHz/12MB</t>
  </si>
  <si>
    <t>81Y6038</t>
  </si>
  <si>
    <t>Intel Xeon 4C Processor Model E5603 80W 1.60GHz/1066MHz/4MB</t>
  </si>
  <si>
    <t>81Y6039</t>
  </si>
  <si>
    <t>Intel Xeon 4C Processor Model E5606 80W 2.13GHz/1066MHz/8MB</t>
  </si>
  <si>
    <t>81Y6040</t>
  </si>
  <si>
    <t>Intel Xeon 4C Processor Model E5607 80W 2.26GHz/1066MHz/8MB</t>
  </si>
  <si>
    <t>81Y6041</t>
  </si>
  <si>
    <t>Intel Xeon 4C Processor Model X5647 130W 2.93GHz/1066MHz/12MB</t>
  </si>
  <si>
    <t>81Y6042</t>
  </si>
  <si>
    <t>81Y6043</t>
  </si>
  <si>
    <t>Intel Xeon 4C Processor Model X5672 95W 3.20GHz/1333MHz/12MB</t>
  </si>
  <si>
    <t>81Y6044</t>
  </si>
  <si>
    <t>Intel Xeon 6C Processor Model X5675 95W 3.06GHz/1333MHz/12MB</t>
  </si>
  <si>
    <t>81Y6045</t>
  </si>
  <si>
    <t>Intel Xeon 4C Processor Model X5687 130W 3.60GHz/1333MHz/12MB</t>
  </si>
  <si>
    <t>81Y6046</t>
  </si>
  <si>
    <t>81Y6538</t>
  </si>
  <si>
    <t>81Y6539</t>
  </si>
  <si>
    <t>81Y6540</t>
  </si>
  <si>
    <t>81Y6541</t>
  </si>
  <si>
    <t>81Y6543</t>
  </si>
  <si>
    <t>81Y6544</t>
  </si>
  <si>
    <t>81Y6545</t>
  </si>
  <si>
    <t>81Y6547</t>
  </si>
  <si>
    <t>Intel Xeon 6C Processor Model E5645 80W 2.40GHz/1333MHz/12MB W/Fan</t>
  </si>
  <si>
    <t>81Y6549</t>
  </si>
  <si>
    <t>Intel Xeon 4C Processor Model E5606 80W 2.13GHz/1066MHz/8MB W/Fan</t>
  </si>
  <si>
    <t>81Y6550</t>
  </si>
  <si>
    <t>Intel Xeon 4C Processor Model E5607 80W 2.26GHz/1066MHz/8MB W/Fan</t>
  </si>
  <si>
    <t>81Y6551</t>
  </si>
  <si>
    <t>Intel Xeon 4C Processor Model X5647 130W 2.93GHz/1066MHz/12MB W/Fan</t>
  </si>
  <si>
    <t>81Y6553</t>
  </si>
  <si>
    <t>Intel Xeon 4C Processor Model X5672 95W 3.20GHz/1333MHz/12MB W/Fan</t>
  </si>
  <si>
    <t>81Y6554</t>
  </si>
  <si>
    <t>Intel Xeon 6C Processor Model X5675 95W 3.06GHz/1333MHz/12MB W/Fan</t>
  </si>
  <si>
    <t>81Y6555</t>
  </si>
  <si>
    <t>Intel Xeon 4C Processor Model X5687 130W 3.60GHz/1333MHz/12MB W/Fan</t>
  </si>
  <si>
    <t>81Y6703</t>
  </si>
  <si>
    <t>81Y6704</t>
  </si>
  <si>
    <t>81Y6705</t>
  </si>
  <si>
    <t>81Y6706</t>
  </si>
  <si>
    <t>81Y6708</t>
  </si>
  <si>
    <t>81Y6709</t>
  </si>
  <si>
    <t>81Y6710</t>
  </si>
  <si>
    <t>81Y6711</t>
  </si>
  <si>
    <t>81Y6712</t>
  </si>
  <si>
    <t>81Y6713</t>
  </si>
  <si>
    <t>81Y9323</t>
  </si>
  <si>
    <t>81Y9324</t>
  </si>
  <si>
    <t>81Y9325</t>
  </si>
  <si>
    <t>81Y9326</t>
  </si>
  <si>
    <t>Intel Xeon 4C Processor Model  X5647 130W 2.93GHz/1066MHz/12MB</t>
  </si>
  <si>
    <t>81Y9327</t>
  </si>
  <si>
    <t>81Y9328</t>
  </si>
  <si>
    <t>81Y9329</t>
  </si>
  <si>
    <t>81Y9330</t>
  </si>
  <si>
    <t>69Y1889</t>
  </si>
  <si>
    <t>Intel Xeon 6C Processor Model E7-4807 95W 1.86GHz/18MB</t>
  </si>
  <si>
    <t>69Y1890</t>
  </si>
  <si>
    <t>Intel Xeon 8C Processor Model E7-4820 105W 2.00GHz/18MB</t>
  </si>
  <si>
    <t>69Y1891</t>
  </si>
  <si>
    <t>Intel Xeon 8C Processor Model E7-4830 105W 2.13GHz/24MB</t>
  </si>
  <si>
    <t>69Y1892</t>
  </si>
  <si>
    <t>Intel Xeon 10C Processor Model E7-4860 130W 2.26GHz/24MB</t>
  </si>
  <si>
    <t>69Y1893</t>
  </si>
  <si>
    <t>Intel Xeon 10C Processor Model E7-4870 130W 2.40GHz/30MB</t>
  </si>
  <si>
    <t>69Y1894</t>
  </si>
  <si>
    <t>Intel Xeon 8C Processor  Model E7-8837 130w 2.67GHz/24MB</t>
  </si>
  <si>
    <t>69Y1896</t>
  </si>
  <si>
    <t>Intel Xeon 8C Processor Model E7-8830 105W 2.13GHz/24MB</t>
  </si>
  <si>
    <t>69Y1897</t>
  </si>
  <si>
    <t>Intel Xeon 10C Processor Model E7-8867L 105W 2.13GHz/30MB</t>
  </si>
  <si>
    <t>69Y1898</t>
  </si>
  <si>
    <t>Intel Xeon 10C Processor Model E7-8860 130W 2.26GHz/24MB</t>
  </si>
  <si>
    <t>69Y1899</t>
  </si>
  <si>
    <t>Intel Xeon 10C Processor Model E7-8870 130W 2.40GHz/30MB</t>
  </si>
  <si>
    <t>69Y3062</t>
  </si>
  <si>
    <t>Intel Xeon 6C Processor Model E7-2803 105W 1.73GHz/18MB</t>
  </si>
  <si>
    <t>69Y3068</t>
  </si>
  <si>
    <t>Intel Xeon 8C Processor Model E7-2820 105W 2.00GHz/18MB</t>
  </si>
  <si>
    <t>69Y3074</t>
  </si>
  <si>
    <t>Intel Xeon 8C Processor Model E7-2830 105W 2.13GHz/24MB</t>
  </si>
  <si>
    <t>69Y3084</t>
  </si>
  <si>
    <t>Intel Xeon 10C Processor Model E7-2850 130W 2.00GHz/24MB</t>
  </si>
  <si>
    <t>69Y3094</t>
  </si>
  <si>
    <t>Intel Xeon 10C Processor Model E7-2860 130W 2.26GHz/24MB</t>
  </si>
  <si>
    <t>81Y7581</t>
  </si>
  <si>
    <t>AMD Opteron 12C Processor Model 6180SE 140W 2.5GHz/12MB</t>
  </si>
  <si>
    <t>81Y7582</t>
  </si>
  <si>
    <t>AMD Opteron 12C Processor Model 6176 115W 2.3GHz/12MB</t>
  </si>
  <si>
    <t>81Y7583</t>
  </si>
  <si>
    <t>AMD Opteron 8C Processor Model 6140 115W 2.6GHz/12MB</t>
  </si>
  <si>
    <t>88Y5357</t>
  </si>
  <si>
    <t>Intel Xeon 10C Processor Model E7-8850 130W 2.00GHz/24MB</t>
  </si>
  <si>
    <t>88Y5358</t>
  </si>
  <si>
    <t>Intel Xeon 10C Processor Model E7-4850 130W 2.00GHz/24MB</t>
  </si>
  <si>
    <t>88Y5654</t>
  </si>
  <si>
    <t>Intel Xeon 10C Processor Model E7-8867L 105w 2.13GHz/30MB</t>
  </si>
  <si>
    <t>88Y5657</t>
  </si>
  <si>
    <t>Intel Xeon 8C Processor Model E7-8837 130w 2.67GHz/24MB</t>
  </si>
  <si>
    <t>88Y5662</t>
  </si>
  <si>
    <t>Intel Xeon 6C Processor Model E7-4807 95w 1.86GHz/18MB</t>
  </si>
  <si>
    <t>88Y5663</t>
  </si>
  <si>
    <t>Intel Xeon 10C Processor Model E7-2870 130w 2.40GHz/30MB</t>
  </si>
  <si>
    <t>88Y5664</t>
  </si>
  <si>
    <t>Intel Xeon 10C Processor Model E7-2860 130w 2.26GHz/24MB</t>
  </si>
  <si>
    <t>88Y5665</t>
  </si>
  <si>
    <t>Intel Xeon 8C Processor Model E7-2830 105w 2.13GHz/24MB</t>
  </si>
  <si>
    <t>88Y5666</t>
  </si>
  <si>
    <t>Intel Xeon 8C Processor Model E7-2820 105w 2.00GHz/18MB</t>
  </si>
  <si>
    <t>88Y5667</t>
  </si>
  <si>
    <t>Intel Xeon 6C Processor Model E7-2803 105w 1.73GHz/18MB</t>
  </si>
  <si>
    <t>88Y5720</t>
  </si>
  <si>
    <t>Intel Xeon 10C Processor Model E7-2850 130w 2.00GHz/24MB</t>
  </si>
  <si>
    <t>88Y6070</t>
  </si>
  <si>
    <t>88Y6076</t>
  </si>
  <si>
    <t>88Y6082</t>
  </si>
  <si>
    <t>88Y6092</t>
  </si>
  <si>
    <t>88Y6102</t>
  </si>
  <si>
    <t>88Y6112</t>
  </si>
  <si>
    <t>Intel Xeon 8C Processor Model E7-8837 130W 2.67GHz/24MB</t>
  </si>
  <si>
    <t>88Y6124</t>
  </si>
  <si>
    <t>88Y6150</t>
  </si>
  <si>
    <t>Intel Xeon 10C Processor Model E7-2870 130W 2.40GHz/30MB</t>
  </si>
  <si>
    <t>88Y6160</t>
  </si>
  <si>
    <t>59Y4023</t>
  </si>
  <si>
    <t>69Y0851</t>
  </si>
  <si>
    <t>81Y5946</t>
  </si>
  <si>
    <t>Intel Xeon 6C Processor Model E5649 80w 2.53GHz/1333MHz/12MB</t>
  </si>
  <si>
    <t>81Y6548</t>
  </si>
  <si>
    <t>Intel Xeon 4C Processor Model E5603 80W 1.60GHz/1066MHz/4MB W/Fan</t>
  </si>
  <si>
    <t>81Y6707</t>
  </si>
  <si>
    <t>MEM</t>
  </si>
  <si>
    <t>46C0512</t>
  </si>
  <si>
    <t>46C0513</t>
  </si>
  <si>
    <t>46C0522</t>
  </si>
  <si>
    <t>2GB (2x1GB) PC2-5300 CL5 ECC DDR2 VLP DIMM</t>
  </si>
  <si>
    <t>46C7448</t>
  </si>
  <si>
    <t>4GB (1x4GB, Quad Rankx8) PC3-8500 CL7 ECC DDR3 1066MHz LP RDIMM</t>
  </si>
  <si>
    <t>49Y1432</t>
  </si>
  <si>
    <t>1GB (1x1GB, 1Rx8, 1.5V) PC3-10600 CL9 ECC DDR3 1333MHz LP RDIMM</t>
  </si>
  <si>
    <t>49Y1404</t>
  </si>
  <si>
    <t>4GB (1x4GB, 2Rx8, 1.35V) PC3L-10600 CL9 ECC DDR3 1333MHz LP UDIMM</t>
  </si>
  <si>
    <t>60Y0323</t>
  </si>
  <si>
    <t>44T1594</t>
  </si>
  <si>
    <t>2GB (1x2GB, 1Rx8, 1.5V) PC3-10600 CL9 ECC DDR3 1333MHz VLP RDIMM</t>
  </si>
  <si>
    <t>46C0560</t>
  </si>
  <si>
    <t>2GB (1x2GB, 1Rx8, 1.35V) PC3L-10600 CL9 ECC DDR3 1333MHz VLP RDIMM</t>
  </si>
  <si>
    <t>46C0564</t>
  </si>
  <si>
    <t>4GB (1x4GB, 2Rx8, 1.35V) PC3L-10600 CL9 ECC DDR3 1333MHz VLP RDIMM</t>
  </si>
  <si>
    <t>49Y1403</t>
  </si>
  <si>
    <t>2GB (1x2GB, 1Rx8, 1.35V) PC3L-10600 CL9 ECC DDR3 1333MHz LP UDIMM</t>
  </si>
  <si>
    <t>46C0570</t>
  </si>
  <si>
    <t>8GB 4R x 8, 2Gbit DDR-3 1333MHz VLP RDIMM</t>
  </si>
  <si>
    <t>49Y1399</t>
  </si>
  <si>
    <t>8GB (1x8GB, 4Rx8, 1.35V) PC3L-8500 CL7 ECC DDR3 1066MHz LP RDIMM</t>
  </si>
  <si>
    <t>90Y3101</t>
  </si>
  <si>
    <t>32GB (1x32GB, 4Rx4, 1.35V) PC3L-8500 CL7 ECC DDR3 1066MHz LP RDIMM</t>
  </si>
  <si>
    <t>49Y1563</t>
  </si>
  <si>
    <t>16GB (1x16GB, 2Rx4, 1.35V) PC3L-10600 CL9 ECC DDR3 1333MHz LP RDIMM</t>
  </si>
  <si>
    <t>46C0599</t>
  </si>
  <si>
    <t>16GB (1x16GB, 2Rx4, 1.35V) PC3L-10600 CL9 ECC DDR3 1333MHz VLP RDIMM</t>
  </si>
  <si>
    <t>90Y3165</t>
  </si>
  <si>
    <t>8GB (1x8GB, 2Rx8, 1.5V) PC3-10600 CL9 ECC DDR3 1333MHz LP UDIMM</t>
  </si>
  <si>
    <t>HDD</t>
  </si>
  <si>
    <t>42D0652</t>
  </si>
  <si>
    <t>146GB 15K SFF HS SAS Option</t>
  </si>
  <si>
    <t>42D0667</t>
  </si>
  <si>
    <t>146GB 15K SFF NHS SAS Option</t>
  </si>
  <si>
    <t>42D0627</t>
  </si>
  <si>
    <t>300GB 10K SFF NHS SAS Option</t>
  </si>
  <si>
    <t>46M0877</t>
  </si>
  <si>
    <t>IBM 160 GB High IOPS SS Class SSD PCIe Adapter</t>
  </si>
  <si>
    <t>46M0898</t>
  </si>
  <si>
    <t>IBM 320 GB High IOPS MS Class SSD PCIe Adapter</t>
  </si>
  <si>
    <t>59Y3992</t>
  </si>
  <si>
    <t>IBM System x3550 M3 plus 4 HDD Kit w/8 HDD Bezel</t>
  </si>
  <si>
    <t>59Y6135</t>
  </si>
  <si>
    <t>IBM Hot Swap SAS Hard Disk Drive Backplane</t>
  </si>
  <si>
    <t>59Y6213</t>
  </si>
  <si>
    <t>IBM eXFlash 8x 1.8  HS SAS SSD Backplane</t>
  </si>
  <si>
    <t>69Y0894</t>
  </si>
  <si>
    <t>3.5in Hot Swap SAS/SATA 4 Pac HDD Upgrade Kit</t>
  </si>
  <si>
    <t>49Y2022</t>
  </si>
  <si>
    <t>IBM 600GB 2.5in SFF 10K 6Gbps SAS HDD</t>
  </si>
  <si>
    <t>69Y0797</t>
  </si>
  <si>
    <t>IBM x3620 M3 ODD Enablement Kit</t>
  </si>
  <si>
    <t>69Y0798</t>
  </si>
  <si>
    <t>IBM x3620 M3 Tape Enablement Kit</t>
  </si>
  <si>
    <t>69Y1032</t>
  </si>
  <si>
    <t>IBM x3620 M3 SATA Tape Drive Cage ASM</t>
  </si>
  <si>
    <t>69Y1360</t>
  </si>
  <si>
    <t>IBM x3620 M3 Software RAID to Hardware RAID Upgrade KIT</t>
  </si>
  <si>
    <t>60Y0339</t>
  </si>
  <si>
    <t>IBM 4x 2.5  HS SAS HDD Backplane</t>
  </si>
  <si>
    <t>60Y0360</t>
  </si>
  <si>
    <t>60Y0381</t>
  </si>
  <si>
    <t>IBM 8x 2.5  HS SAS HDD Backplane</t>
  </si>
  <si>
    <t>60Y0333</t>
  </si>
  <si>
    <t>IBM x3690 X5 Single SATA HDD Bay</t>
  </si>
  <si>
    <t>69Y1511</t>
  </si>
  <si>
    <t>3.5in Hot Swap Cage Assembly, Rear, 2 x 3.5in (for x3630)</t>
  </si>
  <si>
    <t>69Y1527</t>
  </si>
  <si>
    <t>2.5in Hot Swap Cage Assembly, Rear, 4 x 2.5in (for x3630)</t>
  </si>
  <si>
    <t>43W7726</t>
  </si>
  <si>
    <t>IBM 50GB SATA 1.8in MLC SSD</t>
  </si>
  <si>
    <t>43W7746</t>
  </si>
  <si>
    <t>IBM 200GB SATA 1.8in MLC SSD</t>
  </si>
  <si>
    <t>81Y9734</t>
  </si>
  <si>
    <t>IBM 250GB 2.5in SFF SS 7.2K 6Gbps NL SATA HDD</t>
  </si>
  <si>
    <t>81Y9738</t>
  </si>
  <si>
    <t>IBM 500GB 2.5in SFF SS 7.2K 6Gbps NL SATA HDD</t>
  </si>
  <si>
    <t>81Y9742</t>
  </si>
  <si>
    <t>IBM 1TB 2.5in SFF SS 7.2K 6Gbps NL SATA HDD</t>
  </si>
  <si>
    <t>81Y9778</t>
  </si>
  <si>
    <t>IBM 3TB 3.5in 7.2K 6Gbps NL SS SATA HDD</t>
  </si>
  <si>
    <t>81Y9722</t>
  </si>
  <si>
    <t>IBM 250GB 2.5in SFF HS 7.2K 6Gbps NL SATA HDD</t>
  </si>
  <si>
    <t>43W7718</t>
  </si>
  <si>
    <t>IBM 200GB SATA 2.5in MLC HS SSD</t>
  </si>
  <si>
    <t>43W7742</t>
  </si>
  <si>
    <t>IBM 200GB SATA 2.5in MLC SS SSD</t>
  </si>
  <si>
    <t>OBI</t>
  </si>
  <si>
    <t>43W8478</t>
  </si>
  <si>
    <t>IBM HH LTO Generation 3 SAS Tape Drive</t>
  </si>
  <si>
    <t>46C5399</t>
  </si>
  <si>
    <t>IBM DDS Generation 5 USB Tape Drive</t>
  </si>
  <si>
    <t>3628L5X</t>
  </si>
  <si>
    <t>IBM External Half High LTO Gen 5 SAS Tape Drive (with US linecord)</t>
  </si>
  <si>
    <t>39R6525</t>
  </si>
  <si>
    <t>QLogic 4Gb FC Single-Port PCIe HBA for IBM System x</t>
  </si>
  <si>
    <t>39R6527</t>
  </si>
  <si>
    <t>QLogic 4Gb FC Dual-Port PCIe HBA for IBM System x</t>
  </si>
  <si>
    <t>42D0501</t>
  </si>
  <si>
    <t>QLogic 8Gb FC Single-port HBA for IBM System x</t>
  </si>
  <si>
    <t>42D0510</t>
  </si>
  <si>
    <t>QLogic 8Gb FC Dual-port HBA for IBM System x</t>
  </si>
  <si>
    <t>46C7167</t>
  </si>
  <si>
    <t>ServeRAID-MR10ie (CIOv) Controller for IBM BladeCenter</t>
  </si>
  <si>
    <t>46M0800</t>
  </si>
  <si>
    <t>Battery for ServeRAID-MR10ie (CIOv) Controller</t>
  </si>
  <si>
    <t>46M6140</t>
  </si>
  <si>
    <t>Emulex 8Gb Fibre Channel Expansion Card (CIOv) for IBM BladeCenter</t>
  </si>
  <si>
    <t>49Y4235</t>
  </si>
  <si>
    <t>Emulex Virtual Fabric Adapter (CFFh) for IBM BladeCenter</t>
  </si>
  <si>
    <t>46M0969</t>
  </si>
  <si>
    <t>ServeRAID B5015 SSD Controller</t>
  </si>
  <si>
    <t>49Y4731</t>
  </si>
  <si>
    <t>ServeRAID-BR10il SAS/SATA Controller v2</t>
  </si>
  <si>
    <t>39Y6066</t>
  </si>
  <si>
    <t>IBM xSeries NetXtreme II 1000 Express Ethernet Adapter</t>
  </si>
  <si>
    <t>39Y6146</t>
  </si>
  <si>
    <t>Qlogic(R) iSCSI Single Port PCIe HBA for System x</t>
  </si>
  <si>
    <t>42C1750</t>
  </si>
  <si>
    <t>PRO/1000 PF Server Adapter by Intel</t>
  </si>
  <si>
    <t>42C1800</t>
  </si>
  <si>
    <t>QLogic 10Gb CNA for IBM System x</t>
  </si>
  <si>
    <t>42C1820</t>
  </si>
  <si>
    <t>Brocade 10Gb CNA for IBM System x</t>
  </si>
  <si>
    <t>49Y4220</t>
  </si>
  <si>
    <t>NetXtreme II 1000 Express Quad Port Ethernet Adapter</t>
  </si>
  <si>
    <t>81Y9990</t>
  </si>
  <si>
    <t>Mellanox ConnectX-2 Dual Port 10GbE Adapter for IBM System x</t>
  </si>
  <si>
    <t>49Y7950</t>
  </si>
  <si>
    <t>Emulex 10GbE Virtual Fabric Adapter II for IBM System x</t>
  </si>
  <si>
    <t>42C1770</t>
  </si>
  <si>
    <t>Qlogic(R) iSCSI Dual Port PCIe HBA for System x</t>
  </si>
  <si>
    <t>42C1780</t>
  </si>
  <si>
    <t>NetXtreme II 1000 Express Dual Port Ethernet Adapter</t>
  </si>
  <si>
    <t>730952F</t>
  </si>
  <si>
    <t>730964F</t>
  </si>
  <si>
    <t>7309G52</t>
  </si>
  <si>
    <t>7309G64</t>
  </si>
  <si>
    <t>7309BD5</t>
  </si>
  <si>
    <t>7309BF7</t>
  </si>
  <si>
    <t>7309BR6</t>
  </si>
  <si>
    <t>7309CD8</t>
  </si>
  <si>
    <t>7309CFC</t>
  </si>
  <si>
    <t>SWX</t>
  </si>
  <si>
    <t>39M4675</t>
  </si>
  <si>
    <t>IBM BladeCenter 2000W Power Supplies 3 &amp; 4</t>
  </si>
  <si>
    <t>42C5279</t>
  </si>
  <si>
    <t>IBM BladeCenter HT DC Power Supply Module 3160w</t>
  </si>
  <si>
    <t>42C5280</t>
  </si>
  <si>
    <t>IBM BladeCenter HT AC Power Supply Module 3160w</t>
  </si>
  <si>
    <t>46M0508</t>
  </si>
  <si>
    <t>IBM BladeCenter E 2,320W AC Power Supply Option</t>
  </si>
  <si>
    <t>45W4437</t>
  </si>
  <si>
    <t>Exx 320W AC Power supply</t>
  </si>
  <si>
    <t>59Y6139</t>
  </si>
  <si>
    <t>IBM 1975W Power Supply</t>
  </si>
  <si>
    <t>69Y3749</t>
  </si>
  <si>
    <t>Redundant power supply for x3400 M3</t>
  </si>
  <si>
    <t>60Y0332</t>
  </si>
  <si>
    <t>IBM 675W HE Redundant Power Supply</t>
  </si>
  <si>
    <t>69Y1510</t>
  </si>
  <si>
    <t>IBM -48V DC Input 675W Redundant Power Supply</t>
  </si>
  <si>
    <t>60Y0327</t>
  </si>
  <si>
    <t>IBM 675W HE Redundant Power Supply Kit</t>
  </si>
  <si>
    <t>81Y6754</t>
  </si>
  <si>
    <t>460W power supply (redundant)</t>
  </si>
  <si>
    <t>46M1075</t>
  </si>
  <si>
    <t>Redundant 675W Power supply</t>
  </si>
  <si>
    <t>53951KX</t>
  </si>
  <si>
    <t>IBM 1500VA LCD 2U Rack UPS (230V)</t>
  </si>
  <si>
    <t>53952AX</t>
  </si>
  <si>
    <t>IBM 2200VA LCD 2U Rack UPS (100V/120V)</t>
  </si>
  <si>
    <t>53952KX</t>
  </si>
  <si>
    <t>IBM 2200VA LCD 2U Rack UPS (230V)</t>
  </si>
  <si>
    <t>53953AX</t>
  </si>
  <si>
    <t>IBM 3000VA LCD 3U Rack UPS (100V/120V)</t>
  </si>
  <si>
    <t>53953KX</t>
  </si>
  <si>
    <t>IBM 3000VA LCD 3U Rack UPS (230V)</t>
  </si>
  <si>
    <t>53956AX</t>
  </si>
  <si>
    <t>IBM 6000VA LCD 4U Rack UPS (200V/208V)</t>
  </si>
  <si>
    <t>53956KX</t>
  </si>
  <si>
    <t>IBM 6000VA LCD 4U Rack UPS (230V)</t>
  </si>
  <si>
    <t>53961AX</t>
  </si>
  <si>
    <t>IBM 1000VA LCD Tower UPS (120V)</t>
  </si>
  <si>
    <t>53959KX</t>
  </si>
  <si>
    <t>IBM 11000VA LCD 5U Rack UPS (200/208/230V)</t>
  </si>
  <si>
    <t>53953JX</t>
  </si>
  <si>
    <t>IBM 3000VA LCD 3U Rack UPS (200V/208V)</t>
  </si>
  <si>
    <t>53962AX</t>
  </si>
  <si>
    <t>IBM 1500VA LCD Tower UPS (120V)</t>
  </si>
  <si>
    <t>71762NX</t>
  </si>
  <si>
    <t>IBM Ultra Density Enterprise C19/C13 PDU Module (WW)</t>
  </si>
  <si>
    <t>71763NU</t>
  </si>
  <si>
    <t>IBM Ultra Density Enterprise C19/C13 PDU 60A/208V/3ph (US)</t>
  </si>
  <si>
    <t>93074XX</t>
  </si>
  <si>
    <t>NetBAY S2 42U Expansion Rack Cabinet</t>
  </si>
  <si>
    <t>93084EX</t>
  </si>
  <si>
    <t>IBM 42U Enterprise Expansion Rack</t>
  </si>
  <si>
    <t>93084PX</t>
  </si>
  <si>
    <t>IBM 42U Enterprise Rack</t>
  </si>
  <si>
    <t>93072PX</t>
  </si>
  <si>
    <t>IBM S2 25U Static Standard Rack Cabinet</t>
  </si>
  <si>
    <t>1754D1X</t>
  </si>
  <si>
    <t>IBM Global 2x2x16 Console Manager (GCM16)</t>
  </si>
  <si>
    <t>1754D2X</t>
  </si>
  <si>
    <t>IBM Global 4x2x32 Console Manager (GCM32)</t>
  </si>
  <si>
    <t>93604EX</t>
  </si>
  <si>
    <t>IBM 42U 1200mm Deep Dynamic Expansion Rack</t>
  </si>
  <si>
    <t>93604PX</t>
  </si>
  <si>
    <t>IBM 42U 1200mm Deep Dynamic Rack</t>
  </si>
  <si>
    <t>93614EX</t>
  </si>
  <si>
    <t>IBM 42U 1200mm Deep Static Expansion Rack</t>
  </si>
  <si>
    <t>93614PX</t>
  </si>
  <si>
    <t>IBM 42U 1200mm Deep Static Rack</t>
  </si>
  <si>
    <t>93624EX</t>
  </si>
  <si>
    <t>IBM 47U 1200mm Deep Static Expansion Rack</t>
  </si>
  <si>
    <t>93624PX</t>
  </si>
  <si>
    <t>IBM 47U 1200mm Deep Static Rack</t>
  </si>
  <si>
    <t>81Y9886</t>
  </si>
  <si>
    <t>81Y9915</t>
  </si>
  <si>
    <t>81Y9903</t>
  </si>
  <si>
    <t>81Y9907</t>
  </si>
  <si>
    <t>42D0410</t>
  </si>
  <si>
    <t>300GB 4Gbps 15K FC E-DDM HDD</t>
  </si>
  <si>
    <t>44X2458</t>
  </si>
  <si>
    <t>1000 GB/7.2K SATA EV-DDM</t>
  </si>
  <si>
    <t>44X2450</t>
  </si>
  <si>
    <t>4 Gbps FC, 450 GB / 15K rpm Enhanced Disk Drive Module</t>
  </si>
  <si>
    <t>59Y5460</t>
  </si>
  <si>
    <t>600GB 15K 4Gbps FC E-DDM HDD</t>
  </si>
  <si>
    <t>49Y1836</t>
  </si>
  <si>
    <t>300GB 2.5in 10K 6Gb SAS HDD</t>
  </si>
  <si>
    <t>49Y1841</t>
  </si>
  <si>
    <t>146GB 2.5in 15K 6Gb SAS HDD</t>
  </si>
  <si>
    <t>49Y1851</t>
  </si>
  <si>
    <t>500GB 2.5in 7.2K 6Gb NL SAS HDD</t>
  </si>
  <si>
    <t>49Y1856</t>
  </si>
  <si>
    <t>300GB 3.5in 15K 6Gb SAS HDD</t>
  </si>
  <si>
    <t>49Y1861</t>
  </si>
  <si>
    <t>450GB 3.5in 15K 6Gb SAS HDD</t>
  </si>
  <si>
    <t>49Y1866</t>
  </si>
  <si>
    <t>600GB 3.5in 15K 6Gb SAS HDD</t>
  </si>
  <si>
    <t>49Y1871</t>
  </si>
  <si>
    <t>2TB 3.5in 7.2K 6Gb NL SAS HDD</t>
  </si>
  <si>
    <t>1TB 3.5in 7.2K 6Gb NL SAS HDD</t>
  </si>
  <si>
    <t>49Y1940</t>
  </si>
  <si>
    <t>IBM 2TB 7200 Dual Port SATA 3.5'' HS HDD</t>
  </si>
  <si>
    <t>49Y1947</t>
  </si>
  <si>
    <t>600GB 3.5in 15K 6Gb SED SAS HDD</t>
  </si>
  <si>
    <t>49Y1952</t>
  </si>
  <si>
    <t>300GB 2.5in 10K 6Gb SED SAS HDD</t>
  </si>
  <si>
    <t>59Y5536</t>
  </si>
  <si>
    <t>2 TB/7.2K SATA E-DDM</t>
  </si>
  <si>
    <t>49Y1895</t>
  </si>
  <si>
    <t>49Y1896</t>
  </si>
  <si>
    <t>49Y1898</t>
  </si>
  <si>
    <t>49Y1899</t>
  </si>
  <si>
    <t>49Y1900</t>
  </si>
  <si>
    <t>49Y1901</t>
  </si>
  <si>
    <t>49Y1902</t>
  </si>
  <si>
    <t>49Y1903</t>
  </si>
  <si>
    <t>49Y2048</t>
  </si>
  <si>
    <t>600GB 2.5in 10K 6Gb SAS HDD</t>
  </si>
  <si>
    <t>81Y9596</t>
  </si>
  <si>
    <t>81Y2490</t>
  </si>
  <si>
    <t>600GB 10K RPM FC-SAS DDM</t>
  </si>
  <si>
    <t>81Y9952</t>
  </si>
  <si>
    <t>1TB 2.5in 7.2K 6Gb NL SAS HDD</t>
  </si>
  <si>
    <t>81Y9872</t>
  </si>
  <si>
    <t>94Y8434</t>
  </si>
  <si>
    <t>Mac OS Host Kit</t>
  </si>
  <si>
    <t>68Y8431</t>
  </si>
  <si>
    <t>6Gb SAS 2 Port Daughter Card</t>
  </si>
  <si>
    <t>68Y8432</t>
  </si>
  <si>
    <t>8Gb FC 4 Port Daughter Card</t>
  </si>
  <si>
    <t>68Y8433</t>
  </si>
  <si>
    <t>1Gb iSCSI 4 Port Daughter Card</t>
  </si>
  <si>
    <t>39R6515</t>
  </si>
  <si>
    <t>EXP3000 Environmental Services Module (ESM)</t>
  </si>
  <si>
    <t>1746A2E</t>
  </si>
  <si>
    <t>IBM System Storage EXP3512 Express Storage Expansion Unit</t>
  </si>
  <si>
    <t>1746A4E</t>
  </si>
  <si>
    <t>IBM System Storage EXP3524 Express Storage Expansion Unit</t>
  </si>
  <si>
    <t>69Y0245</t>
  </si>
  <si>
    <t>Environmental Services Module (ESM)</t>
  </si>
  <si>
    <t>174712X</t>
  </si>
  <si>
    <t>IBM System Storage EXP2512 Express Storage Enclosure</t>
  </si>
  <si>
    <t>174724X</t>
  </si>
  <si>
    <t>IBM System Storage EXP2524 Express Storage Enclosure</t>
  </si>
  <si>
    <t>13N1923</t>
  </si>
  <si>
    <t>DS3000 AIX Host Attach License</t>
  </si>
  <si>
    <t>181281H</t>
  </si>
  <si>
    <t>IBM System Storage DS4000 EXP810 Storage Expansion Unit</t>
  </si>
  <si>
    <t>22R4670</t>
  </si>
  <si>
    <t>DS4800 Upgrade from 8-16 Storage Partitions</t>
  </si>
  <si>
    <t>22R4671</t>
  </si>
  <si>
    <t>DS4800 Upgrade from 8-64 Storage Partitions</t>
  </si>
  <si>
    <t>39M5696</t>
  </si>
  <si>
    <t>1m Fiber Optic Cable LC-LC</t>
  </si>
  <si>
    <t>39M5697</t>
  </si>
  <si>
    <t>5m Fiber Optic Cable LC-LC</t>
  </si>
  <si>
    <t>39M5698</t>
  </si>
  <si>
    <t>25m Fiber Optic Cable LC-LC</t>
  </si>
  <si>
    <t>39R6533</t>
  </si>
  <si>
    <t>DS3000 FlashCopy Expansion License</t>
  </si>
  <si>
    <t>39R6534</t>
  </si>
  <si>
    <t>DS3000 Volume Copy License</t>
  </si>
  <si>
    <t>39R6535</t>
  </si>
  <si>
    <t>DS3000 FlashCopy Volume Copy License</t>
  </si>
  <si>
    <t>39R6536</t>
  </si>
  <si>
    <t>DS3000 Partition Expansion License</t>
  </si>
  <si>
    <t>41Y0652</t>
  </si>
  <si>
    <t>DS4700 2-8 Stg. Part.- Fld</t>
  </si>
  <si>
    <t>41Y0656</t>
  </si>
  <si>
    <t>DS4700 4-8 Stg. Part.- Fld</t>
  </si>
  <si>
    <t>41Y0660</t>
  </si>
  <si>
    <t>DS4700 4-16 Stg. Part.- Fld</t>
  </si>
  <si>
    <t>41Y0664</t>
  </si>
  <si>
    <t>DS4700 8-16 Stg. Part.- Fld</t>
  </si>
  <si>
    <t>41Y0668</t>
  </si>
  <si>
    <t>DS4700 8-64 Stg. Part.- Fld</t>
  </si>
  <si>
    <t>41Y0672</t>
  </si>
  <si>
    <t>DS4700 16-64 Stg. Part.- Fld</t>
  </si>
  <si>
    <t>41Y5163</t>
  </si>
  <si>
    <t>Express DS4200 SUN Host Kit</t>
  </si>
  <si>
    <t>41Y5178</t>
  </si>
  <si>
    <t>DS4700 Linux/Intel Host Kit</t>
  </si>
  <si>
    <t>41Y5182</t>
  </si>
  <si>
    <t>DS4700 VMware ESX Host Kit option</t>
  </si>
  <si>
    <t>41Y5184</t>
  </si>
  <si>
    <t>DS4700 AIX Host Kit</t>
  </si>
  <si>
    <t>41Y5186</t>
  </si>
  <si>
    <t>DS4700 SUN Host Kit</t>
  </si>
  <si>
    <t>41Y5188</t>
  </si>
  <si>
    <t>DS4700 HPUX Host Kit</t>
  </si>
  <si>
    <t>41Y5190</t>
  </si>
  <si>
    <t>DS4700 Linux on Power Host</t>
  </si>
  <si>
    <t>41Y5203</t>
  </si>
  <si>
    <t>DS4700 FlashCopy</t>
  </si>
  <si>
    <t>41Y5208</t>
  </si>
  <si>
    <t>DS4700 VolumeCopy</t>
  </si>
  <si>
    <t>41Y5212</t>
  </si>
  <si>
    <t>DS4700 Flash/VolumeCopy</t>
  </si>
  <si>
    <t>41Y5214</t>
  </si>
  <si>
    <t>DS4700 Enh. Remote Mirror</t>
  </si>
  <si>
    <t>41Y5217</t>
  </si>
  <si>
    <t>DS4700 FC/SATA Enclosure Intermix</t>
  </si>
  <si>
    <t>44W2101</t>
  </si>
  <si>
    <t>DS3000 Linux on Power Host Attach License</t>
  </si>
  <si>
    <t>44W2136</t>
  </si>
  <si>
    <t>DS3000 Solaris Host License</t>
  </si>
  <si>
    <t>44W2138</t>
  </si>
  <si>
    <t>DS3000 8 Partition License</t>
  </si>
  <si>
    <t>44W2140</t>
  </si>
  <si>
    <t>DS3000 32 Partition License</t>
  </si>
  <si>
    <t>44W2142</t>
  </si>
  <si>
    <t>DS3000 8-16 Part. Upgde Lic</t>
  </si>
  <si>
    <t>44W2144</t>
  </si>
  <si>
    <t>DS3000 8-32 Part. Upgde Lic</t>
  </si>
  <si>
    <t>44W2149</t>
  </si>
  <si>
    <t>DS3000 FlashCpy Exp Plus Lic</t>
  </si>
  <si>
    <t>44W2152</t>
  </si>
  <si>
    <t>DS3000 16-32 Part. Upgde Lic</t>
  </si>
  <si>
    <t>68Y8434</t>
  </si>
  <si>
    <t>2GB Cache Upgrade</t>
  </si>
  <si>
    <t>1746A2D</t>
  </si>
  <si>
    <t>IBM System Storage DS3512 Express Dual Controller Storage System</t>
  </si>
  <si>
    <t>1746A2S</t>
  </si>
  <si>
    <t>IBM System Storage DS3512 Express Single Controller Storage System</t>
  </si>
  <si>
    <t>1746A4D</t>
  </si>
  <si>
    <t>IBM System Storage DS3524 Express Dual Controller Storage System</t>
  </si>
  <si>
    <t>1746A4S</t>
  </si>
  <si>
    <t>IBM System Storage DS3524 Express Single Controller Storage System</t>
  </si>
  <si>
    <t>68Y8436</t>
  </si>
  <si>
    <t>4 to 8 Partition Upgrade</t>
  </si>
  <si>
    <t>68Y8437</t>
  </si>
  <si>
    <t>4 to 16 Partition Upgrade</t>
  </si>
  <si>
    <t>68Y8438</t>
  </si>
  <si>
    <t>4 to 32 Partition Upgrade</t>
  </si>
  <si>
    <t>68Y8439</t>
  </si>
  <si>
    <t>4 to 64 Partition Upgrade</t>
  </si>
  <si>
    <t>68Y8441</t>
  </si>
  <si>
    <t>8 to 16 Partition Upgrade</t>
  </si>
  <si>
    <t>68Y8442</t>
  </si>
  <si>
    <t>8 to 32 Partition Upgrade</t>
  </si>
  <si>
    <t>68Y8443</t>
  </si>
  <si>
    <t>8 to 64 Partition Upgrade</t>
  </si>
  <si>
    <t>68Y8445</t>
  </si>
  <si>
    <t>16 to 32 Partition Upgrade</t>
  </si>
  <si>
    <t>68Y8446</t>
  </si>
  <si>
    <t>16 to 64 Partition Upgrade</t>
  </si>
  <si>
    <t>68Y8448</t>
  </si>
  <si>
    <t>32 to 64 Partition Upgrade</t>
  </si>
  <si>
    <t>68Y8451</t>
  </si>
  <si>
    <t>FlashCopy: Base</t>
  </si>
  <si>
    <t>68Y8452</t>
  </si>
  <si>
    <t>FlashCopy: Upgrade to 8 per volume / 64 per system</t>
  </si>
  <si>
    <t>68Y8453</t>
  </si>
  <si>
    <t>Volume Copy: Base</t>
  </si>
  <si>
    <t>68Y8454</t>
  </si>
  <si>
    <t>FlashCopy Base / Volume Copy Base</t>
  </si>
  <si>
    <t>68Y8455</t>
  </si>
  <si>
    <t>Remote Mirroring: Base</t>
  </si>
  <si>
    <t>68Y8458</t>
  </si>
  <si>
    <t>AIX/VIOS Host Kit</t>
  </si>
  <si>
    <t>68Y8459</t>
  </si>
  <si>
    <t>Linux on Power Host Kit</t>
  </si>
  <si>
    <t>68Y8461</t>
  </si>
  <si>
    <t>HP-UX Host Kit</t>
  </si>
  <si>
    <t>68Y8490</t>
  </si>
  <si>
    <t>Full Disk Encryption (FDE)</t>
  </si>
  <si>
    <t>69Y2871</t>
  </si>
  <si>
    <t>Turbo Performance</t>
  </si>
  <si>
    <t>69Y2876</t>
  </si>
  <si>
    <t>8Gb FC SW SFP Transceivers (Pair)</t>
  </si>
  <si>
    <t>68Y8440</t>
  </si>
  <si>
    <t>4 to 128 Partition Upgrade</t>
  </si>
  <si>
    <t>68Y8444</t>
  </si>
  <si>
    <t>8 to 128 Partition Upgrade</t>
  </si>
  <si>
    <t>68Y8447</t>
  </si>
  <si>
    <t>16 to 128 Partition Upgrade</t>
  </si>
  <si>
    <t>68Y8449</t>
  </si>
  <si>
    <t>32 to 128 Partition Upgrade</t>
  </si>
  <si>
    <t>68Y8450</t>
  </si>
  <si>
    <t>64 to 128 Partition Upgrade</t>
  </si>
  <si>
    <t>81Y9620</t>
  </si>
  <si>
    <t>96 to 192 Drive Expansion</t>
  </si>
  <si>
    <t>81Y9622</t>
  </si>
  <si>
    <t>Remote Mirroring: Upgrade</t>
  </si>
  <si>
    <t>ListaCategoriasDescuentoHV</t>
  </si>
  <si>
    <t>C/T Col.</t>
  </si>
  <si>
    <t>Descuento HV Servers</t>
  </si>
  <si>
    <t>Descripcion</t>
  </si>
  <si>
    <t>Comentarios</t>
  </si>
  <si>
    <t>7383C2U</t>
  </si>
  <si>
    <t>7383C4U</t>
  </si>
  <si>
    <t>7383EDU</t>
  </si>
  <si>
    <t>7914C2U</t>
  </si>
  <si>
    <t>7914G2U</t>
  </si>
  <si>
    <t>7377C4U</t>
  </si>
  <si>
    <t>7915C2U</t>
  </si>
  <si>
    <t>7915EDU</t>
  </si>
  <si>
    <t>69Y5326</t>
  </si>
  <si>
    <t>Intel Xeon 6C Processor Model E5-2620 95W 2.0GHz/1333MHz/15MB W/Fan</t>
  </si>
  <si>
    <t>69Y5329</t>
  </si>
  <si>
    <t>Intel Xeon Processor E5-2650 8C 2.0GHz 20MB 1600MHz 95W</t>
  </si>
  <si>
    <t>69Y5331</t>
  </si>
  <si>
    <t>Intel Xeon Processor E5-2680 8C 2.7GHz 20MB 1600MHz 130W</t>
  </si>
  <si>
    <t>69Y5675</t>
  </si>
  <si>
    <t>69Y5678</t>
  </si>
  <si>
    <t>69Y5680</t>
  </si>
  <si>
    <t>81Y9294</t>
  </si>
  <si>
    <t>Intel Xeon 4C Processor Model E5-2609 80W 2.4GHz/1066MHz/10MB</t>
  </si>
  <si>
    <t>81Y9295</t>
  </si>
  <si>
    <t>Intel Xeon 6C Processor Model E5-2620 95W 2.0GHz/1333MHz/15MB</t>
  </si>
  <si>
    <t>90Y5945</t>
  </si>
  <si>
    <t xml:space="preserve">Intel® Xeon® Processor E5-2620 6C 2.0GHz 15MB 1333MHz 95W W/Fan </t>
  </si>
  <si>
    <t>90Y5950</t>
  </si>
  <si>
    <t>Intel® Xeon® Processor E5-2680 8C 2.7GHz 20MB 1600MHz 130W W/Fan</t>
  </si>
  <si>
    <t>81Y9786</t>
  </si>
  <si>
    <t>90Y8643</t>
  </si>
  <si>
    <t>IBM 256GB SATA 2.5 MLC HS Entry SSD</t>
  </si>
  <si>
    <t>90Y8648</t>
  </si>
  <si>
    <t>IBM 128GB SATA 2.5 MLC HS Entry SSD</t>
  </si>
  <si>
    <t>90Y8872</t>
  </si>
  <si>
    <t>IBM 600GB 2.5in SFF 10K 6Gbps HS SAS HDD</t>
  </si>
  <si>
    <t>90Y8877</t>
  </si>
  <si>
    <t>IBM 300GB 2.5in SFF 10K 6Gbps HS SAS HDD</t>
  </si>
  <si>
    <t>90Y8926</t>
  </si>
  <si>
    <t>IBM 146GB 2.5in SFF 15K 6Gbps HS SAS HDD</t>
  </si>
  <si>
    <t>90Y8953</t>
  </si>
  <si>
    <t>IBM 500GB 2.5in SFF 7.2K 6Gbps NL HS SAS HDD</t>
  </si>
  <si>
    <t>94Y5978</t>
  </si>
  <si>
    <t>x3500 M4 2.5in Hot Swap SAS/SATA for 16 and 24 HDDs</t>
  </si>
  <si>
    <t>00D4964</t>
  </si>
  <si>
    <t>49Y1559</t>
  </si>
  <si>
    <t>4GB (1x4GB, 1Rx4, 1.5V) PC3-12800 CL11 ECC DDR3 1600MHz LP RDIMM</t>
  </si>
  <si>
    <t>90Y3105</t>
  </si>
  <si>
    <t>32GB (1x32GB, 2Rx8, 1.5V) PC3-12800 CL11 ECC DDR3 1600MHz LP RDIMM</t>
  </si>
  <si>
    <t>90Y3109</t>
  </si>
  <si>
    <t>8GB (1x8GB, 2Rx4, 1.5V) PC3-12800 CL11 ECC DDR3 1600MHz LP RDIMM</t>
  </si>
  <si>
    <t>90Y3147</t>
  </si>
  <si>
    <t>4GB (1x4GB, 1Rx4, 1.5V) PC3-12800 CL11 ECC DDR3 1600MHz VLP RDIMM</t>
  </si>
  <si>
    <t>90Y3148</t>
  </si>
  <si>
    <t>4GB (1x4GB, 2Rx8, 1.5V) PC3-12800 CL11 ECC DDR3 1600MHz VLP RDIMM</t>
  </si>
  <si>
    <t>90Y3149</t>
  </si>
  <si>
    <t>8GB (1x8GB, 2Rx4, 1.5V) PC3-12800 CL11 ECC DDR3 1600MHz VLP RDIMM</t>
  </si>
  <si>
    <t>90Y3178</t>
  </si>
  <si>
    <t>4GB (1x4GB, 2Rx8, 1.5V) PC3-12800 CL11 ECC DDR3 1600MHz LP RDIMM</t>
  </si>
  <si>
    <t>Power</t>
  </si>
  <si>
    <t>94Y5973</t>
  </si>
  <si>
    <t>IBM System x 750W High Efficiency Platinum AC Power Supply</t>
  </si>
  <si>
    <t>94Y5974</t>
  </si>
  <si>
    <t>94Y6667</t>
  </si>
  <si>
    <t>IBM System x 900W High Efficiency Platinum AC Power Supply</t>
  </si>
  <si>
    <t>94Y6668</t>
  </si>
  <si>
    <t>IBM System x 550W High Efficiency Platinum AC Power Supply</t>
  </si>
  <si>
    <t>94Y6669</t>
  </si>
  <si>
    <t>46M0912</t>
  </si>
  <si>
    <t>IBM 6Gb Performance Optimized HBA</t>
  </si>
  <si>
    <t>81Y4448</t>
  </si>
  <si>
    <t>ServeRAID M1115 SAS/SATA Controller for IBM System x</t>
  </si>
  <si>
    <t>81Y4478</t>
  </si>
  <si>
    <t>ServeRAID M5120 SAS/SATA Controller for IBM System x</t>
  </si>
  <si>
    <t>81Y4481</t>
  </si>
  <si>
    <t>ServeRAID M5110 SAS/SATA Controller for IBM System x</t>
  </si>
  <si>
    <t>81Y4484</t>
  </si>
  <si>
    <t>ServeRAID M5100 Series 512MB Cache/RAID 5 Upg for IBM System x</t>
  </si>
  <si>
    <t>81Y4487</t>
  </si>
  <si>
    <t>ServeRAID M5100 Series 512MB Flash/RAID 5 Upg for IBM System x</t>
  </si>
  <si>
    <t>81Y4508</t>
  </si>
  <si>
    <t>ServeRAID M5100 Series Battery Kit for IBM System x</t>
  </si>
  <si>
    <t>81Y4542</t>
  </si>
  <si>
    <t>ServeRAID M1100 Series Zero Cache/RAID 5 Upg for IBM System x</t>
  </si>
  <si>
    <t>81Y4544</t>
  </si>
  <si>
    <t>ServeRAID M5100 Series Zero Cache/RAID 5 Upg for IBM System x</t>
  </si>
  <si>
    <t>81Y4546</t>
  </si>
  <si>
    <t>ServeRAID M5100 Series RAID 6 Upg for IBM System x</t>
  </si>
  <si>
    <t>81Y4559</t>
  </si>
  <si>
    <t>ServeRAID M5100 Series 1GB Flash/RAID 5 Upg for IBM System x</t>
  </si>
  <si>
    <t>90Y4304</t>
  </si>
  <si>
    <t>ServeRAID M5016 SAS/SATA Controller for IBM System x</t>
  </si>
  <si>
    <t>90Y5046</t>
  </si>
  <si>
    <t>x3650 M4 Remote Supercap and Battery Tray</t>
  </si>
  <si>
    <t>49Y7960</t>
  </si>
  <si>
    <t>Intel x520 Dual Port 10GbE SFP+ Adapter for IBM System x</t>
  </si>
  <si>
    <t>258262U</t>
  </si>
  <si>
    <t>2582EFU</t>
  </si>
  <si>
    <t>x3100 M4, Xeon 4C E3-1220 80W 3.1GHz/1333MHz/8MB, 1x4GB, 500GB SS 3.5in SATA, SR C100,  Multi-Burner, 350W p/s, Tower</t>
  </si>
  <si>
    <t>2582A2U</t>
  </si>
  <si>
    <t>x3100 M4, Core 2C i3-2120 65W 3.3GHz/1333MHz/3MB, 1x4GB, O/Bay  SS 3.5in SATA, SR C100, DVD-ROM, 350W p/s, Tower</t>
  </si>
  <si>
    <t>2582B2U</t>
  </si>
  <si>
    <t>x3100 M4, Xeon 4C E3-1220v2 69W 3.1GHz/1600MHz/8MB, 1x4GB, O/Bay SS 3.5in SATA, SR C100, DVD-ROM, 350W p/s, Tower</t>
  </si>
  <si>
    <t>2582C2U</t>
  </si>
  <si>
    <t>x3100 M4, Xeon 4C E3-1230v2 69W 3.3GHz/1600MHz/8MB, 1x4GB, O/Bay SS 3.5in SATA, SR C100, DVD-ROM, 350W p/s, Tower</t>
  </si>
  <si>
    <t>7380E5U</t>
  </si>
  <si>
    <t>Express x3500 M3, Xeon 4C E5607 80W 2.26GHz/1066MHz/8MB, 3x2GB, O/Bay HS 3.5in SATA/SAS, SR M1015, DVD-ROM, 920W p/s, Tower</t>
  </si>
  <si>
    <t>7380E6U</t>
  </si>
  <si>
    <t>Express x3500 M3, Xeon 6C E5645 80W 2.40GHz/1333MHz/12MB, 3x2GB, O/Bay HS 3.5in SATA/SAS, SR M1015, DVD-ROM, 920W p/s, Tower</t>
  </si>
  <si>
    <t>7383A2U</t>
  </si>
  <si>
    <t>x3500 M4, Xeon 4C E5-2603 80W 1.8GHz/1066MHz/10MB, 1x4GB, O/Bay HS 2.5in SATA/SAS, SR M1115, DVD-ROM, 750W p/s, Tower</t>
  </si>
  <si>
    <t>7383B2U</t>
  </si>
  <si>
    <t>x3500 M4, Xeon 4C E5-2609 80W 2.4GHz/1066MHz/10MB, 1x4GB, O/Bay HS 2.5in SATA/SAS, SR M1115, DVD-ROM, 750W p/s, Tower</t>
  </si>
  <si>
    <t>x3500 M4, Xeon 6C E5-2620 95W 2.0GHz/1333MHz/15MB, 1x8GB, O/Bay HS 2.5in SATA/SAS, SR M1115, DVD-ROM, 750W p/s, Tower</t>
  </si>
  <si>
    <t>x3500 M4, Xeon 6C E5-2620 95W 2.0GHz/1333MHz/15MB, 1x8GB, O/Bay HS 3.5in SATA/SAS, SR M1115, DVD-ROM, 750W p/s, Tower</t>
  </si>
  <si>
    <t>7383D2U</t>
  </si>
  <si>
    <t>x3500 M4, Xeon 6C E5-2630 95W 2.3GHz/1333MHz/15MB, 1x8GB, O/Bay HS 2.5in SATA/SAS, SR M1115, DVD-ROM, 750W p/s, Tower</t>
  </si>
  <si>
    <t>7383EAU</t>
  </si>
  <si>
    <t>Express x3500 M4, Xeon 4C E5-2609 80W 2.4GHz/1066MHz/10MB, 1x4GB, O/Bay HS 3.5in SATA/SAS, SR M1115, Multi-Burner, 750W p/s, Tower</t>
  </si>
  <si>
    <t>7383EBU</t>
  </si>
  <si>
    <t>Express x3500 M4, Xeon 6C E5-2620 95W 2.0GHz/1333MHz/15MB, 1x8GB, O/Bay HS 3.5in SATA/SAS, SR M5110, Multi-Burner, 750W p/s, Tower</t>
  </si>
  <si>
    <t>7383ECU</t>
  </si>
  <si>
    <t>Express x3500 M4, Xeon 6C E5-2640 95W 2.5GHz/1333MHz/15MB, 2x8GB, O/Bay HS 2.5in SATA/SAS, SR M5110, Multi-Burner, 2x750W p/s, Tower</t>
  </si>
  <si>
    <t>Express x3500 M4, Xeon 8C E5-2650 95W 2.0GHz/1600MHz/20MB, 1x8GB, O/Bay HS 2.5in SATA/SAS, SR M5110, Multi-Burner, 750W p/s, Tower</t>
  </si>
  <si>
    <t>7383F2U</t>
  </si>
  <si>
    <t>x3500 M4, Xeon 6C E5-2640 95W 2.5GHz/1333MHz/15MB, 1x8GB, O/Bay HS 2.5in SATA/SAS , SR M5110, DVD-ROM, 750W p/s, Tower</t>
  </si>
  <si>
    <t>7383G2U</t>
  </si>
  <si>
    <t>x3500 M4, Xeon 8C E5-2650 95W 2.0GHz/1600MHz/20MB, 1x8GB, O/Bay HS 2.5in SATA/SAS, SR M5110, DVD-ROM, 900W p/s, Tower</t>
  </si>
  <si>
    <t>7383H2U</t>
  </si>
  <si>
    <t>x3500 M4, Xeon 8C E5-2670 115W 2.6GHz/1600MHz/20MB, 1x8GB, O/Bay HS 2.5in SATA/SAS, SR M5110, DVD-ROM, 900W p/s, Tower</t>
  </si>
  <si>
    <t>7383J2U</t>
  </si>
  <si>
    <t>x3500 M4, Xeon 8C E5-2680 130W 2.7GHz/1600MHz/20MB, 1x8GB, O/Bay HS 2.5in SATA/SAS, SR M5110, DVD-ROM, 900W p/s, Tower</t>
  </si>
  <si>
    <t>425242U</t>
  </si>
  <si>
    <t>2583A2U</t>
  </si>
  <si>
    <t>x3250 M4, Core 2C i3-2120 65W 3.3GHz/1333MHz/3MB, 1x4GB, O/Bay SS 3.5in SATA, SR C100, 300W p/s, Rack</t>
  </si>
  <si>
    <t>2583B2U</t>
  </si>
  <si>
    <t>x3250 M4, Xeon 4C E3-1220v2 69W 3.1GHz/1600MHz/8MB, 1x4GB, O/Bay SS 3.5in SATA, SR C100, 300W p/s, Rack</t>
  </si>
  <si>
    <t>2583C2U</t>
  </si>
  <si>
    <t>x3250 M4, Xeon 4C E3-1230v2 69W 3.3GHz/1600MHz/8MB,1x4GB, O/Bay HS 2.5in SAS, SR H1110, 300W p/s, Rack</t>
  </si>
  <si>
    <t>2583F2U</t>
  </si>
  <si>
    <t>x3240 M4, Xeon 4C E3-1270v2 69W 3.5GHz/1600MHz/8MB,1x4GB, O/Bay HS 2.5in SAS, SR H1110, 460W p/s, Rack</t>
  </si>
  <si>
    <t>7160A2U</t>
  </si>
  <si>
    <t>x3530 M4, Xeon 4C E5-2403 80W 1.8GHz/1066MHz/10MB, 1x 4GB, 0/Bay SS 3.5in SATA/SAS, SR C105, 460W p/s, Rack</t>
  </si>
  <si>
    <t>7160B2U</t>
  </si>
  <si>
    <t>x3530 M4, Xeon 4C E5-2407 80W 2.2GHz/1066MHz/10MB, 1x 4GB, 0/Bay HS 3.5in SAS/SATA, SR H110, 460W p/s, Rack</t>
  </si>
  <si>
    <t>7160C2U</t>
  </si>
  <si>
    <t>x3530 M4, Xeon 6C E5-2420 95W 1.9GHz/1333MHz/15MB, 1x 4GB, 0/Bay HS 3.5in SAS/SATA, SR C105, 460W p/s, Rack</t>
  </si>
  <si>
    <t>7160D2U</t>
  </si>
  <si>
    <t>x3530 M4, Xeon 6C E5-2430 95W 2.2GHz/1333MHz/15MB, 1x 4GB, 0/Bay HS 2.5in SAS/SATA, SR M1115, 460W p/s, Rack</t>
  </si>
  <si>
    <t>7160EAU</t>
  </si>
  <si>
    <t>Express x3530 M4, Xeon 4C E5-2407 80W 2.2GHz/1066MHz/10MB, 1x 8GB, 0/Bay HS 3.5in SAS/SATA, SR M1115, 460W p/s, Rack</t>
  </si>
  <si>
    <t>7160EBU</t>
  </si>
  <si>
    <t>Express x3530 M4, Xeon 6C E5-2420 95W 1.9GHz/1333MHz/15MB, 1x 8GB, 0/Bay HS 3.5in SAS/SATA, SR M1115, 460W p/s, Rack</t>
  </si>
  <si>
    <t>7160ECU</t>
  </si>
  <si>
    <t>Express x3530 M4, Xeon 6C E5-2440 95W 2.4GHz/1333MHz/15MB, 1x 8GB, 0/Bay HS 2.5in SAS/SATA, SR M5110, Multi-Burner, 460W p/s, Rack</t>
  </si>
  <si>
    <t>7160G2U</t>
  </si>
  <si>
    <t>x3530 M4, Xeon 8C E5-2450 95W 2.1GHz/1600MHz/20MB, 1x 4GB, 0/Bay HS 2.5in SAS/SATA, SR M5110, 675W p/s, Rack</t>
  </si>
  <si>
    <t>7160H2U</t>
  </si>
  <si>
    <t>x3530 M4, Xeon 8C E5-2470 95W 2.3GHz/1600MHz/20MB, 1x 8GB, 0/Bay HS 2.5in SAS/SATA, SR M5110, 675W p/s, Rack</t>
  </si>
  <si>
    <t>7160J2U</t>
  </si>
  <si>
    <t>x3530 M4, Xeon 8C E5-2450L 70W 1.8GHz/1600MHz/20MB, 1x 4GB, 0/Bay HS 2.5in SAS/SATA, SR M5110, 460W p/s, Rack</t>
  </si>
  <si>
    <t>791452U</t>
  </si>
  <si>
    <t>x3550 M4, Xeon 8C E5-2650L 70W 1.8GHz/1600MHz/20MB, 1X8GB, O/Bay 2.5in HS SAS/SATA, SR M5110, 550W p/s, Rack</t>
  </si>
  <si>
    <t>791462U</t>
  </si>
  <si>
    <t>x3550 M4, Xeon 8C E5-2665 115W 2.4GHz/1600MHz/20MB, 1X8GB, O/Bay 2.5in HS SAS/SATA, SR M5110, 550W p/s, Rack</t>
  </si>
  <si>
    <t>7914A2U</t>
  </si>
  <si>
    <t>x3550 M4, Xeon 4C E5-2603 80W 1.8GHz/1066MHz/10MB, 1x4GB, O/Bay 2.5in HS SATA/SAS, SR H1110, 550W p/s,Rack</t>
  </si>
  <si>
    <t>7914B2U</t>
  </si>
  <si>
    <t>x3550 M4, Xeon 4C E5-2609  80W 2.4GHz/1066MHz/10MB, 1X4GB, O/Bay 2.5in HS SAS/SATA, SR M1115, 550W p/s, Rack</t>
  </si>
  <si>
    <t>x3550 M4, Xeon 6C E5-2620  95W 2.0GHz/1333MHz/15MB, 1X8GB, O/Bay 2.5in HS SAS/SATA, SR M1115, 550W p/s, Rack</t>
  </si>
  <si>
    <t>7914C4U</t>
  </si>
  <si>
    <t>x3550 M4, Xeon 6C E5-2620  95W 2.0GHz/1333MHz/15MB, 1X8GB, O/Bay 3.5in HS SAS/SATA, SR H1110, 550W p/s, Rack</t>
  </si>
  <si>
    <t>7914D2U</t>
  </si>
  <si>
    <t>x3550 M4, Xeon 6C E5-2630 95W 2.3GHz/1333MHz/15MB, 1X8GB, O/Bay 2.5in HS SAS/SATA, SR M5110, 550W p/s, Rack</t>
  </si>
  <si>
    <t>7914EAU</t>
  </si>
  <si>
    <t>Express x3550 M4, Xeon 4C E5-2609 80W 2.4GHz/1066MHz/10MB, 1X4GB, O/Bay 2.5in HS SAS/SATA, SR M1115, Multi-Burner, 550W p/s, Rack</t>
  </si>
  <si>
    <t>7914EBU</t>
  </si>
  <si>
    <t>Express x3550 M4, Xeon 6C E5-2620 95W 2.0GHz/1333MHz/15MB, 1X8GB, O/Bay 2.5in HS SAS/SATA, SR M5110, Multi-Burner, 550W p/s, Rack</t>
  </si>
  <si>
    <t>7914ECU</t>
  </si>
  <si>
    <t>Express x3550 M4, Xeon 6C E5-2630 95W 2.3GHz/1333MHz/15MB, 1X8GB, O/Bay 2.5in HS SATA, SR M5110, Multi-Burner, 550W p/s, Rack</t>
  </si>
  <si>
    <t>7914EDU</t>
  </si>
  <si>
    <t>Express x3550 M4, Xeon 8C E5-2650 95W 2.0GHz/1600MHz/20MB 1X8GB, O/Bay 2.5in HS SAS/SATA, SR M5110, Multi-Burner, 550W p/s, Rack</t>
  </si>
  <si>
    <t>7914F2U</t>
  </si>
  <si>
    <t>x3550 M4, Xeon 6C E5-2640 95W 2.5GHz/1333MHz/15MB, 1X8GB, O/Bay 2.5in HS SAS/SATA, SR M5110, 550W p/s, Rack</t>
  </si>
  <si>
    <t>x3550 M4, Xeon 8C E5-2650  95W 2.0GHz/1600MHz/20MB, 1X8GB, O/Bay 2.5in HS SAS/SATA, SR M5110, 550W p/s, Rack</t>
  </si>
  <si>
    <t>7914H2U</t>
  </si>
  <si>
    <t>x3550 M4, Xeon 8C E5-2660 95W 2.2GHz/1600MHz/20MB, 1X8GB, O/Bay 2.5in HS SAS/SATA, SR M5110, 550W p/s, Rack</t>
  </si>
  <si>
    <t>7914J2U</t>
  </si>
  <si>
    <t>x3550 M4, Xeon 8C E5-2670 115W 2.6GHz/1600MHz/20MB, 1X8GB, O/Bay 2.5in HS SAS/SATA, SR M5110, 550W p/s, Rack</t>
  </si>
  <si>
    <t>7914L2U</t>
  </si>
  <si>
    <t>x3550 M4, Xeon 8C E5-2680 130W 2.7GHz/1600MHz/20MB, 1X8GB, O/Bay 2.5in HS SAS/SATA, SR M5110, 750W p/s, Rack</t>
  </si>
  <si>
    <t>737646U</t>
  </si>
  <si>
    <t>x3620 M3, Xeon 4C E5620 80W 2.40GHz/1066MHz/12MB, 1x8GB, 500GB 3.5in HS SATA, SR M5015, Multi-Burner, 460W p/s, Rack</t>
  </si>
  <si>
    <t>X3630 M3, Xeon 4C E5620 80W 2.40GHz/1066MHz/12MB, 1x8GB, 1x300GB 2.5in HS SAS, SR M5015, 2x675W p/s, Rack</t>
  </si>
  <si>
    <t>7158A2U</t>
  </si>
  <si>
    <t>x3630 M4  Xeon 4C E5-2403 80W 1.8GHz/1066MHz/10MB, 1x4GB, O/Bay SS 3.5in SATA, SR C105, 550W p/s, Rack</t>
  </si>
  <si>
    <t>7158A4U</t>
  </si>
  <si>
    <t>x3630 M4, Xeon 4C E5-2403 80W 1.8GHz/1066MHz/10MB, 1x 4GB, O/Bay SS 3.5in SATA, SR C105, 550W p/s, Rack</t>
  </si>
  <si>
    <t>7158B2U</t>
  </si>
  <si>
    <t>x3630 M4, Xeon 4C E5-2407 80W 2.2GHz/1066MHz/10MB, 1x 4GB, O/Bay HS 3.5in SATA, SR C105, 550W p/s, Rack</t>
  </si>
  <si>
    <t>7158B4U</t>
  </si>
  <si>
    <t>x3630 M4, Xeon 4C E5-2407 80W 2.2GHz/1066MHz/10MB, 1x 4GB, O/Bay HS 3.5in SATA, SR M1115, 750W p/s, Rack</t>
  </si>
  <si>
    <t>7158C2U</t>
  </si>
  <si>
    <t>x3630 M4,  Xeon 6C E5-2420 95W 1.9GHz/1333MHz/15MB, 1x 4GB, O/Bay HS 3.5in SATA, SR M1115, 550W p/s, Rack</t>
  </si>
  <si>
    <t>7158C4U</t>
  </si>
  <si>
    <t>x3630 M4, Xeon 6C E5-2420 95W 1.9GHz/1333MHz/15MB, 1x 8GB, 500GB HS 3.5in SATA, SR M5110, Multi-Burner, 550W p/s, Rack</t>
  </si>
  <si>
    <t>7158C6U</t>
  </si>
  <si>
    <t>x3630 M4, Xeon 6C E5-2420 95W 1.9GHz/1333MHz/15MB, 1x 8GB, 500GB HS 3.5in SATA, SR M5110, 750W p/s, Rack</t>
  </si>
  <si>
    <t>7158D2U</t>
  </si>
  <si>
    <t>x3630 M4, Xeon 6C E5-2430 95W 2.2GHz/1333MHz/15MB, 1x 4GB, O/Bay HS 3.5in SATA, SR M5110, 750W p/s, Rack</t>
  </si>
  <si>
    <t>7158EAU</t>
  </si>
  <si>
    <t>Express x3630 M4, Xeon 4C E5-2407 80W 2.2GHz/1066MHz/10MB, 1x 8GB, O/Bay HS 3.5in SATA, SR M5110, Multi-Burner, 550W p/s, Rack</t>
  </si>
  <si>
    <t>7158EBU</t>
  </si>
  <si>
    <t>Express x3630 M4, Xeon 6C E5-2420 95W 1.9GHz/1333MHz/15MB, 1x 8GB, O/Bay HS 3.5in SATA, SR M5110, Multi-Burner, 550W p/s, Rack</t>
  </si>
  <si>
    <t>7158ECU</t>
  </si>
  <si>
    <t>Express x3630 M4, Xeon 6C E5-2440 95W 2.4GHz/1333MHz/15MB, 1x 8GB, O/Bay HS 3.5in SATA, SR M5110, Multi-Burner, 550W p/s, Rack</t>
  </si>
  <si>
    <t>7158F2U</t>
  </si>
  <si>
    <t>x3630 M4, Xeon 6C E5-2440 95W 2.4GHz/1333MHz/15MB, 1x 4GB, O/Bay HS 3.5in SATA, SR M5110, 750W p/s, Rack</t>
  </si>
  <si>
    <t>7158F4U</t>
  </si>
  <si>
    <t>x3630 M4, Xeon 6C E5-2440 95W 2.4GHz/1333MHz/15MB, 1x 4GB, O/Bay HS 3.5in SATA, SR M5110, 550W p/s, Rack</t>
  </si>
  <si>
    <t>7158G2U</t>
  </si>
  <si>
    <t>x3630 M4, Xeon 8C E5-2450 95W 2.1GHz/1600MHz/20MB, 1x 4GB, O/Bay HS 3.5in SATA, SR C105, 550W p/s, Rack</t>
  </si>
  <si>
    <t>7158H2U</t>
  </si>
  <si>
    <t>x3630 M4, Xeon 8C E5-2470 95W 2.3GHz/1600MHz/20MB, 1x 8GB, O/Bay HS 3.5in SATA, SR M5110, 750W p/s, Rack</t>
  </si>
  <si>
    <t>7158J2U</t>
  </si>
  <si>
    <t>x3630 M4, Xeon 8C E5-2450L 70W 1.8GHz/1600MHz/20MB, 1x 4GB, O/Bay HS 3.5in SATA, SR M5110, 750W p/s, Rack</t>
  </si>
  <si>
    <t>545412U</t>
  </si>
  <si>
    <t>x3650 M3 HF, 2xXeon 2C X5698 130W 4.40GHz/1333MHz/12MB, 2x8GB, O/Bay HS 2.5in SAS/SATA, SR M5015, Multi-Burner, 2x675W p/s, Rack (1 Year Warranty)</t>
  </si>
  <si>
    <t>791552U</t>
  </si>
  <si>
    <t>x3650 M4, Xeon 8C E5-2650L 70W 1.8GHz/1600MHz/20MB, 1x8GB, O/Bay HS 2.5in SAS/SATA, SR M5110e, 550W p/s, Rack</t>
  </si>
  <si>
    <t>791562U</t>
  </si>
  <si>
    <t>x3650 M4, Xeon 8C E5-2665 115W 2.4GHz/1600MHz/20MB, 1x8GB, O/Bay HS 2.5in SAS/SATA, SR M5110e, 750W p/s, Rack</t>
  </si>
  <si>
    <t>7915A2U</t>
  </si>
  <si>
    <t>x3650 M4, Xeon 4C E5-2603 80W 1.8GHz/1066MHz/10MB, 1x4GB, O/Bay HS 2.5in SAS/SATA, SR M5110e, 550W p/s, Rack</t>
  </si>
  <si>
    <t>7915B2U</t>
  </si>
  <si>
    <t>x3650 M4, Xeon 4C E5-2609 80W 2.4GHz/1066MHz/10MB, 1x4GB, O/Bay HS 2.5in SAS/SATA, SR M5110e, 550W p/s, Rack</t>
  </si>
  <si>
    <t>x3650 M4, Xeon 6C E5-2620 95W 2.0GHz/1333MHz/15MB, 1x8GB, O/Bay HS 2.5in SAS/SATA, SR M5110e, 550W p/s, Rack</t>
  </si>
  <si>
    <t>7915C4U</t>
  </si>
  <si>
    <t>x3650 M4, Xeon 6C E5-2620 95W 2.0GHz/1333MHz/15MB, 1x8GB, O/Bay HS 3.5in SAS/SATA, SR M5110e, 550W p/s, Rack</t>
  </si>
  <si>
    <t>7915D2U</t>
  </si>
  <si>
    <t>x3650 M4, Xeon 6C E5-2630 95W 2.3GHz/1333MHz/15MB, 1x8GB, O/Bay HS 2.5in SAS/SATA, SR M5110e, 750W p/s, Rack</t>
  </si>
  <si>
    <t>7915EAU</t>
  </si>
  <si>
    <t>Express x3650 M4, Xeon 4C E5-2609 80W 2.4GHz/1066MHz/10MB, 1x4GB, O/Bay HS 2.5in SAS/SATA, SR M5110e, Multi-Burner, 550W p/s, Rack</t>
  </si>
  <si>
    <t>7915EBU</t>
  </si>
  <si>
    <t>Express x3650 M4, Xeon 6C E5-2620 95W 2.0GHz/1333MHz/15MB, 1x8GB, O/Bay HS 2.5in SAS/SATA, SR M5110e, Multi-Burner, 550W p/s, Rack</t>
  </si>
  <si>
    <t>7915ECU</t>
  </si>
  <si>
    <t>Express x3650 M4, Xeon 6C E5-2630 95W 2.3GHz/1333MHz/15MB, 1x8GB, O/Bay HS 2.5in SAS/SATA, SR M5110e, Multi-Burner, 750W p/s, Rack</t>
  </si>
  <si>
    <t>Express x3650 M4, Xeon 6C E5-2640 95W 2.5GHz/1333MHz/15MB, 2x8GB, O/Bay HS 2.5in SAS/SATA, SR M5110e, Multi-Burner, 2x750W p/s, Rack</t>
  </si>
  <si>
    <t>7915EEU</t>
  </si>
  <si>
    <t>Express x3650 M4,  Xeon 8C E5-2650 95W 2.0GHz/1600MHz/20MB, 1x8GB, O/Bay HS 2.5in SAS/SATA,SR M5110e, Multi-Burner, 750W p/s, Rack</t>
  </si>
  <si>
    <t>7915F2U</t>
  </si>
  <si>
    <t>x3650 M4, Xeon 6C E5-2640 95W 2.5GHz/1333MHz/15MB, 1x8GB, O/Bay HS 2.5in SAS/SATA, SR M5110e, 750W p/s, Rack</t>
  </si>
  <si>
    <t>7915G2U</t>
  </si>
  <si>
    <t>x3650 M4, Xeon 8C E5-2650 95W 2.0GHz/1600MHz/20MB, 1x8GB, O/Bay HS 2.5in SAS/SATA, SR M5110e, 750W p/s, Rack</t>
  </si>
  <si>
    <t>7915H2U</t>
  </si>
  <si>
    <t>x3650 M4, Xeon 8C E5-2660 95W 2.2GHz/1600MHz/20MB, 1x8GB, O/Bay HS 2.5in SAS/SATA, SR M5110e, 750W p/s, Rack</t>
  </si>
  <si>
    <t>7915J2U</t>
  </si>
  <si>
    <t>x3650 M4, Xeon 8C E5-2670 115W 2.6GHz/1600MHz/20MB, 1x8GB, O/Bay HS 2.5in SAS/SATA, SR M5110e, 750W p/s, Rack</t>
  </si>
  <si>
    <t>7915L2U</t>
  </si>
  <si>
    <t>x3650 M4, Xeon 8C E5-2680 130W 2.7GHz/1600MHz/20MB, 1x8GB, O/Bay HS 2.5in SAS/SATA, SR M5110e, 900W p/s, Rack</t>
  </si>
  <si>
    <t>8722A1U</t>
  </si>
  <si>
    <t>x3750 M4, 2x Xeon 6C E5-4617 130W 2.9GHz/1600MHz/15MB, 2x 8GB, O/Bay HS 2.5in SATA/SAS, 1400W p/s, Rack</t>
  </si>
  <si>
    <t>8722A2U</t>
  </si>
  <si>
    <t>x3750 M4, Xeon 4C E5-4603 95W 2.0GHz/1066MHz/10MB, 8GB, O/Bay HS 1.8in SATA/SAS, HS 2.5in SATA/SAS,  1400W p/s, Rack</t>
  </si>
  <si>
    <t>8722A3U</t>
  </si>
  <si>
    <t>x3750 M4, 2x Xeon 6C E5-4607 95W 2.2GHz/1066MHz/12MB, 2x 8GB, O/Bay HS 2.5in SATA/SAS, 1400W p/s, Rack</t>
  </si>
  <si>
    <t>8722B1U</t>
  </si>
  <si>
    <t>x3750 M4, 2x Xeon 6C E5-4610 95W 2.4GHz/1333MHz/15MB, 2x 8GB, O/Bay HS 2.5in SATA/SAS, 1400W p/s, Rack</t>
  </si>
  <si>
    <t>8722B2U</t>
  </si>
  <si>
    <t>x3750 M4, 2x Xeon 8C E5-4620 95W 2.2GHz/1333MHz/16MB, 2x 8GB, O/Bay HS 1.8in SATA/SAS, 1400W p/s, Rack</t>
  </si>
  <si>
    <t>8722C1U</t>
  </si>
  <si>
    <t>x3750 M4, 2x Xeon 8C E5-4640 95W 2.4GHz/1600MHz/20MB, 2x 8GB, O/Bay HS 2.5in SATA/SAS, 1400W p/s, Rack</t>
  </si>
  <si>
    <t>8722C2U</t>
  </si>
  <si>
    <t>x3750 M4, 2x Xeon 8C E5-4650 130W 2.7GHz/1600MHz/20MB, 2x 8GB, O/Bay HS 2.5in SATA/SAS, 1400W p/s, Rack</t>
  </si>
  <si>
    <t>8722D1U</t>
  </si>
  <si>
    <t>x3750 M4, 4x Xeon 6C E5-4610 95W 2.4GHz/1333MHz/15MB, 24x 8GB, 16x 200GB HS 1.8in SATA, SR M5110, 2x 1400W p/s, Rack</t>
  </si>
  <si>
    <t>8722D2U</t>
  </si>
  <si>
    <t>x3750 M4, 4x Xeon 8C E5-4650 130W 2.7GHz/1600MHz/20MB, 24x 16GB, 32x 200GB HS 1.8in SATA, 3x SR M5110, 2x 1400W p/s, Rack</t>
  </si>
  <si>
    <t>7164A2U</t>
  </si>
  <si>
    <t>x3755 M3, 4xAMD Opteron 16C 6282SE 140W 2.6GHz/16MB, 8x4GB, O/Bay HS 3.5in SATA/SAS, SR M5015, 2x1100W p/s, Rack</t>
  </si>
  <si>
    <t>7164B2U</t>
  </si>
  <si>
    <t>x3755 M3, 4xAMD Opteron 16C 6276 115W 2.3GHz/16MB, 8x4GB, O/Bay HS 3.5in SATA/SAS, SR M5015, 1100W p/s, Rack</t>
  </si>
  <si>
    <t>7164D2U</t>
  </si>
  <si>
    <t>x3755 M3, 4xAMD Opteron 16C 6272 115W 2.1GHz/16MB, 8x4GB, O/Bay HS 3.5in SATA/SAS, SR M1015, 1100W p/s, Rack</t>
  </si>
  <si>
    <t>7164G2U</t>
  </si>
  <si>
    <t>x3755 M3, 4xAMD Opteron 12C 6234 115W 2.4GHz/16MB, 8x4GB, O/Bay HS 3.5in SATA/SAS, SR M1015, 1100W p/s, Rack</t>
  </si>
  <si>
    <t>7164J2U</t>
  </si>
  <si>
    <t>x3755 M3, 4xAMD Opteron 8C 6220 115W 3.0GHz/16MB, 8x4GB, O/Bay HS 3.5in SATA/SAS, SR M1015, 1100W p/s, Rack</t>
  </si>
  <si>
    <t>7164L2U</t>
  </si>
  <si>
    <t>x3755 M3, 4xAMD Opteron 16C 6262HE 85W 1.6GHz/16MB, 8x4GB, O/Bay HS 3.5in SATA/SAS, SR M1015, 1100W p/s, Rack</t>
  </si>
  <si>
    <t>7143C3U</t>
  </si>
  <si>
    <t>x3850 X5, 2xXeon 10C E7-8870 130W 2.40 GHz/30MB L3, 4x4GB, O/Bay HS 2.5in SAS, SR M1015, 2x1975W p/s, Rack</t>
  </si>
  <si>
    <t>7143F2L</t>
  </si>
  <si>
    <t>7147F2L</t>
  </si>
  <si>
    <t>7875B1U</t>
  </si>
  <si>
    <t>7875F1U</t>
  </si>
  <si>
    <t>7913A2U</t>
  </si>
  <si>
    <t>IBM iDataPlex dx360 M4 2U chassis, Rackable</t>
  </si>
  <si>
    <t>90Y5351</t>
  </si>
  <si>
    <t>AMD Opteron 16C Processor Model 6282SE 140W 2.6GHz/16MB</t>
  </si>
  <si>
    <t>90Y5352</t>
  </si>
  <si>
    <t>AMD Opteron 16C Processor Model 6276 115W 2.3GHz/16MB</t>
  </si>
  <si>
    <t>90Y5353</t>
  </si>
  <si>
    <t>AMD Opteron 16C Processor Model 6274 115W 2.2GHz/16MB</t>
  </si>
  <si>
    <t>90Y5354</t>
  </si>
  <si>
    <t>AMD Opteron 16C Processor Model 6272 115W 2.1GHz/16MB</t>
  </si>
  <si>
    <t>90Y5355</t>
  </si>
  <si>
    <t>AMD Opteron 8C Processor Model 6212 115W 2.6GHz/16MB</t>
  </si>
  <si>
    <t>90Y5356</t>
  </si>
  <si>
    <t>AMD Opteron 12C Processor Model 6238 115W 2.6GHz/16MB</t>
  </si>
  <si>
    <t>90Y5357</t>
  </si>
  <si>
    <t>AMD Opteron 12C Processor Model 6234 115W 2.4GHz/16MB</t>
  </si>
  <si>
    <t>90Y5358</t>
  </si>
  <si>
    <t>AMD Opteron 8C Processor Model 6220 115W 3.0GHz/16MB</t>
  </si>
  <si>
    <t>90Y5359</t>
  </si>
  <si>
    <t>AMD Opteron 16C Processor Model 6262HE 85W 1.6GHz/16MB</t>
  </si>
  <si>
    <t>69Y5323</t>
  </si>
  <si>
    <t>Intel Xeon 4C Processor Model E5-2603 80W 1.8GHz/1066MHz/10MB W/Fan</t>
  </si>
  <si>
    <t>69Y5325</t>
  </si>
  <si>
    <t>Intel Xeon 4C Processor Model E5-2609 80W 2.4GHz/1066MHz/10MB W/Fan</t>
  </si>
  <si>
    <t>69Y5327</t>
  </si>
  <si>
    <t>Intel Xeon 6C Processor Model E5-2630 95W 2.3GHz/1333MHz/15MB W/Fan</t>
  </si>
  <si>
    <t>69Y5328</t>
  </si>
  <si>
    <t>Intel Xeon 6C Processor Model E5-2640 95W 2.5GHz/1333MHz/15MB W/Fan</t>
  </si>
  <si>
    <t>69Y5330</t>
  </si>
  <si>
    <t>Intel Xeon 8C Processor Model E5-2660 95W 2.2GHz/1600MHz/20MB W/Fan</t>
  </si>
  <si>
    <t>Intel Xeon 8C Processor Model E5-2680 130W 2.7GHz/1600MHz/20MB W/Fan</t>
  </si>
  <si>
    <t>69Y5333</t>
  </si>
  <si>
    <t>Intel Xeon 6C Processor Model E5-2667 130W 2.9GHz/1600MHz/15MB W/Fan</t>
  </si>
  <si>
    <t>69Y5336</t>
  </si>
  <si>
    <t>Intel Xeon 8C Processor Model E5-2650L 70W 1.8GHz/1600MHz/20MB W/Fan</t>
  </si>
  <si>
    <t>69Y5672</t>
  </si>
  <si>
    <t>69Y5674</t>
  </si>
  <si>
    <t>Intel Xeon 4C Processor Model E5-2609 80W 2.40GHz/1066MHz/10MB W/Fan</t>
  </si>
  <si>
    <t>69Y5676</t>
  </si>
  <si>
    <t>69Y5677</t>
  </si>
  <si>
    <t>69Y5679</t>
  </si>
  <si>
    <t>69Y5682</t>
  </si>
  <si>
    <t>69Y5685</t>
  </si>
  <si>
    <t>81Y9292</t>
  </si>
  <si>
    <t>Intel Xeon 4C Processor Model E5-2603 80W 1.8GHz/1066MHz/10MB</t>
  </si>
  <si>
    <t>81Y9298</t>
  </si>
  <si>
    <t>Intel Xeon 8C Processor Model E5-2650 95W 2.0GHz/1600MHz/20MB</t>
  </si>
  <si>
    <t>81Y9299</t>
  </si>
  <si>
    <t>Intel Xeon 8C Processor Model E5-2660 95W 2.2GHz/1600MHz/20MB</t>
  </si>
  <si>
    <t>81Y9300</t>
  </si>
  <si>
    <t>Intel Xeon 8C Processor Model E5-2680 130W 2.7GHz/1600MHz/20MB</t>
  </si>
  <si>
    <t>81Y9302</t>
  </si>
  <si>
    <t>Intel Xeon 6C Processor Model E5-2667 130W 2.9GHz /1600MHz/15MB</t>
  </si>
  <si>
    <t>81Y9304</t>
  </si>
  <si>
    <t>Intel Xeon 6C Processor Model E5-2630L 60W 2.0GHz/1333MHz/15MB</t>
  </si>
  <si>
    <t>81Y9305</t>
  </si>
  <si>
    <t>Intel Xeon 8C Processor Model E5-2650L 70W 1.8GHz/1600MHz/20MB</t>
  </si>
  <si>
    <t>90Y5942</t>
  </si>
  <si>
    <t>Intel Xeon 4C Processor Model E5-2603 80W 1.8GHz/1066MHz/10MB Upgrade Kit</t>
  </si>
  <si>
    <t>90Y5944</t>
  </si>
  <si>
    <t>Intel Xeon 4C Processor Model E5-2609 80W 2.4GHz/1066MHz/10MB Upgrade Kit</t>
  </si>
  <si>
    <t>90Y5946</t>
  </si>
  <si>
    <t>Intel Xeon 6C Processor Model E5-2630 95W 2.3GHz/1333MHz/15MB Upgrade Kit</t>
  </si>
  <si>
    <t>90Y5947</t>
  </si>
  <si>
    <t>Intel Xeon 6C Processor Model E5-2640 95W 2.5GHz/1333MHz/15MB Upgrade Kit</t>
  </si>
  <si>
    <t>90Y5948</t>
  </si>
  <si>
    <t>Intel Xeon 8C Processor Model E5-2650 95W 2.0GHz/1600MHz/20MB Upgrade Kit</t>
  </si>
  <si>
    <t>90Y5949</t>
  </si>
  <si>
    <t>Intel Xeon 8C Processor Model E5-2660 95W 2.2GHz/1600MHz/20MB Upgrade Kit</t>
  </si>
  <si>
    <t>90Y5951</t>
  </si>
  <si>
    <t>Intel Xeon 6C Processor Model E5-2667 130W 2.9GHz/1600MHz/15MB Upgrade Kit</t>
  </si>
  <si>
    <t>90Y5953</t>
  </si>
  <si>
    <t>Intel Xeon 6C Processor Model E5-2630L 60W 2.0GHz/1333MHz/15MB Upgrade Kit</t>
  </si>
  <si>
    <t>90Y5954</t>
  </si>
  <si>
    <t>Intel Xeon 8C Processor Model E5-2650L 70W 1.8GHz/1600MHz/20MB Upgrade Kit</t>
  </si>
  <si>
    <t>90Y5955</t>
  </si>
  <si>
    <t>Intel Xeon 8C Processor Model E5-2670 115W 2.6GHz/1600MHz/20MB Upgrade Kit</t>
  </si>
  <si>
    <t>94Y6602</t>
  </si>
  <si>
    <t>Intel Xeon 8C Processor Model E5-2670 115W 2.6GHz/1600MHz/20MB W/Fan</t>
  </si>
  <si>
    <t>94Y6603</t>
  </si>
  <si>
    <t>Intel Xeon 6C Processor Model E5-2630L 60W 2.0GHz/1333MHz/15MB W/Fan</t>
  </si>
  <si>
    <t>94Y6604</t>
  </si>
  <si>
    <t>Intel Xeon 4C Processor Model E5-2643 130W 3.3GHz/1600MHz/10MB W/Fan</t>
  </si>
  <si>
    <t>94Y6685</t>
  </si>
  <si>
    <t>Intel Xeon 8C Processor Model E5-2690 135W 2.9GHz/1600MHz/20MB W/Fan</t>
  </si>
  <si>
    <t>94Y6686</t>
  </si>
  <si>
    <t>Intel Xeon 2C Processor Model E5-2637 80W 3.0GHz/1600MHz/5MB W/Fan</t>
  </si>
  <si>
    <t>94Y6687</t>
  </si>
  <si>
    <t>Intel Xeon 8C Processor Model E5-2665 115W 2.4GHz/1600MHz/20MB W/Fan</t>
  </si>
  <si>
    <t>94Y7341</t>
  </si>
  <si>
    <t>Intel Xeon 4C Processor Model E5-2643 130W 3.3GHz/1600MHz/10MB Upgrade Kit</t>
  </si>
  <si>
    <t>94Y7342</t>
  </si>
  <si>
    <t>Intel Xeon 2C Processor Model E5-2637 80W 3.0GHz/1600MHz/5MB Upgrade Kit</t>
  </si>
  <si>
    <t>94Y7343</t>
  </si>
  <si>
    <t>Intel Xeon 8C Processor Model E5-2690 135W 2.9GHz/1600MHz/20MB Upgrade Kit</t>
  </si>
  <si>
    <t>94Y7442</t>
  </si>
  <si>
    <t>Intel Xeon 8C Processor Model E5-2665 115W 2.4GHz/1600MHz/20MB Upgrade Kit</t>
  </si>
  <si>
    <t>94Y7463</t>
  </si>
  <si>
    <t>94Y7464</t>
  </si>
  <si>
    <t>94Y7465</t>
  </si>
  <si>
    <t>94Y7545</t>
  </si>
  <si>
    <t>94Y7546</t>
  </si>
  <si>
    <t>94Y7547</t>
  </si>
  <si>
    <t>94Y8562</t>
  </si>
  <si>
    <t>Intel Xeon 8C Processor Model E5-2648L 70W 1.8GHz/1600MHz/20MB</t>
  </si>
  <si>
    <t>94Y8565</t>
  </si>
  <si>
    <t>Intel Xeon 8C Processor Model E5-2658 95W 2.1GHz/1600MHz/20MB</t>
  </si>
  <si>
    <t>94Y8570</t>
  </si>
  <si>
    <t>Intel Xeon 2C Processor Model E5-2637 80W 3.0GHz/1600MHz/5MB</t>
  </si>
  <si>
    <t>94Y8571</t>
  </si>
  <si>
    <t>Intel Xeon 6C Processor Model E5-2640 95W 2.5GHz/1333MHz/15MB</t>
  </si>
  <si>
    <t>94Y8572</t>
  </si>
  <si>
    <t>Intel Xeon 6C Processor Model E5-2630 95W 2.3GHz /1333MHz/15MB</t>
  </si>
  <si>
    <t>94Y8589</t>
  </si>
  <si>
    <t>Intel Xeon 8C Processor Model E5-2670 115W 2.6GHz/1600MHz/20MB</t>
  </si>
  <si>
    <t>94Y8671</t>
  </si>
  <si>
    <t>Intel Xeon 8C Processor Model E5-2665 115W 2.4GHz/1600MHz/20MB</t>
  </si>
  <si>
    <t>88Y7324</t>
  </si>
  <si>
    <t>Intel Xeon 8C Processor Model E5-4650 130W 2.7GHz/1600MHz/20MB</t>
  </si>
  <si>
    <t>88Y7330</t>
  </si>
  <si>
    <t>Intel Xeon 8C Processor Model E5-4620 95W 2.2GHz/1333MHz/16MB</t>
  </si>
  <si>
    <t>88Y7336</t>
  </si>
  <si>
    <t>Intel Xeon 6C Processor Model E5-4610 95W 2.4GHz/1333MHz/15MB</t>
  </si>
  <si>
    <t>88Y7342</t>
  </si>
  <si>
    <t>Intel Xeon 6C Processor Model E5-4607 95W 2.2GHz/1066MHz/12MB</t>
  </si>
  <si>
    <t>88Y7348</t>
  </si>
  <si>
    <t>Intel Xeon 8C Processor Model E5-4640 95W 2.4GHz/1600MHz/20MB</t>
  </si>
  <si>
    <t>88Y7354</t>
  </si>
  <si>
    <t>Intel Xeon 6C Processor Model E5-4617 130W 2.9GHz/1600MHz/15MB</t>
  </si>
  <si>
    <t>88Y7446</t>
  </si>
  <si>
    <t>Intel Xeon 4C Processor Model E5-4603 95W 2.0GHz/1066MHz/10MB</t>
  </si>
  <si>
    <t>88Y7458</t>
  </si>
  <si>
    <t>Intel Xeon 8C Processor Model E5-4650L 115W 2.6GHz/1600MHz/20MB</t>
  </si>
  <si>
    <t>90Y4793</t>
  </si>
  <si>
    <t>Intel Xeon 8C Processor Model E5-2470 95W 2.3GHz/1600MHz/20MB</t>
  </si>
  <si>
    <t>90Y4795</t>
  </si>
  <si>
    <t>Intel Xeon 8C Processor Model E5-2450 95W 2.1GHz/1600MHz/20MB</t>
  </si>
  <si>
    <t>90Y4796</t>
  </si>
  <si>
    <t>Intel Xeon 6C Processor Model E5-2440 95W 2.4GHz/1333MHz/15MB</t>
  </si>
  <si>
    <t>90Y4797</t>
  </si>
  <si>
    <t>Intel Xeon 6C Processor Model E5-2430 95W 2.3GHz/1333MHz/15MB</t>
  </si>
  <si>
    <t>90Y4799</t>
  </si>
  <si>
    <t>Intel Xeon 6C Processor Model E5-2420 95W 1.9GHz/1333MHz/15MB</t>
  </si>
  <si>
    <t>90Y4800</t>
  </si>
  <si>
    <t>Intel Xeon 4C Processor Model E5-2407 80W 2.2GHz/1066MHz/10MB</t>
  </si>
  <si>
    <t>90Y4801</t>
  </si>
  <si>
    <t>Intel Xeon 4C Processor Model E5-2403 80W 1.8GHz/1066MHz/10MB</t>
  </si>
  <si>
    <t>90Y4804</t>
  </si>
  <si>
    <t>Intel Xeon 8C Processor Model E5-2450L 70W 1.8GHz/1600MHz/20MB</t>
  </si>
  <si>
    <t>90Y4805</t>
  </si>
  <si>
    <t>Intel Xeon 6C Processor Model E5-2430L 60W 2.0GHz/1333MHz/15MB</t>
  </si>
  <si>
    <t>90Y5284</t>
  </si>
  <si>
    <t>90Y5286</t>
  </si>
  <si>
    <t>90Y5287</t>
  </si>
  <si>
    <t>90Y5288</t>
  </si>
  <si>
    <t>Intel Xeon 6C Processor Model E5-2430 95W 2.2GHz/1333MHz/15MB</t>
  </si>
  <si>
    <t>90Y5290</t>
  </si>
  <si>
    <t>90Y5291</t>
  </si>
  <si>
    <t>90Y5292</t>
  </si>
  <si>
    <t>90Y5293</t>
  </si>
  <si>
    <t>90Y5294</t>
  </si>
  <si>
    <t>90Y6356</t>
  </si>
  <si>
    <t>90Y6361</t>
  </si>
  <si>
    <t>90Y6362</t>
  </si>
  <si>
    <t>90Y6363</t>
  </si>
  <si>
    <t>90Y6364</t>
  </si>
  <si>
    <t>90Y6365</t>
  </si>
  <si>
    <t>Intel Xeon 4C Processor Model E5-2407 80W 2.2GHz /1066MHz/10MB</t>
  </si>
  <si>
    <t>90Y6367</t>
  </si>
  <si>
    <t>90Y6368</t>
  </si>
  <si>
    <t>Intel Xeon 8C Processor Model E5-2450L 70W 1.8GHz /1600MHz/20MB</t>
  </si>
  <si>
    <t>90Y6384</t>
  </si>
  <si>
    <t>Intel Xeon 6C Processor Model E5-2430L 60W 2.0GHz /1333MHz/15MB</t>
  </si>
  <si>
    <t>94Y6288</t>
  </si>
  <si>
    <t>Intel Xeon 4C Processor Model E5-2418L 50W 2.0GHz/1333MHz/10MB</t>
  </si>
  <si>
    <t>94Y6289</t>
  </si>
  <si>
    <t>Intel Xeon 6C Processor Model E5-2828L 60W 1.8GHz/1333MHz/15MB</t>
  </si>
  <si>
    <t>94Y6290</t>
  </si>
  <si>
    <t>Intel Xeon 8C Processor Model E5-2448L 70W 1.8GHz/1600MHz/20MB</t>
  </si>
  <si>
    <t>94Y6374</t>
  </si>
  <si>
    <t>Intel Xeon 8C Processor Model E5-2470 95W 2.3GHz/1600MHz/20MB W/Fan</t>
  </si>
  <si>
    <t>94Y6375</t>
  </si>
  <si>
    <t>Intel Xeon 8C Processor Model E5-2450 95W 2.1GHz/1600MHz/20MB W/Fan</t>
  </si>
  <si>
    <t>94Y6376</t>
  </si>
  <si>
    <t>Intel Xeon 6C Processor Model E5-2440 95W 2.4GHz/1333MHz/15MB W/Fan</t>
  </si>
  <si>
    <t>94Y6377</t>
  </si>
  <si>
    <t>Intel Xeon 6C Processor Model E5-2430 95W 2.2GHz/1333MHz/15MB W/Fan</t>
  </si>
  <si>
    <t>94Y6378</t>
  </si>
  <si>
    <t>Intel Xeon 6C Processor Model E5-2420 95W 1.9GHz/1333MHz/15MB W/Fan</t>
  </si>
  <si>
    <t>94Y6379</t>
  </si>
  <si>
    <t>Intel Xeon 4C Processor Model E5-2407 80W 2.2GHz /1066MHz/10MB W/Fan</t>
  </si>
  <si>
    <t>94Y6380</t>
  </si>
  <si>
    <t>Intel Xeon 4C Processor Model E5-2403 80W 1.8GHz/1066MHz/10MB W/Fan</t>
  </si>
  <si>
    <t>94Y6381</t>
  </si>
  <si>
    <t>Intel Xeon 8C Processor Model E5-2450L 70W 1.8GHz /1600MHz/20MB W/Fan</t>
  </si>
  <si>
    <t>94Y6382</t>
  </si>
  <si>
    <t>Intel Xeon 6C Processor Model E5-2430L 60W 2.0GHz /1333MHz/15MB W/Fan</t>
  </si>
  <si>
    <t>16GB (1x16GB,1.5V) PC3-10600 CL9 ECC DDR3 1333MHz LP HyperCloud DIMM</t>
  </si>
  <si>
    <t>90Y3221</t>
  </si>
  <si>
    <t>16GB (1x16GB, 4Rx4, 1.35V) PC3L-8500 CL7 ECC DDR-3 1066MHz VLP RDIMM</t>
  </si>
  <si>
    <t>00D4955</t>
  </si>
  <si>
    <t>4GB (1x4GB, 2Rx8, 1.5V) PC3-12800 CL11 ECC DDR3 1600MHz LP UDIMM</t>
  </si>
  <si>
    <t>00D4959</t>
  </si>
  <si>
    <t>8GB (2x4GB, 2Rx8, 1.5V) PC3-12800 CL11 ECC DDR3 1600MHz LP UDIMM</t>
  </si>
  <si>
    <t>00D4968</t>
  </si>
  <si>
    <t>16GB (1x16GB, 2Rx4, 1.5V) PC3-12800 CL11 ECC DDR3 1600MHz LP RDIMM</t>
  </si>
  <si>
    <t>49Y1567</t>
  </si>
  <si>
    <t>16GB (1x16GB, 4Rx4, 1.35V) PC3L-10600 CL9 ECC DDR3 1333MHz LP LRDIMM</t>
  </si>
  <si>
    <t>90Y8663</t>
  </si>
  <si>
    <t>IBM 256GB SATA 2.5in MLC SS Entry SSD</t>
  </si>
  <si>
    <t>90Y8668</t>
  </si>
  <si>
    <t>IBM 128GB SATA 2.5in MLC SS Entry SSD</t>
  </si>
  <si>
    <t>81Y9790</t>
  </si>
  <si>
    <t>IBM 1TB 7.2K 6Gbps NL SATA 3.5in G2HS HDD</t>
  </si>
  <si>
    <t>81Y9794</t>
  </si>
  <si>
    <t>IBM 2TB 7.2K 6Gbps NL SATA 3.5in G2HS HDD</t>
  </si>
  <si>
    <t>81Y9798</t>
  </si>
  <si>
    <t>IBM 3TB 3.5in 7.2K 6Gbps HS SATA HDD</t>
  </si>
  <si>
    <t>81Y9802</t>
  </si>
  <si>
    <t>IBM 500GB 7.2K 6Gbps NL SATA 3.5in G2SS HDD</t>
  </si>
  <si>
    <t>81Y9806</t>
  </si>
  <si>
    <t>IBM 1TB 3.5in 7.2K 6Gbps SS SATA HDD</t>
  </si>
  <si>
    <t>81Y9810</t>
  </si>
  <si>
    <t>IBM 2TB 7.2K 6Gbps NL SATA 3.5in G2SS HDD</t>
  </si>
  <si>
    <t>81Y9814</t>
  </si>
  <si>
    <t>IBM 3TB 3.5in 7.2K 6Gbps SS SATA HDD</t>
  </si>
  <si>
    <t>90Y8567</t>
  </si>
  <si>
    <t>IBM 1TB 7.2K 6Gbps NL SAS 3.5in G2HS HDD</t>
  </si>
  <si>
    <t>90Y8572</t>
  </si>
  <si>
    <t>IBM 2TB 7.2K 6Gbps NL SAS 3.5in G2HS HDD</t>
  </si>
  <si>
    <t>90Y8577</t>
  </si>
  <si>
    <t>IBM 3TB 7.2K 6Gbps NL SAS 3.5in G2HS HDD</t>
  </si>
  <si>
    <t>90Y8890</t>
  </si>
  <si>
    <t>IBM 600GB 10K 6Gbps SAS 2.5in SFF G2SS HDD</t>
  </si>
  <si>
    <t>90Y8895</t>
  </si>
  <si>
    <t>IBM 300GB 10K 6Gbps SAS 2.5in SFF G2SS HDD</t>
  </si>
  <si>
    <t>90Y8913</t>
  </si>
  <si>
    <t>IBM 300GB 2.5in SFF 10K 6Gbps HS SAS SED</t>
  </si>
  <si>
    <t>90Y8935</t>
  </si>
  <si>
    <t>IBM 146GB 15K 6Gbps SAS 2.5in SFF G2SS HDD</t>
  </si>
  <si>
    <t>90Y8944</t>
  </si>
  <si>
    <t>IBM 146GB 15K 6Gbps SAS 2.5in SFF G2HS SED</t>
  </si>
  <si>
    <t>00D2786</t>
  </si>
  <si>
    <t>IBM RDX 320 GB Internal USB 3.0 Drive</t>
  </si>
  <si>
    <t>00D2787</t>
  </si>
  <si>
    <t>IBM RDX 500 GB Internal USB 3.0 Drive</t>
  </si>
  <si>
    <t>00D2788</t>
  </si>
  <si>
    <t>IBM RDX 1 TB Internal USB 3.0 Drive</t>
  </si>
  <si>
    <t>36251TY</t>
  </si>
  <si>
    <t>IBM RDX 1 TB External USB 3.0 Drive</t>
  </si>
  <si>
    <t>362532Y</t>
  </si>
  <si>
    <t>IBM RDX 320 GB External USB 3.0 Drive</t>
  </si>
  <si>
    <t>362550Y</t>
  </si>
  <si>
    <t>IBM RDX 500 GB External USB 3.0 Drive</t>
  </si>
  <si>
    <t>46C2622</t>
  </si>
  <si>
    <t>USB DAT160 Tape Drive (Power Sys)</t>
  </si>
  <si>
    <t>46C2623</t>
  </si>
  <si>
    <t>SAS DAT160 Tape Drive</t>
  </si>
  <si>
    <t>46C2654</t>
  </si>
  <si>
    <t>RDX 2.0 Dock/500GB Cart Bundle</t>
  </si>
  <si>
    <t>46C2655</t>
  </si>
  <si>
    <t>RDX 2.0 Dock/1.0TB Cart Bundle</t>
  </si>
  <si>
    <t>46C2656</t>
  </si>
  <si>
    <t>RDX 3.0 Dock/320GB Cart Bundle</t>
  </si>
  <si>
    <t>46C2657</t>
  </si>
  <si>
    <t>RDX 3.0 Dock/500GB Cart Bundle</t>
  </si>
  <si>
    <t>46C2658</t>
  </si>
  <si>
    <t>RDX 3.0 Dock/1.0TB Cart Bundle</t>
  </si>
  <si>
    <t>ServeRAID M5100 Series 512MB Cache/RAID 5 Upgrade for IBM System x</t>
  </si>
  <si>
    <t>ServeRAID M5100 Series 512MB Flash/RAID 5 Upgrade for IBM System x</t>
  </si>
  <si>
    <t>ServeRAID M5100 Series Zero Cache/RAID 5 Upgrade for IBM System x</t>
  </si>
  <si>
    <t>ServeRAID M5100 Series 1GB Flash/RAID 5 Upgrade for IBM System x</t>
  </si>
  <si>
    <t>ServeRAID M1100 Series Zero Cache/RAID 5 Upgrade for IBM System x</t>
  </si>
  <si>
    <t>ServeRAID M5100 Series RAID 6 Upgrade for IBM System x</t>
  </si>
  <si>
    <t>90Y4273</t>
  </si>
  <si>
    <t>ServeRAID M5100 Series SSD Performance Key for IBM System x</t>
  </si>
  <si>
    <t>90Y4318</t>
  </si>
  <si>
    <t>ServeRAID M5100 Series SSD Caching Key for IBM System x</t>
  </si>
  <si>
    <t>95Y3750</t>
  </si>
  <si>
    <t>Mellanox ConnectX-2 Dual-port QSFP QDR IB Adapter for IBM System x</t>
  </si>
  <si>
    <t>49Y7910</t>
  </si>
  <si>
    <t>Broadcom NetXtreme II Dual Port 10GBaseT Adapter for IBM System x</t>
  </si>
  <si>
    <t>90Y9352</t>
  </si>
  <si>
    <t>Broadcom NetXtreme I Quad Port GbE Adapter for IBM System x</t>
  </si>
  <si>
    <t>90Y9370</t>
  </si>
  <si>
    <t>Broadcom NetXtreme I Dual Port GbE Adapter for IBM System x</t>
  </si>
  <si>
    <t>90Y6338</t>
  </si>
  <si>
    <t>Mellanox ConnectX-3 Dual Port QDR/FDR10 Mezz Card</t>
  </si>
  <si>
    <t>81Y1655</t>
  </si>
  <si>
    <t>Emulex 16Gb FC Single-port HBA for IBM System x</t>
  </si>
  <si>
    <t>81Y1662</t>
  </si>
  <si>
    <t>Emulex 16Gb FC Dual-port HBA for IBM System x</t>
  </si>
  <si>
    <t>81Y1668</t>
  </si>
  <si>
    <t>Brocade 16Gb FC Single-port HBA for IBM System x</t>
  </si>
  <si>
    <t>81Y1675</t>
  </si>
  <si>
    <t>Brocade 16Gb FC Dual-port HBA for IBM System x</t>
  </si>
  <si>
    <t>49Y7970</t>
  </si>
  <si>
    <t>Intel X540-T2 Dual Port 10GBaseT Adapter for IBM System x</t>
  </si>
  <si>
    <t>88Y7427</t>
  </si>
  <si>
    <t>IBM Dual port 10Gb-T Ethernet Adapter Card</t>
  </si>
  <si>
    <t>7309CF9</t>
  </si>
  <si>
    <t>IBM System Networking RackSwitch G8264T (front to rear)</t>
  </si>
  <si>
    <t>7309CR9</t>
  </si>
  <si>
    <t>IBM System Networking RackSwitch G8264T (rear to front)</t>
  </si>
  <si>
    <t>8036AFX</t>
  </si>
  <si>
    <t>8036ARX</t>
  </si>
  <si>
    <t>90Y9314</t>
  </si>
  <si>
    <t>Intel Ethernet Adapter Powerville - 4 port upgrade</t>
  </si>
  <si>
    <t>00D4412</t>
  </si>
  <si>
    <t>675W Power Supply-HE (Redundant)</t>
  </si>
  <si>
    <t>00D4413</t>
  </si>
  <si>
    <t>460W Power Supply(Redundant)</t>
  </si>
  <si>
    <t>93634EX</t>
  </si>
  <si>
    <t>IBM 42U 1100mm Enterprise V2 Dynamic Expansion Rack</t>
  </si>
  <si>
    <t>93634PX</t>
  </si>
  <si>
    <t>IBM 42U 1100mm Enterprise V2 Dynamic Rack</t>
  </si>
  <si>
    <t>175642X</t>
  </si>
  <si>
    <t>IBM Rear Door Heat eXchanger V2</t>
  </si>
  <si>
    <t>3TB 3.5in 7,200 rpm 6Gb NL SAS HDD</t>
  </si>
  <si>
    <t>200GB 2.5in SAS SSD</t>
  </si>
  <si>
    <t>400GB 2.5in SAS SSD</t>
  </si>
  <si>
    <t>900GB 2.5in 10,000 rpm 6Gb SAS HDD</t>
  </si>
  <si>
    <t>81Y9944</t>
  </si>
  <si>
    <t>300GB 2.5in 15,000 rpm 6Gb SAS HDD (EXP2500)</t>
  </si>
  <si>
    <t>81Y9948</t>
  </si>
  <si>
    <t>900GB 2.5in 10,000 rpm 6Gb SAS HDD (EXP2500)</t>
  </si>
  <si>
    <t>81Y9956</t>
  </si>
  <si>
    <t>200GB 2.5in SAS SSD (EXP2500)</t>
  </si>
  <si>
    <t>81Y9960</t>
  </si>
  <si>
    <t>400GB 2.5in SAS SSD (EXP2500)</t>
  </si>
  <si>
    <t>90Y8720</t>
  </si>
  <si>
    <t>3TB  3.5in 7,200 rpm 6Gb NL SAS HDD (EXP2500)</t>
  </si>
  <si>
    <t>81Y2486</t>
  </si>
  <si>
    <t>900GB 10,000 RPM FC-SAS Disk Drive Module</t>
  </si>
  <si>
    <t>81Y2488</t>
  </si>
  <si>
    <t>300GB 10,000 RPM FC-SAS Disk Drive Module</t>
  </si>
  <si>
    <t>81Y9891</t>
  </si>
  <si>
    <t>300GB 2.5in 15K 6Gb SAS HDD</t>
  </si>
  <si>
    <t>5608-R58</t>
  </si>
  <si>
    <t>MHC</t>
  </si>
  <si>
    <t>Power 520</t>
  </si>
  <si>
    <t>E4A</t>
  </si>
  <si>
    <t>E8A</t>
  </si>
  <si>
    <t>E6C</t>
  </si>
  <si>
    <t>Power 560</t>
  </si>
  <si>
    <t>EMA</t>
  </si>
  <si>
    <t>MMC</t>
  </si>
  <si>
    <t>M50</t>
  </si>
  <si>
    <t>9179-MHC</t>
  </si>
  <si>
    <t>9406-MMA</t>
  </si>
  <si>
    <t>8203-E4A</t>
  </si>
  <si>
    <t>8204-E8A</t>
  </si>
  <si>
    <t>8205-E6C</t>
  </si>
  <si>
    <t>8234-EMA</t>
  </si>
  <si>
    <t>9117-MMC</t>
  </si>
  <si>
    <t>9409-M50</t>
  </si>
  <si>
    <t>SVC Software Tivoli Productivity Center Base</t>
  </si>
  <si>
    <t>IBM XIV Storage System Software</t>
  </si>
  <si>
    <t>IBM TotalStorage SAN Volume Controller Storage Engine Enterprise</t>
  </si>
  <si>
    <t>Cisco MDS 9148 Fabric Switch for IBM System Storage</t>
  </si>
  <si>
    <t>5773</t>
  </si>
  <si>
    <t>5771</t>
  </si>
  <si>
    <t>5765</t>
  </si>
  <si>
    <t>5692</t>
  </si>
  <si>
    <t>5761</t>
  </si>
  <si>
    <t>5770</t>
  </si>
  <si>
    <t>5733</t>
  </si>
  <si>
    <t>5660</t>
  </si>
  <si>
    <t>5662</t>
  </si>
  <si>
    <t>5663</t>
  </si>
  <si>
    <t>5648</t>
  </si>
  <si>
    <t>5798</t>
  </si>
  <si>
    <t>5619</t>
  </si>
  <si>
    <t>5372</t>
  </si>
  <si>
    <t>5724</t>
  </si>
  <si>
    <t>Porcentaje de mantenimiento sobre el precio de venta final del Hw</t>
  </si>
  <si>
    <t>51J9035</t>
  </si>
  <si>
    <t>Descuento negocio</t>
  </si>
  <si>
    <t>C/U Equipo</t>
  </si>
  <si>
    <t>C/T mant.</t>
  </si>
  <si>
    <t>Porcentaje mant.</t>
  </si>
  <si>
    <t>C/U mant.</t>
  </si>
  <si>
    <t>3959-SM2</t>
  </si>
  <si>
    <t>2582EHU</t>
  </si>
  <si>
    <t>Express x3100 M4, Xeon 4C E3-1220v2 69W 3.1GHz/1600MHz/8MB, 1x4GB, 1x250GB SS 3.5in SATA, SR C100, Multi-Burner, 350W p/s, Tower</t>
  </si>
  <si>
    <t>2582F4U</t>
  </si>
  <si>
    <t>2583ECU</t>
  </si>
  <si>
    <t>Express x3250 M4, Xeon 4C E3-1220v2 69W 3.1GHz/1600MHz/8MB, 1x4GB, O/Bay SS 3.5in SATA, SR C100, Multi-Burner, 300W p/s, Rack</t>
  </si>
  <si>
    <t>49Y6092</t>
  </si>
  <si>
    <t>IBM 300GB 15K 6Gbps SAS 3.5" G2HS HDD</t>
  </si>
  <si>
    <t>49Y6097</t>
  </si>
  <si>
    <t>IBM 450GB 15K 6Gbps SAS 3.5" G2HS HDD</t>
  </si>
  <si>
    <t>49Y6102</t>
  </si>
  <si>
    <t>IBM 600GB 15K 6Gbps SAS 3.5" G2HS HDD</t>
  </si>
  <si>
    <t>8721A1U</t>
  </si>
  <si>
    <t>8731A1L</t>
  </si>
  <si>
    <t>7906A2U</t>
  </si>
  <si>
    <t>7906B2U</t>
  </si>
  <si>
    <t>7906C2U</t>
  </si>
  <si>
    <t>7906D2U</t>
  </si>
  <si>
    <t>7906G2U</t>
  </si>
  <si>
    <t>7906G4U</t>
  </si>
  <si>
    <t>7906H2U</t>
  </si>
  <si>
    <t>7906J2U</t>
  </si>
  <si>
    <t>7906L2U</t>
  </si>
  <si>
    <t>7906F2U</t>
  </si>
  <si>
    <t>8737F2U</t>
  </si>
  <si>
    <t>2582EJU</t>
  </si>
  <si>
    <t>Express x3100 M4, Xeon 4C E3-1230v2 69W 3.3GHz/1600MHz/8MB, 1x4GB, 1x250GB SS 3.5in SATA, SR C100, Multi-Burner, 350W p/s, Tower</t>
  </si>
  <si>
    <t>x3100 M4, Xeon 4C E3-1270v2 69W 3.5GHz/1600MHz/8MB, 1x4GB, O/Bay HS 2.5in SAS/SATA, SR M1015, DVD-ROM, 430W p/s, Tower</t>
  </si>
  <si>
    <t>732842U</t>
  </si>
  <si>
    <t>x3200 M3, Xeon 4C X3440 2.53GHz/1333MHz/8MB L2, 2x1GB, O/Bay HS 3.5in SAS/SATA, SR BR10il, Half-High SATA DVD-ROM, 401W p/s, Tower</t>
  </si>
  <si>
    <t>732854U</t>
  </si>
  <si>
    <t>x3200 M3, Xeon 4C X3450 2.67GHz/1333MHz/8MB L2, 2x1GB, O/Bay HS 3.5in SAS/SATA, SR BR10il, Half-High SATA DVD-ROM, 2x430W p/s, Tower</t>
  </si>
  <si>
    <t>732862U</t>
  </si>
  <si>
    <t>x3200 M3, Xeon 4C X3460 2.8GHz/1333MHz/8MB L2, 2x1GB, O/Bay HS 3.5in SAS/SATA, SR BR10il, Half-High SATA DVD-ROM, 401W p/s, Tower</t>
  </si>
  <si>
    <t>7328C1U</t>
  </si>
  <si>
    <t>x3200 M3, Xeon 4C X3430 2.4GHz/1333MHz/8MB L2, 2x1GB, O/Bay SS 3.5in SATA, Half-High SATA DVD-ROM, 401W p/s, Tower</t>
  </si>
  <si>
    <t>7328C2U</t>
  </si>
  <si>
    <t>x3200 M3, Xeon 4C X3430 2.4GHz/1333MHz/8MB L2, 2x1GB, O/Bay HS 3.5in SAS/SATA, SR BR10il, Half-High SATA DVD-ROM, 401W p/s, Tower</t>
  </si>
  <si>
    <t>7328E3U</t>
  </si>
  <si>
    <t>Express x3200 M3, Xeon 4C X3430 2.4GHz/1333MHz/8MB, 2x4GB,  O/Bay HS 3.5in SAS/SATA, SR BR10il, Half-High SATA DVD-ROM, 401W p/s, Tower</t>
  </si>
  <si>
    <t>7328E6U</t>
  </si>
  <si>
    <t>Express x3200 M3, Xeon 4C X3430 2.4GHz/1333MHz/8MB, 2x2GB, O/Bay HS 3.5in SAS/SATA, SR BR10il, Multi-Burner, 401W p/s, Tower</t>
  </si>
  <si>
    <t>7328A2U</t>
  </si>
  <si>
    <t>x3200 M3, Pentium 2C G6950 73W 2.8GHz/1333MHz/3MB, 1x1GB, O/Bay SS 3.5in SATA, DVD-ROM, 401W p/s, Tower</t>
  </si>
  <si>
    <t>7328B2U</t>
  </si>
  <si>
    <t>x3200 M3, Core 2C i3-540 73W 3.06GHz/1333MHz/4MB, 1x1GB, O/Bay SS 3.5in SATA, DVD-ROM, 401W p/s, Tower</t>
  </si>
  <si>
    <t>7382C2U</t>
  </si>
  <si>
    <t>x3300 M4, Xeon 6C E5-2420 95W 1.9GHz/1333MHz/15MB, 1x 4GB, O/Bay HS 3.5in SAS/SATA, SR H1110, DVD-ROM, 460W p/s, Tower</t>
  </si>
  <si>
    <t>7382D2U</t>
  </si>
  <si>
    <t>x3300 M4, Xeon 6C E5-2430 95W 2.2GHz/1333MHz/15MB, 1x 4GB, O/Bay HS 3.5in SAS/SATA, SR H1110, DVD-ROM, 550W p/s, Tower</t>
  </si>
  <si>
    <t>7382D4U</t>
  </si>
  <si>
    <t>x3300 M4, Xeon 6C E5-2430 95W 2.2GHz/1333MHz/15MB, 1x 4GB, O/Bay HS 2.5in SATA/SAS, SR M1115, DVD-ROM, 550W p/s, Tower</t>
  </si>
  <si>
    <t>7382EAU</t>
  </si>
  <si>
    <t>Express x3300 M4, Xeon 4C E5-2407 80W 2.2GHz/1066MHz/10MB, 1x 8GB, O/Bay HS 3.5in SATA/SAS, SR M1115, DVD-ROM, 460W p/s, Tower</t>
  </si>
  <si>
    <t>7382EBU</t>
  </si>
  <si>
    <t>Express x3300 M4, Xeon 6C E5-2420 95W 1.9GHz/1333MHz/15MB, 1x 8GB, O/Bay HS 3.5in SATA/SAS, SR M1115, DVD-ROM, 550W p/s, Tower</t>
  </si>
  <si>
    <t>7382ECU</t>
  </si>
  <si>
    <t>Express x3300 M4, Xeon 6C E5-2440 95W 2.4GHz/1333MHz/15MB, 1x 8GB, O/Bay HS 2.5in SATA/SAS, SR M1115, DVD-ROM, 550W p/s, Tower</t>
  </si>
  <si>
    <t>7382F2U</t>
  </si>
  <si>
    <t>x3300 M4, Xeon 6C E5-2440 95W 2.4GHz/1333MHz/15MB, 1x 4GB, O/Bay HS 2.5in SATA/SAS, SR M1115, DVD-ROM, 550W p/s, Tower</t>
  </si>
  <si>
    <t>2583EDU</t>
  </si>
  <si>
    <t>Express x3250 M4, Xeon 4C E3-1230v2 69W 3.3GHz/1600MHz/8MB, 1x4GB, O/Bay HS 2.5in SAS, SR H1110, Multi-Burner, 460W p/s, Rack</t>
  </si>
  <si>
    <t>791432U</t>
  </si>
  <si>
    <t>x3550 M4, Xeon 4C E5-2643 130W 3.3GHz/1600MHz/10MB, 1X4GB, O/Bay 2.5in HS SAS/SATA, SR M5110, 750W p/s, Rack</t>
  </si>
  <si>
    <t>7914DDU</t>
  </si>
  <si>
    <t>x3550 M4, Xeon 6C E5-2620 95W 2.0GHz/1333MHz/15MB, 8X4GB, 2x600GB 2.5in HS SAS, SR M5110, Multi-Burner, 550W p/s, Rack</t>
  </si>
  <si>
    <t>7914M2U</t>
  </si>
  <si>
    <t>x3550 M4, Xeon 8C E5-2690 135W 2.9GHz/1600MHz/20MB, 1X4GB, O/Bay 2.5in HS SAS/SATA, SR M5110, 750W p/s, Rack</t>
  </si>
  <si>
    <t>791532U</t>
  </si>
  <si>
    <t>x3650 M4, Xeon 4C E5-2643 130W 3.3GHz/1600MHz/10MB, 1X4GB, O/Bay 2.5in HS SAS/SATA, SR M5110e, 900W p/s, Rack</t>
  </si>
  <si>
    <t>7915GSU</t>
  </si>
  <si>
    <t>x3650 M4, Xeon 8C E5-2650 95W 2.0GHz/1600MHz/20MB, 4X8GB, 7X600GB, 1x1TB, 2.5in HS SAS/SATA, SR M5110e, 2x750W p/s, Rack</t>
  </si>
  <si>
    <t>7915M2U</t>
  </si>
  <si>
    <t>x3650 M4, Xeon 8C E5-2690 135W 2.9GHz/1600MHz/20MB, 1X4GB, O/Bay  2.5in HS SAS/SATA, SR M5110e, 900W p/s, Rack</t>
  </si>
  <si>
    <t>46C9206</t>
  </si>
  <si>
    <t>Intel Xeon 4C Processor Model E5-2643 130W 3.3GHz/1600MHz/10MB</t>
  </si>
  <si>
    <t>00D2581</t>
  </si>
  <si>
    <t>Intel Xeon Processor E5-2403 4C 1.8GHz 10MB 80W Upgrade Kit</t>
  </si>
  <si>
    <t>00D2582</t>
  </si>
  <si>
    <t>Intel Xeon Processor E5-2407 4C 2.2GHz 10MB 80W Upgrade Kit</t>
  </si>
  <si>
    <t>00D2583</t>
  </si>
  <si>
    <t>Intel Xeon Processor E5-2420 6C 1.9GHz 15MB 95W Upgrade Kit</t>
  </si>
  <si>
    <t>00D2584</t>
  </si>
  <si>
    <t>Intel Xeon Processor E5-2430 6C 2.2GHz 15MB 95W Upgrade Kit</t>
  </si>
  <si>
    <t>00D2585</t>
  </si>
  <si>
    <t>Intel Xeon Processor E5-2440 6C 2.4GHz 15MB 95W Upgrade Kit</t>
  </si>
  <si>
    <t>00D2586</t>
  </si>
  <si>
    <t>Intel Xeon Processor E5-2430L 6C 2.0GHz 15MB 60W Upgrade Kit</t>
  </si>
  <si>
    <t>00D2587</t>
  </si>
  <si>
    <t>Intel Xeon Processor E5-2450L 8C 1.8GHz 20MB 70W Upgrade Kit</t>
  </si>
  <si>
    <t>00D2588</t>
  </si>
  <si>
    <t>Intel Xeon Processor E5-2450 8C 2.1GHz 20MB 95W Upgrade Kit</t>
  </si>
  <si>
    <t>00D2589</t>
  </si>
  <si>
    <t>Intel Xeon Processor E5-2470 8C 2.3GHz 20MB 95W Upgrade Kit</t>
  </si>
  <si>
    <t>00D4473</t>
  </si>
  <si>
    <t>Intel Xeon 8C Processor Model E5-2658 95W 2.1 GHz/1600MHz/20MB Upgrade Kit</t>
  </si>
  <si>
    <t>00D4474</t>
  </si>
  <si>
    <t>Intel Xeon 8C Processor Model E5-2648L 70W 1.8 GHz/1600MHz/20MB Upgrade Kit</t>
  </si>
  <si>
    <t>00D9440</t>
  </si>
  <si>
    <t>Intel Xeon 8C Processor Model E5-2658 95W 2.1GHz/1600MHz/20MB W/Fan</t>
  </si>
  <si>
    <t>00D9441</t>
  </si>
  <si>
    <t>Intel Xeon 8C Processor Model E5-2648L 70W 1.8GHz/1600MHz/20MB W/Fan</t>
  </si>
  <si>
    <t>00D9450</t>
  </si>
  <si>
    <t>Intel Xeon 8C Processor Model E5-2658  95W 2.1GHz /1600MHz / 20MB W/Fan</t>
  </si>
  <si>
    <t>00D9451</t>
  </si>
  <si>
    <t>Intel Xeon 8C Processor Model E5-2648L 70W  1.8GHz/1600MHz/ 20MB  W/Fan</t>
  </si>
  <si>
    <t>00D9526</t>
  </si>
  <si>
    <t>00D9527</t>
  </si>
  <si>
    <t>Intel Xeon 6C Processor Model E5-2428L 60W 1.8GHz/1333MHz/15MB</t>
  </si>
  <si>
    <t>00D9528</t>
  </si>
  <si>
    <t>00D4981</t>
  </si>
  <si>
    <t>8GB (1x8GB, 1Rx4, 1.35V) PC3L-10600 CL9 ECC DDR3 1333MHz VLP RDIMM</t>
  </si>
  <si>
    <t>00D4985</t>
  </si>
  <si>
    <t>8GB (1x8GB, 2Rx8, 1.35V) PC3L-10600 CL9 ECC DDR3 1333MHz VLP RDIMM</t>
  </si>
  <si>
    <t>00D4989</t>
  </si>
  <si>
    <t>8GB (1x8GB, 1Rx4, 1.5V) PC3-12800 CL11 ECC DDR3 1600MHz VLP RDIMM</t>
  </si>
  <si>
    <t>00D4993</t>
  </si>
  <si>
    <t>8GB (1x8GB, 2Rx8, 1.5V) PC3-12800 CL11 ECC DDR3 1600MHz VLP RDIMM</t>
  </si>
  <si>
    <t>90Y3157</t>
  </si>
  <si>
    <t>16GB (1x16GB, 2Rx4, 1.5V) PC3-12800 CL11 ECC DDR3 1600MHz VLP RDIMM</t>
  </si>
  <si>
    <t>81Y9662</t>
  </si>
  <si>
    <t>IBM 900GB 10K 6Gbps SAS 2.5in SFF G2HS SED</t>
  </si>
  <si>
    <t>90Y8908</t>
  </si>
  <si>
    <t>IBM 600GB 10K 6Gbps SAS 2.5in SFF G2HS SED</t>
  </si>
  <si>
    <t>00W1152</t>
  </si>
  <si>
    <t>2TB 3.5in 7.2K NL SAS HDD</t>
  </si>
  <si>
    <t>88Y5874</t>
  </si>
  <si>
    <t>ServeRAID M5016 battery tray</t>
  </si>
  <si>
    <t>81Y4406</t>
  </si>
  <si>
    <t>ServeRAID C100 RAID 5 Upgrade for IBM System x</t>
  </si>
  <si>
    <t>00D4143</t>
  </si>
  <si>
    <t>IBM Dual Port FDR Embedded Adapter</t>
  </si>
  <si>
    <t>00D3821</t>
  </si>
  <si>
    <t>430W Redundant Power Supply</t>
  </si>
  <si>
    <t>94Y7631</t>
  </si>
  <si>
    <t>IBM System x 750W High Efficiency -48 V DC Power Supply</t>
  </si>
  <si>
    <t>5722</t>
  </si>
  <si>
    <t>7042-CR7</t>
  </si>
  <si>
    <t>CR7</t>
  </si>
  <si>
    <t>9117-MMD</t>
  </si>
  <si>
    <t>MMD</t>
  </si>
  <si>
    <t>9179-MHD</t>
  </si>
  <si>
    <t>MHD</t>
  </si>
  <si>
    <t>Part Number 3 años 7x24x4</t>
  </si>
  <si>
    <t>Portafolio de ServicePac</t>
  </si>
  <si>
    <t>Precio de  1 a 19</t>
  </si>
  <si>
    <t>3 años 7x24 a     3 años 7x24x4</t>
  </si>
  <si>
    <t>DS5020 Midrange Disk (Dual Controllers)</t>
  </si>
  <si>
    <t>EXP5000 Expansion Unit</t>
  </si>
  <si>
    <t>Storwize V7000</t>
  </si>
  <si>
    <t>124</t>
  </si>
  <si>
    <t>212</t>
  </si>
  <si>
    <t>224</t>
  </si>
  <si>
    <t>312</t>
  </si>
  <si>
    <t>324</t>
  </si>
  <si>
    <t>B24</t>
  </si>
  <si>
    <t>IBM System Storage SAN24B-4</t>
  </si>
  <si>
    <t>B40</t>
  </si>
  <si>
    <t>IBM System Storage SAN80B-4</t>
  </si>
  <si>
    <t>E32</t>
  </si>
  <si>
    <t>IBM System Storage SAN24E</t>
  </si>
  <si>
    <t>R06</t>
  </si>
  <si>
    <t>IBM System Storage SAN</t>
  </si>
  <si>
    <t>E24</t>
  </si>
  <si>
    <t>24E</t>
  </si>
  <si>
    <t>91Y4555</t>
  </si>
  <si>
    <t>A14</t>
  </si>
  <si>
    <t>003</t>
  </si>
  <si>
    <t>System Storage EXN3000</t>
  </si>
  <si>
    <t>91Y4954</t>
  </si>
  <si>
    <t>004</t>
  </si>
  <si>
    <t>S4H</t>
  </si>
  <si>
    <t>S5H</t>
  </si>
  <si>
    <t>L2U</t>
  </si>
  <si>
    <t>L4U</t>
  </si>
  <si>
    <t>E9U</t>
  </si>
  <si>
    <t>System Storage TS3310 Tape</t>
  </si>
  <si>
    <t>L5B</t>
  </si>
  <si>
    <t>IBM System Storage Tape Drive</t>
  </si>
  <si>
    <t>H4S</t>
  </si>
  <si>
    <t>H5S</t>
  </si>
  <si>
    <t>H4V</t>
  </si>
  <si>
    <t>S4E</t>
  </si>
  <si>
    <t>S53</t>
  </si>
  <si>
    <t>D22</t>
  </si>
  <si>
    <t>91Y4556</t>
  </si>
  <si>
    <t>D23</t>
  </si>
  <si>
    <t>D53</t>
  </si>
  <si>
    <t>L23</t>
  </si>
  <si>
    <t>L53</t>
  </si>
  <si>
    <t>HA1</t>
  </si>
  <si>
    <t>S24</t>
  </si>
  <si>
    <t>S54</t>
  </si>
  <si>
    <t>SC1</t>
  </si>
  <si>
    <t>91Y4557</t>
  </si>
  <si>
    <t>F4A</t>
  </si>
  <si>
    <t>F5A</t>
  </si>
  <si>
    <t>IBM System Storage TS7680</t>
  </si>
  <si>
    <t>2073-700</t>
  </si>
  <si>
    <t>2076-112</t>
  </si>
  <si>
    <t>2076-212</t>
  </si>
  <si>
    <t>2076-312</t>
  </si>
  <si>
    <t>2076-324</t>
  </si>
  <si>
    <t>2498-B40</t>
  </si>
  <si>
    <t>2498-E32</t>
  </si>
  <si>
    <t>2498-R06</t>
  </si>
  <si>
    <t>2498-E24</t>
  </si>
  <si>
    <t>2498-24E</t>
  </si>
  <si>
    <t>2812-114</t>
  </si>
  <si>
    <t>2812-A14</t>
  </si>
  <si>
    <t>2857-003</t>
  </si>
  <si>
    <t>2863-004</t>
  </si>
  <si>
    <t>3572-S4H</t>
  </si>
  <si>
    <t>3572-S5H</t>
  </si>
  <si>
    <t>3573-L2U</t>
  </si>
  <si>
    <t>3576-E9U</t>
  </si>
  <si>
    <t>3576-L5B</t>
  </si>
  <si>
    <t>3580-H4S</t>
  </si>
  <si>
    <t>3580-H5S</t>
  </si>
  <si>
    <t>3580-H4V</t>
  </si>
  <si>
    <t>3580-S4E</t>
  </si>
  <si>
    <t>3580-S53</t>
  </si>
  <si>
    <t>3584-D22</t>
  </si>
  <si>
    <t>3584-D23</t>
  </si>
  <si>
    <t>3584-D53</t>
  </si>
  <si>
    <t>3584-L23</t>
  </si>
  <si>
    <t>3584-L53</t>
  </si>
  <si>
    <t>3584-HA1</t>
  </si>
  <si>
    <t>3584-S24</t>
  </si>
  <si>
    <t>3584-S54</t>
  </si>
  <si>
    <t>3584-SC1</t>
  </si>
  <si>
    <t>3588-F4A</t>
  </si>
  <si>
    <t>3588-F5A</t>
  </si>
  <si>
    <t>3958-AP1</t>
  </si>
  <si>
    <t>ServicePac Storage/Tapes</t>
  </si>
  <si>
    <t>Pais</t>
  </si>
  <si>
    <t>Precio</t>
  </si>
  <si>
    <t xml:space="preserve"> 40Y5991</t>
  </si>
  <si>
    <t xml:space="preserve"> 40Y5992</t>
  </si>
  <si>
    <t xml:space="preserve"> 40Y5993</t>
  </si>
  <si>
    <t xml:space="preserve"> 40Y5994</t>
  </si>
  <si>
    <t xml:space="preserve"> 40Y5995</t>
  </si>
  <si>
    <t>3 años 7x24x4</t>
  </si>
  <si>
    <t>3 años 7x24xSDS</t>
  </si>
  <si>
    <t>Productos eConfig</t>
  </si>
  <si>
    <t>UNO</t>
  </si>
  <si>
    <t>CONDICIONES</t>
  </si>
  <si>
    <t>&gt;</t>
  </si>
  <si>
    <t>ACCIONES</t>
  </si>
  <si>
    <t>Cantidad</t>
  </si>
  <si>
    <t>8202-E4C Power 720</t>
  </si>
  <si>
    <t>OPERADORES</t>
  </si>
  <si>
    <t>&lt;</t>
  </si>
  <si>
    <t>=</t>
  </si>
  <si>
    <t>&lt;&gt;</t>
  </si>
  <si>
    <t>PRODUCTOS</t>
  </si>
  <si>
    <t>Productos System x</t>
  </si>
  <si>
    <t>Otros Software</t>
  </si>
  <si>
    <t>ACCIONES REGLAS</t>
  </si>
  <si>
    <t>&gt;=</t>
  </si>
  <si>
    <t>&lt;=</t>
  </si>
  <si>
    <t>DOS</t>
  </si>
  <si>
    <t>#</t>
  </si>
  <si>
    <t>8231-E2C Power 730</t>
  </si>
  <si>
    <t>C 2076-124</t>
  </si>
  <si>
    <t>C 2076-224</t>
  </si>
  <si>
    <t>8231-E1C Power 710</t>
  </si>
  <si>
    <t>8202-E4B Power 720</t>
  </si>
  <si>
    <t>8205-E6B Power 740</t>
  </si>
  <si>
    <t>8231-E2B Power 710/730</t>
  </si>
  <si>
    <t>7779-BCS BladeCenter S</t>
  </si>
  <si>
    <t>8203-E4A Power 520</t>
  </si>
  <si>
    <t>8204-E8A Power 550</t>
  </si>
  <si>
    <t>8233-E8B Power 750</t>
  </si>
  <si>
    <t>5765-G62 AIX 6 for POWER V6.1</t>
  </si>
  <si>
    <t>5765-PVS PowerVM Standard Edition</t>
  </si>
  <si>
    <t>5770-SS1 IBM i V7</t>
  </si>
  <si>
    <t>1746A2D IBM System Storage DS3512 Express Dual Controller Storage System</t>
  </si>
  <si>
    <t>1746A4D IBM System Storage DS3524 Express Dual Controller Storage System</t>
  </si>
  <si>
    <t>C 5765-PVS</t>
  </si>
  <si>
    <t>C 2076-112</t>
  </si>
  <si>
    <t>C 2076-212</t>
  </si>
  <si>
    <t>1746A2E IBM System Storage EXP3512 Express Storage Expansion Unit</t>
  </si>
  <si>
    <t>1746A4E IBM System Storage EXP3524 Express Storage Expansion Unit</t>
  </si>
  <si>
    <t>TRES</t>
  </si>
  <si>
    <t>3580S5E System Storage TS2250 Tape Drive Express Model H5S</t>
  </si>
  <si>
    <t>Procesadores</t>
  </si>
  <si>
    <t>Memoria</t>
  </si>
  <si>
    <t>Discos internos</t>
  </si>
  <si>
    <t>Adaptadores LAN</t>
  </si>
  <si>
    <t>Unidad RDX</t>
  </si>
  <si>
    <t>Unidad de cinta</t>
  </si>
  <si>
    <t>Adaptadores SAS</t>
  </si>
  <si>
    <t>Adaptadores FC</t>
  </si>
  <si>
    <t>PROCESADORES</t>
  </si>
  <si>
    <t>MEMORIAS</t>
  </si>
  <si>
    <t>Fuentes de poder</t>
  </si>
  <si>
    <t>DISCOS INTERNOS</t>
  </si>
  <si>
    <t>ADAPTADORES SAN</t>
  </si>
  <si>
    <t>ADAPTADORES LAN</t>
  </si>
  <si>
    <t>CONTROLADORAS RAID</t>
  </si>
  <si>
    <t>Controladoras RAID</t>
  </si>
  <si>
    <t>ADAPTADORES SAS</t>
  </si>
  <si>
    <t>UNIDADES DE CINTA</t>
  </si>
  <si>
    <t>FUENTES DE PODER</t>
  </si>
  <si>
    <t>Emulex 4Gb FC HBA PCI-E Controller Single Port for IBM System x</t>
  </si>
  <si>
    <t>Emulex 4Gb FC HBA PCI-E Controller Dual Port for IBM System x</t>
  </si>
  <si>
    <t>4GB (2 x 2GB) PC2-5300 CL5 ECC DDR2 667MHz SR VLP RDIMM</t>
  </si>
  <si>
    <t>8GB (2 x 4GB) PC2-5300 CL5 ECC DDR2 667MHz DR VLP RDIMM</t>
  </si>
  <si>
    <t>SERVIDORES</t>
  </si>
  <si>
    <t>SISTEMAS DE ALMACENAMIENTO</t>
  </si>
  <si>
    <t>DISCOS STORAGE</t>
  </si>
  <si>
    <t>OPCIONES STORAGE</t>
  </si>
  <si>
    <t>Codigo special bid</t>
  </si>
  <si>
    <t>Archivo origen configuracion</t>
  </si>
  <si>
    <t>Codigo</t>
  </si>
  <si>
    <t>Garantia standard</t>
  </si>
  <si>
    <t>Descuento max. mant.</t>
  </si>
  <si>
    <t>Tipo-Modelo Descripcion</t>
  </si>
  <si>
    <t>Garantia Standard</t>
  </si>
  <si>
    <t>Maquina</t>
  </si>
  <si>
    <t>Descuento maximo</t>
  </si>
  <si>
    <t>Descuento maximo sobre el precio de venta final del Hw</t>
  </si>
  <si>
    <t>PN 91Y5766</t>
  </si>
  <si>
    <t>STANDARD</t>
  </si>
  <si>
    <t>SERVICE 7x24x4</t>
  </si>
  <si>
    <t>CTY</t>
  </si>
  <si>
    <t>IBM PUREFLEX STANDARD</t>
  </si>
  <si>
    <t>COLOMBIA</t>
  </si>
  <si>
    <t>Seleccionar CTY</t>
  </si>
  <si>
    <t>Qtt required</t>
  </si>
  <si>
    <t>Node / Component</t>
  </si>
  <si>
    <t>Name</t>
  </si>
  <si>
    <t>Description</t>
  </si>
  <si>
    <t>Type</t>
  </si>
  <si>
    <t>Model</t>
  </si>
  <si>
    <t>Price Unit</t>
  </si>
  <si>
    <t>Firebird</t>
  </si>
  <si>
    <t>Flex System p260</t>
  </si>
  <si>
    <t>22x</t>
  </si>
  <si>
    <t>Flex System p460</t>
  </si>
  <si>
    <t>42x</t>
  </si>
  <si>
    <t>xSeries</t>
  </si>
  <si>
    <t>Blacktip</t>
  </si>
  <si>
    <t>Flex System x240</t>
  </si>
  <si>
    <t>Chassis</t>
  </si>
  <si>
    <t>Accipitier</t>
  </si>
  <si>
    <t>Flex System Enterprise Chassis</t>
  </si>
  <si>
    <t>Manager</t>
  </si>
  <si>
    <t>Turnberry</t>
  </si>
  <si>
    <t>Flex System Manager</t>
  </si>
  <si>
    <t>Nimitz</t>
  </si>
  <si>
    <t>Storwize V7000 Disk System</t>
  </si>
  <si>
    <t>PureFlex System 42U Rack</t>
  </si>
  <si>
    <t>94x</t>
  </si>
  <si>
    <t>7917A2U</t>
  </si>
  <si>
    <t>7917A4U</t>
  </si>
  <si>
    <t>7917B2U</t>
  </si>
  <si>
    <t>7917B4U</t>
  </si>
  <si>
    <t>7917C2U</t>
  </si>
  <si>
    <t>7917C4U</t>
  </si>
  <si>
    <t>7917D2U</t>
  </si>
  <si>
    <t>7917D4U</t>
  </si>
  <si>
    <t>7917F2U</t>
  </si>
  <si>
    <t>7917F4U</t>
  </si>
  <si>
    <t>7382A2U</t>
  </si>
  <si>
    <t>7382B2U</t>
  </si>
  <si>
    <t>7160F2U</t>
  </si>
  <si>
    <t>7915GSL</t>
  </si>
  <si>
    <t>7143HAL</t>
  </si>
  <si>
    <t>7143HBL</t>
  </si>
  <si>
    <t>7143HCL</t>
  </si>
  <si>
    <t>7147HAL</t>
  </si>
  <si>
    <t>7147HBL</t>
  </si>
  <si>
    <t>88525TU</t>
  </si>
  <si>
    <t>Power 720+</t>
  </si>
  <si>
    <t>E4D</t>
  </si>
  <si>
    <t>Power 740+</t>
  </si>
  <si>
    <t>E6D</t>
  </si>
  <si>
    <t>Power 710+</t>
  </si>
  <si>
    <t>E1D</t>
  </si>
  <si>
    <t>Power 730+</t>
  </si>
  <si>
    <t>E2D</t>
  </si>
  <si>
    <t>Power Linux 7R1+ L1D</t>
  </si>
  <si>
    <t>L1D</t>
  </si>
  <si>
    <t>Power Linux 7R1+ L1T</t>
  </si>
  <si>
    <t>L1T</t>
  </si>
  <si>
    <t>Power Linux 7R2+ L2D</t>
  </si>
  <si>
    <t>L2D</t>
  </si>
  <si>
    <t>Power Linux 7R2+ L2T</t>
  </si>
  <si>
    <t>L2T</t>
  </si>
  <si>
    <t>Midrange</t>
  </si>
  <si>
    <t>Power 750+</t>
  </si>
  <si>
    <t>E8D</t>
  </si>
  <si>
    <t>Power 760+</t>
  </si>
  <si>
    <t>RMD</t>
  </si>
  <si>
    <t>Power 770+</t>
  </si>
  <si>
    <t>Power 780+</t>
  </si>
  <si>
    <t>System i 570</t>
  </si>
  <si>
    <t>Rack de 42 EIAs</t>
  </si>
  <si>
    <t>Rack de 25 EIAs</t>
  </si>
  <si>
    <t>Consola HMC</t>
  </si>
  <si>
    <t>Flat Panel</t>
  </si>
  <si>
    <t>8202-E4D</t>
  </si>
  <si>
    <t>8205-E6D</t>
  </si>
  <si>
    <t>8231-E1D</t>
  </si>
  <si>
    <t>8231-E2D</t>
  </si>
  <si>
    <t>8246-L1D</t>
  </si>
  <si>
    <t>8246-L1T</t>
  </si>
  <si>
    <t>8246-L2D</t>
  </si>
  <si>
    <t>8246-L2T</t>
  </si>
  <si>
    <t>8408-E8D</t>
  </si>
  <si>
    <t>9109-RMD</t>
  </si>
  <si>
    <t>2072S2C V3700 SFF Dual Control</t>
  </si>
  <si>
    <t>C 2072S2C</t>
  </si>
  <si>
    <t>93072RX NetBAY S2 25U Standard Rack Cabinet</t>
  </si>
  <si>
    <t>C 3573-L2U</t>
  </si>
  <si>
    <t>C 3573-L4U</t>
  </si>
  <si>
    <t>8231-E1D Power 710+</t>
  </si>
  <si>
    <t>8202-E4D Power 720+</t>
  </si>
  <si>
    <t>Descripción</t>
  </si>
  <si>
    <t>Part Number 7x24x4</t>
  </si>
  <si>
    <t>51J9029</t>
  </si>
  <si>
    <t>1 año 5x9 NBD</t>
  </si>
  <si>
    <t>1 año 7x24 SDS</t>
  </si>
  <si>
    <t>1 año 5x9 NBD a 3 años 7x24x4</t>
  </si>
  <si>
    <t>3 años 5x9 NBD a 3 años 7x24x4</t>
  </si>
  <si>
    <t>1 año 5x9 NBD a 3 años 7x24 SDS</t>
  </si>
  <si>
    <t>1 año 7x24 SDS a 3 años 7x24 SDS</t>
  </si>
  <si>
    <t>1 año 7x24 SDS a 3 años 7x24x4</t>
  </si>
  <si>
    <t>Part Number 7x24 SDS</t>
  </si>
  <si>
    <t>3 años 5x9 NBD</t>
  </si>
  <si>
    <t>12C</t>
  </si>
  <si>
    <t>24C</t>
  </si>
  <si>
    <t>1 año 7x24 NBD a 3 años 7x24x4</t>
  </si>
  <si>
    <t>3 años 7x24 NBD</t>
  </si>
  <si>
    <t>1 año 7x24 NBD</t>
  </si>
  <si>
    <t xml:space="preserve"> 40Y5998</t>
  </si>
  <si>
    <t>Precio de Lista en dólares</t>
  </si>
  <si>
    <t>7915</t>
  </si>
  <si>
    <t>2145-CG8</t>
  </si>
  <si>
    <t>5608-W08</t>
  </si>
  <si>
    <t>IBM Virtual Storage Cencter V5.1</t>
  </si>
  <si>
    <t>IBM System storage TS7620 Protectier Deduplication Aplliance Express</t>
  </si>
  <si>
    <t>IBM Storwize V7000 Unified</t>
  </si>
  <si>
    <t>IBM Total Storage b-type SAN Switch (Models B24, B40, B80 )</t>
  </si>
  <si>
    <t>IBM Total Storage f-type SAN Switch (Models F24, F48)</t>
  </si>
  <si>
    <t>IBM Total Storage SAN Router</t>
  </si>
  <si>
    <t>IBM Tivoli Storage FlashCopy Manager</t>
  </si>
  <si>
    <t>BM Tivoli Storage Productivity Center Select Edition</t>
  </si>
  <si>
    <t>IBM System Storage ProtecTIER Entry Edition</t>
  </si>
  <si>
    <t>5639-RM1</t>
  </si>
  <si>
    <t>5639-VM1</t>
  </si>
  <si>
    <t>RM1</t>
  </si>
  <si>
    <t>VM1</t>
  </si>
  <si>
    <t>5608-PC2</t>
  </si>
  <si>
    <t>PC2</t>
  </si>
  <si>
    <t>5608-W07</t>
  </si>
  <si>
    <t>W07</t>
  </si>
  <si>
    <t>Type/Model</t>
  </si>
  <si>
    <t>7895-22X</t>
  </si>
  <si>
    <t>7895-42X</t>
  </si>
  <si>
    <t>7953-94X</t>
  </si>
  <si>
    <t>01M</t>
  </si>
  <si>
    <t>7955-01M</t>
  </si>
  <si>
    <t>10x</t>
  </si>
  <si>
    <t>92x</t>
  </si>
  <si>
    <t>7893-92X</t>
  </si>
  <si>
    <t>2072SEU V3700 SFF Expansion</t>
  </si>
  <si>
    <t>C 2072SEU</t>
  </si>
  <si>
    <t>7863-10X</t>
  </si>
  <si>
    <t>7895-23X</t>
  </si>
  <si>
    <t>23x</t>
  </si>
  <si>
    <t>Power 730</t>
  </si>
  <si>
    <t>8231-E2D Power 730+</t>
  </si>
  <si>
    <t>Otro</t>
  </si>
  <si>
    <t>QUB</t>
  </si>
  <si>
    <t>5733-QUB</t>
  </si>
  <si>
    <t>5771-LNX</t>
  </si>
  <si>
    <t>5771-ZC1</t>
  </si>
  <si>
    <t>5771-ZS1</t>
  </si>
  <si>
    <t>5773-LNX</t>
  </si>
  <si>
    <t>5661</t>
  </si>
  <si>
    <t>5664</t>
  </si>
  <si>
    <t>5799</t>
  </si>
  <si>
    <t>2498-F24</t>
  </si>
  <si>
    <t>2498-F48</t>
  </si>
  <si>
    <t>F24</t>
  </si>
  <si>
    <t>F48</t>
  </si>
  <si>
    <t>7143D3U</t>
  </si>
  <si>
    <t>7143D4U</t>
  </si>
  <si>
    <t>7147D3U</t>
  </si>
  <si>
    <t>7147D4U</t>
  </si>
  <si>
    <t>IBM BladeCenter(tm) H Chassis with 2x2980W PSU, Rackable</t>
  </si>
  <si>
    <t>IBM BladeCenter S Chassis with C14 2x950/1450W PSU, Rackable</t>
  </si>
  <si>
    <t>Express IBM BladeCenter S Chassis with C14 4x950/1450W PSU, Rackable</t>
  </si>
  <si>
    <t>IBM BladeCenter HT DC Power Model with 4x2535W  PSU, Rackable</t>
  </si>
  <si>
    <t>7873F4U</t>
  </si>
  <si>
    <t>7873F5U</t>
  </si>
  <si>
    <t>7873F6U</t>
  </si>
  <si>
    <t>7906DBU</t>
  </si>
  <si>
    <t>IBM System Networking RackSwitch G8052 (front to rear)</t>
  </si>
  <si>
    <t>IBM System Networking RackSwitch G8264 (front to rear)</t>
  </si>
  <si>
    <t>IBM System Networking RackSwitch G8052 (rear to front)</t>
  </si>
  <si>
    <t>IBM System Networking RackSwitch G8264 (rear to front)</t>
  </si>
  <si>
    <t>IBM System Networking RackSwitch G8124DC</t>
  </si>
  <si>
    <t>IBM System Networking RackSwitch G8124E (front to rear)</t>
  </si>
  <si>
    <t>IBM System Networking RackSwitch G8124E (rear to front)</t>
  </si>
  <si>
    <t>IBM System Networking RackSwitch G8000DC</t>
  </si>
  <si>
    <t>IBM System Networking RackSwitch G8000 (front to rear)</t>
  </si>
  <si>
    <t>IBM System Networking RackSwitch G8316 (front to rear)</t>
  </si>
  <si>
    <t>IBM System Networking RackSwitch G8316 (rear to front)</t>
  </si>
  <si>
    <t>7309DFX</t>
  </si>
  <si>
    <t>IBM System Networking RackSwitch G8264CS (Front to Rear)</t>
  </si>
  <si>
    <t>7309DRX</t>
  </si>
  <si>
    <t>IBM System Networking RackSwitch G8264CS (Rear to Front)</t>
  </si>
  <si>
    <t>8271</t>
  </si>
  <si>
    <t>IBM Flex System x240 Compute Node</t>
  </si>
  <si>
    <t>PureFlex Systems</t>
  </si>
  <si>
    <t>8737</t>
  </si>
  <si>
    <t>IBM Flex System Enterprise Chassis</t>
  </si>
  <si>
    <t>8731</t>
  </si>
  <si>
    <t>IBM Flex System Manager Node</t>
  </si>
  <si>
    <t>9363-RC4</t>
  </si>
  <si>
    <t>9363</t>
  </si>
  <si>
    <t>RC4</t>
  </si>
  <si>
    <t>IBM 42U Slim Rack</t>
  </si>
  <si>
    <t>1164</t>
  </si>
  <si>
    <t>IBM Rear Door Heat Exchanger</t>
  </si>
  <si>
    <t>7893</t>
  </si>
  <si>
    <t>7953</t>
  </si>
  <si>
    <t>7955</t>
  </si>
  <si>
    <t>IBM Flex System Manager</t>
  </si>
  <si>
    <t>7895</t>
  </si>
  <si>
    <t>22X</t>
  </si>
  <si>
    <t>IBM Flex System p260 Compute Node</t>
  </si>
  <si>
    <t>42X</t>
  </si>
  <si>
    <t>IBM Flex System p460 Compute Node</t>
  </si>
  <si>
    <t>12E</t>
  </si>
  <si>
    <t>System Storage TS3100 &amp; TS3200 Tape (35732UL &amp; 35734UL)</t>
  </si>
  <si>
    <t>7383C5U</t>
  </si>
  <si>
    <t>x3500 M4, Xeon 6C E5-2620v2 80W 2.1GHz/1600MHz/15MB, 1x8GB, O/Bay HS 2.5in SATA/SAS, SR M1115, DVD-ROM, 750W p/s, Tower</t>
  </si>
  <si>
    <t>7383EKU</t>
  </si>
  <si>
    <t>Express x3500 M4, Xeon 8C E5-2640v2 95W 2.0GHz/1600MHz/20MB, 1x8GB, O/Bay HS 2.5in SATA/SAS, SR M5110, Multi-Burner, 750W p/s, Tower</t>
  </si>
  <si>
    <t>5458ECU</t>
  </si>
  <si>
    <t>7914EHU</t>
  </si>
  <si>
    <t>Express x3550 M4, Xeon 6C E5-2620v2 80W 2.1GHz/1600MHz/15MB, 1x8GB, O/Bay 2.5in HS SAS/SATA, SR M5110, Multi-Burner, 550W p/s, Rack</t>
  </si>
  <si>
    <t>7914EKU</t>
  </si>
  <si>
    <t>Express x3550 M4, Xeon 10C E5-2660v2 95W 2.2GHz/1866MHz/25MB, 1x16GB, O/Bay 2.5in HS SAS/SATA, SR M5110, Multi-Burner, 2x550W p/s, Rack</t>
  </si>
  <si>
    <t>791573U</t>
  </si>
  <si>
    <t>x3650 M4, Xeon 12C E5-2695v2 115W 2.4GHz/1866MHz/30MB, 1x8GB, O/Bay HS 2.5in SAS/SATA, SR M5110e, 900W p/s, Rack</t>
  </si>
  <si>
    <t>7915C3U</t>
  </si>
  <si>
    <t>x3650 M4, Xeon 6C E5-2620v2 80W 2.1GHz/1600MHz/15MB, 1x8GB, O/Bay HS 2.5in SAS/SATA, SR M5110e, 550W p/s, Rack</t>
  </si>
  <si>
    <t>7915EJU</t>
  </si>
  <si>
    <t>Express x3650 M4, Xeon 8C E5-2650v2 95W 2.6GHz/1866MHz/20MB, 1x16GB, O/Bay HS 2.5in SAS/SATA, SR M5110e, Multiburner, 750W p/s, Rack</t>
  </si>
  <si>
    <t>7383A5U</t>
  </si>
  <si>
    <t>7383B5U</t>
  </si>
  <si>
    <t>7383C7U</t>
  </si>
  <si>
    <t>7383C9U</t>
  </si>
  <si>
    <t>7383D5U</t>
  </si>
  <si>
    <t>7383EGU</t>
  </si>
  <si>
    <t>7383EHU</t>
  </si>
  <si>
    <t>7383EJU</t>
  </si>
  <si>
    <t>7383F5U</t>
  </si>
  <si>
    <t>7383G5U</t>
  </si>
  <si>
    <t>7383G9U</t>
  </si>
  <si>
    <t>7383H5U</t>
  </si>
  <si>
    <t>7383J5U</t>
  </si>
  <si>
    <t>5458A2U</t>
  </si>
  <si>
    <t>5458B2U</t>
  </si>
  <si>
    <t>5458C2U</t>
  </si>
  <si>
    <t>5458C4U</t>
  </si>
  <si>
    <t>5458EAU</t>
  </si>
  <si>
    <t>5458EBU</t>
  </si>
  <si>
    <t>5458F2U</t>
  </si>
  <si>
    <t>5458G2U</t>
  </si>
  <si>
    <t>791423U</t>
  </si>
  <si>
    <t>791433U</t>
  </si>
  <si>
    <t>791443U</t>
  </si>
  <si>
    <t>791453U</t>
  </si>
  <si>
    <t>791473U</t>
  </si>
  <si>
    <t>791483U</t>
  </si>
  <si>
    <t>7914A3U</t>
  </si>
  <si>
    <t>7914B3U</t>
  </si>
  <si>
    <t>7914C3U</t>
  </si>
  <si>
    <t>7914C5U</t>
  </si>
  <si>
    <t>7914D3U</t>
  </si>
  <si>
    <t>7914EGU</t>
  </si>
  <si>
    <t>7914EJU</t>
  </si>
  <si>
    <t>7914F3U</t>
  </si>
  <si>
    <t>7914G3U</t>
  </si>
  <si>
    <t>7914H3U</t>
  </si>
  <si>
    <t>7914J3U</t>
  </si>
  <si>
    <t>7914L3U</t>
  </si>
  <si>
    <t>7914M3U</t>
  </si>
  <si>
    <t>7158C4L</t>
  </si>
  <si>
    <t>7158C6L</t>
  </si>
  <si>
    <t>791523U</t>
  </si>
  <si>
    <t>791533U</t>
  </si>
  <si>
    <t>791543U</t>
  </si>
  <si>
    <t>791553U</t>
  </si>
  <si>
    <t>791583U</t>
  </si>
  <si>
    <t>7915A3U</t>
  </si>
  <si>
    <t>7915B3U</t>
  </si>
  <si>
    <t>7915C5U</t>
  </si>
  <si>
    <t>7915D3U</t>
  </si>
  <si>
    <t>7915EFU</t>
  </si>
  <si>
    <t>7915EGU</t>
  </si>
  <si>
    <t>7915EHU</t>
  </si>
  <si>
    <t>7915EKU</t>
  </si>
  <si>
    <t>7915F3U</t>
  </si>
  <si>
    <t>7915G3U</t>
  </si>
  <si>
    <t>7915H3U</t>
  </si>
  <si>
    <t>7915J3U</t>
  </si>
  <si>
    <t>7915L3U</t>
  </si>
  <si>
    <t>7915M3U</t>
  </si>
  <si>
    <t>546083U</t>
  </si>
  <si>
    <t>5460B3U</t>
  </si>
  <si>
    <t>5460C3U</t>
  </si>
  <si>
    <t>5460D3U</t>
  </si>
  <si>
    <t>5460EAU</t>
  </si>
  <si>
    <t>5460F3U</t>
  </si>
  <si>
    <t>5460G3U</t>
  </si>
  <si>
    <t>5460H3U</t>
  </si>
  <si>
    <t>5460J3U</t>
  </si>
  <si>
    <t>5460L3U</t>
  </si>
  <si>
    <t>5460M3U</t>
  </si>
  <si>
    <t>7914DDL</t>
  </si>
  <si>
    <t>7143HDL</t>
  </si>
  <si>
    <t>7143HEL</t>
  </si>
  <si>
    <t>7875A3U</t>
  </si>
  <si>
    <t>7875A4U</t>
  </si>
  <si>
    <t>7875B4U</t>
  </si>
  <si>
    <t>7875B5U</t>
  </si>
  <si>
    <t>7875B6U</t>
  </si>
  <si>
    <t>7875C9U</t>
  </si>
  <si>
    <t>7875CAU</t>
  </si>
  <si>
    <t>7875CBU</t>
  </si>
  <si>
    <t>7875CCU</t>
  </si>
  <si>
    <t>7875D2U</t>
  </si>
  <si>
    <t>7875F2U</t>
  </si>
  <si>
    <t>7875G3U</t>
  </si>
  <si>
    <t>7875G4U</t>
  </si>
  <si>
    <t>7875E7U</t>
  </si>
  <si>
    <t>7875E8U</t>
  </si>
  <si>
    <t>7875E9U</t>
  </si>
  <si>
    <t>791213U</t>
  </si>
  <si>
    <t>791263U</t>
  </si>
  <si>
    <t>791283U</t>
  </si>
  <si>
    <t>8721LRU</t>
  </si>
  <si>
    <t>IBM Flex System Enterprise Chassis with 2x2100W PSU, Rackable</t>
  </si>
  <si>
    <t>7916A2U</t>
  </si>
  <si>
    <t>7916B2U</t>
  </si>
  <si>
    <t>7916C2U</t>
  </si>
  <si>
    <t>7916D2U</t>
  </si>
  <si>
    <t>7916F2U</t>
  </si>
  <si>
    <t>7916G2U</t>
  </si>
  <si>
    <t>7916H2U</t>
  </si>
  <si>
    <t>7916H6U</t>
  </si>
  <si>
    <t>7916J2U</t>
  </si>
  <si>
    <t>7916M2U</t>
  </si>
  <si>
    <t>7916N2U</t>
  </si>
  <si>
    <t>873714U</t>
  </si>
  <si>
    <t>87371MU</t>
  </si>
  <si>
    <t>873722U</t>
  </si>
  <si>
    <t>873724U</t>
  </si>
  <si>
    <t>87372MU</t>
  </si>
  <si>
    <t>873734U</t>
  </si>
  <si>
    <t>87373MU</t>
  </si>
  <si>
    <t>873742U</t>
  </si>
  <si>
    <t>873744U</t>
  </si>
  <si>
    <t>87374MU</t>
  </si>
  <si>
    <t>873754U</t>
  </si>
  <si>
    <t>87375MU</t>
  </si>
  <si>
    <t>873762U</t>
  </si>
  <si>
    <t>873764U</t>
  </si>
  <si>
    <t>87376MU</t>
  </si>
  <si>
    <t>873772U</t>
  </si>
  <si>
    <t>873774U</t>
  </si>
  <si>
    <t>87377MU</t>
  </si>
  <si>
    <t>873784U</t>
  </si>
  <si>
    <t>87378DU</t>
  </si>
  <si>
    <t>87378MU</t>
  </si>
  <si>
    <t>873794U</t>
  </si>
  <si>
    <t>87379MU</t>
  </si>
  <si>
    <t>8737B4U</t>
  </si>
  <si>
    <t>8737BMU</t>
  </si>
  <si>
    <t>8737C4U</t>
  </si>
  <si>
    <t>8737CMU</t>
  </si>
  <si>
    <t>5456A2U</t>
  </si>
  <si>
    <t>IBM NeXtScale n1200 enclosure with 6x900W PSU, Rackable</t>
  </si>
  <si>
    <t>545522U</t>
  </si>
  <si>
    <t>545542U</t>
  </si>
  <si>
    <t>545562U</t>
  </si>
  <si>
    <t>17238BX</t>
  </si>
  <si>
    <t>IBM 1U 18.5in Standard Console Kit</t>
  </si>
  <si>
    <t>17238EX</t>
  </si>
  <si>
    <t>IBM 1U 18.5in Enhanced Media Console Kit with Multi-Burner Drive and USB port</t>
  </si>
  <si>
    <t>Area</t>
  </si>
  <si>
    <t>Mayorista</t>
  </si>
  <si>
    <t>Melexa</t>
  </si>
  <si>
    <t>Cableado</t>
  </si>
  <si>
    <t>7160B7U</t>
  </si>
  <si>
    <t>7158C3U</t>
  </si>
  <si>
    <t>7160A3U</t>
  </si>
  <si>
    <t>7160A5U</t>
  </si>
  <si>
    <t>7160A7U</t>
  </si>
  <si>
    <t>7160B3U</t>
  </si>
  <si>
    <t>7160B5U</t>
  </si>
  <si>
    <t>7160C3U</t>
  </si>
  <si>
    <t>7160EDU</t>
  </si>
  <si>
    <t>7160EEU</t>
  </si>
  <si>
    <t>7160EFU</t>
  </si>
  <si>
    <t>7160F3U</t>
  </si>
  <si>
    <t>7160G3U</t>
  </si>
  <si>
    <t>7160EQU</t>
  </si>
  <si>
    <t>7160ERU</t>
  </si>
  <si>
    <t>7160ETU</t>
  </si>
  <si>
    <t>7160EUU</t>
  </si>
  <si>
    <t>7158A3U</t>
  </si>
  <si>
    <t>7158A5U</t>
  </si>
  <si>
    <t>7158B3U</t>
  </si>
  <si>
    <t>7158B5U</t>
  </si>
  <si>
    <t>7158D3U</t>
  </si>
  <si>
    <t>7158EDU</t>
  </si>
  <si>
    <t>7158EEU</t>
  </si>
  <si>
    <t>7158EFU</t>
  </si>
  <si>
    <t>7158ETU</t>
  </si>
  <si>
    <t>7158EUU</t>
  </si>
  <si>
    <t>7158F5U</t>
  </si>
  <si>
    <t>7158G3U</t>
  </si>
  <si>
    <t>5466A2U</t>
  </si>
  <si>
    <t>5466A4U</t>
  </si>
  <si>
    <t>5466B2U</t>
  </si>
  <si>
    <t>5466C2U</t>
  </si>
  <si>
    <t>5466C4U</t>
  </si>
  <si>
    <t>5466D2U</t>
  </si>
  <si>
    <t>5466F2U</t>
  </si>
  <si>
    <t>5466F4U</t>
  </si>
  <si>
    <t>5466G2U</t>
  </si>
  <si>
    <t>7915EXU</t>
  </si>
  <si>
    <t>7915EZU</t>
  </si>
  <si>
    <t>8752A1U</t>
  </si>
  <si>
    <t>8752A2U</t>
  </si>
  <si>
    <t>8752A3U</t>
  </si>
  <si>
    <t>8752B1U</t>
  </si>
  <si>
    <t>8752B2U</t>
  </si>
  <si>
    <t>8752C1U</t>
  </si>
  <si>
    <t>8752C2U</t>
  </si>
  <si>
    <t>3837A4U</t>
  </si>
  <si>
    <t>3837A7U</t>
  </si>
  <si>
    <t>3837A8U</t>
  </si>
  <si>
    <t>3837A9U</t>
  </si>
  <si>
    <t>3837B1U</t>
  </si>
  <si>
    <t>3837B3U</t>
  </si>
  <si>
    <t>3837BAU</t>
  </si>
  <si>
    <t>3837C1U</t>
  </si>
  <si>
    <t>3837C4U</t>
  </si>
  <si>
    <t>3837CAU</t>
  </si>
  <si>
    <t>3837CCU</t>
  </si>
  <si>
    <t>3837A7L</t>
  </si>
  <si>
    <t>3837A8L</t>
  </si>
  <si>
    <t>3837A9L</t>
  </si>
  <si>
    <t>7873AJU</t>
  </si>
  <si>
    <t>7873AKU</t>
  </si>
  <si>
    <t>7873ALU</t>
  </si>
  <si>
    <t>7873AMU</t>
  </si>
  <si>
    <t>7309BAX</t>
  </si>
  <si>
    <t>IBM System Networking RackSwitch G7028</t>
  </si>
  <si>
    <t>8036BFX</t>
  </si>
  <si>
    <t>IBM System Networking RackSwitch G8332 (Front to Rear)</t>
  </si>
  <si>
    <t>8036BRX</t>
  </si>
  <si>
    <t>IBM System Networking RackSwitch G8332 (Rear to Front)</t>
  </si>
  <si>
    <t>3858D3X</t>
  </si>
  <si>
    <t>Avocent Universal Management Gateway 6000 for IBM</t>
  </si>
  <si>
    <t>7042-CR8</t>
  </si>
  <si>
    <t>CR8</t>
  </si>
  <si>
    <t>7316-TF4</t>
  </si>
  <si>
    <t>TF4</t>
  </si>
  <si>
    <t>8247-21L</t>
  </si>
  <si>
    <t>21L</t>
  </si>
  <si>
    <t>Power 812L</t>
  </si>
  <si>
    <t>Power8 SO</t>
  </si>
  <si>
    <t>8247-22L</t>
  </si>
  <si>
    <t>22L</t>
  </si>
  <si>
    <t>Power 822L</t>
  </si>
  <si>
    <t>8286-41A</t>
  </si>
  <si>
    <t>41A</t>
  </si>
  <si>
    <t>Power 814</t>
  </si>
  <si>
    <t>8284-22A</t>
  </si>
  <si>
    <t>22A</t>
  </si>
  <si>
    <t>Power 822</t>
  </si>
  <si>
    <t>8286-42A</t>
  </si>
  <si>
    <t>42A</t>
  </si>
  <si>
    <t>Power 824</t>
  </si>
  <si>
    <t>8247</t>
  </si>
  <si>
    <t>Power822L</t>
  </si>
  <si>
    <t>3 Años 5x9 NBD</t>
  </si>
  <si>
    <t>8284</t>
  </si>
  <si>
    <t>8286</t>
  </si>
  <si>
    <t>Resumida con configuracion detallada</t>
  </si>
  <si>
    <t>Resumida sin configuracion</t>
  </si>
  <si>
    <t>Detallada por categorias</t>
  </si>
  <si>
    <t>TotalStorage DS3500 (1726-All &amp; 1746A2D / 1746A4D / 1746A2E / 1746A4E)</t>
  </si>
  <si>
    <t>System Storage EXP 2500 (174712X / 174724X)</t>
  </si>
  <si>
    <t>System Storage TS2900 Tape (3572S5R / 3572S6R / 3572S6H / 3572S4R)</t>
  </si>
  <si>
    <t>System Storage TS2250 / TS2260 / TS2350 / TS2360 / TS2230 &amp; TS2240 Tape (3580S5E / 3580S5X / 3580S3V / 3580S4V / 3580L4X / 3580S6X)</t>
  </si>
  <si>
    <t>Tipo de Servicio</t>
  </si>
  <si>
    <t>Precio de Lista</t>
  </si>
  <si>
    <t>Formato de Cobro</t>
  </si>
  <si>
    <t>Instalacion fisica caja de almacenamiento en sistema nuevo</t>
  </si>
  <si>
    <t>Configuracion logica controladora tipo V7000</t>
  </si>
  <si>
    <t>Configuracion logica expansion para V7000/V5000/V3700</t>
  </si>
  <si>
    <t>Chasis</t>
  </si>
  <si>
    <t>Backup</t>
  </si>
  <si>
    <t>Servidor</t>
  </si>
  <si>
    <t>Instalacion fisica servidor POWER tipo torre o rack Entry / Midrange</t>
  </si>
  <si>
    <t>Pestaña de tabla:</t>
  </si>
  <si>
    <t>Instalacion logica Unidad/Libreria de cinta en sistema operativo  Nivel -1 (Tape, TS3100/TS3200)</t>
  </si>
  <si>
    <t>Configuracion logica controladora tipo v3700</t>
  </si>
  <si>
    <t xml:space="preserve">Montaje e instalacion de PDU tipo 1 </t>
  </si>
  <si>
    <t>Configuracion Logica de Servidor HMC / FSM / SDMC</t>
  </si>
  <si>
    <t>Configuracion de Perfil (Particion Cliente) - IVM/HMC/FSM (Pack x 2 lpars)</t>
  </si>
  <si>
    <t>Instalacion Microcodigo IBM i</t>
  </si>
  <si>
    <t>* Adicional de preparacion de disco Nativo Interno (CEC)</t>
  </si>
  <si>
    <t>Instalacion de programa bajo licencia nativo IBM i en sistema existente</t>
  </si>
  <si>
    <t>Instalacion de VIOS - Single</t>
  </si>
  <si>
    <t>Categoria ingenieria</t>
  </si>
  <si>
    <t>Instalacion fisica servidor HMC / SDMC / FSM</t>
  </si>
  <si>
    <t>1164-95X</t>
  </si>
  <si>
    <t>95X</t>
  </si>
  <si>
    <t>8737-15X</t>
  </si>
  <si>
    <t>15X</t>
  </si>
  <si>
    <t>7906</t>
  </si>
  <si>
    <t>IBM Flex System x220 Compute Node</t>
  </si>
  <si>
    <t>7916</t>
  </si>
  <si>
    <t>IBM Flex System x440 Compute Node</t>
  </si>
  <si>
    <t>IBM Flex System x222 Compute Node</t>
  </si>
  <si>
    <t>7917</t>
  </si>
  <si>
    <t>23X</t>
  </si>
  <si>
    <t>IBM Flex System p260+</t>
  </si>
  <si>
    <t>7895-43X</t>
  </si>
  <si>
    <t>43X</t>
  </si>
  <si>
    <t>IBM Flex System p460+</t>
  </si>
  <si>
    <t>94X</t>
  </si>
  <si>
    <t>7854-24X</t>
  </si>
  <si>
    <t>7954</t>
  </si>
  <si>
    <t>24X</t>
  </si>
  <si>
    <t>IBM Flex System p270+</t>
  </si>
  <si>
    <t>IBM Flex System Enterprise Chassis IBM F</t>
  </si>
  <si>
    <t>92X</t>
  </si>
  <si>
    <t>2077-12C</t>
  </si>
  <si>
    <t>IBM Storwize V5000</t>
  </si>
  <si>
    <t>36.00%</t>
  </si>
  <si>
    <t>2077-12E</t>
  </si>
  <si>
    <t>2077-24C</t>
  </si>
  <si>
    <t>2077-24E</t>
  </si>
  <si>
    <t>IBM System Storage SAN24B-5</t>
  </si>
  <si>
    <t>IBM System Storage SAN48B-5</t>
  </si>
  <si>
    <t>F96</t>
  </si>
  <si>
    <t>2498-F96</t>
  </si>
  <si>
    <t>IBM System Storage SAN96B-5</t>
  </si>
  <si>
    <t>EXP</t>
  </si>
  <si>
    <t>3959-EXP</t>
  </si>
  <si>
    <t>IBM System Storage TS7620 Expansion</t>
  </si>
  <si>
    <t>SM2</t>
  </si>
  <si>
    <t>IBM System Storage TS7620</t>
  </si>
  <si>
    <t>AE1</t>
  </si>
  <si>
    <t>9830-AE1</t>
  </si>
  <si>
    <t>IBM Flash System 810</t>
  </si>
  <si>
    <t>10.00%</t>
  </si>
  <si>
    <t>AE2</t>
  </si>
  <si>
    <t>9830-AE2</t>
  </si>
  <si>
    <t>IBM Flash System 820</t>
  </si>
  <si>
    <t>AS1</t>
  </si>
  <si>
    <t>9830-AS1</t>
  </si>
  <si>
    <t>IBM Flash System 710</t>
  </si>
  <si>
    <t>12.00%</t>
  </si>
  <si>
    <t>AS2</t>
  </si>
  <si>
    <t>9830-AS2</t>
  </si>
  <si>
    <t>IBM Flash System 720</t>
  </si>
  <si>
    <t>80C</t>
  </si>
  <si>
    <t>1818-80C</t>
  </si>
  <si>
    <t>DCS3700 Storage System</t>
  </si>
  <si>
    <t>80E</t>
  </si>
  <si>
    <t>1818-80E</t>
  </si>
  <si>
    <t>DCS3700Expansion Unit</t>
  </si>
  <si>
    <t>24.00%</t>
  </si>
  <si>
    <t>214</t>
  </si>
  <si>
    <t>2810-214</t>
  </si>
  <si>
    <t>IBM System Storage TS2900 Tape</t>
  </si>
  <si>
    <t>IBM System Storage TS3500 Tape Library</t>
  </si>
  <si>
    <t>TS1040 Ultrium 4 Tape Drive</t>
  </si>
  <si>
    <t>F6A</t>
  </si>
  <si>
    <t>3588-F6A</t>
  </si>
  <si>
    <t>TS1050 Ultrium 6 Tape Drive</t>
  </si>
  <si>
    <t>DD5</t>
  </si>
  <si>
    <t>3958-DD5</t>
  </si>
  <si>
    <t>IBM System Storage TS7650</t>
  </si>
  <si>
    <t>EXP520 Expansion Unit</t>
  </si>
  <si>
    <t>700</t>
  </si>
  <si>
    <t>112</t>
  </si>
  <si>
    <t>2078-12C</t>
  </si>
  <si>
    <t>2078-12E</t>
  </si>
  <si>
    <t>2078-24C</t>
  </si>
  <si>
    <t>2078-24E</t>
  </si>
  <si>
    <t>006</t>
  </si>
  <si>
    <t>2857-006</t>
  </si>
  <si>
    <t>System Storage N3700</t>
  </si>
  <si>
    <t>IBM System Storage TS3100 Tape Library</t>
  </si>
  <si>
    <t>H6S</t>
  </si>
  <si>
    <t>3580-H6S</t>
  </si>
  <si>
    <t>S63</t>
  </si>
  <si>
    <t>3580-S63</t>
  </si>
  <si>
    <t>A29</t>
  </si>
  <si>
    <t>4939-A29</t>
  </si>
  <si>
    <t>IBM Flex system V7000 Expansion Enclosure</t>
  </si>
  <si>
    <t>A49</t>
  </si>
  <si>
    <t>4939-A49</t>
  </si>
  <si>
    <t>IBM Flex system V7000 Control Enclosure</t>
  </si>
  <si>
    <t>114</t>
  </si>
  <si>
    <t>6.00%</t>
  </si>
  <si>
    <t>2812-214</t>
  </si>
  <si>
    <t>Instalacion de IBM i 6.1/7.1/7.2 * (complementar precio con opciones con asterisco)</t>
  </si>
  <si>
    <t>Instalacion y Configuracion de BRMS Base Productiva (Librerias de Cintas)</t>
  </si>
  <si>
    <t>Instalacion fisica de Unidad/Libreria de cinta Nivel 1  ( Drive standalone, TS3100/TS3200)</t>
  </si>
  <si>
    <t>2053-S34</t>
  </si>
  <si>
    <t>2053-434</t>
  </si>
  <si>
    <t>2054-E01</t>
  </si>
  <si>
    <t>2054-E04</t>
  </si>
  <si>
    <t>2054-E11</t>
  </si>
  <si>
    <t>2101-N00</t>
  </si>
  <si>
    <t>2101-N42</t>
  </si>
  <si>
    <t>2101-200</t>
  </si>
  <si>
    <t>2421-961</t>
  </si>
  <si>
    <t>2422-961</t>
  </si>
  <si>
    <t>2423-961</t>
  </si>
  <si>
    <t>2424-961</t>
  </si>
  <si>
    <t>2421-931</t>
  </si>
  <si>
    <t>2422-931</t>
  </si>
  <si>
    <t>2423-931</t>
  </si>
  <si>
    <t>2424-931</t>
  </si>
  <si>
    <t>2421-932</t>
  </si>
  <si>
    <t>2422-932</t>
  </si>
  <si>
    <t>2423-932</t>
  </si>
  <si>
    <t>2424-932</t>
  </si>
  <si>
    <t>2421-941</t>
  </si>
  <si>
    <t>2422-941</t>
  </si>
  <si>
    <t>2423-941</t>
  </si>
  <si>
    <t>2424-941</t>
  </si>
  <si>
    <t>2421-951</t>
  </si>
  <si>
    <t>2422-951</t>
  </si>
  <si>
    <t>2423-951</t>
  </si>
  <si>
    <t>2424-951</t>
  </si>
  <si>
    <t>2499-416</t>
  </si>
  <si>
    <t>2499-816</t>
  </si>
  <si>
    <t>3589-004</t>
  </si>
  <si>
    <t>3589-010</t>
  </si>
  <si>
    <t>3589-011</t>
  </si>
  <si>
    <t>3589-014</t>
  </si>
  <si>
    <t>3589-015</t>
  </si>
  <si>
    <t>3589-034</t>
  </si>
  <si>
    <t>3589-035</t>
  </si>
  <si>
    <t>3589-550</t>
  </si>
  <si>
    <t>3589-570</t>
  </si>
  <si>
    <t>3589-650</t>
  </si>
  <si>
    <t>3589-670</t>
  </si>
  <si>
    <t>3592-C07</t>
  </si>
  <si>
    <t>3592-E06</t>
  </si>
  <si>
    <t>3592-E07</t>
  </si>
  <si>
    <t>2076-12F</t>
  </si>
  <si>
    <t>2076-24F</t>
  </si>
  <si>
    <t>2076-524</t>
  </si>
  <si>
    <t>3952-F05</t>
  </si>
  <si>
    <t>5608-ACB</t>
  </si>
  <si>
    <t>5641-SSA</t>
  </si>
  <si>
    <t>5639-CB7</t>
  </si>
  <si>
    <t>5639-VM7</t>
  </si>
  <si>
    <t>7226-1U3</t>
  </si>
  <si>
    <t>S34</t>
  </si>
  <si>
    <t>434</t>
  </si>
  <si>
    <t>E01</t>
  </si>
  <si>
    <t>E04</t>
  </si>
  <si>
    <t>E11</t>
  </si>
  <si>
    <t>N00</t>
  </si>
  <si>
    <t>N42</t>
  </si>
  <si>
    <t>200</t>
  </si>
  <si>
    <t>2417</t>
  </si>
  <si>
    <t>C48</t>
  </si>
  <si>
    <t>2417-C48 Cisco MDS 9148 Fabric Switch for IBM System Storage</t>
  </si>
  <si>
    <t>3572</t>
  </si>
  <si>
    <t>S6H</t>
  </si>
  <si>
    <t>2145</t>
  </si>
  <si>
    <t>24F</t>
  </si>
  <si>
    <t>CG8</t>
  </si>
  <si>
    <t>2145-CG8 IBM TotalStorage SAN Volume Controller Storage Engine Enterprise</t>
  </si>
  <si>
    <t>5608</t>
  </si>
  <si>
    <t>W08</t>
  </si>
  <si>
    <t>5608-W08 IBM Virtual Storage Cencter V5.1</t>
  </si>
  <si>
    <t>LFA</t>
  </si>
  <si>
    <t>239X-LFA DS8000 Series Function Authorizations</t>
  </si>
  <si>
    <t>3573</t>
  </si>
  <si>
    <t>2421</t>
  </si>
  <si>
    <t>961</t>
  </si>
  <si>
    <t>2422</t>
  </si>
  <si>
    <t>2423</t>
  </si>
  <si>
    <t>2424</t>
  </si>
  <si>
    <t>931</t>
  </si>
  <si>
    <t>932</t>
  </si>
  <si>
    <t>941</t>
  </si>
  <si>
    <t>951</t>
  </si>
  <si>
    <t>3576</t>
  </si>
  <si>
    <t>3580</t>
  </si>
  <si>
    <t>3580-H5S Ultrium Tape Drive</t>
  </si>
  <si>
    <t>3580-H6S Ultrium Tape Drive</t>
  </si>
  <si>
    <t>2499</t>
  </si>
  <si>
    <t>416</t>
  </si>
  <si>
    <t>816</t>
  </si>
  <si>
    <t>3959</t>
  </si>
  <si>
    <t>3959-SM2 IBM System storage TS7620 Protectier Deduplication Aplliance Express</t>
  </si>
  <si>
    <t>LT1</t>
  </si>
  <si>
    <t>LT5</t>
  </si>
  <si>
    <t>1814</t>
  </si>
  <si>
    <t>1818</t>
  </si>
  <si>
    <t>3584-L23 Ultrascalable Tape Library</t>
  </si>
  <si>
    <t>3584-L53 Ultrascalable Tape Library</t>
  </si>
  <si>
    <t>010</t>
  </si>
  <si>
    <t>011</t>
  </si>
  <si>
    <t>014</t>
  </si>
  <si>
    <t>015</t>
  </si>
  <si>
    <t>034</t>
  </si>
  <si>
    <t>035</t>
  </si>
  <si>
    <t>550</t>
  </si>
  <si>
    <t>570</t>
  </si>
  <si>
    <t>650</t>
  </si>
  <si>
    <t>670</t>
  </si>
  <si>
    <t>C07</t>
  </si>
  <si>
    <t>3592-C07 IBM TotalStorage Enterprise Tape Controller</t>
  </si>
  <si>
    <t>E06</t>
  </si>
  <si>
    <t>3592-E06 IBM TotalStorage Enterprise Tape Controller</t>
  </si>
  <si>
    <t>E07</t>
  </si>
  <si>
    <t>3592-E07 IBM TotalStorage Enterprise Tape Controller</t>
  </si>
  <si>
    <t>2073</t>
  </si>
  <si>
    <t>2076</t>
  </si>
  <si>
    <t>12F</t>
  </si>
  <si>
    <t>524</t>
  </si>
  <si>
    <t>F05</t>
  </si>
  <si>
    <t>3952-F05 IBM System Storage 3952 Tape Frame</t>
  </si>
  <si>
    <t>3958-DD5 IBM System Storage TS7650G Server</t>
  </si>
  <si>
    <t>2498-B24 IBM Total Storage b-type SAN Switch (Models B24, B40, B80 )</t>
  </si>
  <si>
    <t>2498-F24 IBM Total Storage f-type SAN Switch (Models F24, F48)</t>
  </si>
  <si>
    <t>2498-F48 IBM Total Storage f-type SAN Switch (Models F24, F48)</t>
  </si>
  <si>
    <t>2498-R06 IBM Total Storage SAN Router</t>
  </si>
  <si>
    <t>R61</t>
  </si>
  <si>
    <t>5608-R61 SVC Software Tivoli Productivity Center Base</t>
  </si>
  <si>
    <t>WB1</t>
  </si>
  <si>
    <t>5608-WB1 SVC Software Tivoli Productivity Center Base</t>
  </si>
  <si>
    <t>WC4</t>
  </si>
  <si>
    <t>R58</t>
  </si>
  <si>
    <t>5608-R58 IBM Tivoli SPC For Disk</t>
  </si>
  <si>
    <t>ACB</t>
  </si>
  <si>
    <t>5608-W07 IBM Tivoli Storage FlashCopy Manager</t>
  </si>
  <si>
    <t>R68</t>
  </si>
  <si>
    <t>5608-R68 IBM Tivoli Storage Prod. Center for Replication /Three site</t>
  </si>
  <si>
    <t>R73</t>
  </si>
  <si>
    <t>5608-R73 IBM Tivoli Storage Prod. Center for Replication /Three site</t>
  </si>
  <si>
    <t>WB2</t>
  </si>
  <si>
    <t>5608-WB2 IBM Tivoli Storage Prod. Center for Replication /Three site</t>
  </si>
  <si>
    <t>WB3</t>
  </si>
  <si>
    <t>5608-WB3 IBM Tivoli Storage Prod. Center for Replication /Three site</t>
  </si>
  <si>
    <t>A92</t>
  </si>
  <si>
    <t>5608-A92 IBM Tivoli Lifecycle manager Reg/Ren: 1 Yr</t>
  </si>
  <si>
    <t>A99</t>
  </si>
  <si>
    <t>5608-A99 IBM Tivoli Key Lifecycle Manager V 2.0</t>
  </si>
  <si>
    <t>5641</t>
  </si>
  <si>
    <t>SSA</t>
  </si>
  <si>
    <t>XXX</t>
  </si>
  <si>
    <t>5639-XXX SW Diligent / Protectier</t>
  </si>
  <si>
    <t>CB7</t>
  </si>
  <si>
    <t>VM7</t>
  </si>
  <si>
    <t>7216</t>
  </si>
  <si>
    <t>7226</t>
  </si>
  <si>
    <t>1U3</t>
  </si>
  <si>
    <t>7226-1U3 Multi-media Enclosure</t>
  </si>
  <si>
    <t>2072-24C</t>
  </si>
  <si>
    <t>2072-24E</t>
  </si>
  <si>
    <t>2DC</t>
  </si>
  <si>
    <t>2DE</t>
  </si>
  <si>
    <t>System Storage V3700 (2072L2C / 2072S2C / 2072LEU / 2072SEU / 2072-12C / 2072-12E / 2072-24E / 2072-24C)</t>
  </si>
  <si>
    <t>7965-94Y</t>
  </si>
  <si>
    <t>7965</t>
  </si>
  <si>
    <t>94Y</t>
  </si>
  <si>
    <t>Rack de 42 EIAs Slim</t>
  </si>
  <si>
    <t>8247-42L</t>
  </si>
  <si>
    <t>42L</t>
  </si>
  <si>
    <t>Power S824L</t>
  </si>
  <si>
    <t>9119-MME</t>
  </si>
  <si>
    <t>9119</t>
  </si>
  <si>
    <t>MME</t>
  </si>
  <si>
    <t>9119-MHE</t>
  </si>
  <si>
    <t>MHE</t>
  </si>
  <si>
    <t>Power E870</t>
  </si>
  <si>
    <t>Power E880</t>
  </si>
  <si>
    <t>Power8 HE</t>
  </si>
  <si>
    <t>Intel Xeon Processor E5-2640 v3 8C 2.6GHz 20MB Cache 1866MHz 90W</t>
  </si>
  <si>
    <t>16GB TruDDR4 Memory (2Rx4, 1.2V) PC4-17000 CL15 2133MHz LP RDIMM</t>
  </si>
  <si>
    <t>System x 750W High Efficiency Platinum AC Power Supply</t>
  </si>
  <si>
    <t>2.8m, 10A/100-250V, C13 to IEC 320-C14 Rack Power Cable</t>
  </si>
  <si>
    <t xml:space="preserve">Productos resaltados en rojo (Recientemente Descontinuados) no se pueden ordenar excepto que haya en stock local. </t>
  </si>
  <si>
    <t xml:space="preserve">Debido a los recientes anuncios y nuevas funcionalidades; siempre se debe revisar la interoperabilidad de los componentes en : IBM System Storage Interoperation Center (SSIC) </t>
  </si>
  <si>
    <t>7042</t>
  </si>
  <si>
    <t>7316</t>
  </si>
  <si>
    <t>flat Panel</t>
  </si>
  <si>
    <t>9117</t>
  </si>
  <si>
    <t>Vigencia: 2014</t>
  </si>
  <si>
    <t>Mejora al Servicio de garantia 3 años 5x9 a
3 años 7x24x4 Storage</t>
  </si>
  <si>
    <t>Mejora al Servicio de garantia 1 año 5x9 a
3 años 7x24x4 Storage</t>
  </si>
  <si>
    <t>5608-B22</t>
  </si>
  <si>
    <t>2498-X24</t>
  </si>
  <si>
    <t>B22</t>
  </si>
  <si>
    <t>X24</t>
  </si>
  <si>
    <t>Mensaje</t>
  </si>
  <si>
    <t>Modulo</t>
  </si>
  <si>
    <t>Garantia</t>
  </si>
  <si>
    <t>Mensajes</t>
  </si>
  <si>
    <t>El valor de la actualizacion de la garantia a 7x24 es aproximado con base en otros productos disponibles.  Es necesario solicitar un valor real a IBM.</t>
  </si>
  <si>
    <t>Fecha</t>
  </si>
  <si>
    <t>Tipo equipo</t>
  </si>
  <si>
    <t>Nivel</t>
  </si>
  <si>
    <t>Marca</t>
  </si>
  <si>
    <t>Familia</t>
  </si>
  <si>
    <t>Tipo parte</t>
  </si>
  <si>
    <t>Formato</t>
  </si>
  <si>
    <t>7778-23X</t>
  </si>
  <si>
    <t>7778</t>
  </si>
  <si>
    <t>JS Blade Server</t>
  </si>
  <si>
    <t>7778-23X JS Blade Server</t>
  </si>
  <si>
    <t>Nivel de entrada</t>
  </si>
  <si>
    <t>CEC</t>
  </si>
  <si>
    <t>Blade</t>
  </si>
  <si>
    <t>7779</t>
  </si>
  <si>
    <t>BladeCenter S</t>
  </si>
  <si>
    <t>7891-73X</t>
  </si>
  <si>
    <t>7891</t>
  </si>
  <si>
    <t>73X</t>
  </si>
  <si>
    <t>PS Blade Server</t>
  </si>
  <si>
    <t>7891-73X PS Blade Server</t>
  </si>
  <si>
    <t>7891-74X</t>
  </si>
  <si>
    <t>74X</t>
  </si>
  <si>
    <t>7891-74X PS Blade Server</t>
  </si>
  <si>
    <t>7988-J21</t>
  </si>
  <si>
    <t>7988</t>
  </si>
  <si>
    <t>J21</t>
  </si>
  <si>
    <t>Blade Server JS21</t>
  </si>
  <si>
    <t>7988-J21 Blade Server JS21</t>
  </si>
  <si>
    <t>7989</t>
  </si>
  <si>
    <t>BladeCenter H</t>
  </si>
  <si>
    <t>7989-BCH BladeCenter H</t>
  </si>
  <si>
    <t>7998-60X</t>
  </si>
  <si>
    <t>7998</t>
  </si>
  <si>
    <t>60X</t>
  </si>
  <si>
    <t>7998-60X JS Blade Server</t>
  </si>
  <si>
    <t>7998-61X</t>
  </si>
  <si>
    <t>61X</t>
  </si>
  <si>
    <t>7998-61X JS Blade Server</t>
  </si>
  <si>
    <t>8202</t>
  </si>
  <si>
    <t>8205</t>
  </si>
  <si>
    <t>8205-E6D Power 740+</t>
  </si>
  <si>
    <t>8231</t>
  </si>
  <si>
    <t>8246-L1C</t>
  </si>
  <si>
    <t>8246</t>
  </si>
  <si>
    <t>L1C</t>
  </si>
  <si>
    <t>Power Linux 7R1-L1C</t>
  </si>
  <si>
    <t>8246-L1C Power Linux 7R1-L1C</t>
  </si>
  <si>
    <t>8246-L1D Power Linux 7R1+ L1D</t>
  </si>
  <si>
    <t>8246-L1S</t>
  </si>
  <si>
    <t>L1S</t>
  </si>
  <si>
    <t>Power Linux 7R1-L1S</t>
  </si>
  <si>
    <t>8246-L1S Power Linux 7R1-L1S</t>
  </si>
  <si>
    <t>8246-L1T Power Linux 7R1+ L1T</t>
  </si>
  <si>
    <t>8246-L2C</t>
  </si>
  <si>
    <t>L2C</t>
  </si>
  <si>
    <t>Power Linux 7R2–L2C</t>
  </si>
  <si>
    <t>8246-L2C Power Linux 7R2–L2C</t>
  </si>
  <si>
    <t>8246-L2D Power Linux 7R2+ L2D</t>
  </si>
  <si>
    <t>8246-L2S</t>
  </si>
  <si>
    <t>L2S</t>
  </si>
  <si>
    <t>Power Linux 7R2-L2S</t>
  </si>
  <si>
    <t>8246-L2S Power Linux 7R2-L2S</t>
  </si>
  <si>
    <t>8246-L2T Power Linux 7R2+ L2T</t>
  </si>
  <si>
    <t>8406</t>
  </si>
  <si>
    <t xml:space="preserve">PS Blade Server </t>
  </si>
  <si>
    <t xml:space="preserve">8406-70Y PS Blade Server </t>
  </si>
  <si>
    <t>8406-71Y</t>
  </si>
  <si>
    <t>71Y</t>
  </si>
  <si>
    <t>8406-71Y PS Blade Server</t>
  </si>
  <si>
    <t>8203</t>
  </si>
  <si>
    <t>8204</t>
  </si>
  <si>
    <t>8233</t>
  </si>
  <si>
    <t>Rango medio</t>
  </si>
  <si>
    <t>8234</t>
  </si>
  <si>
    <t>8234-EMA Power 560</t>
  </si>
  <si>
    <t>8408</t>
  </si>
  <si>
    <t>8408-E8D Power 750+</t>
  </si>
  <si>
    <t>9109</t>
  </si>
  <si>
    <t>9109-RMD Power 760+</t>
  </si>
  <si>
    <t>9117-MMB Power 770</t>
  </si>
  <si>
    <t>9117-MMC Power 770</t>
  </si>
  <si>
    <t>9117-MMD Power 770+</t>
  </si>
  <si>
    <t>9409</t>
  </si>
  <si>
    <t xml:space="preserve">Power 550 </t>
  </si>
  <si>
    <t xml:space="preserve">9409-M50 Power 550 </t>
  </si>
  <si>
    <t>9117-MMA Power 570</t>
  </si>
  <si>
    <t>9119-FHA Power 595</t>
  </si>
  <si>
    <t>Alto rango</t>
  </si>
  <si>
    <t>9119-FHB Power 795</t>
  </si>
  <si>
    <t>9179</t>
  </si>
  <si>
    <t>9179-MHB Power 780</t>
  </si>
  <si>
    <t>9179-MHC Power 780</t>
  </si>
  <si>
    <t>9179-MHD Power 780+</t>
  </si>
  <si>
    <t>9406</t>
  </si>
  <si>
    <t>9406-MMA System i 570</t>
  </si>
  <si>
    <t>7014-B42 Rack de 42 EIAs</t>
  </si>
  <si>
    <t>General</t>
  </si>
  <si>
    <t>Gabinete</t>
  </si>
  <si>
    <t>7014-S25 Rack de 25 EIAs</t>
  </si>
  <si>
    <t>Rack de 36 EIAs</t>
  </si>
  <si>
    <t>7014-T00 Rack de 36 EIAs</t>
  </si>
  <si>
    <t>7014-T42 Rack de 42 EIAs</t>
  </si>
  <si>
    <t>7042-C08</t>
  </si>
  <si>
    <t>C08</t>
  </si>
  <si>
    <t>7042-C08 Consola HMC</t>
  </si>
  <si>
    <t>Consola de administracion</t>
  </si>
  <si>
    <t>7042-CR6</t>
  </si>
  <si>
    <t>CR6</t>
  </si>
  <si>
    <t>7042-CR6 Consola HMC</t>
  </si>
  <si>
    <t>7042-CR7 Consola HMC</t>
  </si>
  <si>
    <t>7316-TF3</t>
  </si>
  <si>
    <t>TF3</t>
  </si>
  <si>
    <t>7316-TF3 Flat Panel</t>
  </si>
  <si>
    <t>7874-024</t>
  </si>
  <si>
    <t>7874</t>
  </si>
  <si>
    <t>024</t>
  </si>
  <si>
    <t>Qlogic Infiniband switch</t>
  </si>
  <si>
    <t>7874-024 Qlogic Infiniband switch</t>
  </si>
  <si>
    <t>Switche</t>
  </si>
  <si>
    <t>7874-040</t>
  </si>
  <si>
    <t>040</t>
  </si>
  <si>
    <t>7874-040 Qlogic Infiniband switch</t>
  </si>
  <si>
    <t>7874-120</t>
  </si>
  <si>
    <t>120</t>
  </si>
  <si>
    <t>7874-120 Qlogic Infiniband switch</t>
  </si>
  <si>
    <t>7874-240</t>
  </si>
  <si>
    <t>240</t>
  </si>
  <si>
    <t>7874-240 Qlogic Infiniband switch</t>
  </si>
  <si>
    <t>9910-P13</t>
  </si>
  <si>
    <t>P13</t>
  </si>
  <si>
    <t>9910-P13 Powerware 5115</t>
  </si>
  <si>
    <t>9910-P13 9910-P13 Powerware 5115</t>
  </si>
  <si>
    <t>9910-P14</t>
  </si>
  <si>
    <t>P14</t>
  </si>
  <si>
    <t>9910-P14 Powerware 5115</t>
  </si>
  <si>
    <t>9910-P14 9910-P14 Powerware 5115</t>
  </si>
  <si>
    <t>9910-E15</t>
  </si>
  <si>
    <t>E15</t>
  </si>
  <si>
    <t>9910-E15 Powerware 9130</t>
  </si>
  <si>
    <t>9910-E15 9910-E15 Powerware 9130</t>
  </si>
  <si>
    <t>9910-E16</t>
  </si>
  <si>
    <t>E16</t>
  </si>
  <si>
    <t>9910-E16 Powerware 9130</t>
  </si>
  <si>
    <t>9910-E16 9910-E16 Powerware 9130</t>
  </si>
  <si>
    <t>9910-E35</t>
  </si>
  <si>
    <t>E35</t>
  </si>
  <si>
    <t>9910 Model E35 (Powerware 9910)</t>
  </si>
  <si>
    <t>9910-E35 9910 Model E35 (Powerware 9910)</t>
  </si>
  <si>
    <t>9910-P15</t>
  </si>
  <si>
    <t>P15</t>
  </si>
  <si>
    <t>9910 Model P15 Powerware 9125</t>
  </si>
  <si>
    <t>9910-P15 9910 Model P15 Powerware 9125</t>
  </si>
  <si>
    <t>9910-P16</t>
  </si>
  <si>
    <t>P16</t>
  </si>
  <si>
    <t>9910 Model P16 Powerware 9125</t>
  </si>
  <si>
    <t>9910-P16 9910 Model P16 Powerware 9125</t>
  </si>
  <si>
    <t>9910-E66</t>
  </si>
  <si>
    <t>E66</t>
  </si>
  <si>
    <t>9910 Model E66 (Powerware 9910)</t>
  </si>
  <si>
    <t>9910-E66 9910 Model E66 (Powerware 9910)</t>
  </si>
  <si>
    <t>9910-E82</t>
  </si>
  <si>
    <t>E82</t>
  </si>
  <si>
    <t>9910 Model E82 (Powerware 9140)</t>
  </si>
  <si>
    <t>9910-E82 9910 Model E82 (Powerware 9140)</t>
  </si>
  <si>
    <t>9910-E83</t>
  </si>
  <si>
    <t>E83</t>
  </si>
  <si>
    <t>9910 Model E83 (Powerware 9140)</t>
  </si>
  <si>
    <t>9910-E83 9910 Model E83 (Powerware 9140)</t>
  </si>
  <si>
    <t>9910-E36</t>
  </si>
  <si>
    <t>E36</t>
  </si>
  <si>
    <t>9910 Model E36 (Powerware 9910)</t>
  </si>
  <si>
    <t>9910-E36 9910 Model E36 (Powerware 9910)</t>
  </si>
  <si>
    <t>9910-E67</t>
  </si>
  <si>
    <t>E67</t>
  </si>
  <si>
    <t>9910 Model E67 (Powerware 9910)</t>
  </si>
  <si>
    <t>9910-E67 9910 Model E67 (Powerware 9910)</t>
  </si>
  <si>
    <t>9910-E30</t>
  </si>
  <si>
    <t>E30</t>
  </si>
  <si>
    <t>9910 Model E30 Powerware 9125</t>
  </si>
  <si>
    <t>9910-E30 9910 Model E30 Powerware 9125</t>
  </si>
  <si>
    <t>9910-E33</t>
  </si>
  <si>
    <t>E33</t>
  </si>
  <si>
    <t>9910 Model E33 Powerware 5125</t>
  </si>
  <si>
    <t>9910-E33 9910 Model E33 Powerware 5125</t>
  </si>
  <si>
    <t>9910-E34</t>
  </si>
  <si>
    <t>E34</t>
  </si>
  <si>
    <t>9910 Model E34 (Powerware 5130)</t>
  </si>
  <si>
    <t>9910-E34 9910 Model E34 (Powerware 5130)</t>
  </si>
  <si>
    <t>9910-E50</t>
  </si>
  <si>
    <t>E50</t>
  </si>
  <si>
    <t>9910 Model E50 Powerware 9135</t>
  </si>
  <si>
    <t>9910-E50 9910 Model E50 Powerware 9135</t>
  </si>
  <si>
    <t>9910-E64</t>
  </si>
  <si>
    <t>E64</t>
  </si>
  <si>
    <t>9910 Model E64 Powerware 9125</t>
  </si>
  <si>
    <t>9910-E64 9910 Model E64 Powerware 9125</t>
  </si>
  <si>
    <t>9910-E65</t>
  </si>
  <si>
    <t>E65</t>
  </si>
  <si>
    <t>9910 Model E65 Powerware 5125</t>
  </si>
  <si>
    <t>9910-E65 9910 Model E65 Powerware 5125</t>
  </si>
  <si>
    <t>5724-PL1</t>
  </si>
  <si>
    <t>PL1</t>
  </si>
  <si>
    <t>IBM PL/I for AIX, V3.1</t>
  </si>
  <si>
    <t>5724-PL1 IBM PL/I for AIX, V3.1</t>
  </si>
  <si>
    <t>5724-U80</t>
  </si>
  <si>
    <t>U80</t>
  </si>
  <si>
    <t>IBM XL C FOR AIX, V10.1</t>
  </si>
  <si>
    <t>5724-U80 IBM XL C FOR AIX, V10.1</t>
  </si>
  <si>
    <t>5724-U81</t>
  </si>
  <si>
    <t>U81</t>
  </si>
  <si>
    <t>IBM XL C/C++ FOR AIX, V10.1</t>
  </si>
  <si>
    <t>5724-U81 IBM XL C/C++ FOR AIX, V10.1</t>
  </si>
  <si>
    <t>5724-U82</t>
  </si>
  <si>
    <t>U82</t>
  </si>
  <si>
    <t>IBM XL Fortran for AIX, V12.1</t>
  </si>
  <si>
    <t>5724-U82 IBM XL Fortran for AIX, V12.1</t>
  </si>
  <si>
    <t>5724-X12</t>
  </si>
  <si>
    <t>X12</t>
  </si>
  <si>
    <t>IBM XL C FOR AIX, V11.1</t>
  </si>
  <si>
    <t>5724-X12 IBM XL C FOR AIX, V11.1</t>
  </si>
  <si>
    <t>5724-X13</t>
  </si>
  <si>
    <t>X13</t>
  </si>
  <si>
    <t>IBM XL C/C++ FOR AIX, V11.1</t>
  </si>
  <si>
    <t>5724-X13 IBM XL C/C++ FOR AIX, V11.1</t>
  </si>
  <si>
    <t>5724-X15</t>
  </si>
  <si>
    <t>X15</t>
  </si>
  <si>
    <t>IBM XL Fortran for AIX, V13.1</t>
  </si>
  <si>
    <t>5724-X15 IBM XL Fortran for AIX, V13.1</t>
  </si>
  <si>
    <t>5724-Z87</t>
  </si>
  <si>
    <t>Z87</t>
  </si>
  <si>
    <t>IBM COBOL for AIX V4.1</t>
  </si>
  <si>
    <t>5724-Z87 IBM COBOL for AIX V4.1</t>
  </si>
  <si>
    <t>5733-RDX</t>
  </si>
  <si>
    <t>RDX</t>
  </si>
  <si>
    <t>IBM Rational Developer for AIX and Linux V9</t>
  </si>
  <si>
    <t>5733-RDX IBM Rational Developer for AIX and Linux V9</t>
  </si>
  <si>
    <t>5765-AEP</t>
  </si>
  <si>
    <t>AEP</t>
  </si>
  <si>
    <t>IBM Systems Director Active Energy Manager for Power Systems, V4</t>
  </si>
  <si>
    <t>5765-AEP IBM Systems Director Active Energy Manager for Power Systems, V4</t>
  </si>
  <si>
    <t>5765-ASM</t>
  </si>
  <si>
    <t>ASM</t>
  </si>
  <si>
    <t>IBM Systems Director Storage Control V4.2.1.1</t>
  </si>
  <si>
    <t>5765-ASM IBM Systems Director Storage Control V4.2.1.1</t>
  </si>
  <si>
    <t>5765-DRP</t>
  </si>
  <si>
    <t>DRP</t>
  </si>
  <si>
    <t>IBM(R) Systems Director for Power Systems, V6</t>
  </si>
  <si>
    <t>5765-DRP IBM(R) Systems Director for Power Systems, V6</t>
  </si>
  <si>
    <t>5765-E72</t>
  </si>
  <si>
    <t>E72</t>
  </si>
  <si>
    <t>Fast Connect</t>
  </si>
  <si>
    <t>5765-E72 Fast Connect</t>
  </si>
  <si>
    <t>5765-E74</t>
  </si>
  <si>
    <t>E74</t>
  </si>
  <si>
    <t>Performance Toolbox</t>
  </si>
  <si>
    <t>5765-E74 Performance Toolbox</t>
  </si>
  <si>
    <t>5765-E85</t>
  </si>
  <si>
    <t>E85</t>
  </si>
  <si>
    <t>AIXLink X.25</t>
  </si>
  <si>
    <t>5765-E85 AIXLink X.25</t>
  </si>
  <si>
    <t>5765-EMP</t>
  </si>
  <si>
    <t>EMP</t>
  </si>
  <si>
    <t>IBM Systems Director VMControl Enterprise Edition, V2</t>
  </si>
  <si>
    <t>5765-EMP IBM Systems Director VMControl Enterprise Edition, V2</t>
  </si>
  <si>
    <t>5765-ESL</t>
  </si>
  <si>
    <t>ESL</t>
  </si>
  <si>
    <t>Parallel ESSL for Linux V4</t>
  </si>
  <si>
    <t>5765-ESL Parallel ESSL for Linux V4</t>
  </si>
  <si>
    <t>5765-ESX</t>
  </si>
  <si>
    <t>ESX</t>
  </si>
  <si>
    <t>Parallel ESSL for AIX, V4.2.0</t>
  </si>
  <si>
    <t>5765-ESX Parallel ESSL for AIX, V4.2.0</t>
  </si>
  <si>
    <t>5765-G66</t>
  </si>
  <si>
    <t>G66</t>
  </si>
  <si>
    <t>General Parallel File System for Power, V3</t>
  </si>
  <si>
    <t>5765-G66 General Parallel File System for Power, V3</t>
  </si>
  <si>
    <t>5765-G82</t>
  </si>
  <si>
    <t>G82</t>
  </si>
  <si>
    <t>IBM PowerSC Express Edition V1.1</t>
  </si>
  <si>
    <t>5765-G82 IBM PowerSC Express Edition V1.1</t>
  </si>
  <si>
    <t>5765-G83</t>
  </si>
  <si>
    <t>G83</t>
  </si>
  <si>
    <t>IBM Workload Partitions Manager for AIX V2.2</t>
  </si>
  <si>
    <t>5765-G83 IBM Workload Partitions Manager for AIX V2.2</t>
  </si>
  <si>
    <t>5765-G62</t>
  </si>
  <si>
    <t>G62</t>
  </si>
  <si>
    <t>AIX 6 for POWER V6.1</t>
  </si>
  <si>
    <t>5765-G97</t>
  </si>
  <si>
    <t>G97</t>
  </si>
  <si>
    <t>IBM AIX Express Edition Version V7.1</t>
  </si>
  <si>
    <t>5765-G97 IBM AIX Express Edition Version V7.1</t>
  </si>
  <si>
    <t>5765-H25</t>
  </si>
  <si>
    <t>H25</t>
  </si>
  <si>
    <t>ESSL V5.2 for AIX</t>
  </si>
  <si>
    <t>5765-H25 ESSL V5.2 for AIX</t>
  </si>
  <si>
    <t>5765-H37</t>
  </si>
  <si>
    <t>H37</t>
  </si>
  <si>
    <t>IBM PowerHA SystemMirror Enterprise Edition V7.1</t>
  </si>
  <si>
    <t>5765-H37 IBM PowerHA SystemMirror Enterprise Edition V7.1</t>
  </si>
  <si>
    <t>5765-H38</t>
  </si>
  <si>
    <t>H38</t>
  </si>
  <si>
    <t>AIX 5.2 Workload Partitions for AIX 7, V1.1</t>
  </si>
  <si>
    <t>5765-H38 AIX 5.2 Workload Partitions for AIX 7, V1.1</t>
  </si>
  <si>
    <t>5765-H39</t>
  </si>
  <si>
    <t>H39</t>
  </si>
  <si>
    <t>IBM PowerHA SystemMirror Standard Edition V7.1</t>
  </si>
  <si>
    <t>5765-H39 IBM PowerHA SystemMirror Standard Edition V7.1</t>
  </si>
  <si>
    <t>5765-I2P</t>
  </si>
  <si>
    <t>I2P</t>
  </si>
  <si>
    <t>IBM Systems Director VMControl Standard Edition for Power V2</t>
  </si>
  <si>
    <t>5765-I2P IBM Systems Director VMControl Standard Edition for Power V2</t>
  </si>
  <si>
    <t>5765-J01</t>
  </si>
  <si>
    <t>J01</t>
  </si>
  <si>
    <t>IBM XL C FOR AIX, V12.1</t>
  </si>
  <si>
    <t>5765-J01 IBM XL C FOR AIX, V12.1</t>
  </si>
  <si>
    <t>5765-J02</t>
  </si>
  <si>
    <t>J02</t>
  </si>
  <si>
    <t>IBM XL C/C++ FOR AIX, V12.1</t>
  </si>
  <si>
    <t>5765-J02 IBM XL C/C++ FOR AIX, V12.1</t>
  </si>
  <si>
    <t>5765-J03</t>
  </si>
  <si>
    <t>J03</t>
  </si>
  <si>
    <t>IBM XL C/C++ FOR Linux, V12.1</t>
  </si>
  <si>
    <t>5765-J03 IBM XL C/C++ FOR Linux, V12.1</t>
  </si>
  <si>
    <t>5765-J04</t>
  </si>
  <si>
    <t>J04</t>
  </si>
  <si>
    <t>IBM XL Fortran for AIX, V14.1</t>
  </si>
  <si>
    <t>5765-J04 IBM XL Fortran for AIX, V14.1</t>
  </si>
  <si>
    <t>5765-J05</t>
  </si>
  <si>
    <t>J05</t>
  </si>
  <si>
    <t>IBM XL Fortran For Linux, V14.1</t>
  </si>
  <si>
    <t>5765-J05 IBM XL Fortran For Linux, V14.1</t>
  </si>
  <si>
    <t>5765-K01</t>
  </si>
  <si>
    <t>K01</t>
  </si>
  <si>
    <t>DB2 Workgroup Server Edition 9.7 for HPC</t>
  </si>
  <si>
    <t>5765-K01 DB2 Workgroup Server Edition 9.7 for HPC</t>
  </si>
  <si>
    <t>5765-L50</t>
  </si>
  <si>
    <t>L50</t>
  </si>
  <si>
    <t>IBM Tivoli Workload Scheduler LoadLeveler for AIX V5.1</t>
  </si>
  <si>
    <t>5765-L50 IBM Tivoli Workload Scheduler LoadLeveler for AIX V5.1</t>
  </si>
  <si>
    <t>5765-L51</t>
  </si>
  <si>
    <t>L51</t>
  </si>
  <si>
    <t>ESSL for Linux on POWER V5.2</t>
  </si>
  <si>
    <t>5765-L51 ESSL for Linux on POWER V5.2</t>
  </si>
  <si>
    <t>5765-LLP</t>
  </si>
  <si>
    <t>LLP</t>
  </si>
  <si>
    <t>LoadLeveler for Linux on POWER V5.1.0</t>
  </si>
  <si>
    <t>5765-LLP LoadLeveler for Linux on POWER V5.1.0</t>
  </si>
  <si>
    <t>5765-LSF</t>
  </si>
  <si>
    <t>LSF</t>
  </si>
  <si>
    <t>IBM Platform LSF - Standard Edition for POWER V9</t>
  </si>
  <si>
    <t>5765-LSF IBM Platform LSF - Standard Edition for POWER V9</t>
  </si>
  <si>
    <t>5765-NCP</t>
  </si>
  <si>
    <t>NCP</t>
  </si>
  <si>
    <t>IBM Systems Director Network Control V1.4</t>
  </si>
  <si>
    <t>5765-NCP IBM Systems Director Network Control V1.4</t>
  </si>
  <si>
    <t>5765-PDP</t>
  </si>
  <si>
    <t>PDP</t>
  </si>
  <si>
    <t>Parallel Environment Developer Edition for Linux on POWER V1.3.0</t>
  </si>
  <si>
    <t>5765-PDP Parallel Environment Developer Edition for Linux on POWER V1.3.0</t>
  </si>
  <si>
    <t>5765-PED</t>
  </si>
  <si>
    <t>PED</t>
  </si>
  <si>
    <t>Parallel Environment Developer Ed for AIX V1.3.0</t>
  </si>
  <si>
    <t>5765-PED Parallel Environment Developer Ed for AIX V1.3.0</t>
  </si>
  <si>
    <t>5765-PER</t>
  </si>
  <si>
    <t>PER</t>
  </si>
  <si>
    <t>Parallel Environment Runtime Edition for AIX V1.2.0</t>
  </si>
  <si>
    <t>5765-PER Parallel Environment Runtime Edition for AIX V1.2.0</t>
  </si>
  <si>
    <t>5765-PPM</t>
  </si>
  <si>
    <t>PPM</t>
  </si>
  <si>
    <t>IBM Platform Process Manager for POWER V9</t>
  </si>
  <si>
    <t>5765-PPM IBM Platform Process Manager for POWER V9</t>
  </si>
  <si>
    <t>5765-PRP</t>
  </si>
  <si>
    <t>PRP</t>
  </si>
  <si>
    <t>Parallel Environment Runtime Edition for Linux on POWER V1</t>
  </si>
  <si>
    <t>5765-PRP Parallel Environment Runtime Edition for Linux on POWER V1</t>
  </si>
  <si>
    <t>5765-PSE</t>
  </si>
  <si>
    <t>PSE</t>
  </si>
  <si>
    <t>IBM PowerSC Standard Editon, V1.1</t>
  </si>
  <si>
    <t>5765-PSE IBM PowerSC Standard Editon, V1.1</t>
  </si>
  <si>
    <t>5765-PVD</t>
  </si>
  <si>
    <t>PVD</t>
  </si>
  <si>
    <t>PowerVM Enterprise Edition for Small Servers</t>
  </si>
  <si>
    <t>5765-PVD PowerVM Enterprise Edition for Small Servers</t>
  </si>
  <si>
    <t>5765-PWO</t>
  </si>
  <si>
    <t>PWO</t>
  </si>
  <si>
    <t>IBM AIX Dynamic System Optimizer V1.1</t>
  </si>
  <si>
    <t>5765-PWO IBM AIX Dynamic System Optimizer V1.1</t>
  </si>
  <si>
    <t>5765-SB3</t>
  </si>
  <si>
    <t>SB3</t>
  </si>
  <si>
    <t>SmartCloud Entry for Power bundle V3</t>
  </si>
  <si>
    <t>5765-SB3 SmartCloud Entry for Power bundle V3</t>
  </si>
  <si>
    <t>5765-SC3</t>
  </si>
  <si>
    <t>SC3</t>
  </si>
  <si>
    <t>SmartCloud Entry for Power V3</t>
  </si>
  <si>
    <t>5765-SC3 SmartCloud Entry for Power V3</t>
  </si>
  <si>
    <t>5765-SEP</t>
  </si>
  <si>
    <t>SEP</t>
  </si>
  <si>
    <t>IBM Systems Director Standard Edition for Power Systems</t>
  </si>
  <si>
    <t>5765-SEP IBM Systems Director Standard Edition for Power Systems</t>
  </si>
  <si>
    <t>5765-SKC</t>
  </si>
  <si>
    <t>SKC</t>
  </si>
  <si>
    <t>SmartCloud Entry V2 for Power</t>
  </si>
  <si>
    <t>5765-SKC SmartCloud Entry V2 for Power</t>
  </si>
  <si>
    <t>5765-SKP</t>
  </si>
  <si>
    <t>SKP</t>
  </si>
  <si>
    <t>SmartCloud Entry for Power bundle V2</t>
  </si>
  <si>
    <t>5765-SKP SmartCloud Entry for Power bundle V2</t>
  </si>
  <si>
    <t>5765-WP7</t>
  </si>
  <si>
    <t>WP7</t>
  </si>
  <si>
    <t>AIX 5.3 Workload Partitions for AIX 7, V1.1</t>
  </si>
  <si>
    <t>5765-WP7 AIX 5.3 Workload Partitions for AIX 7, V1.1</t>
  </si>
  <si>
    <t>IBM Tivoli Storage FlashCopy Manager V4.1</t>
  </si>
  <si>
    <t>5608-ACB IBM Tivoli Storage FlashCopy Manager V4.1</t>
  </si>
  <si>
    <t>5608-ACC</t>
  </si>
  <si>
    <t>ACC</t>
  </si>
  <si>
    <t>IBM SmartCloud Storage Access Instrumentation Layer V5.2</t>
  </si>
  <si>
    <t>5608-ACC IBM SmartCloud Storage Access Instrumentation Layer V5.2</t>
  </si>
  <si>
    <t>5608-AE1</t>
  </si>
  <si>
    <t>IBM SmartCloud Virtual Storage Center V5</t>
  </si>
  <si>
    <t>5608-AE1 IBM SmartCloud Virtual Storage Center V5</t>
  </si>
  <si>
    <t>5608-APG</t>
  </si>
  <si>
    <t>APG</t>
  </si>
  <si>
    <t>IBM Tivoli Continuous Data Protection for Files V3</t>
  </si>
  <si>
    <t>5608-APG IBM Tivoli Continuous Data Protection for Files V3</t>
  </si>
  <si>
    <t>5608-PC1</t>
  </si>
  <si>
    <t>PC1</t>
  </si>
  <si>
    <t>IBM Tivoli Storage Productivity Center V5</t>
  </si>
  <si>
    <t>5608-PC1 IBM Tivoli Storage Productivity Center V5</t>
  </si>
  <si>
    <t>5639-D1F</t>
  </si>
  <si>
    <t>D1F</t>
  </si>
  <si>
    <t>IBM System Storage Data Center (Fabric Manager - DCFM) V10.4.1</t>
  </si>
  <si>
    <t>5639-D1F IBM System Storage Data Center (Fabric Manager - DCFM) V10.4.1</t>
  </si>
  <si>
    <t>5639-LP1</t>
  </si>
  <si>
    <t>LP1</t>
  </si>
  <si>
    <t>IBM Linear Tape File System Enterprise Edition V1.1</t>
  </si>
  <si>
    <t>5639-LP1 IBM Linear Tape File System Enterprise Edition V1.1</t>
  </si>
  <si>
    <t>5639-NA1</t>
  </si>
  <si>
    <t>NA1</t>
  </si>
  <si>
    <t>IBM Network Advisor V11.1</t>
  </si>
  <si>
    <t>5639-NA1 IBM Network Advisor V11.1</t>
  </si>
  <si>
    <t>5639-NAT</t>
  </si>
  <si>
    <t>NAT</t>
  </si>
  <si>
    <t>IBM Network Advisor V12</t>
  </si>
  <si>
    <t>5639-NAT IBM Network Advisor V12</t>
  </si>
  <si>
    <t>5641-NM1</t>
  </si>
  <si>
    <t>NM1</t>
  </si>
  <si>
    <t>System Networking Switch Center V7 w/ 1-Year Service and Support</t>
  </si>
  <si>
    <t>5641-NM1 System Networking Switch Center V7 w/ 1-Year Service and Support</t>
  </si>
  <si>
    <t>5641-NM3</t>
  </si>
  <si>
    <t>NM3</t>
  </si>
  <si>
    <t>System Networking Switch Center V7 w/ 3-Year Service and Support</t>
  </si>
  <si>
    <t>5641-NM3 System Networking Switch Center V7 w/ 3-Year Service and Support</t>
  </si>
  <si>
    <t>IBM SmartCloud Storage Access R1.1</t>
  </si>
  <si>
    <t>5641-SSA IBM SmartCloud Storage Access R1.1</t>
  </si>
  <si>
    <t>5765-EEP</t>
  </si>
  <si>
    <t>EEP</t>
  </si>
  <si>
    <t>IBM Systems Director Enterprise Edition for Power Systems</t>
  </si>
  <si>
    <t>5765-EEP IBM Systems Director Enterprise Edition for Power Systems</t>
  </si>
  <si>
    <t>5765-EXP</t>
  </si>
  <si>
    <t>IBM Systems Director Express Edition for Power Systems</t>
  </si>
  <si>
    <t>5765-EXP IBM Systems Director Express Edition for Power Systems</t>
  </si>
  <si>
    <t>5765-G84</t>
  </si>
  <si>
    <t>G84</t>
  </si>
  <si>
    <t>IBM WebSphere DataPower Integration Blade XI50B</t>
  </si>
  <si>
    <t>5765-G84 IBM WebSphere DataPower Integration Blade XI50B</t>
  </si>
  <si>
    <t>5765-G85</t>
  </si>
  <si>
    <t>G85</t>
  </si>
  <si>
    <t>IBM WebSphere DataPower Integration Blade XI50B Sub &amp; Supp (Reg/Ren): 1 Yr</t>
  </si>
  <si>
    <t>5765-G85 IBM WebSphere DataPower Integration Blade XI50B Sub &amp; Supp (Reg/Ren): 1 Yr</t>
  </si>
  <si>
    <t>5765-H16</t>
  </si>
  <si>
    <t>H16</t>
  </si>
  <si>
    <t>IBM WebSphere CloudBurst Appliance</t>
  </si>
  <si>
    <t>5765-H16 IBM WebSphere CloudBurst Appliance</t>
  </si>
  <si>
    <t>5765-H17</t>
  </si>
  <si>
    <t>H17</t>
  </si>
  <si>
    <t>IBM WebSphere CloudBurst Appliance Reg/Ren: 1 Yr</t>
  </si>
  <si>
    <t>5765-H17 IBM WebSphere CloudBurst Appliance Reg/Ren: 1 Yr</t>
  </si>
  <si>
    <t>5765-H31</t>
  </si>
  <si>
    <t>H31</t>
  </si>
  <si>
    <t>IBM WebSphere DataPower XC10</t>
  </si>
  <si>
    <t>5765-H31 IBM WebSphere DataPower XC10</t>
  </si>
  <si>
    <t>5765-H42</t>
  </si>
  <si>
    <t>H42</t>
  </si>
  <si>
    <t>WebSphere DataPower XC10 Appliance</t>
  </si>
  <si>
    <t>5765-H42 WebSphere DataPower XC10 Appliance</t>
  </si>
  <si>
    <t>5765-PS1</t>
  </si>
  <si>
    <t>PS1</t>
  </si>
  <si>
    <t>IBM Workload Deployer Appliance</t>
  </si>
  <si>
    <t>5765-PS1 IBM Workload Deployer Appliance</t>
  </si>
  <si>
    <t>5765-PS2</t>
  </si>
  <si>
    <t>PS2</t>
  </si>
  <si>
    <t>IBM Workload Deployer Sub &amp; Supp (Reg/Ren): 1 Yr</t>
  </si>
  <si>
    <t>5765-PS2 IBM Workload Deployer Sub &amp; Supp (Reg/Ren): 1 Yr</t>
  </si>
  <si>
    <t xml:space="preserve">5372 </t>
  </si>
  <si>
    <t xml:space="preserve">5619 </t>
  </si>
  <si>
    <t xml:space="preserve">5639 </t>
  </si>
  <si>
    <t xml:space="preserve">5648 </t>
  </si>
  <si>
    <t xml:space="preserve">5660 </t>
  </si>
  <si>
    <t xml:space="preserve">5661 </t>
  </si>
  <si>
    <t xml:space="preserve">5662 </t>
  </si>
  <si>
    <t xml:space="preserve">5663 </t>
  </si>
  <si>
    <t xml:space="preserve">5664 </t>
  </si>
  <si>
    <t xml:space="preserve">5692 </t>
  </si>
  <si>
    <t xml:space="preserve">5722 </t>
  </si>
  <si>
    <t xml:space="preserve">5724 </t>
  </si>
  <si>
    <t xml:space="preserve">5733-QUB </t>
  </si>
  <si>
    <t xml:space="preserve">5733 </t>
  </si>
  <si>
    <t xml:space="preserve">5761 </t>
  </si>
  <si>
    <t xml:space="preserve">5765 </t>
  </si>
  <si>
    <t xml:space="preserve">5770 </t>
  </si>
  <si>
    <t xml:space="preserve">5771-LNX </t>
  </si>
  <si>
    <t xml:space="preserve">5771-ZC1 </t>
  </si>
  <si>
    <t xml:space="preserve">5771-ZS1 </t>
  </si>
  <si>
    <t xml:space="preserve">5771 </t>
  </si>
  <si>
    <t xml:space="preserve">5773-LNX </t>
  </si>
  <si>
    <t xml:space="preserve">5773 </t>
  </si>
  <si>
    <t xml:space="preserve">5798 </t>
  </si>
  <si>
    <t xml:space="preserve">5799 </t>
  </si>
  <si>
    <t xml:space="preserve">Otro </t>
  </si>
  <si>
    <t>1812-81A</t>
  </si>
  <si>
    <t>81A</t>
  </si>
  <si>
    <t>1812 IBM System Storage DS4000 EXP810 Storage Expansion Unit</t>
  </si>
  <si>
    <t>Sistema de almacenamiento</t>
  </si>
  <si>
    <t>Sistemas de discos</t>
  </si>
  <si>
    <t>Expansion de discos</t>
  </si>
  <si>
    <t>2053 Cisco MDS 9134 Standalone Model 434</t>
  </si>
  <si>
    <t>2053-S34 2053 Cisco MDS 9134 Standalone Model 434</t>
  </si>
  <si>
    <t>2053 Cisco MDS 9134 Stacked Model S34</t>
  </si>
  <si>
    <t>2053-434 2053 Cisco MDS 9134 Stacked Model S34</t>
  </si>
  <si>
    <t>2054 Model E01</t>
  </si>
  <si>
    <t>2054-E01 2054 Model E01</t>
  </si>
  <si>
    <t>2054 Model E04</t>
  </si>
  <si>
    <t>2054-E04 2054 Model E04</t>
  </si>
  <si>
    <t>2054-E07</t>
  </si>
  <si>
    <t>2054 Model E07</t>
  </si>
  <si>
    <t>2054-E07 2054 Model E07</t>
  </si>
  <si>
    <t>2054 Model E11</t>
  </si>
  <si>
    <t>2054-E11 2054 Model E11</t>
  </si>
  <si>
    <t>2054-D1A</t>
  </si>
  <si>
    <t>2054 Cisco MDS 9216i for IBM System Storage Model D1H</t>
  </si>
  <si>
    <t>2054-D1A 2054 Cisco MDS 9216i for IBM System Storage Model D1H</t>
  </si>
  <si>
    <t>2054-D1H</t>
  </si>
  <si>
    <t>D1H</t>
  </si>
  <si>
    <t>2054 Cisco MDS 9216A for IBM System Storage Model D1A</t>
  </si>
  <si>
    <t>2054-D1H 2054 Cisco MDS 9216A for IBM System Storage Model D1A</t>
  </si>
  <si>
    <t>2101 Storage Solutions Rack Model N00</t>
  </si>
  <si>
    <t>2101-N00 2101 Storage Solutions Rack Model N00</t>
  </si>
  <si>
    <t>Storage Solutions Rack 2101 Model N42</t>
  </si>
  <si>
    <t>2101-N42 Storage Solutions Rack 2101 Model N42</t>
  </si>
  <si>
    <t>2101-100</t>
  </si>
  <si>
    <t>100</t>
  </si>
  <si>
    <t>2101 Model 100 Storage Solutions System</t>
  </si>
  <si>
    <t>2101-100 2101 Model 100 Storage Solutions System</t>
  </si>
  <si>
    <t>2101 Model 200 Storage Solutions System</t>
  </si>
  <si>
    <t>2101-200 2101 Model 200 Storage Solutions System</t>
  </si>
  <si>
    <t>2858-C22</t>
  </si>
  <si>
    <t>C22</t>
  </si>
  <si>
    <t>IBM 2858 System Storage N6270 storage controller Model C22</t>
  </si>
  <si>
    <t>2858-C22 IBM 2858 System Storage N6270 storage controller Model C22</t>
  </si>
  <si>
    <t>Controladora de discos</t>
  </si>
  <si>
    <t>2858-E12</t>
  </si>
  <si>
    <t>E12</t>
  </si>
  <si>
    <t>IBM 2858 System Storage N6270 storage controller Model E12</t>
  </si>
  <si>
    <t>2858-E12 IBM 2858 System Storage N6270 storage controller Model E12</t>
  </si>
  <si>
    <t>2858-E22</t>
  </si>
  <si>
    <t>E22</t>
  </si>
  <si>
    <t>IBM 2858 System Storage N6270 storage controller Model E22</t>
  </si>
  <si>
    <t>2858-E22 IBM 2858 System Storage N6270 storage controller Model E22</t>
  </si>
  <si>
    <t>2858-C20</t>
  </si>
  <si>
    <t>C20</t>
  </si>
  <si>
    <t>IBM 2858 System Storage N6210 storage controller Model C20</t>
  </si>
  <si>
    <t>2858-C20 IBM 2858 System Storage N6210 storage controller Model C20</t>
  </si>
  <si>
    <t>2858-C21</t>
  </si>
  <si>
    <t>C21</t>
  </si>
  <si>
    <t>IBM 2858 System Storage N6210 storage controller Model C21</t>
  </si>
  <si>
    <t>2858-C21 IBM 2858 System Storage N6210 storage controller Model C21</t>
  </si>
  <si>
    <t>2858-E11</t>
  </si>
  <si>
    <t>IBM 2858 System Storage N6210 storage controller Model E11</t>
  </si>
  <si>
    <t>2858-E11 IBM 2858 System Storage N6210 storage controller Model E11</t>
  </si>
  <si>
    <t>2858-E21</t>
  </si>
  <si>
    <t>E21</t>
  </si>
  <si>
    <t>IBM 2858 System Storage N6210 storage controller Model E21</t>
  </si>
  <si>
    <t>2858-E21 IBM 2858 System Storage N6210 storage controller Model E21</t>
  </si>
  <si>
    <t>2859-A10</t>
  </si>
  <si>
    <t>A10</t>
  </si>
  <si>
    <t>IBM 2859 System Storage N3300 Model A10</t>
  </si>
  <si>
    <t>2859-A10 IBM 2859 System Storage N3300 Model A10</t>
  </si>
  <si>
    <t>2859-A20</t>
  </si>
  <si>
    <t>A20</t>
  </si>
  <si>
    <t>IBM 2859 System Storage N3300 Model A20</t>
  </si>
  <si>
    <t>2859-A20 IBM 2859 System Storage N3300 Model A20</t>
  </si>
  <si>
    <t>2861-001</t>
  </si>
  <si>
    <t>001</t>
  </si>
  <si>
    <t>IBM System Storage EXN1000 SATA Expansion Unit</t>
  </si>
  <si>
    <t>2861-001 IBM System Storage EXN1000 SATA Expansion Unit</t>
  </si>
  <si>
    <t>2862-A10</t>
  </si>
  <si>
    <t>IBM System Storage N3600 Models A10</t>
  </si>
  <si>
    <t>2862-A20</t>
  </si>
  <si>
    <t>IBM System Storage N3600 Models A20</t>
  </si>
  <si>
    <t>2863-A10</t>
  </si>
  <si>
    <t>IBM System Storage N3700 Models A10</t>
  </si>
  <si>
    <t>2863-A20</t>
  </si>
  <si>
    <t>IBM System Storage N3700 Models A20</t>
  </si>
  <si>
    <t>2863-001</t>
  </si>
  <si>
    <t>IBM System Storage N3700 Models 001</t>
  </si>
  <si>
    <t>IBM System Storage N3700 Models 004</t>
  </si>
  <si>
    <t>2864-A10</t>
  </si>
  <si>
    <t>IBM System Storage N5200 Models A10</t>
  </si>
  <si>
    <t>2864-A20</t>
  </si>
  <si>
    <t>IBM System Storage N5200 Models A20</t>
  </si>
  <si>
    <t>2865-A10</t>
  </si>
  <si>
    <t>IBM System Storage N5500 Models A10</t>
  </si>
  <si>
    <t>2865-A20</t>
  </si>
  <si>
    <t>IBM System Storage N5500 Models A20</t>
  </si>
  <si>
    <t>2868-A10</t>
  </si>
  <si>
    <t>IBM System Storage N5600 Models A10</t>
  </si>
  <si>
    <t>2868-A20</t>
  </si>
  <si>
    <t>IBM System Storage N5600 Models A20</t>
  </si>
  <si>
    <t>2868-G10</t>
  </si>
  <si>
    <t>G10</t>
  </si>
  <si>
    <t>IBM System Storage N5600 Models G10</t>
  </si>
  <si>
    <t>2868-G20</t>
  </si>
  <si>
    <t>G20</t>
  </si>
  <si>
    <t>IBM System Storage N5600 Models G20</t>
  </si>
  <si>
    <t>2869-A10</t>
  </si>
  <si>
    <t>IBM System Storage N5300 Models A10</t>
  </si>
  <si>
    <t>2869-A20</t>
  </si>
  <si>
    <t>IBM System Storage N5300 Models A20</t>
  </si>
  <si>
    <t>2869-G10</t>
  </si>
  <si>
    <t>IBM System Storage N5300 Models G10</t>
  </si>
  <si>
    <t>2869-G20</t>
  </si>
  <si>
    <t>IBM System Storage N5300 Models G20</t>
  </si>
  <si>
    <t>2870-58A</t>
  </si>
  <si>
    <t>2870</t>
  </si>
  <si>
    <t>58A</t>
  </si>
  <si>
    <t>IBM TotalStorage N Series function authorizations</t>
  </si>
  <si>
    <t>2870 IBM TotalStorage N Series function authorizations</t>
  </si>
  <si>
    <t>2870-58B</t>
  </si>
  <si>
    <t>58B</t>
  </si>
  <si>
    <t>2870-58C</t>
  </si>
  <si>
    <t>58C</t>
  </si>
  <si>
    <t>2870-58D</t>
  </si>
  <si>
    <t>58D</t>
  </si>
  <si>
    <t>2870-58E</t>
  </si>
  <si>
    <t>58E</t>
  </si>
  <si>
    <t>3572-XXX</t>
  </si>
  <si>
    <t>3572-XXX IBM System Storate TS2900 Tape Library</t>
  </si>
  <si>
    <t>2240-FLC</t>
  </si>
  <si>
    <t>FLC</t>
  </si>
  <si>
    <t>IBM TotalStorage ESS Advanced Functions</t>
  </si>
  <si>
    <t>2240 IBM TotalStorage ESS Advanced Functions</t>
  </si>
  <si>
    <t>2240-PAV</t>
  </si>
  <si>
    <t>PAV</t>
  </si>
  <si>
    <t>2240-PRC</t>
  </si>
  <si>
    <t>2240-XRC</t>
  </si>
  <si>
    <t>XRC</t>
  </si>
  <si>
    <t>2244</t>
  </si>
  <si>
    <t>2244 DS8000 Series Function Authorizations</t>
  </si>
  <si>
    <t>3573-L2U IBM System Storage TS3100 Tape Library</t>
  </si>
  <si>
    <t>IBM System Storage TS3200 Tape Library</t>
  </si>
  <si>
    <t>3573-L4U IBM System Storage TS3200 Tape Library</t>
  </si>
  <si>
    <t>IBM System Storage DS 8870</t>
  </si>
  <si>
    <t>2421-961 IBM System Storage DS 8870</t>
  </si>
  <si>
    <t>2422-961 IBM System Storage DS 8870</t>
  </si>
  <si>
    <t>2423-961 IBM System Storage DS 8870</t>
  </si>
  <si>
    <t>2424-961 IBM System Storage DS 8870</t>
  </si>
  <si>
    <t>IBM System Storage DS 8100</t>
  </si>
  <si>
    <t>2421-931 IBM System Storage DS 8100</t>
  </si>
  <si>
    <t>2422-931 IBM System Storage DS 8100</t>
  </si>
  <si>
    <t>2423-931 IBM System Storage DS 8100</t>
  </si>
  <si>
    <t>2424-931 IBM System Storage DS 8100</t>
  </si>
  <si>
    <t>IBM System Storage DS 8300</t>
  </si>
  <si>
    <t>2421-932 IBM System Storage DS 8300</t>
  </si>
  <si>
    <t>2422-932 IBM System Storage DS 8300</t>
  </si>
  <si>
    <t>2423-932 IBM System Storage DS 8300</t>
  </si>
  <si>
    <t>2424-932 IBM System Storage DS 8300</t>
  </si>
  <si>
    <t>IBM System Storage DS 8700</t>
  </si>
  <si>
    <t>2421-941 IBM System Storage DS 8700</t>
  </si>
  <si>
    <t>2422-941 IBM System Storage DS 8700</t>
  </si>
  <si>
    <t>2423-941 IBM System Storage DS 8700</t>
  </si>
  <si>
    <t>2424-941 IBM System Storage DS 8700</t>
  </si>
  <si>
    <t>IBM System Storage DS 8800</t>
  </si>
  <si>
    <t>2421-951 IBM System Storage DS 8800</t>
  </si>
  <si>
    <t>2422-951 IBM System Storage DS 8800</t>
  </si>
  <si>
    <t>2423-951 IBM System Storage DS 8800</t>
  </si>
  <si>
    <t>2424-951 IBM System Storage DS 8800</t>
  </si>
  <si>
    <t>TS3310 Tape Library</t>
  </si>
  <si>
    <t>3576-E9U TS3310 Tape Library</t>
  </si>
  <si>
    <t>TS3310 Tape Expansion Module</t>
  </si>
  <si>
    <t>3576-L5B TS3310 Tape Expansion Module</t>
  </si>
  <si>
    <t>TS2250 Tape Drive Express Model H5S with HHLTO5 SAS Tape Drive</t>
  </si>
  <si>
    <t>TS2260 Tape Drive Express Model H6S with HHLTO6 SAS Tape Drive</t>
  </si>
  <si>
    <t>TS2240 Tape Drive Express Model H4V with HHLTO4 SAS Tape Drive V2</t>
  </si>
  <si>
    <t>3580-H4V TS2240 Tape Drive Express Model H4V with HHLTO4 SAS Tape Drive V2</t>
  </si>
  <si>
    <t>Tape Drive Express Modelo S53</t>
  </si>
  <si>
    <t>3580-S53 Tape Drive Express Modelo S53</t>
  </si>
  <si>
    <t>Tape Drive Express Modelo S63 with FHLTO6 SAS Tape Drive</t>
  </si>
  <si>
    <t>3580-S63 Tape Drive Express Modelo S63 with FHLTO6 SAS Tape Drive</t>
  </si>
  <si>
    <t>3599-011</t>
  </si>
  <si>
    <t>IBM 3592 Enterprise Tape Cartridge with Labeling and Initialization</t>
  </si>
  <si>
    <t>3599-011 IBM 3592 Enterprise Tape Cartridge with Labeling and Initialization</t>
  </si>
  <si>
    <t>Medio</t>
  </si>
  <si>
    <t>Librerias de cintas</t>
  </si>
  <si>
    <t>3599-012</t>
  </si>
  <si>
    <t>012</t>
  </si>
  <si>
    <t>IBM 3592 Enterprise Tape Cartridge with Labeling only</t>
  </si>
  <si>
    <t>3599-012 IBM 3592 Enterprise Tape Cartridge with Labeling only</t>
  </si>
  <si>
    <t>3599-013</t>
  </si>
  <si>
    <t>013</t>
  </si>
  <si>
    <t>IBM 3592 Enterprise Tape Cartridge w/o Labeling and Initialization</t>
  </si>
  <si>
    <t>3599-013 IBM 3592 Enterprise Tape Cartridge w/o Labeling and Initialization</t>
  </si>
  <si>
    <t>3599-014</t>
  </si>
  <si>
    <t>IBM 3592 Extended Data with Labeling and Initialization</t>
  </si>
  <si>
    <t>3599-014 IBM 3592 Extended Data with Labeling and Initialization</t>
  </si>
  <si>
    <t>3599-015</t>
  </si>
  <si>
    <t>IBM 3592 Extended Data with Labeling only</t>
  </si>
  <si>
    <t>3599-015 IBM 3592 Extended Data with Labeling only</t>
  </si>
  <si>
    <t>3599-016</t>
  </si>
  <si>
    <t>016</t>
  </si>
  <si>
    <t>IBM 3592 Extended Data w/o Labeling and Initialization</t>
  </si>
  <si>
    <t>3599-016 IBM 3592 Extended Data w/o Labeling and Initialization</t>
  </si>
  <si>
    <t>3599-017</t>
  </si>
  <si>
    <t>017</t>
  </si>
  <si>
    <t>IBM 3592 Enterprise Cleaning Cartridge</t>
  </si>
  <si>
    <t>3599-017 IBM 3592 Enterprise Cleaning Cartridge</t>
  </si>
  <si>
    <t>3599-420</t>
  </si>
  <si>
    <t>420</t>
  </si>
  <si>
    <t>Tape Cart. 3592 Labeled and Initialized Data Cartridges - Type C</t>
  </si>
  <si>
    <t>3599-420 Tape Cart. 3592 Labeled and Initialized Data Cartridges - Type C</t>
  </si>
  <si>
    <t>3599-430</t>
  </si>
  <si>
    <t>430</t>
  </si>
  <si>
    <t>Tape Cart. 3592 Labeled and Initialized Economy Data - Type K</t>
  </si>
  <si>
    <t>3599-430 Tape Cart. 3592 Labeled and Initialized Economy Data - Type K</t>
  </si>
  <si>
    <t>3599-440</t>
  </si>
  <si>
    <t>440</t>
  </si>
  <si>
    <t>Tape Cart. 3592 Labeled and Initialized WORM Cartridges - Type Y</t>
  </si>
  <si>
    <t>3599-440 Tape Cart. 3592 Labeled and Initialized WORM Cartridges - Type Y</t>
  </si>
  <si>
    <t>3599-520</t>
  </si>
  <si>
    <t>520</t>
  </si>
  <si>
    <t>Tape Cart. 3592 Labeled Data Cartridges - Type C</t>
  </si>
  <si>
    <t>3599-520 Tape Cart. 3592 Labeled Data Cartridges - Type C</t>
  </si>
  <si>
    <t>3599-530</t>
  </si>
  <si>
    <t>530</t>
  </si>
  <si>
    <t>Tape Cart. 3592 Labeled Economy Data - Type K</t>
  </si>
  <si>
    <t>3599-530 Tape Cart. 3592 Labeled Economy Data - Type K</t>
  </si>
  <si>
    <t>3599-540</t>
  </si>
  <si>
    <t>540</t>
  </si>
  <si>
    <t>Tape Cart. 3592 Labeled WORM Cartridges - Type Y</t>
  </si>
  <si>
    <t>3599-540 Tape Cart. 3592 Labeled WORM Cartridges - Type Y</t>
  </si>
  <si>
    <t>3599-620</t>
  </si>
  <si>
    <t>620</t>
  </si>
  <si>
    <t>Tape Cart. 3592 Data Cartridges - Type C</t>
  </si>
  <si>
    <t>3599-620 Tape Cart. 3592 Data Cartridges - Type C</t>
  </si>
  <si>
    <t>3599-630</t>
  </si>
  <si>
    <t>630</t>
  </si>
  <si>
    <t>Tape Cart. 3592 Economy Data - Type K</t>
  </si>
  <si>
    <t>3599-630 Tape Cart. 3592 Economy Data - Type K</t>
  </si>
  <si>
    <t>3599-640</t>
  </si>
  <si>
    <t>640</t>
  </si>
  <si>
    <t>Tape Cart. 3592 WORM Cartridges - Type Y</t>
  </si>
  <si>
    <t>3599-640 Tape Cart. 3592 WORM Cartridges - Type Y</t>
  </si>
  <si>
    <t>3599-E11</t>
  </si>
  <si>
    <t>IBM 3592 Enterprise Tape Cartridge (Economy), 60GB, with Labeling or Initializing</t>
  </si>
  <si>
    <t>3599-E11 IBM 3592 Enterprise Tape Cartridge (Economy), 60GB, with Labeling or Initializing</t>
  </si>
  <si>
    <t>3599-E12</t>
  </si>
  <si>
    <t>IBM 3592 Enterprise Tape Cartridge (Economy), 60GB, with Labeling only</t>
  </si>
  <si>
    <t>3599-E12 IBM 3592 Enterprise Tape Cartridge (Economy), 60GB, with Labeling only</t>
  </si>
  <si>
    <t>3599-E13</t>
  </si>
  <si>
    <t>E13</t>
  </si>
  <si>
    <t>IBM 3592 Enterprise Tape Cartridge (Economy), 60GB, w/o Labeling or Initializing</t>
  </si>
  <si>
    <t>3599-E13 IBM 3592 Enterprise Tape Cartridge (Economy), 60GB, w/o Labeling or Initializing</t>
  </si>
  <si>
    <t>3758-B32</t>
  </si>
  <si>
    <t>B32</t>
  </si>
  <si>
    <t>IBM Converged Swtich B32</t>
  </si>
  <si>
    <t>3758-B32 IBM Converged Swtich B32</t>
  </si>
  <si>
    <t>IBM System Storage SAN384B-2 - 16 Gbps 192-port Director</t>
  </si>
  <si>
    <t>2499-416 IBM System Storage SAN384B-2 - 16 Gbps 192-port Director</t>
  </si>
  <si>
    <t>IBM System Storage SAN384B-2 - 16 Gbps 384-port Director</t>
  </si>
  <si>
    <t>2499-816 IBM System Storage SAN384B-2 - 16 Gbps 384-port Director</t>
  </si>
  <si>
    <t>2805-MC5</t>
  </si>
  <si>
    <t>MC5</t>
  </si>
  <si>
    <t>2805-MC5 IBM System Storage Productivity Center</t>
  </si>
  <si>
    <t>2810-214 IBM XIV Storage System</t>
  </si>
  <si>
    <t>2812 IBM XIV Storage System</t>
  </si>
  <si>
    <t>5639 -LT1</t>
  </si>
  <si>
    <t>5639 -LT1 IBM System Storage Linear Tape File System</t>
  </si>
  <si>
    <t>5639 -LT5</t>
  </si>
  <si>
    <t>5639 -LT5 IBM System Storage Linear Tape File System</t>
  </si>
  <si>
    <t>2867-C20</t>
  </si>
  <si>
    <t>IBM System Storage N7550T</t>
  </si>
  <si>
    <t>2867-C20 IBM System Storage N7550T</t>
  </si>
  <si>
    <t>2867-E22</t>
  </si>
  <si>
    <t>IBM System Storage N7950T</t>
  </si>
  <si>
    <t>2867-E22 IBM System Storage N7950T</t>
  </si>
  <si>
    <t>IBM System Storage DS5020</t>
  </si>
  <si>
    <t>1814-20A IBM System Storage DS5020</t>
  </si>
  <si>
    <t>EXP520 Storage Expansion Unit</t>
  </si>
  <si>
    <t>1814-52A EXP520 Storage Expansion Unit</t>
  </si>
  <si>
    <t>DCS3700 Expansion unit</t>
  </si>
  <si>
    <t>3588-F3A</t>
  </si>
  <si>
    <t>F3A</t>
  </si>
  <si>
    <t>3588-F3A IBM TotalStorage Tape Drive</t>
  </si>
  <si>
    <t>Ultrium cleaning cartridges</t>
  </si>
  <si>
    <t>800 GB Ultrium Labeled Tape Cartridges</t>
  </si>
  <si>
    <t>800 GB Ultrium Tape Cartridges</t>
  </si>
  <si>
    <t>3589-032</t>
  </si>
  <si>
    <t>032</t>
  </si>
  <si>
    <t>800 GB Ultrium WORM Labeled Tape Cartridges</t>
  </si>
  <si>
    <t>3589-033</t>
  </si>
  <si>
    <t>033</t>
  </si>
  <si>
    <t>800 GB Ultrium WORM Tape Cartridges</t>
  </si>
  <si>
    <t>1.5 TB Ultrium Labeled Tape Cartridges</t>
  </si>
  <si>
    <t>1.5 TB Ultrium Tape Cartridges</t>
  </si>
  <si>
    <t>1.5 TB IBM Ultrium WORM Labeled Tape Cartridges</t>
  </si>
  <si>
    <t>1.5 TB IBM Ultrium WORM Tape Cartridges</t>
  </si>
  <si>
    <t>2.5 TB Ultrium Labeled Tape Cartridges</t>
  </si>
  <si>
    <t>2.5 TB Ultrium Tape Cartridges</t>
  </si>
  <si>
    <t>2.5 TB IBM Ultrium WORM Labeled Tape Cartridges</t>
  </si>
  <si>
    <t>2.5 TB IBM Ultrium WORM Tape Cartridges</t>
  </si>
  <si>
    <t>3590 Tape Drive</t>
  </si>
  <si>
    <t>IBM Storwize V7000 Controladora</t>
  </si>
  <si>
    <t>IBM Storwize V7000 Expansion</t>
  </si>
  <si>
    <t>3953 IBM TotalStorage Library Manager</t>
  </si>
  <si>
    <t>3954-CV5</t>
  </si>
  <si>
    <t>CV5</t>
  </si>
  <si>
    <t>IBM Virtualizaton Engine TS7510</t>
  </si>
  <si>
    <t>3955</t>
  </si>
  <si>
    <t>3955 IBM Virtualizaton Engine TS7510</t>
  </si>
  <si>
    <t>3956-CC6</t>
  </si>
  <si>
    <t>CC6</t>
  </si>
  <si>
    <t>IBM Virtualization Engine TS7740 Cache Controller</t>
  </si>
  <si>
    <t>3956-CX6</t>
  </si>
  <si>
    <t>CX6</t>
  </si>
  <si>
    <t>IBM Virtualization Engine TS7740 Cache Drawer</t>
  </si>
  <si>
    <t>3957-V06</t>
  </si>
  <si>
    <t>V06</t>
  </si>
  <si>
    <t>Redes de almacenamiento</t>
  </si>
  <si>
    <t>Switche SAN</t>
  </si>
  <si>
    <t>5608-R56</t>
  </si>
  <si>
    <t>Tivoli Productivity Center For Disk</t>
  </si>
  <si>
    <t>5608-R56 Tivoli Productivity Center For Disk</t>
  </si>
  <si>
    <t>5608-WC4 Tivoli Productivity Center For Disk</t>
  </si>
  <si>
    <t>5608-XXX</t>
  </si>
  <si>
    <t>5608-XXX IBM Tivoli Storage FlashCopy Manager</t>
  </si>
  <si>
    <t>5608-A132</t>
  </si>
  <si>
    <t>5608-A132 IBM Tivoli Storage Prod. Center for Replication /Three site</t>
  </si>
  <si>
    <t>5639-XXX SAN Volume Controller Software</t>
  </si>
  <si>
    <t>IBM System Storage N3000 / EXN3000 SAS-SATA Expansion</t>
  </si>
  <si>
    <t>2857-006 IBM System Storage N3000 / EXN3000 SAS-SATA Expansion</t>
  </si>
  <si>
    <t>5608-XXX BM Tivoli Storage Productivity Center Select Edition</t>
  </si>
  <si>
    <t>Tivoli Storage Prod Center Select Edition V5.1 3Yr Reg</t>
  </si>
  <si>
    <t>5608-B22 Tivoli Storage Prod Center Select Edition V5.1 3Yr Reg</t>
  </si>
  <si>
    <t>IBM Tivoli Storage Productivity Center Select Edition V5.1</t>
  </si>
  <si>
    <t>5608-PC2 IBM Tivoli Storage Productivity Center Select Edition V5.1</t>
  </si>
  <si>
    <t>5639-XXX IBM System Storage ProtecTIER Entry Edition</t>
  </si>
  <si>
    <t>5639-XXX IBM XIV Storage System Software</t>
  </si>
  <si>
    <t>5663-EXP</t>
  </si>
  <si>
    <t>IBM Systems Director Express Edition for Power Systems Ren :3Yr</t>
  </si>
  <si>
    <t>5663-EXP IBM Systems Director Express Edition for Power Systems Ren :3Yr</t>
  </si>
  <si>
    <t>5765-FMS</t>
  </si>
  <si>
    <t>FMS</t>
  </si>
  <si>
    <t>IBM Flex System Manager Advanced V1.1.0</t>
  </si>
  <si>
    <t>5765-FMS IBM Flex System Manager Advanced V1.1.0</t>
  </si>
  <si>
    <t>5662-FMS</t>
  </si>
  <si>
    <t>IBM Flex System Manager Advanced Reg:3Yr</t>
  </si>
  <si>
    <t>5662-FMS IBM Flex System Manager Advanced Reg:3Yr</t>
  </si>
  <si>
    <t>5660-EXP</t>
  </si>
  <si>
    <t>IBM Systems Director Express Edition for Power Systems SW Maint 1 Yr Reg</t>
  </si>
  <si>
    <t>5660-EXP IBM Systems Director Express Edition for Power Systems SW Maint 1 Yr Reg</t>
  </si>
  <si>
    <t>5733-ITL</t>
  </si>
  <si>
    <t>ITL</t>
  </si>
  <si>
    <t>Temporary License for System i</t>
  </si>
  <si>
    <t>5733-ITL Temporary License for System i</t>
  </si>
  <si>
    <t>5733-SPP</t>
  </si>
  <si>
    <t>SPP</t>
  </si>
  <si>
    <t>IBM Software Maintenance for IBM i and Selected Products, 1-Year Registration</t>
  </si>
  <si>
    <t>5733-SPP IBM Software Maintenance for IBM i and Selected Products, 1-Year Registration</t>
  </si>
  <si>
    <t>5733-SPE</t>
  </si>
  <si>
    <t>SPE</t>
  </si>
  <si>
    <t>IBM Software Maintenance for IBM i and Selected Products, 3-Year Extended Registration</t>
  </si>
  <si>
    <t>5733-SPE IBM Software Maintenance for IBM i and Selected Products, 3-Year Extended Registration</t>
  </si>
  <si>
    <t>5639-MMC</t>
  </si>
  <si>
    <t>IBM Storwize V7000 Remote Mirroring SWMA 3Yr Reg</t>
  </si>
  <si>
    <t>5639-MMC IBM Storwize V7000 Remote Mirroring SWMA 3Yr Reg</t>
  </si>
  <si>
    <t>IBM Storwize V7000 Remote Mirroring Software V6</t>
  </si>
  <si>
    <t>5639-RM1 IBM Storwize V7000 Remote Mirroring Software V6</t>
  </si>
  <si>
    <t>5639-SM3</t>
  </si>
  <si>
    <t>SM3</t>
  </si>
  <si>
    <t>IBM Storwize V7000 Software 3Yr SW Maint Registration</t>
  </si>
  <si>
    <t>5639-SM3 IBM Storwize V7000 Software 3Yr SW Maint Registration</t>
  </si>
  <si>
    <t>IBM Storwize V7000 Software V6</t>
  </si>
  <si>
    <t>5639-VM1 IBM Storwize V7000 Software V6</t>
  </si>
  <si>
    <t>IBM Storwize V7000 Software V7</t>
  </si>
  <si>
    <t>5639-VM7 IBM Storwize V7000 Software V7</t>
  </si>
  <si>
    <t>5773-RS3</t>
  </si>
  <si>
    <t>RS3</t>
  </si>
  <si>
    <t>Initial Software Support 3 Year</t>
  </si>
  <si>
    <t>5773-RS3 Initial Software Support 3 Year</t>
  </si>
  <si>
    <t>5697 IBM Software Virtual Tape Library</t>
  </si>
  <si>
    <t>7216-XXX</t>
  </si>
  <si>
    <t>7216-XXX Multi-media Enclosure</t>
  </si>
  <si>
    <t>9830-XXX</t>
  </si>
  <si>
    <t>IBM Flash System 710 y 810</t>
  </si>
  <si>
    <t>9830-XXX IBM Flash System 710 y 810</t>
  </si>
  <si>
    <t>9831-XXX</t>
  </si>
  <si>
    <t>IBM Flash System 720 y 820</t>
  </si>
  <si>
    <t>9831-XXX IBM Flash System 720 y 820</t>
  </si>
  <si>
    <t>8271 IBM Flex System x240 Compute Node</t>
  </si>
  <si>
    <t>Flex System</t>
  </si>
  <si>
    <t>Nodo</t>
  </si>
  <si>
    <t>8737-15X IBM Flex System x240 Compute Node</t>
  </si>
  <si>
    <t>8737AC1</t>
  </si>
  <si>
    <t>AC1</t>
  </si>
  <si>
    <t>8737-AC1 IBM Flex System x240 Compute Node</t>
  </si>
  <si>
    <t>8731 IBM Flex System Manager Node</t>
  </si>
  <si>
    <t>9363-RC4 IBM 42U Slim Rack</t>
  </si>
  <si>
    <t>1164 IBM Rear Door Heat Exchanger</t>
  </si>
  <si>
    <t>7863</t>
  </si>
  <si>
    <t>7863 IBM Flex System x240 Compute Node</t>
  </si>
  <si>
    <t>7893-92X IBM Flex System Enterprise Chassis</t>
  </si>
  <si>
    <t>7953 IBM 42U Slim Rack</t>
  </si>
  <si>
    <t>7955-01M IBM Flex System Manager</t>
  </si>
  <si>
    <t>7895-22X IBM Flex System p260 Compute Node</t>
  </si>
  <si>
    <t>7895-23A</t>
  </si>
  <si>
    <t>23A</t>
  </si>
  <si>
    <t>7895-23A IBM Flex System p260 Compute Node</t>
  </si>
  <si>
    <t>7895-23X IBM Flex System p260 Compute Node</t>
  </si>
  <si>
    <t>7895-42X IBM Flex System p460 Compute Node</t>
  </si>
  <si>
    <t>5662-FMX</t>
  </si>
  <si>
    <t>FMX</t>
  </si>
  <si>
    <t>IBM Flex System Manager Reg:3Yr</t>
  </si>
  <si>
    <t>5662-FMX IBM Flex System Manager Reg:3Yr</t>
  </si>
  <si>
    <t>5765-FMX</t>
  </si>
  <si>
    <t>IBM Flex System Manager V1.1.0</t>
  </si>
  <si>
    <t>5765-FMX IBM Flex System Manager V1.1.0</t>
  </si>
  <si>
    <t>5692-A6P</t>
  </si>
  <si>
    <t>A6P</t>
  </si>
  <si>
    <t>System Software</t>
  </si>
  <si>
    <t>5692-A6P System Software</t>
  </si>
  <si>
    <t>5765-AEZ</t>
  </si>
  <si>
    <t>AEZ</t>
  </si>
  <si>
    <t>IBM AIX Enterprise Edition Version 6.1</t>
  </si>
  <si>
    <t>5765-AEZ IBM AIX Enterprise Edition Version 6.1</t>
  </si>
  <si>
    <t>5773-AEZ</t>
  </si>
  <si>
    <t>Software Maintenance for AIX EE, 3 Year</t>
  </si>
  <si>
    <t>5773-AEZ Software Maintenance for AIX EE, 3 Year</t>
  </si>
  <si>
    <t>5765-G98</t>
  </si>
  <si>
    <t>G98</t>
  </si>
  <si>
    <t>IBM AIX Standard Edition Version 7.1</t>
  </si>
  <si>
    <t>5765-G98 IBM AIX Standard Edition Version 7.1</t>
  </si>
  <si>
    <t>5765-PVS</t>
  </si>
  <si>
    <t>PVS</t>
  </si>
  <si>
    <t>PowerVM Standard Edition</t>
  </si>
  <si>
    <t>5765-SLE</t>
  </si>
  <si>
    <t>SLE</t>
  </si>
  <si>
    <t>PowerVP Standard Edition V1</t>
  </si>
  <si>
    <t>5765-SLE PowerVP Standard Edition V1</t>
  </si>
  <si>
    <t>5773-PVS</t>
  </si>
  <si>
    <t>PowerVM Standard Edition SW Maintenance: 3 Yr</t>
  </si>
  <si>
    <t>5773-PVS PowerVM Standard Edition SW Maintenance: 3 Yr</t>
  </si>
  <si>
    <t>5773-SM3</t>
  </si>
  <si>
    <t>Software Maintenance for AIX, 3 Year</t>
  </si>
  <si>
    <t>5773-SM3 Software Maintenance for AIX, 3 Year</t>
  </si>
  <si>
    <t>5660-RDW</t>
  </si>
  <si>
    <t>RDW</t>
  </si>
  <si>
    <t>1-Year Registration/Renewal for 5733-RDW</t>
  </si>
  <si>
    <t>5660-RDW 1-Year Registration/Renewal for 5733-RDW</t>
  </si>
  <si>
    <t>5662-WQE</t>
  </si>
  <si>
    <t>WQE</t>
  </si>
  <si>
    <t>3-Year Registration for 5733-WQE</t>
  </si>
  <si>
    <t>5662-WQE 3-Year Registration for 5733-WQE</t>
  </si>
  <si>
    <t>5722-SVP</t>
  </si>
  <si>
    <t>SVP</t>
  </si>
  <si>
    <t>Operations Value Pack for i5/OS</t>
  </si>
  <si>
    <t>5722-SVP Operations Value Pack for i5/OS</t>
  </si>
  <si>
    <t>5733-RDW</t>
  </si>
  <si>
    <t>IBM Rational Developer for i V9</t>
  </si>
  <si>
    <t>5733-RDW IBM Rational Developer for i V9</t>
  </si>
  <si>
    <t>5733-SPO</t>
  </si>
  <si>
    <t>SPO</t>
  </si>
  <si>
    <t>IBM SW Maintenance for IBM i and Selected</t>
  </si>
  <si>
    <t>5733-SPO IBM SW Maintenance for IBM i and Selected</t>
  </si>
  <si>
    <t>5733-WQE</t>
  </si>
  <si>
    <t>IBM Web Query for System i Express</t>
  </si>
  <si>
    <t>5733-WQE IBM Web Query for System i Express</t>
  </si>
  <si>
    <t>5733-WQX</t>
  </si>
  <si>
    <t>WQX</t>
  </si>
  <si>
    <t>IBM Web Query for System i Registration</t>
  </si>
  <si>
    <t>5733-WQX IBM Web Query for System i Registration</t>
  </si>
  <si>
    <t>5761-AMT</t>
  </si>
  <si>
    <t>AMT</t>
  </si>
  <si>
    <t>IBM Rational Application Management Tool Set for IBM i</t>
  </si>
  <si>
    <t>5761-AMT IBM Rational Application Management Tool Set for IBM i</t>
  </si>
  <si>
    <t>5770-BR1</t>
  </si>
  <si>
    <t>BR1</t>
  </si>
  <si>
    <t>IBM Backup Recovery and Media Services for i</t>
  </si>
  <si>
    <t>5770-BR1 IBM Backup Recovery and Media Services for i</t>
  </si>
  <si>
    <t>5770-PT1</t>
  </si>
  <si>
    <t>PT1</t>
  </si>
  <si>
    <t>IBM Performance Tools for i</t>
  </si>
  <si>
    <t>5770-PT1 IBM Performance Tools for i</t>
  </si>
  <si>
    <t>5770-QU1</t>
  </si>
  <si>
    <t>QU1</t>
  </si>
  <si>
    <t>IBM Query for i</t>
  </si>
  <si>
    <t>5770-QU1 IBM Query for i</t>
  </si>
  <si>
    <t>5770-SS1</t>
  </si>
  <si>
    <t>SS1</t>
  </si>
  <si>
    <t>IBM i V7</t>
  </si>
  <si>
    <t>5770-SSA</t>
  </si>
  <si>
    <t>IBM i per Processor License Billing</t>
  </si>
  <si>
    <t>5770-SSA IBM i per Processor License Billing</t>
  </si>
  <si>
    <t>5770-SSC</t>
  </si>
  <si>
    <t>SSC</t>
  </si>
  <si>
    <t>IBM i per User Billing</t>
  </si>
  <si>
    <t>5770-SSC IBM i per User Billing</t>
  </si>
  <si>
    <t>5770-ST1</t>
  </si>
  <si>
    <t>ST1</t>
  </si>
  <si>
    <t>IBM DB2 Query Manager and SQL Development Kit for i</t>
  </si>
  <si>
    <t>5770-ST1 IBM DB2 Query Manager and SQL Development Kit for i</t>
  </si>
  <si>
    <t>5770-WDS</t>
  </si>
  <si>
    <t>WDS</t>
  </si>
  <si>
    <t>IBM Rational Development Studio for i</t>
  </si>
  <si>
    <t>5770-WDS IBM Rational Development Studio for i</t>
  </si>
  <si>
    <t>5770-XW1</t>
  </si>
  <si>
    <t>XW1</t>
  </si>
  <si>
    <t>i Access Family</t>
  </si>
  <si>
    <t>5770-XW1 i Access Family</t>
  </si>
  <si>
    <t>Express x3100 M4, Xeon 4C E3-1220v2</t>
  </si>
  <si>
    <t>2582EHU Express x3100 M4, Xeon 4C E3-1220v2</t>
  </si>
  <si>
    <t>Torre</t>
  </si>
  <si>
    <t>x3100 M4, Xeon 4C E3-1270v2</t>
  </si>
  <si>
    <t>2582F4U x3100 M4, Xeon 4C E3-1270v2</t>
  </si>
  <si>
    <t>x3100 M4, Pentium 2C G850</t>
  </si>
  <si>
    <t>258232U x3100 M4, Pentium 2C G850</t>
  </si>
  <si>
    <t>x3100 M4, Core 2C i3-2120</t>
  </si>
  <si>
    <t>2582A2U x3100 M4, Core 2C i3-2120</t>
  </si>
  <si>
    <t>x3100 M4, Xeon 4C E3-1220v2</t>
  </si>
  <si>
    <t>2582B2U x3100 M4, Xeon 4C E3-1220v2</t>
  </si>
  <si>
    <t>x3100 M4, Xeon 4C E3-1230v2</t>
  </si>
  <si>
    <t>2582C2U x3100 M4, Xeon 4C E3-1230v2</t>
  </si>
  <si>
    <t>Express x3100 M4, Xeon 4C E3-1230v2</t>
  </si>
  <si>
    <t>2582EJU Express x3100 M4, Xeon 4C E3-1230v2</t>
  </si>
  <si>
    <t>Express x3250 M4, Xeon 4C E3-1230v2</t>
  </si>
  <si>
    <t>2583EDU Express x3250 M4, Xeon 4C E3-1230v2</t>
  </si>
  <si>
    <t>x3250 M4, Pentium 2C G850</t>
  </si>
  <si>
    <t>258332U x3250 M4, Pentium 2C G850</t>
  </si>
  <si>
    <t>x3250 M4, Core 2C i3-2120</t>
  </si>
  <si>
    <t>2583A2U x3250 M4, Core 2C i3-2120</t>
  </si>
  <si>
    <t>x3250 M4, Xeon 4C E3-1220v2</t>
  </si>
  <si>
    <t>2583B2U x3250 M4, Xeon 4C E3-1220v2</t>
  </si>
  <si>
    <t>x3250 M4, Xeon 4C E3-1230v2</t>
  </si>
  <si>
    <t>2583C2U x3250 M4, Xeon 4C E3-1230v2</t>
  </si>
  <si>
    <t>x3250 M4, Xeon 4C E3-1270v2</t>
  </si>
  <si>
    <t>2583F2U x3250 M4, Xeon 4C E3-1270v2</t>
  </si>
  <si>
    <t>Express x3250 M4, Xeon 4C E3-1220v2</t>
  </si>
  <si>
    <t>2583ECU Express x3250 M4, Xeon 4C E3-1220v2</t>
  </si>
  <si>
    <t>x3300 M4, Xeon 4C E5-2407</t>
  </si>
  <si>
    <t>7382B2U x3300 M4, Xeon 4C E5-2407</t>
  </si>
  <si>
    <t>x3300 M4, Xeon 4C E5-2403</t>
  </si>
  <si>
    <t>7382A2U x3300 M4, Xeon 4C E5-2403</t>
  </si>
  <si>
    <t>x3300 M4, Xeon 6C E5-2420</t>
  </si>
  <si>
    <t>7382C2U x3300 M4, Xeon 6C E5-2420</t>
  </si>
  <si>
    <t>x3300 M4, Xeon 6C E5-2430</t>
  </si>
  <si>
    <t>7382D2U x3300 M4, Xeon 6C E5-2430</t>
  </si>
  <si>
    <t>7382D4U x3300 M4, Xeon 6C E5-2430</t>
  </si>
  <si>
    <t>Express x3300 M4, Xeon 4C E5-2407</t>
  </si>
  <si>
    <t>7382EAU Express x3300 M4, Xeon 4C E5-2407</t>
  </si>
  <si>
    <t>Express x3300 M4, Xeon 6C E5-2420</t>
  </si>
  <si>
    <t>7382EBU Express x3300 M4, Xeon 6C E5-2420</t>
  </si>
  <si>
    <t>Express x3300 M4, Xeon 6C E5-2440</t>
  </si>
  <si>
    <t>7382ECU Express x3300 M4, Xeon 6C E5-2440</t>
  </si>
  <si>
    <t>x3300 M4, Xeon 6C E5-2440</t>
  </si>
  <si>
    <t>7382F2U x3300 M4, Xeon 6C E5-2440</t>
  </si>
  <si>
    <t>x3500 M4, Xeon 6C E5-2620</t>
  </si>
  <si>
    <t>7383C2U x3500 M4, Xeon 6C E5-2620</t>
  </si>
  <si>
    <t>Express x3500 M4, Xeon 8C E5-2650</t>
  </si>
  <si>
    <t>7383EDU Express x3500 M4, Xeon 8C E5-2650</t>
  </si>
  <si>
    <t>x3500 M4, Xeon 4C E5-2603</t>
  </si>
  <si>
    <t>7383A2U x3500 M4, Xeon 4C E5-2603</t>
  </si>
  <si>
    <t>x3500 M4, Xeon 4C E5-2609</t>
  </si>
  <si>
    <t>7383B2U x3500 M4, Xeon 4C E5-2609</t>
  </si>
  <si>
    <t>7383C4U x3500 M4, Xeon 6C E5-2620</t>
  </si>
  <si>
    <t>x3500 M4, Xeon 6C E5-2630</t>
  </si>
  <si>
    <t>7383D2U x3500 M4, Xeon 6C E5-2630</t>
  </si>
  <si>
    <t>Express x3500 M4, Xeon 4C E5-2609</t>
  </si>
  <si>
    <t>7383EAU Express x3500 M4, Xeon 4C E5-2609</t>
  </si>
  <si>
    <t>Express x3500 M4, Xeon 6C E5-2620</t>
  </si>
  <si>
    <t>7383EBU Express x3500 M4, Xeon 6C E5-2620</t>
  </si>
  <si>
    <t>Express x3500 M4, Xeon 6C E5-2640</t>
  </si>
  <si>
    <t>7383ECU Express x3500 M4, Xeon 6C E5-2640</t>
  </si>
  <si>
    <t>x3500 M4, Xeon 6C E5-2640</t>
  </si>
  <si>
    <t>7383F2U x3500 M4, Xeon 6C E5-2640</t>
  </si>
  <si>
    <t>x3500 M4, Xeon 8C E5-2650</t>
  </si>
  <si>
    <t>7383G2U x3500 M4, Xeon 8C E5-2650</t>
  </si>
  <si>
    <t>x3500 M4, Xeon 8C E5-2670 115W</t>
  </si>
  <si>
    <t>7383H2U x3500 M4, Xeon 8C E5-2670 115W</t>
  </si>
  <si>
    <t>x3500 M4, Xeon 8C E5-2680 130W</t>
  </si>
  <si>
    <t>7383J2U x3500 M4, Xeon 8C E5-2680 130W</t>
  </si>
  <si>
    <t>Express x3530 M4, Xeon 4C E5-2407</t>
  </si>
  <si>
    <t>7160EAU Express x3530 M4, Xeon 4C E5-2407</t>
  </si>
  <si>
    <t>x3530 M4, Xeon 4C E5-2403</t>
  </si>
  <si>
    <t>7160A2U x3530 M4, Xeon 4C E5-2403</t>
  </si>
  <si>
    <t>x3530 M4, Xeon 4C E5-2407</t>
  </si>
  <si>
    <t>7160B2U x3530 M4, Xeon 4C E5-2407</t>
  </si>
  <si>
    <t>x3530 M4, Xeon 6C E5-2420</t>
  </si>
  <si>
    <t>7160C2U x3530 M4, Xeon 6C E5-2420</t>
  </si>
  <si>
    <t>x3530 M4, Xeon 6C E5-2430</t>
  </si>
  <si>
    <t>7160D2U x3530 M4, Xeon 6C E5-2430</t>
  </si>
  <si>
    <t>Express x3530 M4, Xeon 6C E5-2420</t>
  </si>
  <si>
    <t>7160EBU Express x3530 M4, Xeon 6C E5-2420</t>
  </si>
  <si>
    <t>Express x3530 M4, Xeon 6C E5-2440</t>
  </si>
  <si>
    <t>7160ECU Express x3530 M4, Xeon 6C E5-2440</t>
  </si>
  <si>
    <t>x3530 M4, Xeon 8C E5-2450</t>
  </si>
  <si>
    <t>7160G2U x3530 M4, Xeon 8C E5-2450</t>
  </si>
  <si>
    <t>x3530 M4, Xeon 8C E5-2470</t>
  </si>
  <si>
    <t>7160H2U x3530 M4, Xeon 8C E5-2470</t>
  </si>
  <si>
    <t>x3530 M4, Xeon 8C E5-2450L</t>
  </si>
  <si>
    <t>7160J2U x3530 M4, Xeon 8C E5-2450L</t>
  </si>
  <si>
    <t>x3530 M4, Xeon 6C E5-2440</t>
  </si>
  <si>
    <t>7160F2U x3530 M4, Xeon 6C E5-2440</t>
  </si>
  <si>
    <t>7944DDL</t>
  </si>
  <si>
    <t>Management Node - Director Prelaod - x3550 M3, 2x Xeon 4C E5620</t>
  </si>
  <si>
    <t>7944DDL Management Node - Director Prelaod - x3550 M3, 2x Xeon 4C E5620</t>
  </si>
  <si>
    <t>Express x3550 M4, Xeon 6C E5-2630</t>
  </si>
  <si>
    <t>7914ECU Express x3550 M4, Xeon 6C E5-2630</t>
  </si>
  <si>
    <t>Express x3550 M4, Xeon 8C E5-2650</t>
  </si>
  <si>
    <t>7914EDU Express x3550 M4, Xeon 8C E5-2650</t>
  </si>
  <si>
    <t>x3550 M4, Xeon 8C E5-2650L</t>
  </si>
  <si>
    <t>791452U x3550 M4, Xeon 8C E5-2650L</t>
  </si>
  <si>
    <t>x3550 M4, Xeon 8C E5-2665 115W</t>
  </si>
  <si>
    <t>791462U x3550 M4, Xeon 8C E5-2665 115W</t>
  </si>
  <si>
    <t>x3550 M4, Xeon 4C E5-2603</t>
  </si>
  <si>
    <t>7914A2U x3550 M4, Xeon 4C E5-2603</t>
  </si>
  <si>
    <t xml:space="preserve">x3550 M4, Xeon 4C E5-2609 </t>
  </si>
  <si>
    <t xml:space="preserve">7914B2U x3550 M4, Xeon 4C E5-2609 </t>
  </si>
  <si>
    <t xml:space="preserve">x3550 M4, Xeon 6C E5-2620 </t>
  </si>
  <si>
    <t xml:space="preserve">7914C2U x3550 M4, Xeon 6C E5-2620 </t>
  </si>
  <si>
    <t xml:space="preserve">7914C4U x3550 M4, Xeon 6C E5-2620 </t>
  </si>
  <si>
    <t>x3550 M4, Xeon 6C E5-2630</t>
  </si>
  <si>
    <t>7914D2U x3550 M4, Xeon 6C E5-2630</t>
  </si>
  <si>
    <t>Express x3550 M4, Xeon 4C E5-2609</t>
  </si>
  <si>
    <t>7914EAU Express x3550 M4, Xeon 4C E5-2609</t>
  </si>
  <si>
    <t>Express x3550 M4, Xeon 6C E5-2620</t>
  </si>
  <si>
    <t>7914EBU Express x3550 M4, Xeon 6C E5-2620</t>
  </si>
  <si>
    <t>x3550 M4, Xeon 6C E5-2640</t>
  </si>
  <si>
    <t>7914F2U x3550 M4, Xeon 6C E5-2640</t>
  </si>
  <si>
    <t xml:space="preserve">x3550 M4, Xeon 8C E5-2650 </t>
  </si>
  <si>
    <t xml:space="preserve">7914G2U x3550 M4, Xeon 8C E5-2650 </t>
  </si>
  <si>
    <t>x3550 M4, Xeon 8C E5-2660</t>
  </si>
  <si>
    <t>7914H2U x3550 M4, Xeon 8C E5-2660</t>
  </si>
  <si>
    <t>x3550 M4, Xeon 8C E5-2670 115W</t>
  </si>
  <si>
    <t>7914J2U x3550 M4, Xeon 8C E5-2670 115W</t>
  </si>
  <si>
    <t>x3550 M4, Xeon 8C E5-2680 130W</t>
  </si>
  <si>
    <t>7914L2U x3550 M4, Xeon 8C E5-2680 130W</t>
  </si>
  <si>
    <t>x3550 M4, Xeon 4C E5-2643 130W</t>
  </si>
  <si>
    <t>791432U x3550 M4, Xeon 4C E5-2643 130W</t>
  </si>
  <si>
    <t>x3550 M4, 2x Xeon 6C E5-2620</t>
  </si>
  <si>
    <t>7914DDU x3550 M4, 2x Xeon 6C E5-2620</t>
  </si>
  <si>
    <t>x3550 M4, Xeon 8C E5-2690 135W</t>
  </si>
  <si>
    <t>7914M2U x3550 M4, Xeon 8C E5-2690 135W</t>
  </si>
  <si>
    <t>Express x3630 M4, Xeon 4C E5-2407</t>
  </si>
  <si>
    <t>7158EAU Express x3630 M4, Xeon 4C E5-2407</t>
  </si>
  <si>
    <t>x3630 M4  Xeon 4C E5-2403</t>
  </si>
  <si>
    <t>7158A2U x3630 M4  Xeon 4C E5-2403</t>
  </si>
  <si>
    <t>x3630 M4, Xeon 4C E5-2403</t>
  </si>
  <si>
    <t>7158A4U x3630 M4, Xeon 4C E5-2403</t>
  </si>
  <si>
    <t>x3630 M4, Xeon 4C E5-2407</t>
  </si>
  <si>
    <t>7158B2U x3630 M4, Xeon 4C E5-2407</t>
  </si>
  <si>
    <t>7158B4U x3630 M4, Xeon 4C E5-2407</t>
  </si>
  <si>
    <t>x3630 M4,  Xeon 6C E5-2420</t>
  </si>
  <si>
    <t>7158C2U x3630 M4,  Xeon 6C E5-2420</t>
  </si>
  <si>
    <t>x3630 M4, Xeon 6C E5-2420</t>
  </si>
  <si>
    <t>7158C4U x3630 M4, Xeon 6C E5-2420</t>
  </si>
  <si>
    <t>7158C6U x3630 M4, Xeon 6C E5-2420</t>
  </si>
  <si>
    <t>x3630 M4, Xeon 6C E5-2430</t>
  </si>
  <si>
    <t>7158D2U x3630 M4, Xeon 6C E5-2430</t>
  </si>
  <si>
    <t>Express x3630 M4, Xeon 6C E5-2420</t>
  </si>
  <si>
    <t>7158EBU Express x3630 M4, Xeon 6C E5-2420</t>
  </si>
  <si>
    <t>Express x3630 M4, Xeon 6C E5-2440</t>
  </si>
  <si>
    <t>7158ECU Express x3630 M4, Xeon 6C E5-2440</t>
  </si>
  <si>
    <t>x3630 M4, Xeon 6C E5-2440</t>
  </si>
  <si>
    <t>7158F2U x3630 M4, Xeon 6C E5-2440</t>
  </si>
  <si>
    <t>7158F4U x3630 M4, Xeon 6C E5-2440</t>
  </si>
  <si>
    <t>x3630 M4, Xeon 8C E5-2450</t>
  </si>
  <si>
    <t>7158G2U x3630 M4, Xeon 8C E5-2450</t>
  </si>
  <si>
    <t>x3630 M4, Xeon 8C E5-2470</t>
  </si>
  <si>
    <t>7158H2U x3630 M4, Xeon 8C E5-2470</t>
  </si>
  <si>
    <t>x3630 M4, Xeon 8C E5-2450L</t>
  </si>
  <si>
    <t>7158J2U x3630 M4, Xeon 8C E5-2450L</t>
  </si>
  <si>
    <t>x3650 M4, Xeon 6C E5-2620</t>
  </si>
  <si>
    <t>7915C2U x3650 M4, Xeon 6C E5-2620</t>
  </si>
  <si>
    <t>Express x3650 M4,  Xeon 8C E5-2650</t>
  </si>
  <si>
    <t>7915EEU Express x3650 M4,  Xeon 8C E5-2650</t>
  </si>
  <si>
    <t>x3650 M4, Xeon 8C E5-2680 130W</t>
  </si>
  <si>
    <t>7915L2U x3650 M4, Xeon 8C E5-2680 130W</t>
  </si>
  <si>
    <t>x3650 M4, Xeon 8C E5-2650L</t>
  </si>
  <si>
    <t>791552U x3650 M4, Xeon 8C E5-2650L</t>
  </si>
  <si>
    <t>x3650 M4, Xeon 8C E5-2665 115W</t>
  </si>
  <si>
    <t>791562U x3650 M4, Xeon 8C E5-2665 115W</t>
  </si>
  <si>
    <t>x3650 M4, Xeon 4C E5-2603</t>
  </si>
  <si>
    <t>7915A2U x3650 M4, Xeon 4C E5-2603</t>
  </si>
  <si>
    <t>x3650 M4, Xeon 4C E5-2609</t>
  </si>
  <si>
    <t>7915B2U x3650 M4, Xeon 4C E5-2609</t>
  </si>
  <si>
    <t>7915C4U x3650 M4, Xeon 6C E5-2620</t>
  </si>
  <si>
    <t>x3650 M4, Xeon 6C E5-2630</t>
  </si>
  <si>
    <t>7915D2U x3650 M4, Xeon 6C E5-2630</t>
  </si>
  <si>
    <t>Express x3650 M4, Xeon 4C E5-2609</t>
  </si>
  <si>
    <t>7915EAU Express x3650 M4, Xeon 4C E5-2609</t>
  </si>
  <si>
    <t>Express x3650 M4, Xeon 6C E5-2620</t>
  </si>
  <si>
    <t>7915EBU Express x3650 M4, Xeon 6C E5-2620</t>
  </si>
  <si>
    <t>Express x3650 M4, Xeon 6C E5-2630</t>
  </si>
  <si>
    <t>7915ECU Express x3650 M4, Xeon 6C E5-2630</t>
  </si>
  <si>
    <t>Express x3650 M4, Xeon 6C E5-2640</t>
  </si>
  <si>
    <t>7915EDU Express x3650 M4, Xeon 6C E5-2640</t>
  </si>
  <si>
    <t>x3650 M4, Xeon 6C E5-2640</t>
  </si>
  <si>
    <t>7915F2U x3650 M4, Xeon 6C E5-2640</t>
  </si>
  <si>
    <t>x3650 M4, Xeon 8C E5-2650</t>
  </si>
  <si>
    <t>7915G2U x3650 M4, Xeon 8C E5-2650</t>
  </si>
  <si>
    <t>x3650 M4, Xeon 8C E5-2660</t>
  </si>
  <si>
    <t>7915H2U x3650 M4, Xeon 8C E5-2660</t>
  </si>
  <si>
    <t>x3650 M4, Xeon 8C E5-2670 115W</t>
  </si>
  <si>
    <t>7915J2U x3650 M4, Xeon 8C E5-2670 115W</t>
  </si>
  <si>
    <t>7915GSL x3650 M4, Xeon 8C E5-2650</t>
  </si>
  <si>
    <t>x3650 M4, Xeon 8C E5-2690 135W</t>
  </si>
  <si>
    <t>7915M2U x3650 M4, Xeon 8C E5-2690 135W</t>
  </si>
  <si>
    <t>x3650 M4, Xeon 4C E5-2643 130W</t>
  </si>
  <si>
    <t>791532U x3650 M4, Xeon 4C E5-2643 130W</t>
  </si>
  <si>
    <t>x3690 X5,  Xeon 6C E7-2803 105W</t>
  </si>
  <si>
    <t>7147A1U x3690 X5,  Xeon 6C E7-2803 105W</t>
  </si>
  <si>
    <t>x3690 X5, Xeon 8C E7-2820 105W</t>
  </si>
  <si>
    <t>7147A2U x3690 X5, Xeon 8C E7-2820 105W</t>
  </si>
  <si>
    <t>x3690 X5, Xeon 8C E7-2830 105W</t>
  </si>
  <si>
    <t>7147A3U x3690 X5, Xeon 8C E7-2830 105W</t>
  </si>
  <si>
    <t>x3690 X5, Xeon 10C E7-2850 130W</t>
  </si>
  <si>
    <t>7147A5U x3690 X5, Xeon 10C E7-2850 130W</t>
  </si>
  <si>
    <t>x3690 X5, Xeon 10C E7-2860 130W</t>
  </si>
  <si>
    <t>7147A6U x3690 X5, Xeon 10C E7-2860 130W</t>
  </si>
  <si>
    <t>x3690 X5, Xeon 10C E7-2870 130W</t>
  </si>
  <si>
    <t>7147A7U x3690 X5, Xeon 10C E7-2870 130W</t>
  </si>
  <si>
    <t>x3690 X5, Xeon 8C E7-8837 130W</t>
  </si>
  <si>
    <t>7147C1U x3690 X5, Xeon 8C E7-8837 130W</t>
  </si>
  <si>
    <t>x3755 M3, 4xAMD Opteron 16C 6282SE 140W</t>
  </si>
  <si>
    <t>7164A2U x3755 M3, 4xAMD Opteron 16C 6282SE 140W</t>
  </si>
  <si>
    <t>x3755 M3, 4xAMD Opteron 16C 6276 115W</t>
  </si>
  <si>
    <t>7164B2U x3755 M3, 4xAMD Opteron 16C 6276 115W</t>
  </si>
  <si>
    <t>x3755 M3, 4xAMD Opteron 16C 6272 115W</t>
  </si>
  <si>
    <t>7164D2U x3755 M3, 4xAMD Opteron 16C 6272 115W</t>
  </si>
  <si>
    <t>x3755 M3, 4xAMD Opteron 12C 6234 115W</t>
  </si>
  <si>
    <t>7164G2U x3755 M3, 4xAMD Opteron 12C 6234 115W</t>
  </si>
  <si>
    <t>x3755 M3, 4xAMD Opteron 8C 6220 115W</t>
  </si>
  <si>
    <t>7164J2U x3755 M3, 4xAMD Opteron 8C 6220 115W</t>
  </si>
  <si>
    <t>x3755 M3, 4xAMD Opteron 16C 6262HE</t>
  </si>
  <si>
    <t>7164L2U x3755 M3, 4xAMD Opteron 16C 6262HE</t>
  </si>
  <si>
    <t>x3750 M4, 2x Xeon 6C E5-4610</t>
  </si>
  <si>
    <t>8722B1U x3750 M4, 2x Xeon 6C E5-4610</t>
  </si>
  <si>
    <t>x3750 M4, 2x Xeon 6C E5-4617 130W</t>
  </si>
  <si>
    <t>8722A1U x3750 M4, 2x Xeon 6C E5-4617 130W</t>
  </si>
  <si>
    <t>x3750 M4, Xeon 4C E5-4603</t>
  </si>
  <si>
    <t>8722A2U x3750 M4, Xeon 4C E5-4603</t>
  </si>
  <si>
    <t>x3750 M4, 2x Xeon 6C E5-4607</t>
  </si>
  <si>
    <t>8722A3U x3750 M4, 2x Xeon 6C E5-4607</t>
  </si>
  <si>
    <t>x3750 M4, 2x Xeon 8C E5-4620</t>
  </si>
  <si>
    <t>8722B2U x3750 M4, 2x Xeon 8C E5-4620</t>
  </si>
  <si>
    <t>x3750 M4, 2x Xeon 8C E5-4640</t>
  </si>
  <si>
    <t>8722C1U x3750 M4, 2x Xeon 8C E5-4640</t>
  </si>
  <si>
    <t>x3750 M4, 2x Xeon 8C E5-4650 130W</t>
  </si>
  <si>
    <t>8722C2U x3750 M4, 2x Xeon 8C E5-4650 130W</t>
  </si>
  <si>
    <t>x3750 M4, 4x Xeon 6C E5-4610</t>
  </si>
  <si>
    <t>8722D1U x3750 M4, 4x Xeon 6C E5-4610</t>
  </si>
  <si>
    <t>x3750 M4, 4x Xeon 8C E5-4650 130W</t>
  </si>
  <si>
    <t>8722D2U x3750 M4, 4x Xeon 8C E5-4650 130W</t>
  </si>
  <si>
    <t>x3850 X5, 2xXeon 6C E7-4807</t>
  </si>
  <si>
    <t>7143B1U x3850 X5, 2xXeon 6C E7-4807</t>
  </si>
  <si>
    <t>x3850 X5, 2xXeon 8C E7-4820 105W</t>
  </si>
  <si>
    <t>7143B2U x3850 X5, 2xXeon 8C E7-4820 105W</t>
  </si>
  <si>
    <t>x3850 X5, 2xXeon 8C E7-4830 105W</t>
  </si>
  <si>
    <t>7143B3U x3850 X5, 2xXeon 8C E7-4830 105W</t>
  </si>
  <si>
    <t>x3850 X5, 2xXeon 10C E7-4850 130W</t>
  </si>
  <si>
    <t>7143B5U x3850 X5, 2xXeon 10C E7-4850 130W</t>
  </si>
  <si>
    <t>x3850 X5, 2xXeon 10C E7-4860 130W</t>
  </si>
  <si>
    <t>7143B6U x3850 X5, 2xXeon 10C E7-4860 130W</t>
  </si>
  <si>
    <t>x3850 X5, 2xXeon 10C E7-4870 130W</t>
  </si>
  <si>
    <t>7143B7U x3850 X5, 2xXeon 10C E7-4870 130W</t>
  </si>
  <si>
    <t>x3850 X5, 2xXeon 10C E7-8850 130W</t>
  </si>
  <si>
    <t>7143C1U x3850 X5, 2xXeon 10C E7-8850 130W</t>
  </si>
  <si>
    <t>x3850 X5, 2xXeon 10C E7-8860 130W</t>
  </si>
  <si>
    <t>7143C2U x3850 X5, 2xXeon 10C E7-8860 130W</t>
  </si>
  <si>
    <t>x3850 X5, 2xXeon 10C E7-8870 130W</t>
  </si>
  <si>
    <t>7143C3U x3850 X5, 2xXeon 10C E7-8870 130W</t>
  </si>
  <si>
    <t>7875A1U</t>
  </si>
  <si>
    <t>HS23, Xeon 4C E5-2603</t>
  </si>
  <si>
    <t>7875A1U HS23, Xeon 4C E5-2603</t>
  </si>
  <si>
    <t>BladeCenter</t>
  </si>
  <si>
    <t>7875A2U</t>
  </si>
  <si>
    <t>HS23, Xeon 4C E5-2609</t>
  </si>
  <si>
    <t>7875A2U HS23, Xeon 4C E5-2609</t>
  </si>
  <si>
    <t>HS23, Xeon 6C E5-2620</t>
  </si>
  <si>
    <t>7875B1U HS23, Xeon 6C E5-2620</t>
  </si>
  <si>
    <t>7875B2U</t>
  </si>
  <si>
    <t>HS23, Xeon 6C E5-2640</t>
  </si>
  <si>
    <t>7875B2U HS23, Xeon 6C E5-2640</t>
  </si>
  <si>
    <t>7875B3U</t>
  </si>
  <si>
    <t>HS23, Xeon 6C E5-2630</t>
  </si>
  <si>
    <t>7875B3U HS23, Xeon 6C E5-2630</t>
  </si>
  <si>
    <t>7875C1U</t>
  </si>
  <si>
    <t>HS23, Xeon 8C E5-2650</t>
  </si>
  <si>
    <t>7875C1U HS23, Xeon 8C E5-2650</t>
  </si>
  <si>
    <t>7875C3U</t>
  </si>
  <si>
    <t>HS23, Xeon 8C E5-2665 115W</t>
  </si>
  <si>
    <t>7875C3U HS23, Xeon 8C E5-2665 115W</t>
  </si>
  <si>
    <t>7875C4U</t>
  </si>
  <si>
    <t>HS23, Xeon 8C E5-2670 115W</t>
  </si>
  <si>
    <t>7875C4U HS23, Xeon 8C E5-2670 115W</t>
  </si>
  <si>
    <t>7875D1U</t>
  </si>
  <si>
    <t>HS23, Xeon 8C E5-2650L</t>
  </si>
  <si>
    <t>7875D1U HS23, Xeon 8C E5-2650L</t>
  </si>
  <si>
    <t>HS23, Xeon 8C E5-2648L</t>
  </si>
  <si>
    <t>7875F1U HS23, Xeon 8C E5-2648L</t>
  </si>
  <si>
    <t>7875G1U</t>
  </si>
  <si>
    <t>7875G1U HS23, Xeon 6C E5-2630</t>
  </si>
  <si>
    <t>7875G2U</t>
  </si>
  <si>
    <t>7875G2U HS23, Xeon 8C E5-2670 115W</t>
  </si>
  <si>
    <t>787593U</t>
  </si>
  <si>
    <t>787593U HS23, Xeon 8C E5-2650</t>
  </si>
  <si>
    <t>7875C6U</t>
  </si>
  <si>
    <t>7875C6U HS23, Xeon 8C E5-2650</t>
  </si>
  <si>
    <t>7875C7U</t>
  </si>
  <si>
    <t>HS23, Xeon 8C E5-2660</t>
  </si>
  <si>
    <t>7875C7U HS23, Xeon 8C E5-2660</t>
  </si>
  <si>
    <t>7875C8U</t>
  </si>
  <si>
    <t>HS23, Xeon 8C E5-2680 130W</t>
  </si>
  <si>
    <t>7875C8U HS23, Xeon 8C E5-2680 130W</t>
  </si>
  <si>
    <t>7875E4U</t>
  </si>
  <si>
    <t>Express HS23, Xeon 6C E5-2620</t>
  </si>
  <si>
    <t>7875E4U Express HS23, Xeon 6C E5-2620</t>
  </si>
  <si>
    <t>7875E5U</t>
  </si>
  <si>
    <t>Express HS23, Xeon 6C E5-2640</t>
  </si>
  <si>
    <t>7875E5U Express HS23, Xeon 6C E5-2640</t>
  </si>
  <si>
    <t>7875E6U</t>
  </si>
  <si>
    <t>Express HS23, Xeon 8C E5-2670</t>
  </si>
  <si>
    <t>7875E6U Express HS23, Xeon 8C E5-2670</t>
  </si>
  <si>
    <t>HX5, 2x Xeon 8C E7-2830 105W</t>
  </si>
  <si>
    <t>7873A1U HX5, 2x Xeon 8C E7-2830 105W</t>
  </si>
  <si>
    <t>HX5, 2x Xeon 10C E7-2860 130W</t>
  </si>
  <si>
    <t>7873A2U HX5, 2x Xeon 10C E7-2860 130W</t>
  </si>
  <si>
    <t>HX5, 2x Xeon 10C E7-2870 130W</t>
  </si>
  <si>
    <t>7873A3U HX5, 2x Xeon 10C E7-2870 130W</t>
  </si>
  <si>
    <t>HX5, Xeon 6C E7-4807</t>
  </si>
  <si>
    <t>7873B1U HX5, Xeon 6C E7-4807</t>
  </si>
  <si>
    <t>HX5, Xeon 8C E7-4830 105W</t>
  </si>
  <si>
    <t>7873B2U HX5, Xeon 8C E7-4830 105W</t>
  </si>
  <si>
    <t>HX5, Xeon 8C E7-8837 130W</t>
  </si>
  <si>
    <t>7873C1U HX5, Xeon 8C E7-8837 130W</t>
  </si>
  <si>
    <t>HX5, Xeon 10C E7-8867L 105W</t>
  </si>
  <si>
    <t>7873D1U HX5, Xeon 10C E7-8867L 105W</t>
  </si>
  <si>
    <t>7873H1U</t>
  </si>
  <si>
    <t>7873H1U HX5, Xeon 8C E7-4830 105W</t>
  </si>
  <si>
    <t>7873H2U</t>
  </si>
  <si>
    <t>HX5, Xeon 10C E7-4870 130W</t>
  </si>
  <si>
    <t>7873H2U HX5, Xeon 10C E7-4870 130W</t>
  </si>
  <si>
    <t>7873H3U</t>
  </si>
  <si>
    <t>HX5, 2x Xeon 6C E7-4807</t>
  </si>
  <si>
    <t>7873H3U HX5, 2x Xeon 6C E7-4807</t>
  </si>
  <si>
    <t>787391L</t>
  </si>
  <si>
    <t>BC Foundation for Cloud - HX5, 2xXeon 8C E7-2830 105W</t>
  </si>
  <si>
    <t>787391L BC Foundation for Cloud - HX5, 2xXeon 8C E7-2830 105W</t>
  </si>
  <si>
    <t>787392L</t>
  </si>
  <si>
    <t>787392L BC Foundation for Cloud - HX5, 2xXeon 8C E7-2830 105W</t>
  </si>
  <si>
    <t>787393L</t>
  </si>
  <si>
    <t>BC Foundation for Cloud - HX5, 2xXeon 10C E7-8867L 105W</t>
  </si>
  <si>
    <t>787393L BC Foundation for Cloud - HX5, 2xXeon 10C E7-8867L 105W</t>
  </si>
  <si>
    <t>787394L</t>
  </si>
  <si>
    <t>787394L BC Foundation for Cloud - HX5, 2xXeon 10C E7-8867L 105W</t>
  </si>
  <si>
    <t>7873AAU</t>
  </si>
  <si>
    <t>HX5, 2xXeon 8C E7-2830 105W</t>
  </si>
  <si>
    <t>7873AAU HX5, 2xXeon 8C E7-2830 105W</t>
  </si>
  <si>
    <t>7873ABU</t>
  </si>
  <si>
    <t>7873ABU HX5, 2xXeon 8C E7-2830 105W</t>
  </si>
  <si>
    <t>7873ACU</t>
  </si>
  <si>
    <t>7873ACU HX5, 2xXeon 8C E7-2830 105W</t>
  </si>
  <si>
    <t>7873ADU</t>
  </si>
  <si>
    <t>7873ADU HX5, 2xXeon 8C E7-2830 105W</t>
  </si>
  <si>
    <t>7873F4U HX5, Xeon 8C E7-4830 105W</t>
  </si>
  <si>
    <t>7873F5U HX5, Xeon 10C E7-4870 130W</t>
  </si>
  <si>
    <t>7873F6U HX5, 2x Xeon 6C E7-4807</t>
  </si>
  <si>
    <t>8038B1U</t>
  </si>
  <si>
    <t>HS23E, Xeon 4C E5-2403</t>
  </si>
  <si>
    <t>8038B1U HS23E, Xeon 4C E5-2403</t>
  </si>
  <si>
    <t>8038B3U</t>
  </si>
  <si>
    <t>HS23E, Xeon 4C E5-2407</t>
  </si>
  <si>
    <t>8038B3U HS23E, Xeon 4C E5-2407</t>
  </si>
  <si>
    <t>8038C2U</t>
  </si>
  <si>
    <t>HS23E, Xeon 6C E5-2430</t>
  </si>
  <si>
    <t>8038C2U HS23E, Xeon 6C E5-2430</t>
  </si>
  <si>
    <t>8038C3U</t>
  </si>
  <si>
    <t>HS23E, Xeon 6C E5-2440</t>
  </si>
  <si>
    <t>8038C3U HS23E, Xeon 6C E5-2440</t>
  </si>
  <si>
    <t>8038F1U</t>
  </si>
  <si>
    <t>HS23E, Pentium 2C 1403</t>
  </si>
  <si>
    <t>8038F1U HS23E, Pentium 2C 1403</t>
  </si>
  <si>
    <t>8038F2U</t>
  </si>
  <si>
    <t>HS23E, Pentium 2C 1407</t>
  </si>
  <si>
    <t>8038F2U HS23E, Pentium 2C 1407</t>
  </si>
  <si>
    <t>8038C4U</t>
  </si>
  <si>
    <t>8038C4U HS23E, Xeon 6C E5-2430</t>
  </si>
  <si>
    <t>8038D2U</t>
  </si>
  <si>
    <t>HS23E, Xeon 8C E5-2450</t>
  </si>
  <si>
    <t>8038D2U HS23E, Xeon 8C E5-2450</t>
  </si>
  <si>
    <t>8038D4U</t>
  </si>
  <si>
    <t>HS23E, Xeon 8C E5-2470</t>
  </si>
  <si>
    <t>8038D4U HS23E, Xeon 8C E5-2470</t>
  </si>
  <si>
    <t>8038E4U</t>
  </si>
  <si>
    <t>Express HS23E, Xeon 4C E5-2407</t>
  </si>
  <si>
    <t>8038E4U Express HS23E, Xeon 4C E5-2407</t>
  </si>
  <si>
    <t>8038E5U</t>
  </si>
  <si>
    <t>Express HS23E, Xeon 6C E5-2430</t>
  </si>
  <si>
    <t>8038E5U Express HS23E, Xeon 6C E5-2430</t>
  </si>
  <si>
    <t>8038E6U</t>
  </si>
  <si>
    <t>Express HS23E, Xeon 8C E5-2450</t>
  </si>
  <si>
    <t>8038E6U Express HS23E, Xeon 8C E5-2450</t>
  </si>
  <si>
    <t>8737R2U</t>
  </si>
  <si>
    <t>IBM Flex System x240 Compute Node, Xeon 8C E5-2690 135W</t>
  </si>
  <si>
    <t>8737R2U IBM Flex System x240 Compute Node, Xeon 8C E5-2690 135W</t>
  </si>
  <si>
    <t>8737Q2U</t>
  </si>
  <si>
    <t>IBM Flex System x240 Compute Node, Xeon 6C E5-2667 130W</t>
  </si>
  <si>
    <t>8737Q2U IBM Flex System x240 Compute Node, Xeon 6C E5-2667 130W</t>
  </si>
  <si>
    <t>8737N2U</t>
  </si>
  <si>
    <t>IBM Flex System x240 Compute Node, Xeon 4C E5-2643 130W</t>
  </si>
  <si>
    <t>8737N2U IBM Flex System x240 Compute Node, Xeon 4C E5-2643 130W</t>
  </si>
  <si>
    <t>8737M2U</t>
  </si>
  <si>
    <t>IBM Flex System x240 Compute Node, Xeon 8C E5-2680 130W</t>
  </si>
  <si>
    <t>8737M2U IBM Flex System x240 Compute Node, Xeon 8C E5-2680 130W</t>
  </si>
  <si>
    <t>8737M1U</t>
  </si>
  <si>
    <t>8737M1U IBM Flex System x240 Compute Node, Xeon 8C E5-2680 130W</t>
  </si>
  <si>
    <t>8737L2U</t>
  </si>
  <si>
    <t>IBM Flex System x240 Compute Node, Xeon 8C E5-2660</t>
  </si>
  <si>
    <t>8737L2U IBM Flex System x240 Compute Node, Xeon 8C E5-2660</t>
  </si>
  <si>
    <t>8737J1U</t>
  </si>
  <si>
    <t>IBM Flex System x240 Compute Node, Xeon 8C E5-2670 115W</t>
  </si>
  <si>
    <t>8737J1U IBM Flex System x240 Compute Node, Xeon 8C E5-2670 115W</t>
  </si>
  <si>
    <t>8737H2U</t>
  </si>
  <si>
    <t>IBM Flex System x240 Compute Node, Xeon 6C E5-2640</t>
  </si>
  <si>
    <t>8737H2U IBM Flex System x240 Compute Node, Xeon 6C E5-2640</t>
  </si>
  <si>
    <t>8737H1U</t>
  </si>
  <si>
    <t>8737H1U IBM Flex System x240 Compute Node, Xeon 6C E5-2640</t>
  </si>
  <si>
    <t>8737G2U</t>
  </si>
  <si>
    <t>IBM Flex System x240 Compute Node, Xeon 6C E5-2630</t>
  </si>
  <si>
    <t>8737G2U IBM Flex System x240 Compute Node, Xeon 6C E5-2630</t>
  </si>
  <si>
    <t>IBM Flex System x240 Compute Node, Xeon 6C E5-2620</t>
  </si>
  <si>
    <t>8737F2U IBM Flex System x240 Compute Node, Xeon 6C E5-2620</t>
  </si>
  <si>
    <t>8737D2U</t>
  </si>
  <si>
    <t>IBM Flex System x240 Compute Node, Xeon 4C E5-2609</t>
  </si>
  <si>
    <t>8737D2U IBM Flex System x240 Compute Node, Xeon 4C E5-2609</t>
  </si>
  <si>
    <t>8737A1U</t>
  </si>
  <si>
    <t>IBM Flex System x240 Compute Node, Xeon 6C E5-2630L</t>
  </si>
  <si>
    <t>8737A1U IBM Flex System x240 Compute Node, Xeon 6C E5-2630L</t>
  </si>
  <si>
    <t>8737HBU</t>
  </si>
  <si>
    <t>IBM Flex System x240 Compute Node, 2xXeon 6C E5-2640</t>
  </si>
  <si>
    <t>8737HBU IBM Flex System x240 Compute Node, 2xXeon 6C E5-2640</t>
  </si>
  <si>
    <t>IBM Flex System x220 Compute Node, Pentium 2C 1403</t>
  </si>
  <si>
    <t>7906A2U IBM Flex System x220 Compute Node, Pentium 2C 1403</t>
  </si>
  <si>
    <t>IBM Flex System x220 Compute Node, Xeon 6C E5-2430L</t>
  </si>
  <si>
    <t>7906B2U IBM Flex System x220 Compute Node, Xeon 6C E5-2430L</t>
  </si>
  <si>
    <t>IBM Flex System x220 Compute Node, Xeon 4C E5-2403</t>
  </si>
  <si>
    <t>7906C2U IBM Flex System x220 Compute Node, Xeon 4C E5-2403</t>
  </si>
  <si>
    <t>IBM Flex System x220 Compute Node, Xeon 6C  E5-2420</t>
  </si>
  <si>
    <t>7906D2U IBM Flex System x220 Compute Node, Xeon 6C  E5-2420</t>
  </si>
  <si>
    <t>IBM Flex System x220 Compute Node, Xeon 6C E5-2430</t>
  </si>
  <si>
    <t>7906G2U IBM Flex System x220 Compute Node, Xeon 6C E5-2430</t>
  </si>
  <si>
    <t>7906G4U IBM Flex System x220 Compute Node, Xeon 6C E5-2430</t>
  </si>
  <si>
    <t>IBM Flex System x220 Compute Node, Xeon 6C E5-2440</t>
  </si>
  <si>
    <t>7906H2U IBM Flex System x220 Compute Node, Xeon 6C E5-2440</t>
  </si>
  <si>
    <t>IBM Flex System x220 Compute Node, Xeon 8C E5-2450</t>
  </si>
  <si>
    <t>7906J2U IBM Flex System x220 Compute Node, Xeon 8C E5-2450</t>
  </si>
  <si>
    <t>IBM Flex System x220 Compute Node, Xeon 8C E5-2470</t>
  </si>
  <si>
    <t>7906L2U IBM Flex System x220 Compute Node, Xeon 8C E5-2470</t>
  </si>
  <si>
    <t>IBM Flex System x220 Compute Node, Xeon 4C E5-2418L</t>
  </si>
  <si>
    <t>7906F2U IBM Flex System x220 Compute Node, Xeon 4C E5-2418L</t>
  </si>
  <si>
    <t>IBM Flex System x220 Compute Node, 2xXeon 6C E5-2420</t>
  </si>
  <si>
    <t>7906DBU IBM Flex System x220 Compute Node, 2xXeon 6C E5-2420</t>
  </si>
  <si>
    <t>IBM Flex System x440 Compute Node, Xeon 4C Processor Model E5-4603</t>
  </si>
  <si>
    <t>7917A2U IBM Flex System x440 Compute Node, Xeon 4C Processor Model E5-4603</t>
  </si>
  <si>
    <t>7917A4U IBM Flex System x440 Compute Node, Xeon 4C Processor Model E5-4603</t>
  </si>
  <si>
    <t>IBM Flex System x440 Compute Node, Xeon 6C Processor Model E5-4607</t>
  </si>
  <si>
    <t>7917B2U IBM Flex System x440 Compute Node, Xeon 6C Processor Model E5-4607</t>
  </si>
  <si>
    <t>7917B4U IBM Flex System x440 Compute Node, Xeon 6C Processor Model E5-4607</t>
  </si>
  <si>
    <t>IBM Flex System x440 Compute Node, Xeon 6C Processor Model E5-4610</t>
  </si>
  <si>
    <t>7917C2U IBM Flex System x440 Compute Node, Xeon 6C Processor Model E5-4610</t>
  </si>
  <si>
    <t>7917C4U IBM Flex System x440 Compute Node, Xeon 6C Processor Model E5-4610</t>
  </si>
  <si>
    <t>IBM Flex System x440 Compute Node, Xeon 8C Processor Model E5-4620</t>
  </si>
  <si>
    <t>7917D2U IBM Flex System x440 Compute Node, Xeon 8C Processor Model E5-4620</t>
  </si>
  <si>
    <t>7917D4U IBM Flex System x440 Compute Node, Xeon 8C Processor Model E5-4620</t>
  </si>
  <si>
    <t>IBM Flex System x440 Compute Node, Xeon 8C Processor Model E5-4650 130W</t>
  </si>
  <si>
    <t>7917F2U IBM Flex System x440 Compute Node, Xeon 8C Processor Model E5-4650 130W</t>
  </si>
  <si>
    <t>7917F4U IBM Flex System x440 Compute Node, Xeon 8C Processor Model E5-4650 130W</t>
  </si>
  <si>
    <t>88861TU IBM BladeCenter S Chassis with C14 2x 950W/1450W</t>
  </si>
  <si>
    <t>88861TU 88861TU IBM BladeCenter S Chassis with C14 2x 950W/1450W</t>
  </si>
  <si>
    <t>88525TU IBM BladeCenter(tm) H Chassis with 2x2980W PSU, Rackable</t>
  </si>
  <si>
    <t>88525TU 88525TU IBM BladeCenter(tm) H Chassis with 2x2980W PSU, Rackable</t>
  </si>
  <si>
    <t>885294U</t>
  </si>
  <si>
    <t>885294U IBM BladeCenter(tm) H Chassis with 4x2980W PSU, Rackable</t>
  </si>
  <si>
    <t>885294U 885294U IBM BladeCenter(tm) H Chassis with 4x2980W PSU, Rackable</t>
  </si>
  <si>
    <t>885295U</t>
  </si>
  <si>
    <t>885295U IBM BladeCenter(tm) H Chassis with 4x2980W PSU, Rackable</t>
  </si>
  <si>
    <t>885295U 885295U IBM BladeCenter(tm) H Chassis with 4x2980W PSU, Rackable</t>
  </si>
  <si>
    <t>885296U</t>
  </si>
  <si>
    <t>885296U IBM BladeCenter(tm) H Chassis with 4x2980W PSU, Rackable</t>
  </si>
  <si>
    <t>885296U 885296U IBM BladeCenter(tm) H Chassis with 4x2980W PSU, Rackable</t>
  </si>
  <si>
    <t>8886ETU Express IBM BladeCenter S Chassis with C14 4x950/1450W PSU, Rackable</t>
  </si>
  <si>
    <t>8886ETU 8886ETU Express IBM BladeCenter S Chassis with C14 4x950/1450W PSU, Rackable</t>
  </si>
  <si>
    <t>8886EVU Express IBM BladeCenter S Chassis with C14 4x950/1450W PSU, Rackable</t>
  </si>
  <si>
    <t>8886EVU 8886EVU Express IBM BladeCenter S Chassis with C14 4x950/1450W PSU, Rackable</t>
  </si>
  <si>
    <t>86773TU</t>
  </si>
  <si>
    <t>86773TU IBM BladeCenter(tm) Chassis with 2x2000W PSU</t>
  </si>
  <si>
    <t>86773TU 86773TU IBM BladeCenter(tm) Chassis with 2x2000W PSU</t>
  </si>
  <si>
    <t>86774TU</t>
  </si>
  <si>
    <t>86774TU IBM BladeCenter(tm) Chassis with 2x2320W PSU</t>
  </si>
  <si>
    <t>86774TU 86774TU IBM BladeCenter(tm) Chassis with 2x2320W PSU</t>
  </si>
  <si>
    <t>87402RU IBM BladeCenter HT DC Power Model with 4x2535W  PSU, Rackable</t>
  </si>
  <si>
    <t>87402RU 87402RU IBM BladeCenter HT DC Power Model with 4x2535W  PSU, Rackable</t>
  </si>
  <si>
    <t>87502RU IBM BladeCenter HT AC Power Model with 4x3160W PSU, Rackable</t>
  </si>
  <si>
    <t>87502RU 87502RU IBM BladeCenter HT AC Power Model with 4x3160W PSU, Rackable</t>
  </si>
  <si>
    <t>885291U</t>
  </si>
  <si>
    <t>885291U IBM BladeCenter(tm) H Chassis with 4x2980W PSU, Rackable</t>
  </si>
  <si>
    <t>885291U 885291U IBM BladeCenter(tm) H Chassis with 4x2980W PSU, Rackable</t>
  </si>
  <si>
    <t>885292U</t>
  </si>
  <si>
    <t>885292U IBM BladeCenter(tm) H Chassis with 4x2980W PSU, Rackable</t>
  </si>
  <si>
    <t>885292U 885292U IBM BladeCenter(tm) H Chassis with 4x2980W PSU, Rackable</t>
  </si>
  <si>
    <t>885293U</t>
  </si>
  <si>
    <t>885293U IBM BladeCenter(tm) H Chassis with 4x2980W PSU, Rackable</t>
  </si>
  <si>
    <t>885293U 885293U IBM BladeCenter(tm) H Chassis with 4x2980W PSU, Rackable</t>
  </si>
  <si>
    <t>8721A1U IBM Flex System Enterprise Chassis with 2x2500W PSU, Rackable</t>
  </si>
  <si>
    <t>8721A1U 8721A1U IBM Flex System Enterprise Chassis with 2x2500W PSU, Rackable</t>
  </si>
  <si>
    <t>2072L2C</t>
  </si>
  <si>
    <t>V3700 LFF Dual Control</t>
  </si>
  <si>
    <t>2072L2C V3700 LFF Dual Control</t>
  </si>
  <si>
    <t>2072LEU</t>
  </si>
  <si>
    <t>V3700 LFF Expansion</t>
  </si>
  <si>
    <t>2072LEU V3700 LFF Expansion</t>
  </si>
  <si>
    <t>2072S2C</t>
  </si>
  <si>
    <t>V3700 SFF Dual Control</t>
  </si>
  <si>
    <t>2072SEU</t>
  </si>
  <si>
    <t>V3700 SFF Expansion</t>
  </si>
  <si>
    <t>1754A1X IBM Local 1x8 Console Manager (LCM8)</t>
  </si>
  <si>
    <t>1754A2X IBM Local 2x16 Console Manager (LCM16)</t>
  </si>
  <si>
    <t>172319X</t>
  </si>
  <si>
    <t>1U 19in Flat Panel Monitor Console Kit with Optical Drive Bay w/o keyboard</t>
  </si>
  <si>
    <t>172319X 1U 19in Flat Panel Monitor Console Kit with Optical Drive Bay w/o keyboard</t>
  </si>
  <si>
    <t>172317X</t>
  </si>
  <si>
    <t>1U 17in Flat Panel Monitor Console Kit w/o keyboard</t>
  </si>
  <si>
    <t>172317X 1U 17in Flat Panel Monitor Console Kit w/o keyboard</t>
  </si>
  <si>
    <t>1754D1X IBM Global 2x2x16 Console Manager (GCM16)</t>
  </si>
  <si>
    <t>1754D2X IBM Global 4x2x32 Console Manager (GCM32)</t>
  </si>
  <si>
    <t>93604EX IBM 42U 1200mm Deep Dynamic Expansion Rack</t>
  </si>
  <si>
    <t>93604PX IBM 42U 1200mm Deep Dynamic Rack</t>
  </si>
  <si>
    <t>93614EX IBM 42U 1200mm Deep Static Expansion Rack</t>
  </si>
  <si>
    <t>93614PX IBM 42U 1200mm Deep Static Rack</t>
  </si>
  <si>
    <t>93624EX IBM 47U 1200mm Deep Static Expansion Rack</t>
  </si>
  <si>
    <t>93624PX IBM 47U 1200mm Deep Static Rack</t>
  </si>
  <si>
    <t>93634EX IBM 42U 1100mm Enterprise V2 Dynamic Expansion Rack</t>
  </si>
  <si>
    <t>93634PX IBM 42U 1100mm Enterprise V2 Dynamic Rack</t>
  </si>
  <si>
    <t>175642X IBM Rear Door Heat eXchanger V2</t>
  </si>
  <si>
    <t>17238BX IBM 1U 18.5in Standard Console Kit</t>
  </si>
  <si>
    <t>17238EX IBM 1U 18.5in Enhanced Media Console Kit with Multi-Burner Drive and USB port</t>
  </si>
  <si>
    <t>7383C5U x3500 M4, Xeon 6C E5-2620v2 80W 2.1GHz/1600MHz/15MB, 1x8GB, O/Bay HS 2.5in SATA/SAS, SR M1115, DVD-ROM, 750W p/s, Tower</t>
  </si>
  <si>
    <t>7383EKU Express x3500 M4, Xeon 8C E5-2640v2 95W 2.0GHz/1600MHz/20MB, 1x8GB, O/Bay HS 2.5in SATA/SAS, SR M5110, Multi-Burner, 750W p/s, Tower</t>
  </si>
  <si>
    <t>7914EHU Express x3550 M4, Xeon 6C E5-2620v2 80W 2.1GHz/1600MHz/15MB, 1x8GB, O/Bay 2.5in HS SAS/SATA, SR M5110, Multi-Burner, 550W p/s, Rack</t>
  </si>
  <si>
    <t>7914EKU Express x3550 M4, Xeon 10C E5-2660v2 95W 2.2GHz/1866MHz/25MB, 1x16GB, O/Bay 2.5in HS SAS/SATA, SR M5110, Multi-Burner, 2x550W p/s, Rack</t>
  </si>
  <si>
    <t>791573U x3650 M4, Xeon 12C E5-2695v2 115W 2.4GHz/1866MHz/30MB, 1x8GB, O/Bay HS 2.5in SAS/SATA, SR M5110e, 900W p/s, Rack</t>
  </si>
  <si>
    <t>7915C3U x3650 M4, Xeon 6C E5-2620v2 80W 2.1GHz/1600MHz/15MB, 1x8GB, O/Bay HS 2.5in SAS/SATA, SR M5110e, 550W p/s, Rack</t>
  </si>
  <si>
    <t>7915EJU Express x3650 M4, Xeon 8C E5-2650v2 95W 2.6GHz/1866MHz/20MB, 1x16GB, O/Bay HS 2.5in SAS/SATA, SR M5110e, Multiburner, 750W p/s, Rack</t>
  </si>
  <si>
    <t>8737B4U IBM Flex System x240 Compute Node</t>
  </si>
  <si>
    <t>8737CMU IBM Flex System x240 Compute Node</t>
  </si>
  <si>
    <t>8737C4U IBM Flex System x240 Compute Node</t>
  </si>
  <si>
    <t>87371MU IBM Flex System x240 Compute Node</t>
  </si>
  <si>
    <t>873714U IBM Flex System x240 Compute Node</t>
  </si>
  <si>
    <t>87372MU IBM Flex System x240 Compute Node</t>
  </si>
  <si>
    <t>873722U IBM Flex System x240 Compute Node</t>
  </si>
  <si>
    <t>873724U IBM Flex System x240 Compute Node</t>
  </si>
  <si>
    <t>87373MU IBM Flex System x240 Compute Node</t>
  </si>
  <si>
    <t>873734U IBM Flex System x240 Compute Node</t>
  </si>
  <si>
    <t>87374MU IBM Flex System x240 Compute Node</t>
  </si>
  <si>
    <t>873742U IBM Flex System x240 Compute Node</t>
  </si>
  <si>
    <t>873744U IBM Flex System x240 Compute Node</t>
  </si>
  <si>
    <t>87375MU IBM Flex System x240 Compute Node</t>
  </si>
  <si>
    <t>873754U IBM Flex System x240 Compute Node</t>
  </si>
  <si>
    <t>87376MU IBM Flex System x240 Compute Node</t>
  </si>
  <si>
    <t>873762U IBM Flex System x240 Compute Node</t>
  </si>
  <si>
    <t>873764U IBM Flex System x240 Compute Node</t>
  </si>
  <si>
    <t>87377MU IBM Flex System x240 Compute Node</t>
  </si>
  <si>
    <t>873772U IBM Flex System x240 Compute Node</t>
  </si>
  <si>
    <t>873774U IBM Flex System x240 Compute Node</t>
  </si>
  <si>
    <t>87378DU IBM Flex System x240 Compute Node</t>
  </si>
  <si>
    <t>87378MU IBM Flex System x240 Compute Node</t>
  </si>
  <si>
    <t>873784U IBM Flex System x240 Compute Node</t>
  </si>
  <si>
    <t>87379MU IBM Flex System x240 Compute Node</t>
  </si>
  <si>
    <t>873794U IBM Flex System x240 Compute Node</t>
  </si>
  <si>
    <t>A3U</t>
  </si>
  <si>
    <t>x3650 M4, Xeon 4C E5-2603v2 80W 1.8GHz</t>
  </si>
  <si>
    <t>7915A3U x3650 M4, Xeon 4C E5-2603v2 80W 1.8GHz</t>
  </si>
  <si>
    <t>System x</t>
  </si>
  <si>
    <t>B3U</t>
  </si>
  <si>
    <t>x3650 M4, Xeon 4C E5-2609v2 80W 2.5GHz</t>
  </si>
  <si>
    <t>7915B3U x3650 M4, Xeon 4C E5-2609v2 80W 2.5GHz</t>
  </si>
  <si>
    <t>C5U</t>
  </si>
  <si>
    <t>x3650 M4, Xeon 6C E5-2620v2 80W 2.1GHz</t>
  </si>
  <si>
    <t>7915C5U x3650 M4, Xeon 6C E5-2620v2 80W 2.1GHz</t>
  </si>
  <si>
    <t>D3U</t>
  </si>
  <si>
    <t>x3650 M4, Xeon 6C E5-2630v2 80W 2.6GHz</t>
  </si>
  <si>
    <t>7915D3U x3650 M4, Xeon 6C E5-2630v2 80W 2.6GHz</t>
  </si>
  <si>
    <t>EFU</t>
  </si>
  <si>
    <t>Express x3650 M4, Xeon 4C E5-2609v2 80W 2.5GHz</t>
  </si>
  <si>
    <t>7915EFU Express x3650 M4, Xeon 4C E5-2609v2 80W 2.5GHz</t>
  </si>
  <si>
    <t>EGU</t>
  </si>
  <si>
    <t>Express x3650 M4, Xeon 6C E5-2630v2 80W 2.6GHz</t>
  </si>
  <si>
    <t>7915EGU Express x3650 M4, Xeon 6C E5-2630v2 80W 2.6GHz</t>
  </si>
  <si>
    <t>EHU</t>
  </si>
  <si>
    <t>Express x3650 M4, Xeon 8C E5-2640v2 95W 2.0GHz</t>
  </si>
  <si>
    <t>7915EHU Express x3650 M4, Xeon 8C E5-2640v2 95W 2.0GHz</t>
  </si>
  <si>
    <t>EKU</t>
  </si>
  <si>
    <t>Express x3650 M4, Xeon 10C E5-2670v2 115W 2.5GHz</t>
  </si>
  <si>
    <t>7915EKU Express x3650 M4, Xeon 10C E5-2670v2 115W 2.5GHz</t>
  </si>
  <si>
    <t>F3U</t>
  </si>
  <si>
    <t>x3650 M4, Xeon 8C E5-2640v2 95W 2.0GHz</t>
  </si>
  <si>
    <t>7915F3U x3650 M4, Xeon 8C E5-2640v2 95W 2.0GHz</t>
  </si>
  <si>
    <t>G3U</t>
  </si>
  <si>
    <t>x3650 M4, Xeon 8C E5-2650v2 95W 2.6GHz</t>
  </si>
  <si>
    <t>7915G3U x3650 M4, Xeon 8C E5-2650v2 95W 2.6GHz</t>
  </si>
  <si>
    <t>H3U</t>
  </si>
  <si>
    <t>x3650 M4, Xeon 10C E5-2660v2 95W 2.2GHz</t>
  </si>
  <si>
    <t>7915H3U x3650 M4, Xeon 10C E5-2660v2 95W 2.2GHz</t>
  </si>
  <si>
    <t>J3U</t>
  </si>
  <si>
    <t>x3650 M4, Xeon 10C E5-2670v2 115W 2.5GHz</t>
  </si>
  <si>
    <t>7915J3U x3650 M4, Xeon 10C E5-2670v2 115W 2.5GHz</t>
  </si>
  <si>
    <t>L3U</t>
  </si>
  <si>
    <t>x3650 M4, Xeon 10C E5-2680v2 115W 2.8GHz</t>
  </si>
  <si>
    <t>7915L3U x3650 M4, Xeon 10C E5-2680v2 115W 2.8GHz</t>
  </si>
  <si>
    <t>M3U</t>
  </si>
  <si>
    <t>x3650 M4, Xeon 10C E5-2690v2 130W 3.0GHz</t>
  </si>
  <si>
    <t>7915M3U x3650 M4, Xeon 10C E5-2690v2 130W 3.0GHz</t>
  </si>
  <si>
    <t>1164-95X IBM Rear Door Heat Exchanger</t>
  </si>
  <si>
    <t>1457-7FL</t>
  </si>
  <si>
    <t>1457</t>
  </si>
  <si>
    <t>7FL</t>
  </si>
  <si>
    <t>IBM Flex System PowerLinux Node</t>
  </si>
  <si>
    <t>1457-7FL IBM Flex System PowerLinux Node</t>
  </si>
  <si>
    <t>7906-25X</t>
  </si>
  <si>
    <t>25X</t>
  </si>
  <si>
    <t>7906-25X IBM Flex System x220 Compute Node</t>
  </si>
  <si>
    <t>7916-27X</t>
  </si>
  <si>
    <t>27X</t>
  </si>
  <si>
    <t>7916-27X IBM Flex System x222 Compute Node</t>
  </si>
  <si>
    <t>7917-45X</t>
  </si>
  <si>
    <t>45X</t>
  </si>
  <si>
    <t>7917-45X IBM Flex System x440 Compute Node</t>
  </si>
  <si>
    <t>7954-24X</t>
  </si>
  <si>
    <t>7954-24X IBM Flex System p270+</t>
  </si>
  <si>
    <t>4939</t>
  </si>
  <si>
    <t>IBM Flex System V7000 Storage Node Hardware</t>
  </si>
  <si>
    <t>4939-A29 IBM Flex System V7000 Storage Node Hardware</t>
  </si>
  <si>
    <t>4939-A49 IBM Flex System V7000 Storage Node Hardware</t>
  </si>
  <si>
    <t>7895-43X IBM Flex System p460+</t>
  </si>
  <si>
    <t>5662-EXP</t>
  </si>
  <si>
    <t>IBM Systems Director Express Edition for Power Systems SW Maint 3 Yr Reg</t>
  </si>
  <si>
    <t>Administracion</t>
  </si>
  <si>
    <t>5662-H23</t>
  </si>
  <si>
    <t>H23</t>
  </si>
  <si>
    <t>IBM PowerHA Standard Edition Reg:3Yr</t>
  </si>
  <si>
    <t>x3530 M4, Xeon 4C E5-2407v2 80W 2.4GHz</t>
  </si>
  <si>
    <t>x3550 M4, Xeon 8C E5-2640v2 95W 2.0GHz</t>
  </si>
  <si>
    <t>x3630 M4, Xeon 6C E5-2420v2 80W 2.2GHz</t>
  </si>
  <si>
    <t>x3500 M4, Xeon 4C E5-2603v2 80W 1.8GHz</t>
  </si>
  <si>
    <t>x3500 M4, Xeon 4C E5-2609v2 80W 2.5GHz</t>
  </si>
  <si>
    <t>x3500 M4, Xeon 6C E5-2620v2 80W 2.1GHz</t>
  </si>
  <si>
    <t>x3500 M4, Xeon 6C E5-2630v2 80W 2.6GHz</t>
  </si>
  <si>
    <t>Express x3500 M4, Xeon 4C E5-2609v2 80W 2.5GHz</t>
  </si>
  <si>
    <t>Express x3500 M4, Xeon 6C E5-2620v2 80W 2.1GHz</t>
  </si>
  <si>
    <t>Express x3500 M4, Xeon 6C E5-2630v2 80W 2.6GHz</t>
  </si>
  <si>
    <t>x3500 M4, Xeon 8C E5-2640v2 95W 2.0GHz</t>
  </si>
  <si>
    <t>x3500 M4, Xeon 8C E5-2650v2 95W 2.6GHz</t>
  </si>
  <si>
    <t>x3500 M4, Xeon 10C E5-2670v2 115W 2.5GHz</t>
  </si>
  <si>
    <t>x3500 M4, Xeon 10C E5-2680v2 115W 2.8GHz</t>
  </si>
  <si>
    <t>x3250 M5, Pentium 2C G3420 65W 3.2GHz</t>
  </si>
  <si>
    <t>x3250 M5, Xeon 4C E3-1220v3 80W 3.1GHz</t>
  </si>
  <si>
    <t>x3250 M5, Xeon 4C E3-1230v3 80W 3.3GHz</t>
  </si>
  <si>
    <t>Express x3250 M5, Xeon 4C E3-1220v3 80W 3.1GHz</t>
  </si>
  <si>
    <t>Express x3250 M5, Xeon 4C E3-1230v3 80W 3.3GHz</t>
  </si>
  <si>
    <t>Express x3250 M5, Xeon 4C E3-1240v3 80W 3.4GHz</t>
  </si>
  <si>
    <t>x3250 M5, Xeon 4C E3-1240v3 80W 3.4GHz</t>
  </si>
  <si>
    <t>x3250 M5, Xeon 4C E3-1270v3 80W 3.5GHz</t>
  </si>
  <si>
    <t>x3530 M4, Xeon 4C E5-2403v2 80W 1.8GHz</t>
  </si>
  <si>
    <t>x3530 M4, Xeon 6C E5-2420v2 80W 2.2GHz</t>
  </si>
  <si>
    <t>Express x3530 M4, Xeon 4C E5-2403v2 80W 1.8GHz</t>
  </si>
  <si>
    <t>Express x3530 M4, Xeon 6C E5-2420v2 80W 2.2GHz</t>
  </si>
  <si>
    <t>Express x3530 M4, Xeon 8C E5-2440v2 95W 1.9GHz</t>
  </si>
  <si>
    <t>x3530 M4, Xeon 8C E5-2440v2 95W 1.9GHz</t>
  </si>
  <si>
    <t>x3530 M4, Xeon 8C E5-2450v2 95W 2.5GHz</t>
  </si>
  <si>
    <t>x3550 M4, Xeon 4C E5-2637v2 130W 3.5GHz</t>
  </si>
  <si>
    <t>x3550 M4, Xeon 6C E5-2643v2 130W 3.5GHz</t>
  </si>
  <si>
    <t>x3550 M4, Xeon 8C E5-2667v2 130W 3.3GHz</t>
  </si>
  <si>
    <t>x3550 M4, Xeon 10C E5-2650Lv2 70W 1.7GHz</t>
  </si>
  <si>
    <t>x3550 M4, Xeon 12C E5-2695v2 115W 2.4GHz</t>
  </si>
  <si>
    <t>x3550 M4, Xeon 12C E5-2697v2 130W 2.7GHz</t>
  </si>
  <si>
    <t>x3550 M4, Xeon 4C E5-2603v2 80W 1.8GHz</t>
  </si>
  <si>
    <t>x3550 M4, Xeon 4C E5-2609v2 80W 2.5GHz</t>
  </si>
  <si>
    <t>x3550 M4, Xeon 6C E5-2620v2 80W 2.1GHz</t>
  </si>
  <si>
    <t>x3550 M4, Xeon 6C E5-2630v2 80W 2.6GHz</t>
  </si>
  <si>
    <t>Express x3550 M4, Xeon 4C E5-2609v2 80W 2.5GHz</t>
  </si>
  <si>
    <t>x3550 M4, Xeon 8C E5-2650v2 95W 2.6GHz</t>
  </si>
  <si>
    <t>x3550 M4, Xeon 10C E5-2660v2 95W 2.2GHz</t>
  </si>
  <si>
    <t>x3550 M4, Xeon 10C E5-2670v2 115W 2.5GHz</t>
  </si>
  <si>
    <t>x3550 M4, Xeon 10C E5-2680v2 115W 2.8GHz</t>
  </si>
  <si>
    <t>x3550 M4, Xeon 10C E5-2690v2 130W 3.0GHz</t>
  </si>
  <si>
    <t>x3630 M4, Xeon 6C E5-2420 95W 1.9GHz</t>
  </si>
  <si>
    <t>x3630 M4, Xeon 4C E5-2403v2 80W 1.8GHz</t>
  </si>
  <si>
    <t>x3630 M4, Xeon 4C E5-2407v2 80W 2.4GHz</t>
  </si>
  <si>
    <t>x3630 M4, Xeon 6C E5-2430v2 80W 2.5GHz</t>
  </si>
  <si>
    <t>Express x3630 M4, Xeon 4C E5-2403v2 80W 1.8GHz</t>
  </si>
  <si>
    <t>Express x3630 M4, Xeon 6C E5-2420v2 80W 2.2GHz</t>
  </si>
  <si>
    <t>Express x3630 M4, Xeon 8C E5-2440v2 95W 1.9GHz</t>
  </si>
  <si>
    <t>7158EQU</t>
  </si>
  <si>
    <t>7158ERU</t>
  </si>
  <si>
    <t>x3630 M4, Xeon 8C E5-2440v2 95W 1.9GHz</t>
  </si>
  <si>
    <t>x3630 M4, Xeon 8C E5-2450v2 95W 2.5GHz</t>
  </si>
  <si>
    <t>x3650 M4, Xeon 12C E5-2697 v2 130W 2.7GHz</t>
  </si>
  <si>
    <t>x3650 M4, Xeon 4C E5-2609 v2 80W 2.5GHz</t>
  </si>
  <si>
    <t>x3650 M4, Xeon 6C E5-2620 v2 80W 2.1GHz</t>
  </si>
  <si>
    <t>x3650 M4, Xeon 6C E5-2630 v2 80W 2.6GHz</t>
  </si>
  <si>
    <t>Express x3650 M4, Xeon 8C E5-2640 v2 95W 2.0GHz</t>
  </si>
  <si>
    <t>x3650 M4, Xeon 8C E5-2640 v2 95W 2.0GHz</t>
  </si>
  <si>
    <t>x3650 M4, Xeon 8C E5-2650 v2 95W 2.6GHz</t>
  </si>
  <si>
    <t>x3650 M4, Xeon 10C E5-2660 v2 95W 2.2GHz</t>
  </si>
  <si>
    <t>x3650 M4, Xeon 10C E5-2670 v2 115W 2.5GHz</t>
  </si>
  <si>
    <t>x3650 M4, Xeon 10C E5-2680 v2 115W 2.8GHz</t>
  </si>
  <si>
    <t>x3650 M4, Xeon 10C E5-2690 v2 130W 3.0GHz</t>
  </si>
  <si>
    <t>x3650 M4, Xeon 4C E5-2637v2 130W 3.5GHz</t>
  </si>
  <si>
    <t>x3650 M4, Xeon 6C E5-2643v2 130W 3.5GHz</t>
  </si>
  <si>
    <t>x3650 M4, Xeon 8C E5-2667v2 130W 3.3GHz</t>
  </si>
  <si>
    <t>x3650 M4, Xeon 10C E5-2650Lv2 70W 1.7GHz</t>
  </si>
  <si>
    <t>x3650 M4, Xeon 12C E5-2697v2 130W 2.7GHz</t>
  </si>
  <si>
    <t>x3650 M4 BD, Xeon 4C Model E5-2603v2 80W 1.8GHz</t>
  </si>
  <si>
    <t>x3650 M4 BD, Xeon 4C Model E5-2609v2 80W 2.5GHz</t>
  </si>
  <si>
    <t>x3650 M4 BD, Xeon 6C Model E5-2620v2 80W 2.1GHz</t>
  </si>
  <si>
    <t>x3650 M4 BD, Xeon 6C Model E5-2630Lv2 60W 2.4GHz</t>
  </si>
  <si>
    <t>x3650 M4 BD, Xeon 10C Model E5-2660v2 95W 2.2GHz</t>
  </si>
  <si>
    <t>x3650 M4 BD, Xeon 12C Model E5-2695v2 115W 2.4GHz</t>
  </si>
  <si>
    <t>Express x3650 M4, Xeon 6C E5-2620v2 80W 2.1GHz</t>
  </si>
  <si>
    <t>7164F3U</t>
  </si>
  <si>
    <t>x3755 M3, 2xAMD Opteron 16C 6380 115W 2.5GHz</t>
  </si>
  <si>
    <t>x3750 M4, 2x Xeon 8C E5-4627v2 130W 3.3GHz</t>
  </si>
  <si>
    <t>x3750 M4, Xeon 4C E5-4603v2 95W 2.2GHz</t>
  </si>
  <si>
    <t>x3750 M4, 2x Xeon 6C E5-4607v2 95W 2.6GHz</t>
  </si>
  <si>
    <t>x3750 M4, 2x Xeon 8C E5-4610v2 95W 2.3GHz</t>
  </si>
  <si>
    <t>x3750 M4, 2x Xeon 8C E5-4620v2 95W 2.6GHz</t>
  </si>
  <si>
    <t>x3750 M4, 2x Xeon 10C E5-4640v2 95W 2.2GHz</t>
  </si>
  <si>
    <t>x3750 M4, 2x Xeon 10C E5-4650v2 95W 2.4GHz</t>
  </si>
  <si>
    <t>x3850 X6,  Compute Book Xeon 6C E7-4809v2 105W 1.9GHz</t>
  </si>
  <si>
    <t>x3850 X6, 4x Compute Book Xeon 6C E7-4809v2 105W 1.9GHz</t>
  </si>
  <si>
    <t>x3850 X6, 2x Compute Book Xeon 8C E7-4820v2 105W 2.0GHz</t>
  </si>
  <si>
    <t>x3850 X6, 2x Compute Book Xeon 12C E7-4850v2 105W 2.3GHz</t>
  </si>
  <si>
    <t>x3950 X6, 4x Compute Book Xeon 12C E7-8850v2 105W 2.3GHz</t>
  </si>
  <si>
    <t>x3850 X6, 2x Compute Book Xeon 12C E7-4860v2 130W 2.6GHz</t>
  </si>
  <si>
    <t>x3850 X6, 2x Compute Book Xeon 15C E7-4890v2 155W 2.8GHz</t>
  </si>
  <si>
    <t>x3950 X6, 4x Compute Book Xeon 15C E7-8870v2 130W 2.3GHz</t>
  </si>
  <si>
    <t>x3950 X6, 4x Compute Book Xeon 15C E7-8890v2 155W 2.8GHz</t>
  </si>
  <si>
    <t>SAP HANA x3950 X5, 2xXeon 10C E7-8870 130w 2.40GHz</t>
  </si>
  <si>
    <t>SAP HANA x3950 X5, 4xXeon 10C E7-8870 130w 2.40GHz</t>
  </si>
  <si>
    <t>SAP HANA x3690 X5, 2xXeon 10C E7-2870 130W 2.40GHz</t>
  </si>
  <si>
    <t>XLSKHMX</t>
  </si>
  <si>
    <t>x3550 M4, 2 x Xeon 8C E5-2670 115W 2.6GHz</t>
  </si>
  <si>
    <t>VSPHERE x3950 X5, 4xXeon 10C E7-4860 130W 2.26GHz</t>
  </si>
  <si>
    <t>VSPHERE x3690 X5, 2xXeon 10C E7-2860 130W 2.26GHz</t>
  </si>
  <si>
    <t>x3550 M4, 2x Xeon 6C E5-2620 95W 2.0GHz</t>
  </si>
  <si>
    <t>Red Hat KVM Virtualization W.O.S - x3950 X5, 4xXeon 10C E7-4860 130W 2.26GHz</t>
  </si>
  <si>
    <t>Red Hat KVM Virtualization W.O.S - x3690 X5, 2xXeon 10C E7-2860 130W 2.26GHz</t>
  </si>
  <si>
    <t>DATABASE x3950 X5, 4xXeon 10C E7-4860 130W 2.26GHz</t>
  </si>
  <si>
    <t>DATABASE x3690 X5, 2xXeon 10C E7-2860 130W 2.26GHz</t>
  </si>
  <si>
    <t>787593L</t>
  </si>
  <si>
    <t>HS23, Xeon 8C E5-2650 95W 2.0GHz/1600MHz/20MB, 16x8GB, O/Bay 2.5in SAS</t>
  </si>
  <si>
    <t>HS23, Xeon E5-2609 v2 4c 80w 2.5 GHz</t>
  </si>
  <si>
    <t>HS23, Xeon E5-2603 v2 4c 80w 1.8 GHz</t>
  </si>
  <si>
    <t>HS23, Xeon E5-2620 v2 6c 80w 2.1 GHz</t>
  </si>
  <si>
    <t>HS23, Xeon E5-2630 v2 6c 80w 2.6 GHz</t>
  </si>
  <si>
    <t>HS23, Xeon E5-2640 v2 8c 95w 2.0 GHz</t>
  </si>
  <si>
    <t>HS23, Xeon E5-2650 v2 8c 95w 2.6 GHz</t>
  </si>
  <si>
    <t>HS23, Xeon E5-2660 v2 10c 95w 2.2 GHz</t>
  </si>
  <si>
    <t>HS23, Xeon E5-2670 v2 10c 115w 2.5 GHz</t>
  </si>
  <si>
    <t>HS23, Xeon E5-2680 v2 10c 115w 2.8 GHz</t>
  </si>
  <si>
    <t>HS23, Xeon E5-2650L v2 10c 70w 1.7 GHz</t>
  </si>
  <si>
    <t>HS23, Xeon E5-2697 v2 12c 130w 2.7 GHz</t>
  </si>
  <si>
    <t>HS23, Xeon E5-2628L v2 8c 70w 1.9 GHz</t>
  </si>
  <si>
    <t>HS23, Xeon E5-2658 v2 10c 95w 2.4 GHz</t>
  </si>
  <si>
    <t>Express HS23, 2 x Xeon E5-2620 v2 6c 80w 2.1 GHz</t>
  </si>
  <si>
    <t>Express HS23, 2 x Xeon E5-2650 v2 8c 95w 2.6 GHz</t>
  </si>
  <si>
    <t>Express HS23, 2 x Xeon E5-2670 v2 10c 115w 2.5 GHz</t>
  </si>
  <si>
    <t>HX5, 2x Xeon 8C E7-2830 105W 2.13GHz</t>
  </si>
  <si>
    <t>791222U</t>
  </si>
  <si>
    <t>dx360 M4, 2xXeon 6C E5-2630L 60w 2.0GHz</t>
  </si>
  <si>
    <t>791242U</t>
  </si>
  <si>
    <t>dx360 M4, 2xXeon 4C E5-2609 80w 2.4GHz</t>
  </si>
  <si>
    <t>791262U</t>
  </si>
  <si>
    <t>dx360 M4, 2xXeon 8C E5-2660 95w 2.2GHz</t>
  </si>
  <si>
    <t>dx360 M4, 2xXeon 6C E5-2620 v2 80w 2.1GHz</t>
  </si>
  <si>
    <t>dx360 M4, 2xXeon 8C E5-2650 v2 95w 2.6GHz</t>
  </si>
  <si>
    <t>dx360 M4, 2xXeon 10C E5-2670 v2 115w 2.5GHz</t>
  </si>
  <si>
    <t>IBM Flex System Manager Node with embedded 10Gb Virtual Fabric, Xeon 8C E5-2650 95W 2.0GHz</t>
  </si>
  <si>
    <t>IBM Flex System x222 Compute Node, 2xXeon 4C E5-2418L 50W 2.0GHz</t>
  </si>
  <si>
    <t>IBM Flex System x222 Compute Node, 2xXeon 6C E5-2430L 60W 2.0GHz</t>
  </si>
  <si>
    <t>IBM Flex System x222 Compute Node, 2xXeon 8C E5-2450L 70W 1.8GHz</t>
  </si>
  <si>
    <t>IBM Flex System x222 Compute Node, 2xXeon 4C E5-2403 80W 1.8GHz</t>
  </si>
  <si>
    <t>IBM Flex System x222 Compute Node, 2xXeon 4C E5-2407 80W 2.2GHz</t>
  </si>
  <si>
    <t>IBM Flex System x222 Compute Node, 2xXeon 6C E5-2420 95W 1.9GHz</t>
  </si>
  <si>
    <t>IBM Flex System x222 Compute Node, 2xXeon 6C E5-2430 95W 2.2GHz</t>
  </si>
  <si>
    <t>IBM Flex System x222 Compute Node, 2xXeon 6C E5-2440 95W 2.4GHz</t>
  </si>
  <si>
    <t>IBM Flex System x222 Compute Node, 2xXeon 8C E5-2450 95W 2.1GHz</t>
  </si>
  <si>
    <t>IBM Flex System x222 Compute Node, 2xXeon 8C E5-2470 95W 2.3GHz</t>
  </si>
  <si>
    <t>IBM NeXtScale nx360 M4, Xeon 6C E5-2620v2 80W 2.1GHz</t>
  </si>
  <si>
    <t>IBM NeXtScale nx360 M4, Xeon 10C E5-2660v2 95W 2.2GHz</t>
  </si>
  <si>
    <t>IBM NeXtScale nx360 M4, Xeon 10C E5-2670v2 115W 2.5GHz</t>
  </si>
  <si>
    <t>6630010</t>
  </si>
  <si>
    <t>Juniper 24 Port 1Gb EX2200 Ethernet Switch for IBM System x</t>
  </si>
  <si>
    <t>6630011</t>
  </si>
  <si>
    <t>Juniper 24 Port 1Gb EX2200 Ethernet Switch with PoE for IBM System x</t>
  </si>
  <si>
    <t>6630012</t>
  </si>
  <si>
    <t>Juniper 48 Port 1Gb EX2200 Ethernet Switch for IBM System x</t>
  </si>
  <si>
    <t>6630013</t>
  </si>
  <si>
    <t>Juniper 48 Port 1Gb EX2200 Ethernet Switch with PoE for IBM System x</t>
  </si>
  <si>
    <t>0719410</t>
  </si>
  <si>
    <t>EX4500 40-Port 1/10G Switch, 128G VC, AC PS, Front to Back Airflow (410/HD2) - Juniper Networks</t>
  </si>
  <si>
    <t>0719420</t>
  </si>
  <si>
    <t>EX4500 40-Port 1/10G Switch, 128G VC, AC PS, Back to Front Airflow (420/HD3) - Juniper Networks</t>
  </si>
  <si>
    <t>249824U</t>
  </si>
  <si>
    <t>IBM System Networking SAN24B-5</t>
  </si>
  <si>
    <t>21304RX</t>
  </si>
  <si>
    <t>IBM UPS 10000XHV - Rack</t>
  </si>
  <si>
    <t>1746T4E</t>
  </si>
  <si>
    <t>IBM System Storage EXP3524 Express DC Storage Expansion Unit</t>
  </si>
  <si>
    <t>1746T4D</t>
  </si>
  <si>
    <t>IBM System Storage DS3524 Express DC Dual Controller Storage System</t>
  </si>
  <si>
    <t>3580S5E</t>
  </si>
  <si>
    <t>System Storage TS2250 Tape Drive Express Model H5S</t>
  </si>
  <si>
    <t>3580S4V</t>
  </si>
  <si>
    <t>System Storage TS2240 Tape Drive Express Model H4V</t>
  </si>
  <si>
    <t>3572S4R</t>
  </si>
  <si>
    <t>IBM System Storage TS2900 Tape Autoloader with LTO4 HH SAS drive and Rack Mount Kit</t>
  </si>
  <si>
    <t>3572S5R</t>
  </si>
  <si>
    <t>IBM System Storage TS2900 Tape Autoloader with LTO5 HH SAS drive and Rack Mount Kit</t>
  </si>
  <si>
    <t>3628L4X</t>
  </si>
  <si>
    <t>IBM External Half High LTO Gen 4  SAS Tape Drive</t>
  </si>
  <si>
    <t>35732UL</t>
  </si>
  <si>
    <t>TS3100 Tape Library Model L2U Driveless</t>
  </si>
  <si>
    <t>35734UL</t>
  </si>
  <si>
    <t>TS3200 Tape Library Model L4U Driveless</t>
  </si>
  <si>
    <t>3572S6H</t>
  </si>
  <si>
    <t>TS2900 Tape Autoloader Model S6H (Gen6HH SAS)</t>
  </si>
  <si>
    <t>3572S6R</t>
  </si>
  <si>
    <t>TS2900 Tape Library with LTO6 HH SAS drive &amp; rack mount kit</t>
  </si>
  <si>
    <t>3580S63</t>
  </si>
  <si>
    <t>TS2360 Tape Drive Express Model S63 FH AAS</t>
  </si>
  <si>
    <t>3580S6E</t>
  </si>
  <si>
    <t>System Storage TS2260 Tape Drive Model H6S</t>
  </si>
  <si>
    <t>3580S6X</t>
  </si>
  <si>
    <t>System Storage TS2360 Tape Drive Model S63</t>
  </si>
  <si>
    <t>3580H6S</t>
  </si>
  <si>
    <t>TS2260 Tape Drive Express Model H6S HH AAS</t>
  </si>
  <si>
    <t>72261UX</t>
  </si>
  <si>
    <t>Multi-Media Enclosure</t>
  </si>
  <si>
    <t>Server 1:8247 Model 21L</t>
  </si>
  <si>
    <t>8247-21L Server 1:8247 Model 21L</t>
  </si>
  <si>
    <t>Server 1:8247 Model 22L</t>
  </si>
  <si>
    <t>8247-22L Server 1:8247 Model 22L</t>
  </si>
  <si>
    <t>5773-KVM</t>
  </si>
  <si>
    <t>3-Year Registration/Renewal for 5765-KVM</t>
  </si>
  <si>
    <t>5773-KVM 3-Year Registration/Renewal for 5765-KVM</t>
  </si>
  <si>
    <t>Sistema operativo</t>
  </si>
  <si>
    <t>5639-RHP</t>
  </si>
  <si>
    <t>RHP</t>
  </si>
  <si>
    <t>RHEL for POWER</t>
  </si>
  <si>
    <t>5639-RHP RHEL for POWER</t>
  </si>
  <si>
    <t>5662-VCX</t>
  </si>
  <si>
    <t>VCX</t>
  </si>
  <si>
    <t>3-Year Registration for 5765-VCX</t>
  </si>
  <si>
    <t>5662-VCX 3-Year Registration for 5765-VCX</t>
  </si>
  <si>
    <t>5692-LOP</t>
  </si>
  <si>
    <t>LOP</t>
  </si>
  <si>
    <t>SPO for Linux on POWER</t>
  </si>
  <si>
    <t>5692-LOP SPO for Linux on POWER</t>
  </si>
  <si>
    <t>5765-EPL</t>
  </si>
  <si>
    <t>EPL</t>
  </si>
  <si>
    <t>IBM Systems Director for IBM PowerLinux v6.3</t>
  </si>
  <si>
    <t>5765-EPL IBM Systems Director for IBM PowerLinux v6.3</t>
  </si>
  <si>
    <t>5765-KVM</t>
  </si>
  <si>
    <t>KVM</t>
  </si>
  <si>
    <t>IBM PowerKVM</t>
  </si>
  <si>
    <t>5765-KVM IBM PowerKVM</t>
  </si>
  <si>
    <t>5765-VCX</t>
  </si>
  <si>
    <t>PowerVC Express Edition V1</t>
  </si>
  <si>
    <t>5765-VCX PowerVC Express Edition V1</t>
  </si>
  <si>
    <t>5765-VPL</t>
  </si>
  <si>
    <t>VPL</t>
  </si>
  <si>
    <t>IBM Systems Director VMControl for IBM PowerLinux v2.4</t>
  </si>
  <si>
    <t>5765-VPL IBM Systems Director VMControl for IBM PowerLinux v2.4</t>
  </si>
  <si>
    <t>5773-EPL</t>
  </si>
  <si>
    <t>IBM Systems Director for IBM PowerLinux v6.3 SW Maintenance : 3 Yr</t>
  </si>
  <si>
    <t>5773-EPL IBM Systems Director for IBM PowerLinux v6.3 SW Maintenance : 3 Yr</t>
  </si>
  <si>
    <t>5773-VPL</t>
  </si>
  <si>
    <t>IBM Systems Director VMControl for IBM PowerLinux v2.4 SW Maintenance : 3 Yr</t>
  </si>
  <si>
    <t>5773-VPL IBM Systems Director VMControl for IBM PowerLinux v2.4 SW Maintenance : 3 Yr</t>
  </si>
  <si>
    <t>7042-CR8 Consola HMC</t>
  </si>
  <si>
    <t>7316-TF4 Flat Panel</t>
  </si>
  <si>
    <t>Servidor IBM Power 814</t>
  </si>
  <si>
    <t>8286-41A Servidor IBM Power 814</t>
  </si>
  <si>
    <t>8248</t>
  </si>
  <si>
    <t>Servidor IBM Power 822</t>
  </si>
  <si>
    <t>8284-22A Servidor IBM Power 822</t>
  </si>
  <si>
    <t>Servidor IBM Power 824</t>
  </si>
  <si>
    <t>8286-42A Servidor IBM Power 824</t>
  </si>
  <si>
    <t>5639-XB7</t>
  </si>
  <si>
    <t>XB7</t>
  </si>
  <si>
    <t>IBM Storwize Family Software V7000 Expansion</t>
  </si>
  <si>
    <t>5639-XB7 IBM Storwize Family Software V7000 Expansion</t>
  </si>
  <si>
    <t>5639-XBC</t>
  </si>
  <si>
    <t>XBC</t>
  </si>
  <si>
    <t>IBM Storwize Family Software V7000 Expansion Maint (Reg): 3 Yr</t>
  </si>
  <si>
    <t>5639-XBC IBM Storwize Family Software V7000 Expansion Maint (Reg): 3 Yr</t>
  </si>
  <si>
    <t>IBM Storwize Family Software V7000 Controller  V7.3</t>
  </si>
  <si>
    <t>5639-CB7 IBM Storwize Family Software V7000 Controller  V7.3</t>
  </si>
  <si>
    <t>5639-CBC</t>
  </si>
  <si>
    <t>CBC</t>
  </si>
  <si>
    <t>IBM Storwize Family Software V7000 Controller Maint (Reg): 3 Yr</t>
  </si>
  <si>
    <t>5639-CBC IBM Storwize Family Software V7000 Controller Maint (Reg): 3 Yr</t>
  </si>
  <si>
    <t>5662-HAE</t>
  </si>
  <si>
    <t>HAE</t>
  </si>
  <si>
    <t>3-Year Registration for 5770-HAS (Enterprise)</t>
  </si>
  <si>
    <t>5662-HAM</t>
  </si>
  <si>
    <t>HAM</t>
  </si>
  <si>
    <t>3-Year Registration for 5770-HAS (Standard)</t>
  </si>
  <si>
    <t>5770-HAS</t>
  </si>
  <si>
    <t>HAS</t>
  </si>
  <si>
    <t>IBM PowerHA SystemMirror for i</t>
  </si>
  <si>
    <t>5662-SLE</t>
  </si>
  <si>
    <t>3-Year Registration for 5765-SLE</t>
  </si>
  <si>
    <t>5733-ARE</t>
  </si>
  <si>
    <t>ARE</t>
  </si>
  <si>
    <t>IBM Application Runtime Expert for i</t>
  </si>
  <si>
    <t>5608-A93</t>
  </si>
  <si>
    <t>5609</t>
  </si>
  <si>
    <t>A93</t>
  </si>
  <si>
    <t>IBM Security Key Lifecycle Manager Reg:3 Yr</t>
  </si>
  <si>
    <t>IBM BladeCenter(tm) Chassis with 2x2000W PSU</t>
  </si>
  <si>
    <t>609912C</t>
  </si>
  <si>
    <t>609912E</t>
  </si>
  <si>
    <t>609924C</t>
  </si>
  <si>
    <t>609924E</t>
  </si>
  <si>
    <t>9307RC4</t>
  </si>
  <si>
    <t>1812</t>
  </si>
  <si>
    <t>2858</t>
  </si>
  <si>
    <t>2859</t>
  </si>
  <si>
    <t>2861</t>
  </si>
  <si>
    <t>2862</t>
  </si>
  <si>
    <t>2862-A10 IBM System Storage N3600 Models A10</t>
  </si>
  <si>
    <t>2862-A20 IBM System Storage N3600 Models A20</t>
  </si>
  <si>
    <t>2863</t>
  </si>
  <si>
    <t>2863-A10 IBM System Storage N3700 Models A10</t>
  </si>
  <si>
    <t>2863-A20 IBM System Storage N3700 Models A20</t>
  </si>
  <si>
    <t>2863-001 IBM System Storage N3700 Models 001</t>
  </si>
  <si>
    <t>2863-004 IBM System Storage N3700 Models 004</t>
  </si>
  <si>
    <t>2864</t>
  </si>
  <si>
    <t>2864-A10 IBM System Storage N5200 Models A10</t>
  </si>
  <si>
    <t>2864-A20 IBM System Storage N5200 Models A20</t>
  </si>
  <si>
    <t>2865</t>
  </si>
  <si>
    <t>2865-A10 IBM System Storage N5500 Models A10</t>
  </si>
  <si>
    <t>2865-A20 IBM System Storage N5500 Models A20</t>
  </si>
  <si>
    <t>2868</t>
  </si>
  <si>
    <t>2868-A10 IBM System Storage N5600 Models A10</t>
  </si>
  <si>
    <t>2868-A20 IBM System Storage N5600 Models A20</t>
  </si>
  <si>
    <t>2868-G10 IBM System Storage N5600 Models G10</t>
  </si>
  <si>
    <t>2868-G20 IBM System Storage N5600 Models G20</t>
  </si>
  <si>
    <t>2869</t>
  </si>
  <si>
    <t>2869-A10 IBM System Storage N5300 Models A10</t>
  </si>
  <si>
    <t>2869-A20 IBM System Storage N5300 Models A20</t>
  </si>
  <si>
    <t>2869-G10 IBM System Storage N5300 Models G10</t>
  </si>
  <si>
    <t>2869-G20 IBM System Storage N5300 Models G20</t>
  </si>
  <si>
    <t>2240</t>
  </si>
  <si>
    <t>239X</t>
  </si>
  <si>
    <t>2867</t>
  </si>
  <si>
    <t>1818-80C DCS3700 Storage System</t>
  </si>
  <si>
    <t>1818-80E DCS3700 Expansion unit</t>
  </si>
  <si>
    <t>1818-D1A EXP5000 Expansion Unit</t>
  </si>
  <si>
    <t>3589-004 Ultrium cleaning cartridges</t>
  </si>
  <si>
    <t>3589-010 800 GB Ultrium Labeled Tape Cartridges</t>
  </si>
  <si>
    <t>3589-011 800 GB Ultrium Tape Cartridges</t>
  </si>
  <si>
    <t>3589-032 800 GB Ultrium WORM Labeled Tape Cartridges</t>
  </si>
  <si>
    <t>3589-033 800 GB Ultrium WORM Tape Cartridges</t>
  </si>
  <si>
    <t>3589-014 1.5 TB Ultrium Labeled Tape Cartridges</t>
  </si>
  <si>
    <t>3589-015 1.5 TB Ultrium Tape Cartridges</t>
  </si>
  <si>
    <t>3589-034 1.5 TB IBM Ultrium WORM Labeled Tape Cartridges</t>
  </si>
  <si>
    <t>3589-035 1.5 TB IBM Ultrium WORM Tape Cartridges</t>
  </si>
  <si>
    <t>3589-550 2.5 TB Ultrium Labeled Tape Cartridges</t>
  </si>
  <si>
    <t>3589-570 2.5 TB Ultrium Tape Cartridges</t>
  </si>
  <si>
    <t>3589-650 2.5 TB IBM Ultrium WORM Labeled Tape Cartridges</t>
  </si>
  <si>
    <t>3589-670 2.5 TB IBM Ultrium WORM Tape Cartridges</t>
  </si>
  <si>
    <t>2073-700 IBM Storwize V7000 Unified</t>
  </si>
  <si>
    <t>2076-112 IBM Storwize V7000 Controladora</t>
  </si>
  <si>
    <t>2076-124 IBM Storwize V7000 Controladora</t>
  </si>
  <si>
    <t>2076-524 IBM Storwize V7000 Controladora</t>
  </si>
  <si>
    <t>2076-212 IBM Storwize V7000 Expansion</t>
  </si>
  <si>
    <t>2076-224 IBM Storwize V7000 Expansion</t>
  </si>
  <si>
    <t>2076-12F IBM Storwize V7000 Expansion</t>
  </si>
  <si>
    <t>2076-24F IBM Storwize V7000 Expansion</t>
  </si>
  <si>
    <t>3954</t>
  </si>
  <si>
    <t>3954-CV5 IBM Virtualizaton Engine TS7510</t>
  </si>
  <si>
    <t>3956-CC6 IBM Virtualization Engine TS7740 Cache Controller</t>
  </si>
  <si>
    <t>3956-CX6 IBM Virtualization Engine TS7740 Cache Drawer</t>
  </si>
  <si>
    <t>3957-V06 IBM Virtualization Engine TS7740 Server</t>
  </si>
  <si>
    <t>R56</t>
  </si>
  <si>
    <t>132</t>
  </si>
  <si>
    <t>2857</t>
  </si>
  <si>
    <t>9830</t>
  </si>
  <si>
    <t>9831</t>
  </si>
  <si>
    <t>BMU</t>
  </si>
  <si>
    <t>8737BMU IBM Flex System x240 Compute Node</t>
  </si>
  <si>
    <t>B4U</t>
  </si>
  <si>
    <t>CMU</t>
  </si>
  <si>
    <t>C4U</t>
  </si>
  <si>
    <t>1MU</t>
  </si>
  <si>
    <t>14U</t>
  </si>
  <si>
    <t>2MU</t>
  </si>
  <si>
    <t>22U</t>
  </si>
  <si>
    <t>24U</t>
  </si>
  <si>
    <t>3MU</t>
  </si>
  <si>
    <t>34U</t>
  </si>
  <si>
    <t>4MU</t>
  </si>
  <si>
    <t>42U</t>
  </si>
  <si>
    <t>44U</t>
  </si>
  <si>
    <t>5MU</t>
  </si>
  <si>
    <t>54U</t>
  </si>
  <si>
    <t>6MU</t>
  </si>
  <si>
    <t>62U</t>
  </si>
  <si>
    <t>64U</t>
  </si>
  <si>
    <t>7MU</t>
  </si>
  <si>
    <t>72U</t>
  </si>
  <si>
    <t>74U</t>
  </si>
  <si>
    <t>8DU</t>
  </si>
  <si>
    <t>8MU</t>
  </si>
  <si>
    <t>84U</t>
  </si>
  <si>
    <t>9MU</t>
  </si>
  <si>
    <t>94U</t>
  </si>
  <si>
    <t>5662-EXP IBM Systems Director Express Edition for Power Systems SW Maint 3 Yr Reg</t>
  </si>
  <si>
    <t>5662-H23 IBM PowerHA Standard Edition Reg:3Yr</t>
  </si>
  <si>
    <t>7160B7U x3530 M4, Xeon 4C E5-2407v2 80W 2.4GHz</t>
  </si>
  <si>
    <t>7914EJU x3550 M4, Xeon 8C E5-2640v2 95W 2.0GHz</t>
  </si>
  <si>
    <t>7158C3U x3630 M4, Xeon 6C E5-2420v2 80W 2.2GHz</t>
  </si>
  <si>
    <t>93074RX NetBAY S2 42U Standard Rack Cabinet</t>
  </si>
  <si>
    <t>39Y8951 DPI Universal Rack PDU with Nema L5-20P and L6-20P (US line Cord)</t>
  </si>
  <si>
    <t>7383A5U x3500 M4, Xeon 4C E5-2603v2 80W 1.8GHz</t>
  </si>
  <si>
    <t>7383B5U x3500 M4, Xeon 4C E5-2609v2 80W 2.5GHz</t>
  </si>
  <si>
    <t>7383C7U x3500 M4, Xeon 6C E5-2620v2 80W 2.1GHz</t>
  </si>
  <si>
    <t>7383C9U x3500 M4, Xeon 6C E5-2620v2 80W 2.1GHz</t>
  </si>
  <si>
    <t>7383D5U x3500 M4, Xeon 6C E5-2630v2 80W 2.6GHz</t>
  </si>
  <si>
    <t>7383EGU Express x3500 M4, Xeon 4C E5-2609v2 80W 2.5GHz</t>
  </si>
  <si>
    <t>7383EHU Express x3500 M4, Xeon 6C E5-2620v2 80W 2.1GHz</t>
  </si>
  <si>
    <t>7383EJU Express x3500 M4, Xeon 6C E5-2630v2 80W 2.6GHz</t>
  </si>
  <si>
    <t>7383F5U x3500 M4, Xeon 8C E5-2640v2 95W 2.0GHz</t>
  </si>
  <si>
    <t>7383G5U x3500 M4, Xeon 8C E5-2650v2 95W 2.6GHz</t>
  </si>
  <si>
    <t>7383G9U x3500 M4, Xeon 8C E5-2650v2 95W 2.6GHz</t>
  </si>
  <si>
    <t>7383H5U x3500 M4, Xeon 10C E5-2670v2 115W 2.5GHz</t>
  </si>
  <si>
    <t>7383J5U x3500 M4, Xeon 10C E5-2680v2 115W 2.8GHz</t>
  </si>
  <si>
    <t>5458A2U x3250 M5, Pentium 2C G3420 65W 3.2GHz</t>
  </si>
  <si>
    <t>5458B2U x3250 M5, Xeon 4C E3-1220v3 80W 3.1GHz</t>
  </si>
  <si>
    <t>5458C2U x3250 M5, Xeon 4C E3-1230v3 80W 3.3GHz</t>
  </si>
  <si>
    <t>5458C4U x3250 M5, Xeon 4C E3-1230v3 80W 3.3GHz</t>
  </si>
  <si>
    <t>5458EAU Express x3250 M5, Xeon 4C E3-1220v3 80W 3.1GHz</t>
  </si>
  <si>
    <t>5458EBU Express x3250 M5, Xeon 4C E3-1230v3 80W 3.3GHz</t>
  </si>
  <si>
    <t>5458ECU Express x3250 M5, Xeon 4C E3-1240v3 80W 3.4GHz</t>
  </si>
  <si>
    <t>5458F2U x3250 M5, Xeon 4C E3-1240v3 80W 3.4GHz</t>
  </si>
  <si>
    <t>5458G2U x3250 M5, Xeon 4C E3-1270v3 80W 3.5GHz</t>
  </si>
  <si>
    <t>7160A3U x3530 M4, Xeon 4C E5-2403v2 80W 1.8GHz</t>
  </si>
  <si>
    <t>7160A5U x3530 M4, Xeon 4C E5-2403v2 80W 1.8GHz</t>
  </si>
  <si>
    <t>7160A7U x3530 M4, Xeon 4C E5-2403v2 80W 1.8GHz</t>
  </si>
  <si>
    <t>7160B3U x3530 M4, Xeon 4C E5-2407v2 80W 2.4GHz</t>
  </si>
  <si>
    <t>7160B5U x3530 M4, Xeon 4C E5-2407v2 80W 2.4GHz</t>
  </si>
  <si>
    <t>7160C3U x3530 M4, Xeon 6C E5-2420v2 80W 2.2GHz</t>
  </si>
  <si>
    <t>7160EDU Express x3530 M4, Xeon 4C E5-2403v2 80W 1.8GHz</t>
  </si>
  <si>
    <t>7160EEU Express x3530 M4, Xeon 6C E5-2420v2 80W 2.2GHz</t>
  </si>
  <si>
    <t>7160EFU Express x3530 M4, Xeon 8C E5-2440v2 95W 1.9GHz</t>
  </si>
  <si>
    <t>7160F3U x3530 M4, Xeon 8C E5-2440v2 95W 1.9GHz</t>
  </si>
  <si>
    <t>7160G3U x3530 M4, Xeon 8C E5-2450v2 95W 2.5GHz</t>
  </si>
  <si>
    <t>7160EQU Express x3530 M4, Xeon 6C E5-2420v2 80W 2.2GHz</t>
  </si>
  <si>
    <t>7160ERU Express x3530 M4, Xeon 6C E5-2420v2 80W 2.2GHz</t>
  </si>
  <si>
    <t>7160ETU Express x3530 M4, Xeon 8C E5-2440v2 95W 1.9GHz</t>
  </si>
  <si>
    <t>7160EUU Express x3530 M4, Xeon 8C E5-2440v2 95W 1.9GHz</t>
  </si>
  <si>
    <t>791423U x3550 M4, Xeon 4C E5-2637v2 130W 3.5GHz</t>
  </si>
  <si>
    <t>791433U x3550 M4, Xeon 6C E5-2643v2 130W 3.5GHz</t>
  </si>
  <si>
    <t>791443U x3550 M4, Xeon 8C E5-2667v2 130W 3.3GHz</t>
  </si>
  <si>
    <t>791453U x3550 M4, Xeon 10C E5-2650Lv2 70W 1.7GHz</t>
  </si>
  <si>
    <t>791473U x3550 M4, Xeon 12C E5-2695v2 115W 2.4GHz</t>
  </si>
  <si>
    <t>791483U x3550 M4, Xeon 12C E5-2697v2 130W 2.7GHz</t>
  </si>
  <si>
    <t>7914A3U x3550 M4, Xeon 4C E5-2603v2 80W 1.8GHz</t>
  </si>
  <si>
    <t>7914B3U x3550 M4, Xeon 4C E5-2609v2 80W 2.5GHz</t>
  </si>
  <si>
    <t>7914C3U x3550 M4, Xeon 6C E5-2620v2 80W 2.1GHz</t>
  </si>
  <si>
    <t>7914C5U x3550 M4, Xeon 6C E5-2620v2 80W 2.1GHz</t>
  </si>
  <si>
    <t>7914D3U x3550 M4, Xeon 6C E5-2630v2 80W 2.6GHz</t>
  </si>
  <si>
    <t>7914EGU Express x3550 M4, Xeon 4C E5-2609v2 80W 2.5GHz</t>
  </si>
  <si>
    <t>7914F3U x3550 M4, Xeon 8C E5-2640v2 95W 2.0GHz</t>
  </si>
  <si>
    <t>7914G3U x3550 M4, Xeon 8C E5-2650v2 95W 2.6GHz</t>
  </si>
  <si>
    <t>7914H3U x3550 M4, Xeon 10C E5-2660v2 95W 2.2GHz</t>
  </si>
  <si>
    <t>7914J3U x3550 M4, Xeon 10C E5-2670v2 115W 2.5GHz</t>
  </si>
  <si>
    <t>7914L3U x3550 M4, Xeon 10C E5-2680v2 115W 2.8GHz</t>
  </si>
  <si>
    <t>7914M3U x3550 M4, Xeon 10C E5-2690v2 130W 3.0GHz</t>
  </si>
  <si>
    <t>7158C4L x3630 M4, Xeon 6C E5-2420 95W 1.9GHz</t>
  </si>
  <si>
    <t>7158C6L x3630 M4, Xeon 6C E5-2420 95W 1.9GHz</t>
  </si>
  <si>
    <t>7158A3U x3630 M4, Xeon 4C E5-2403v2 80W 1.8GHz</t>
  </si>
  <si>
    <t>7158A5U x3630 M4, Xeon 4C E5-2403v2 80W 1.8GHz</t>
  </si>
  <si>
    <t>7158B3U x3630 M4, Xeon 4C E5-2407v2 80W 2.4GHz</t>
  </si>
  <si>
    <t>7158B5U x3630 M4, Xeon 4C E5-2407v2 80W 2.4GHz</t>
  </si>
  <si>
    <t>7158D3U x3630 M4, Xeon 6C E5-2430v2 80W 2.5GHz</t>
  </si>
  <si>
    <t>7158EDU Express x3630 M4, Xeon 4C E5-2403v2 80W 1.8GHz</t>
  </si>
  <si>
    <t>7158EEU Express x3630 M4, Xeon 6C E5-2420v2 80W 2.2GHz</t>
  </si>
  <si>
    <t>7158EFU Express x3630 M4, Xeon 8C E5-2440v2 95W 1.9GHz</t>
  </si>
  <si>
    <t>7158EQU Express x3630 M4, Xeon 6C E5-2420v2 80W 2.2GHz</t>
  </si>
  <si>
    <t>7158ERU Express x3630 M4, Xeon 6C E5-2420v2 80W 2.2GHz</t>
  </si>
  <si>
    <t>7158ETU Express x3630 M4, Xeon 8C E5-2440v2 95W 1.9GHz</t>
  </si>
  <si>
    <t>7158EUU Express x3630 M4, Xeon 8C E5-2440v2 95W 1.9GHz</t>
  </si>
  <si>
    <t>7158F5U x3630 M4, Xeon 8C E5-2440v2 95W 1.9GHz</t>
  </si>
  <si>
    <t>7158G3U x3630 M4, Xeon 8C E5-2450v2 95W 2.5GHz</t>
  </si>
  <si>
    <t>546083U x3650 M4, Xeon 12C E5-2697 v2 130W 2.7GHz</t>
  </si>
  <si>
    <t>5460B3U x3650 M4, Xeon 4C E5-2609 v2 80W 2.5GHz</t>
  </si>
  <si>
    <t>5460C3U x3650 M4, Xeon 6C E5-2620 v2 80W 2.1GHz</t>
  </si>
  <si>
    <t>5460D3U x3650 M4, Xeon 6C E5-2630 v2 80W 2.6GHz</t>
  </si>
  <si>
    <t>5460EAU Express x3650 M4, Xeon 8C E5-2640 v2 95W 2.0GHz</t>
  </si>
  <si>
    <t>5460F3U x3650 M4, Xeon 8C E5-2640 v2 95W 2.0GHz</t>
  </si>
  <si>
    <t>5460G3U x3650 M4, Xeon 8C E5-2650 v2 95W 2.6GHz</t>
  </si>
  <si>
    <t>5460H3U x3650 M4, Xeon 10C E5-2660 v2 95W 2.2GHz</t>
  </si>
  <si>
    <t>5460J3U x3650 M4, Xeon 10C E5-2670 v2 115W 2.5GHz</t>
  </si>
  <si>
    <t>5460L3U x3650 M4, Xeon 10C E5-2680 v2 115W 2.8GHz</t>
  </si>
  <si>
    <t>5460M3U x3650 M4, Xeon 10C E5-2690 v2 130W 3.0GHz</t>
  </si>
  <si>
    <t>791523U x3650 M4, Xeon 4C E5-2637v2 130W 3.5GHz</t>
  </si>
  <si>
    <t>791533U x3650 M4, Xeon 6C E5-2643v2 130W 3.5GHz</t>
  </si>
  <si>
    <t>791543U x3650 M4, Xeon 8C E5-2667v2 130W 3.3GHz</t>
  </si>
  <si>
    <t>791553U x3650 M4, Xeon 10C E5-2650Lv2 70W 1.7GHz</t>
  </si>
  <si>
    <t>791583U x3650 M4, Xeon 12C E5-2697v2 130W 2.7GHz</t>
  </si>
  <si>
    <t>5466A2U x3650 M4 BD, Xeon 4C Model E5-2603v2 80W 1.8GHz</t>
  </si>
  <si>
    <t>5466A4U x3650 M4 BD, Xeon 4C Model E5-2603v2 80W 1.8GHz</t>
  </si>
  <si>
    <t>5466B2U x3650 M4 BD, Xeon 4C Model E5-2609v2 80W 2.5GHz</t>
  </si>
  <si>
    <t>5466C2U x3650 M4 BD, Xeon 6C Model E5-2620v2 80W 2.1GHz</t>
  </si>
  <si>
    <t>5466C4U x3650 M4 BD, Xeon 6C Model E5-2620v2 80W 2.1GHz</t>
  </si>
  <si>
    <t>5466D2U x3650 M4 BD, Xeon 6C Model E5-2630Lv2 60W 2.4GHz</t>
  </si>
  <si>
    <t>5466F2U x3650 M4 BD, Xeon 10C Model E5-2660v2 95W 2.2GHz</t>
  </si>
  <si>
    <t>5466F4U x3650 M4 BD, Xeon 10C Model E5-2660v2 95W 2.2GHz</t>
  </si>
  <si>
    <t>5466G2U x3650 M4 BD, Xeon 12C Model E5-2695v2 115W 2.4GHz</t>
  </si>
  <si>
    <t>7915EXU Express x3650 M4, Xeon 6C E5-2620v2 80W 2.1GHz</t>
  </si>
  <si>
    <t>7915EZU Express x3650 M4, Xeon 8C E5-2640v2 95W 2.0GHz</t>
  </si>
  <si>
    <t>7164F3U x3755 M3, 2xAMD Opteron 16C 6380 115W 2.5GHz</t>
  </si>
  <si>
    <t>8752A1U x3750 M4, 2x Xeon 8C E5-4627v2 130W 3.3GHz</t>
  </si>
  <si>
    <t>8752A2U x3750 M4, Xeon 4C E5-4603v2 95W 2.2GHz</t>
  </si>
  <si>
    <t>8752A3U x3750 M4, 2x Xeon 6C E5-4607v2 95W 2.6GHz</t>
  </si>
  <si>
    <t>8752B1U x3750 M4, 2x Xeon 8C E5-4610v2 95W 2.3GHz</t>
  </si>
  <si>
    <t>8752B2U x3750 M4, 2x Xeon 8C E5-4620v2 95W 2.6GHz</t>
  </si>
  <si>
    <t>8752C1U x3750 M4, 2x Xeon 10C E5-4640v2 95W 2.2GHz</t>
  </si>
  <si>
    <t>8752C2U x3750 M4, 2x Xeon 10C E5-4650v2 95W 2.4GHz</t>
  </si>
  <si>
    <t>3837A4U x3850 X6,  Compute Book Xeon 6C E7-4809v2 105W 1.9GHz</t>
  </si>
  <si>
    <t>3837A7U x3850 X6, 4x Compute Book Xeon 6C E7-4809v2 105W 1.9GHz</t>
  </si>
  <si>
    <t>3837A8U x3850 X6, 4x Compute Book Xeon 6C E7-4809v2 105W 1.9GHz</t>
  </si>
  <si>
    <t>3837A9U x3850 X6, 4x Compute Book Xeon 6C E7-4809v2 105W 1.9GHz</t>
  </si>
  <si>
    <t>3837B1U x3850 X6, 2x Compute Book Xeon 8C E7-4820v2 105W 2.0GHz</t>
  </si>
  <si>
    <t>3837B3U x3850 X6, 2x Compute Book Xeon 12C E7-4850v2 105W 2.3GHz</t>
  </si>
  <si>
    <t>3837BAU x3950 X6, 4x Compute Book Xeon 12C E7-8850v2 105W 2.3GHz</t>
  </si>
  <si>
    <t>3837C1U x3850 X6, 2x Compute Book Xeon 12C E7-4860v2 130W 2.6GHz</t>
  </si>
  <si>
    <t>3837C4U x3850 X6, 2x Compute Book Xeon 15C E7-4890v2 155W 2.8GHz</t>
  </si>
  <si>
    <t>3837CAU x3950 X6, 4x Compute Book Xeon 15C E7-8870v2 130W 2.3GHz</t>
  </si>
  <si>
    <t>3837CCU x3950 X6, 4x Compute Book Xeon 15C E7-8890v2 155W 2.8GHz</t>
  </si>
  <si>
    <t>3837A7L x3850 X6, 4x Compute Book Xeon 6C E7-4809v2 105W 1.9GHz</t>
  </si>
  <si>
    <t>3837A8L x3850 X6, 4x Compute Book Xeon 6C E7-4809v2 105W 1.9GHz</t>
  </si>
  <si>
    <t>3837A9L x3850 X6, 4x Compute Book Xeon 6C E7-4809v2 105W 1.9GHz</t>
  </si>
  <si>
    <t>7143HAL SAP HANA x3950 X5, 2xXeon 10C E7-8870 130w 2.40GHz</t>
  </si>
  <si>
    <t>7143HBL SAP HANA x3950 X5, 4xXeon 10C E7-8870 130w 2.40GHz</t>
  </si>
  <si>
    <t>7143HCL SAP HANA x3950 X5, 4xXeon 10C E7-8870 130w 2.40GHz</t>
  </si>
  <si>
    <t>7147HAL SAP HANA x3690 X5, 2xXeon 10C E7-2870 130W 2.40GHz</t>
  </si>
  <si>
    <t>7147HBL SAP HANA x3690 X5, 2xXeon 10C E7-2870 130W 2.40GHz</t>
  </si>
  <si>
    <t>XLSKHMX x3550 M4, 2 x Xeon 8C E5-2670 115W 2.6GHz</t>
  </si>
  <si>
    <t>7143F1U VSPHERE x3950 X5, 4xXeon 10C E7-4860 130W 2.26GHz</t>
  </si>
  <si>
    <t>7147F1U VSPHERE x3690 X5, 2xXeon 10C E7-2860 130W 2.26GHz</t>
  </si>
  <si>
    <t>7914DDL x3550 M4, 2x Xeon 6C E5-2620 95W 2.0GHz</t>
  </si>
  <si>
    <t>7143F2L Red Hat KVM Virtualization W.O.S - x3950 X5, 4xXeon 10C E7-4860 130W 2.26GHz</t>
  </si>
  <si>
    <t>7147F2L Red Hat KVM Virtualization W.O.S - x3690 X5, 2xXeon 10C E7-2860 130W 2.26GHz</t>
  </si>
  <si>
    <t>7143D3U DATABASE x3950 X5, 4xXeon 10C E7-4860 130W 2.26GHz</t>
  </si>
  <si>
    <t>7143D4U DATABASE x3950 X5, 4xXeon 10C E7-4860 130W 2.26GHz</t>
  </si>
  <si>
    <t>7147D3U DATABASE x3690 X5, 2xXeon 10C E7-2860 130W 2.26GHz</t>
  </si>
  <si>
    <t>7147D4U DATABASE x3690 X5, 2xXeon 10C E7-2860 130W 2.26GHz</t>
  </si>
  <si>
    <t>7143HDL SAP HANA x3950 X5, 4xXeon 10C E7-8870 130w 2.40GHz</t>
  </si>
  <si>
    <t>7143HEL SAP HANA x3950 X5, 4xXeon 10C E7-8870 130w 2.40GHz</t>
  </si>
  <si>
    <t>787593L HS23, Xeon 8C E5-2650 95W 2.0GHz/1600MHz/20MB, 16x8GB, O/Bay 2.5in SAS</t>
  </si>
  <si>
    <t>7875A3U HS23, Xeon E5-2609 v2 4c 80w 2.5 GHz</t>
  </si>
  <si>
    <t>7875A4U HS23, Xeon E5-2603 v2 4c 80w 1.8 GHz</t>
  </si>
  <si>
    <t>7875B4U HS23, Xeon E5-2620 v2 6c 80w 2.1 GHz</t>
  </si>
  <si>
    <t>7875B5U HS23, Xeon E5-2630 v2 6c 80w 2.6 GHz</t>
  </si>
  <si>
    <t>7875B6U HS23, Xeon E5-2640 v2 8c 95w 2.0 GHz</t>
  </si>
  <si>
    <t>7875C9U HS23, Xeon E5-2650 v2 8c 95w 2.6 GHz</t>
  </si>
  <si>
    <t>7875CAU HS23, Xeon E5-2660 v2 10c 95w 2.2 GHz</t>
  </si>
  <si>
    <t>7875CBU HS23, Xeon E5-2670 v2 10c 115w 2.5 GHz</t>
  </si>
  <si>
    <t>7875CCU HS23, Xeon E5-2680 v2 10c 115w 2.8 GHz</t>
  </si>
  <si>
    <t>7875D2U HS23, Xeon E5-2650L v2 10c 70w 1.7 GHz</t>
  </si>
  <si>
    <t>7875F2U HS23, Xeon E5-2697 v2 12c 130w 2.7 GHz</t>
  </si>
  <si>
    <t>7875G3U HS23, Xeon E5-2628L v2 8c 70w 1.9 GHz</t>
  </si>
  <si>
    <t>7875G4U HS23, Xeon E5-2658 v2 10c 95w 2.4 GHz</t>
  </si>
  <si>
    <t>7875E7U Express HS23, 2 x Xeon E5-2620 v2 6c 80w 2.1 GHz</t>
  </si>
  <si>
    <t>7875E8U Express HS23, 2 x Xeon E5-2650 v2 8c 95w 2.6 GHz</t>
  </si>
  <si>
    <t>7875E9U Express HS23, 2 x Xeon E5-2670 v2 10c 115w 2.5 GHz</t>
  </si>
  <si>
    <t>7873AJU HX5, 2x Xeon 8C E7-2830 105W 2.13GHz</t>
  </si>
  <si>
    <t>7873AKU HX5, 2x Xeon 8C E7-2830 105W 2.13GHz</t>
  </si>
  <si>
    <t>7873ALU HX5, 2x Xeon 8C E7-2830 105W 2.13GHz</t>
  </si>
  <si>
    <t>7873AMU HX5, 2x Xeon 8C E7-2830 105W 2.13GHz</t>
  </si>
  <si>
    <t>791222U dx360 M4, 2xXeon 6C E5-2630L 60w 2.0GHz</t>
  </si>
  <si>
    <t>791242U dx360 M4, 2xXeon 4C E5-2609 80w 2.4GHz</t>
  </si>
  <si>
    <t>791262U dx360 M4, 2xXeon 8C E5-2660 95w 2.2GHz</t>
  </si>
  <si>
    <t>7913A2U IBM iDataPlex dx360 M4 2U chassis, Rackable</t>
  </si>
  <si>
    <t>791213U dx360 M4, 2xXeon 6C E5-2620 v2 80w 2.1GHz</t>
  </si>
  <si>
    <t>791263U dx360 M4, 2xXeon 8C E5-2650 v2 95w 2.6GHz</t>
  </si>
  <si>
    <t>791283U dx360 M4, 2xXeon 10C E5-2670 v2 115w 2.5GHz</t>
  </si>
  <si>
    <t>8721LRU IBM Flex System Enterprise Chassis with 2x2100W PSU, Rackable</t>
  </si>
  <si>
    <t>8731A1L IBM Flex System Manager Node with embedded 10Gb Virtual Fabric, Xeon 8C E5-2650 95W 2.0GHz</t>
  </si>
  <si>
    <t>7916A2U IBM Flex System x222 Compute Node, 2xXeon 4C E5-2418L 50W 2.0GHz</t>
  </si>
  <si>
    <t>7916B2U IBM Flex System x222 Compute Node, 2xXeon 6C E5-2430L 60W 2.0GHz</t>
  </si>
  <si>
    <t>7916C2U IBM Flex System x222 Compute Node, 2xXeon 8C E5-2450L 70W 1.8GHz</t>
  </si>
  <si>
    <t>7916D2U IBM Flex System x222 Compute Node, 2xXeon 4C E5-2403 80W 1.8GHz</t>
  </si>
  <si>
    <t>7916F2U IBM Flex System x222 Compute Node, 2xXeon 4C E5-2407 80W 2.2GHz</t>
  </si>
  <si>
    <t>7916G2U IBM Flex System x222 Compute Node, 2xXeon 6C E5-2420 95W 1.9GHz</t>
  </si>
  <si>
    <t>7916H2U IBM Flex System x222 Compute Node, 2xXeon 6C E5-2430 95W 2.2GHz</t>
  </si>
  <si>
    <t>7916H6U IBM Flex System x222 Compute Node, 2xXeon 6C E5-2430 95W 2.2GHz</t>
  </si>
  <si>
    <t>7916J2U IBM Flex System x222 Compute Node, 2xXeon 6C E5-2440 95W 2.4GHz</t>
  </si>
  <si>
    <t>7916M2U IBM Flex System x222 Compute Node, 2xXeon 8C E5-2450 95W 2.1GHz</t>
  </si>
  <si>
    <t>7916N2U IBM Flex System x222 Compute Node, 2xXeon 8C E5-2470 95W 2.3GHz</t>
  </si>
  <si>
    <t>5456A2U IBM NeXtScale n1200 enclosure with 6x900W PSU, Rackable</t>
  </si>
  <si>
    <t>545522U IBM NeXtScale nx360 M4, Xeon 6C E5-2620v2 80W 2.1GHz</t>
  </si>
  <si>
    <t>545542U IBM NeXtScale nx360 M4, Xeon 10C E5-2660v2 95W 2.2GHz</t>
  </si>
  <si>
    <t>545562U IBM NeXtScale nx360 M4, Xeon 10C E5-2670v2 115W 2.5GHz</t>
  </si>
  <si>
    <t>730952F IBM System Networking RackSwitch G8052 (front to rear)</t>
  </si>
  <si>
    <t>730964F IBM System Networking RackSwitch G8264 (front to rear)</t>
  </si>
  <si>
    <t>7309G52 IBM System Networking RackSwitch G8052 (rear to front)</t>
  </si>
  <si>
    <t>7309G64 IBM System Networking RackSwitch G8264 (rear to front)</t>
  </si>
  <si>
    <t>6630010 Juniper 24 Port 1Gb EX2200 Ethernet Switch for IBM System x</t>
  </si>
  <si>
    <t>6630011 Juniper 24 Port 1Gb EX2200 Ethernet Switch with PoE for IBM System x</t>
  </si>
  <si>
    <t>6630012 Juniper 48 Port 1Gb EX2200 Ethernet Switch for IBM System x</t>
  </si>
  <si>
    <t>6630013 Juniper 48 Port 1Gb EX2200 Ethernet Switch with PoE for IBM System x</t>
  </si>
  <si>
    <t>7309BD5 IBM System Networking RackSwitch G8124DC</t>
  </si>
  <si>
    <t>7309BF7 IBM System Networking RackSwitch G8124E (front to rear)</t>
  </si>
  <si>
    <t>7309BR6 IBM System Networking RackSwitch G8124E (rear to front)</t>
  </si>
  <si>
    <t>7309CD8 IBM System Networking RackSwitch G8000DC</t>
  </si>
  <si>
    <t>7309CFC IBM System Networking RackSwitch G8000 (front to rear)</t>
  </si>
  <si>
    <t>0719410 EX4500 40-Port 1/10G Switch, 128G VC, AC PS, Front to Back Airflow (410/HD2) - Juniper Networks</t>
  </si>
  <si>
    <t>0719420 EX4500 40-Port 1/10G Switch, 128G VC, AC PS, Back to Front Airflow (420/HD3) - Juniper Networks</t>
  </si>
  <si>
    <t>7309CF9 IBM System Networking RackSwitch G8264T (front to rear)</t>
  </si>
  <si>
    <t>7309CR9 IBM System Networking RackSwitch G8264T (rear to front)</t>
  </si>
  <si>
    <t>8036AFX IBM System Networking RackSwitch G8316 (front to rear)</t>
  </si>
  <si>
    <t>8036ARX IBM System Networking RackSwitch G8316 (rear to front)</t>
  </si>
  <si>
    <t>249824U IBM System Networking SAN24B-5</t>
  </si>
  <si>
    <t>7309DFX IBM System Networking RackSwitch G8264CS (Front to Rear)</t>
  </si>
  <si>
    <t>7309DRX IBM System Networking RackSwitch G8264CS (Rear to Front)</t>
  </si>
  <si>
    <t>7309BAX IBM System Networking RackSwitch G7028</t>
  </si>
  <si>
    <t>8036BFX IBM System Networking RackSwitch G8332 (Front to Rear)</t>
  </si>
  <si>
    <t>8036BRX IBM System Networking RackSwitch G8332 (Rear to Front)</t>
  </si>
  <si>
    <t>21304RX IBM UPS 10000XHV - Rack</t>
  </si>
  <si>
    <t>53951KX IBM 1500VA LCD 2U Rack UPS (230V)</t>
  </si>
  <si>
    <t>53952AX IBM 2200VA LCD 2U Rack UPS (100V/120V)</t>
  </si>
  <si>
    <t>53952KX IBM 2200VA LCD 2U Rack UPS (230V)</t>
  </si>
  <si>
    <t>53953AX IBM 3000VA LCD 3U Rack UPS (100V/120V)</t>
  </si>
  <si>
    <t>53953JX IBM 3000VA LCD 3U Rack UPS (200V/208V)</t>
  </si>
  <si>
    <t>53953KX IBM 3000VA LCD 3U Rack UPS (230V)</t>
  </si>
  <si>
    <t>53956AX IBM 6000VA LCD 4U Rack UPS (200V/208V)</t>
  </si>
  <si>
    <t>53956KX IBM 6000VA LCD 4U Rack UPS (230V)</t>
  </si>
  <si>
    <t>53961AX IBM 1000VA LCD Tower UPS (120V)</t>
  </si>
  <si>
    <t>53962AX IBM 1500VA LCD Tower UPS (120V)</t>
  </si>
  <si>
    <t>53959KX IBM 11000VA LCD 5U Rack UPS (200/208/230V)</t>
  </si>
  <si>
    <t>71762NX IBM Ultra Density Enterprise C19/C13 PDU Module (WW)</t>
  </si>
  <si>
    <t>71763NU IBM Ultra Density Enterprise C19/C13 PDU 60A/208V/3ph (US)</t>
  </si>
  <si>
    <t>201886X IBM BladeCenter Office Enablement Kit</t>
  </si>
  <si>
    <t>93074XX NetBAY S2 42U Expansion Rack Cabinet</t>
  </si>
  <si>
    <t>93084EX IBM 42U Enterprise Expansion Rack</t>
  </si>
  <si>
    <t>93084PX IBM 42U Enterprise Rack</t>
  </si>
  <si>
    <t>93072PX IBM S2 25U Static Standard Rack Cabinet</t>
  </si>
  <si>
    <t>3858D3X Avocent Universal Management Gateway 6000 for IBM</t>
  </si>
  <si>
    <t>174712X IBM System Storage EXP2512 Express Storage Enclosure</t>
  </si>
  <si>
    <t>174724X IBM System Storage EXP2524 Express Storage Enclosure</t>
  </si>
  <si>
    <t>1746T4E IBM System Storage EXP3524 Express DC Storage Expansion Unit</t>
  </si>
  <si>
    <t>1746A2S IBM System Storage DS3512 Express Single Controller Storage System</t>
  </si>
  <si>
    <t>1746A4S IBM System Storage DS3524 Express Single Controller Storage System</t>
  </si>
  <si>
    <t>1746T4D IBM System Storage DS3524 Express DC Dual Controller Storage System</t>
  </si>
  <si>
    <t>3580S4V System Storage TS2240 Tape Drive Express Model H4V</t>
  </si>
  <si>
    <t>3572S4R IBM System Storage TS2900 Tape Autoloader with LTO4 HH SAS drive and Rack Mount Kit</t>
  </si>
  <si>
    <t>3572S5R IBM System Storage TS2900 Tape Autoloader with LTO5 HH SAS drive and Rack Mount Kit</t>
  </si>
  <si>
    <t>3628L4X IBM External Half High LTO Gen 4  SAS Tape Drive</t>
  </si>
  <si>
    <t>3628L5X IBM External Half High LTO Gen 5 SAS Tape Drive (with US linecord)</t>
  </si>
  <si>
    <t>35732UL TS3100 Tape Library Model L2U Driveless</t>
  </si>
  <si>
    <t>35734UL TS3200 Tape Library Model L4U Driveless</t>
  </si>
  <si>
    <t>3572S6H TS2900 Tape Autoloader Model S6H (Gen6HH SAS)</t>
  </si>
  <si>
    <t>3572S6R TS2900 Tape Library with LTO6 HH SAS drive &amp; rack mount kit</t>
  </si>
  <si>
    <t>3580S63 TS2360 Tape Drive Express Model S63 FH AAS</t>
  </si>
  <si>
    <t>3580S6E System Storage TS2260 Tape Drive Model H6S</t>
  </si>
  <si>
    <t>3580S6X System Storage TS2360 Tape Drive Model S63</t>
  </si>
  <si>
    <t>3580H6S TS2260 Tape Drive Express Model H6S HH AAS</t>
  </si>
  <si>
    <t>72261UX Multi-Media Enclosure</t>
  </si>
  <si>
    <t>5662-HAE 3-Year Registration for 5770-HAS (Enterprise)</t>
  </si>
  <si>
    <t>5662-HAM 3-Year Registration for 5770-HAS (Standard)</t>
  </si>
  <si>
    <t>5770-HAS IBM PowerHA SystemMirror for i</t>
  </si>
  <si>
    <t>5662-SLE 3-Year Registration for 5765-SLE</t>
  </si>
  <si>
    <t>5733-ARE IBM Application Runtime Expert for i</t>
  </si>
  <si>
    <t>5608-A93 IBM Security Key Lifecycle Manager Reg:3 Yr</t>
  </si>
  <si>
    <t>88861TU IBM BladeCenter S Chassis with C14 2x950/1450W PSU, Rackable</t>
  </si>
  <si>
    <t>9307RC4 NetBAY S2 42U Standard Rack Cabinet</t>
  </si>
  <si>
    <t>MPG</t>
  </si>
  <si>
    <t>PARTNER400</t>
  </si>
  <si>
    <t>SVCS BCDS</t>
  </si>
  <si>
    <t>Regla 1</t>
  </si>
  <si>
    <t>C 8286-41A</t>
  </si>
  <si>
    <t>Regla 2</t>
  </si>
  <si>
    <t>Regla 3</t>
  </si>
  <si>
    <t>8247-24L Server 1:8247 Model 24L</t>
  </si>
  <si>
    <t>C 8247-24L</t>
  </si>
  <si>
    <t>Regla 4</t>
  </si>
  <si>
    <t>8247-12L Server 1:8247 Model 12L</t>
  </si>
  <si>
    <t>C 8247-12L</t>
  </si>
  <si>
    <t>Regla 5</t>
  </si>
  <si>
    <t>C 8286-42A</t>
  </si>
  <si>
    <t>Regla 6</t>
  </si>
  <si>
    <t>C 8247-22L</t>
  </si>
  <si>
    <t>Regla 7</t>
  </si>
  <si>
    <t>X 7014-T42 2</t>
  </si>
  <si>
    <t>Regla 8</t>
  </si>
  <si>
    <t>C 3580-S63</t>
  </si>
  <si>
    <t>Regla 9</t>
  </si>
  <si>
    <t>C 5770-SS1</t>
  </si>
  <si>
    <t>Regla 10</t>
  </si>
  <si>
    <t>C 5733-WQE</t>
  </si>
  <si>
    <t>Regla 11</t>
  </si>
  <si>
    <t>C 5770-BR1</t>
  </si>
  <si>
    <t>Regla 12</t>
  </si>
  <si>
    <t>Regla 13</t>
  </si>
  <si>
    <t>C 7042-CR8</t>
  </si>
  <si>
    <t>Regla 14</t>
  </si>
  <si>
    <t>C 5770-PT1</t>
  </si>
  <si>
    <t>Regla 15</t>
  </si>
  <si>
    <t>X 7014-T00 2</t>
  </si>
  <si>
    <t>Regla 16</t>
  </si>
  <si>
    <t>C 2072L2C</t>
  </si>
  <si>
    <t>Regla 17</t>
  </si>
  <si>
    <t>C 2072LEU</t>
  </si>
  <si>
    <t>Regla 18</t>
  </si>
  <si>
    <t>Regla 19</t>
  </si>
  <si>
    <t>Regla 20</t>
  </si>
  <si>
    <t>2072-12C V3700 LFF Dual Control</t>
  </si>
  <si>
    <t>C 2072-12C</t>
  </si>
  <si>
    <t>Regla 21</t>
  </si>
  <si>
    <t>2072-12E V3700 LFF Expansion</t>
  </si>
  <si>
    <t>C 2072-12E</t>
  </si>
  <si>
    <t>Regla 22</t>
  </si>
  <si>
    <t>2072-24C V3700 SFF Dual Control</t>
  </si>
  <si>
    <t>C 2072-24C</t>
  </si>
  <si>
    <t>Regla 23</t>
  </si>
  <si>
    <t>2072-24E V3700 SFF Expansion</t>
  </si>
  <si>
    <t>C 2072-24E</t>
  </si>
  <si>
    <t>Regla 24</t>
  </si>
  <si>
    <t>609912C V3700 LFF Dual Control</t>
  </si>
  <si>
    <t>C 609912C</t>
  </si>
  <si>
    <t>Regla 25</t>
  </si>
  <si>
    <t>609912E V3700 LFF Expansion</t>
  </si>
  <si>
    <t>C 609912E</t>
  </si>
  <si>
    <t>Regla 26</t>
  </si>
  <si>
    <t>609924C V3700 SFF Dual Control</t>
  </si>
  <si>
    <t>C 609924C</t>
  </si>
  <si>
    <t>Regla 27</t>
  </si>
  <si>
    <t>609924E V3700 SFF Expansion</t>
  </si>
  <si>
    <t>C 609924E</t>
  </si>
  <si>
    <t>Regla 28</t>
  </si>
  <si>
    <t>Regla 29</t>
  </si>
  <si>
    <t>Regla 30</t>
  </si>
  <si>
    <t>Regla 31</t>
  </si>
  <si>
    <t>Regla 32</t>
  </si>
  <si>
    <t>C 2076-24F</t>
  </si>
  <si>
    <t>Regla 33</t>
  </si>
  <si>
    <t>C 2076-12F</t>
  </si>
  <si>
    <t>Regla 34</t>
  </si>
  <si>
    <t>C 2076-524</t>
  </si>
  <si>
    <t>Power812L</t>
  </si>
  <si>
    <t>Sesiones</t>
  </si>
  <si>
    <t>Instalacion fisica servidor tipo torre o rack entry y midrange</t>
  </si>
  <si>
    <t>Montaje e instalacion de consola y/o kvm IBM</t>
  </si>
  <si>
    <t>Montaje e instalacion de PDU tipo 1</t>
  </si>
  <si>
    <t>Instalacion de Ambiente Dual VIOS</t>
  </si>
  <si>
    <t>Instalacion fisica en gabinete de switch SAN, instalacion de SFP y cableado de hasta 16 fibras</t>
  </si>
  <si>
    <t>Configuracion logica controladora tipo SVC</t>
  </si>
  <si>
    <t>Configuracion inicial Switch SAN y zonificacion, paquete de 16 puertos</t>
  </si>
  <si>
    <t>Configuracion logica controladora tipo V5000</t>
  </si>
  <si>
    <t>Configuracion logica controladora flash System 840</t>
  </si>
  <si>
    <t>Instalacion Veeam Backup (1 servidor)</t>
  </si>
  <si>
    <t>Instalacion de nuevo sistema operativo ESXi 5.5</t>
  </si>
  <si>
    <t>Instalacion de nuevo vCenter Server Appliance</t>
  </si>
  <si>
    <t>Activacion de un nuevo cluster de Vmware HA con hasta 3 servidores ESX</t>
  </si>
  <si>
    <t>Regla 35</t>
  </si>
  <si>
    <t>Regla 36</t>
  </si>
  <si>
    <t>Regla 37</t>
  </si>
  <si>
    <t>Regla 38</t>
  </si>
  <si>
    <t>C 2078-12C</t>
  </si>
  <si>
    <t>C 2078-12E</t>
  </si>
  <si>
    <t>C 2078-24C</t>
  </si>
  <si>
    <t>2078-12C V5000 LFF Dual Control</t>
  </si>
  <si>
    <t>2078-12E V5000 LFF Expansion</t>
  </si>
  <si>
    <t>2078-24C V5000 SFF Dual Control</t>
  </si>
  <si>
    <t>2078-24E V5000 SFF Expansion</t>
  </si>
  <si>
    <t>C 2078-24E</t>
  </si>
  <si>
    <t>C 8284-22A</t>
  </si>
  <si>
    <t>Regla 39</t>
  </si>
  <si>
    <t>2498-X24 IBM System Networking SAN24B-5</t>
  </si>
  <si>
    <t>C 2498-X24</t>
  </si>
  <si>
    <t>Regla 40</t>
  </si>
  <si>
    <t>7316-TF4 Rack-Mounted Flat Panel Console Kit 1:7316 Model TF4</t>
  </si>
  <si>
    <t>C 7316-TF4</t>
  </si>
  <si>
    <t>Regla 41</t>
  </si>
  <si>
    <t>Regla 42</t>
  </si>
  <si>
    <t>Regla 43</t>
  </si>
  <si>
    <t>Regla 44</t>
  </si>
  <si>
    <t>2077-12C V5000 LFF Dual Control</t>
  </si>
  <si>
    <t>2077-12E V5000 LFF Expansion</t>
  </si>
  <si>
    <t>2077-24C V5000 SFF Dual Control</t>
  </si>
  <si>
    <t>2077-24E V5000 SFF Expansion</t>
  </si>
  <si>
    <t>C 2077-12C</t>
  </si>
  <si>
    <t>C 2077-12E</t>
  </si>
  <si>
    <t>C 2077-24C</t>
  </si>
  <si>
    <t>C 2077-24E</t>
  </si>
  <si>
    <t>00WW561</t>
  </si>
  <si>
    <t>60 m</t>
  </si>
  <si>
    <t>00WW562</t>
  </si>
  <si>
    <t>00WW563</t>
  </si>
  <si>
    <t>00WW564</t>
  </si>
  <si>
    <t>00WW568</t>
  </si>
  <si>
    <t>00WW569</t>
  </si>
  <si>
    <t>48 m</t>
  </si>
  <si>
    <t>00WW570</t>
  </si>
  <si>
    <t>00WW571</t>
  </si>
  <si>
    <t>00WW572</t>
  </si>
  <si>
    <t>00WW576</t>
  </si>
  <si>
    <t>36 m</t>
  </si>
  <si>
    <t>1 año 5x9</t>
  </si>
  <si>
    <t>3 años 5x9</t>
  </si>
  <si>
    <t>Periodo de garantia</t>
  </si>
  <si>
    <t xml:space="preserve">1 año 5x9 </t>
  </si>
  <si>
    <t>Imprevistos</t>
  </si>
  <si>
    <t>Gran total</t>
  </si>
  <si>
    <t>System x Enterprise Slides Kit</t>
  </si>
  <si>
    <t>System x Enterprise 2U Cable Management Arm (CMA)</t>
  </si>
  <si>
    <t>P/N</t>
  </si>
  <si>
    <t>x3500 M5</t>
  </si>
  <si>
    <t>5464A2U</t>
  </si>
  <si>
    <t>x3500 M5, Xeon 6C E5-2603v3 85W 1.6GHz/1600MHz/15MB, 1x8GB, O/Bay HS 2.5in SATA/SAS, SR M1215, DVD-ROM, 550W p/s, Tower</t>
  </si>
  <si>
    <t>5464B2U</t>
  </si>
  <si>
    <t>x3500 M5, Xeon 6C E5-2609v3 85W 1.9GHz/1600MHz/15MB, 1x8GB, O/Bay HS 2.5in SATA/SAS, SR M1215, DVD-ROM, 550W p/s, Tower</t>
  </si>
  <si>
    <t>5464C2U</t>
  </si>
  <si>
    <t>x3500 M5, Xeon 6C E5-2620v3 85W 2.4GHz/1866MHz/15MB, 1x16GB, O/Bay HS 2.5in SATA/SAS, SR M1215, DVD-ROM, 550W p/s, Tower</t>
  </si>
  <si>
    <t>5464C3U</t>
  </si>
  <si>
    <t>x3500 M5, Xeon 6C E5-2620v3 85W 2.4GHz/1866MHz/15MB, 1x16GB, O/Bay HS 3.5in SATA/SAS, SR M1215, DVD-ROM, 550W p/s, Rack</t>
  </si>
  <si>
    <t>5464C4U</t>
  </si>
  <si>
    <t>x3500 M5, Xeon 6C E5-2620v3 85W 2.4GHz/1866MHz/15MB, 1x16GB, O/Bay HS 3.5in SATA/SAS, SR M1215, DVD-ROM, 550W p/s, Tower</t>
  </si>
  <si>
    <t>5464D2U</t>
  </si>
  <si>
    <t>x3500 M5, Xeon 8C E5-2630v3 85W 2.4GHz/1866MHz/20MB, 1x16GB, O/Bay HS 2.5in SATA/SAS, SR M1215, DVD-ROM, 550W p/s, Tower</t>
  </si>
  <si>
    <t>5464F2U</t>
  </si>
  <si>
    <t>x3500 M5, Xeon 8C E5-2640v3 90W 2.6GHz/1866MHz/20MB, 1x16GB, O/Bay HS 2.5in SATA/SAS, SR M1215, DVD-ROM, 750W p/s, Tower</t>
  </si>
  <si>
    <t>5464G2U</t>
  </si>
  <si>
    <t>x3500 M5, Xeon 10C E5-2650v3 105W 2.3GHz/2133MHz/25MB, 1x16GB, O/Bay HS 2.5in SATA/SAS, SR M5210, DVD-ROM, 750W p/s, Tower</t>
  </si>
  <si>
    <t>5464G3U</t>
  </si>
  <si>
    <t>x3500 M5, Xeon 10C E5-2650v3 105W 2.3GHz/2133MHz/25MB, 1x16GB, O/Bay HS 2.5in SATA/SAS, SR M5210, DVD-ROM, 750W p/s, Rack</t>
  </si>
  <si>
    <t>5464H2U</t>
  </si>
  <si>
    <t>x3500 M5, Xeon 12C E5-2670v3 120W 2.3GHz/2133MHz/30MB, 1x16GB, O/Bay HS 2.5in SATA/SAS, SR M5210, DVD-ROM, 900W p/s, Tower</t>
  </si>
  <si>
    <t>5464J2U</t>
  </si>
  <si>
    <t>x3500 M5, Xeon 12C E5-2680v3 120W 2.5GHz/2133MHz/30MB, 1x16GB, O/Bay HS 2.5in SATA/SAS, SR M5210, DVD-ROM, 900W p/s, Tower</t>
  </si>
  <si>
    <t>x3250 M5</t>
  </si>
  <si>
    <t>5458A3U</t>
  </si>
  <si>
    <t>x3250 M5, Pentium 2C G3440 53W 3.3GHz/1600MHz/3MB, 1x4GB, O/Bay SS 3.5in SAS/SATA, SR C100, 300W p/s, Rack</t>
  </si>
  <si>
    <t>x3250 M5, Xeon 4C E3-1220v3 80W 3.1GHz/1600MHz/8MB, 1x4GB, O/Bay SS 3.5in SATA, SR C100, 300W p/s, Rack</t>
  </si>
  <si>
    <t>5458C3U</t>
  </si>
  <si>
    <t>x3250 M5, Xeon 4C E3-1231v3 80W 3.4GHz/1600MHz/8MB, 1x4GB, O/Bay HS 3.5in SAS/SATA, SR H1110, 300W p/s, Rack</t>
  </si>
  <si>
    <t>5458F3U</t>
  </si>
  <si>
    <t>x3250 M5, Xeon 4C E3-1241v3 80W 3.5GHz/1600MHz/8MB, 1x8GB, O/Bay HS 2.5in SAS/SATA, SR H1110, 300W p/s, Rack</t>
  </si>
  <si>
    <t>5458G3U</t>
  </si>
  <si>
    <t>x3250 M5, Xeon 4C E3-1271v3 80W 3.6GHz/1600MHz/8MB, 1x8GB, O/Bay HS 2.5in SAS/SATA, SR M1115, 460W p/s, Rack</t>
  </si>
  <si>
    <t>5458EEU</t>
  </si>
  <si>
    <t>x3550 M4</t>
  </si>
  <si>
    <t>x3550 M4, Xeon 4C E5-2637v2 130W 3.5GHz/1866MHz/15MB, 1x8GB, O/Bay 2.5in HS SAS/SATA, SR M5110, 750W p/s, Rack</t>
  </si>
  <si>
    <t>x3550 M4, Xeon 6C E5-2643v2 130W 3.5GHz/1866MHz/25MB, 1x8GB, O/Bay 2.5in HS SAS/SATA, SR M5110, 750W p/s, Rack</t>
  </si>
  <si>
    <t>x3550 M4, Xeon 8C E5-2667v2 130W 3.3GHz/1866MHz/25MB, 1x8GB, O/Bay 2.5in HS SAS/SATA, SR M5110, 750W p/s, Rack</t>
  </si>
  <si>
    <t>x3550 M4, Xeon 10C E5-2650Lv2 70W 1.7GHz/1600MHz/25MB, 1x8GB, O/Bay 2.5in HS SAS/SATA, SR M5110, 550W p/s, Rack</t>
  </si>
  <si>
    <t>x3550 M4, Xeon 12C E5-2697v2 130W 2.7GHz/1866MHz/30MB, 1x8GB, O/Bay 2.5in HS SAS/SATA, SR M5110, 750W p/s, Rack</t>
  </si>
  <si>
    <t>x3550 M4, Xeon 4C E5-2603v2 80W 1.8GHz/1333MHz/10MB, 1x4GB, O/Bay 2.5in HS SAS/SATA, SR H1110, 550W p/s, Rack</t>
  </si>
  <si>
    <t>x3550 M4, Xeon 4C E5-2609v2 80W 2.5GHz/1333MHz/10MB, 1x4GB, O/Bay 2.5in HS SAS/SATA, SR M1115, 550W p/s, Rack</t>
  </si>
  <si>
    <t>x3550 M4, Xeon 6C E5-2620v2 80W 2.1GHz/1600MHz/15MB, 1x8GB, O/Bay 2.5in HS SAS/SATA, SR M1115, 550W p/s, Rack</t>
  </si>
  <si>
    <t>x3550 M4, Xeon 6C E5-2620v2 80W 2.1GHz/1600MHz/15MB, 1x8GB, O/Bay 3.5in HS SAS/SATA, SR H1110, 550W p/s, Rack</t>
  </si>
  <si>
    <t>x3550 M4, Xeon 6C E5-2630v2 80W 2.6GHz/1600MHz/15MB, 1x8GB, O/Bay 2.5in HS SAS/SATA, SR M5110, 550W p/s, Rack</t>
  </si>
  <si>
    <t>x3550 M4, Xeon 8C E5-2640v2 95W 2.0GHz/1600MHz/20MB, 1x8GB, O/Bay 2.5in HS SAS/SATA, SR M5110, 550W p/s, Rack</t>
  </si>
  <si>
    <t>x3550 M4, Xeon 8C E5-2650v2 95W 2.6GHz/1866MHz/20MB, 1x8GB, O/Bay 2.5in HS SAS/SATA, SR M5110, 550W p/s, Rack</t>
  </si>
  <si>
    <t>x3550 M4, Xeon 10C E5-2660v2 95W 2.2GHz/1866MHz/25MB, 1x8GB, O/Bay 2.5in HS SAS/SATA, SR M5110, 550W p/s, Rack</t>
  </si>
  <si>
    <t>x3550 M4, Xeon 10C E5-2670v2 115W 2.5GHz/1866MHz/25MB, 1x8GB, O/Bay 2.5in HS SAS/SATA, SR M5110, 550W p/s, Rack</t>
  </si>
  <si>
    <t>x3550 M4, Xeon 10C E5-2680v2 115W 2.8GHz/1866MHz/25MB, 1x8GB, O/Bay 2.5in HS SAS/SATA, SR M5110, 750W p/s, Rack</t>
  </si>
  <si>
    <t>x3550 M4, Xeon 10C E5-2690v2 130W 3.0GHz/1866MHz/25MB, 1x8GB, O/Bay 2.5in HS SAS/SATA, SR M5110, 750W p/s, Rack</t>
  </si>
  <si>
    <t>x3550 M5</t>
  </si>
  <si>
    <t>546362U</t>
  </si>
  <si>
    <t>x3550 M5, Xeon 12C E5-2670v3 120W 2.3GHz/2133MHz/30MB, 1x16GB, O/Bay HS 2.5in SATA/SAS, SR M5210, 750W p/s, Rack</t>
  </si>
  <si>
    <t>5463A2U</t>
  </si>
  <si>
    <t>x3550 M5, Xeon 6C E5-2603v3 85W 1.6GHz/1600MHz/15MB, 1x8GB, O/Bay SS 2.5in SATA/SAS, SR M1215, 550W p/s, Rack</t>
  </si>
  <si>
    <t>5463B2U</t>
  </si>
  <si>
    <t>x3550 M5, Xeon 6C E5-2609v3 85W 1.9GHz/1600MHz/15MB, 1x8GB, O/Bay SS 3.5in SATA/SAS, SR M1215, 550W p/s, Rack</t>
  </si>
  <si>
    <t>5463C2U</t>
  </si>
  <si>
    <t>x3550 M5, Xeon 6C E5-2620v3 85W 2.4GHz/1866MHz/15MB, 1x16GB, O/Bay HS 2.5in SATA/SAS, SR M1215, 550W p/s, Rack</t>
  </si>
  <si>
    <t>5463C4U</t>
  </si>
  <si>
    <t>x3550 M5, Xeon 6C E5-2620v3 85W 2.4GHz/1866MHz/15MB, 1x16GB, O/Bay HS 3.5in SATA/SAS, SR M1215, 550W p/s, Rack</t>
  </si>
  <si>
    <t>5463F2U</t>
  </si>
  <si>
    <t>x3550 M5, Xeon 8C E5-2640v3 90W 2.6GHz/1866MHz/20MB, 1x16GB, O/Bay HS 2.5in SATA/SAS, SR M5210, 550W p/s, Rack</t>
  </si>
  <si>
    <t>5463H2U</t>
  </si>
  <si>
    <t>x3550 M5, Xeon 8C E5-2630Lv3 55W 1.8GHz/1866MHz/20MB, 1x16GB, O/Bay HS 2.5in SATA/SAS, SR M5210, 550W p/s, Rack</t>
  </si>
  <si>
    <t>5463J2U</t>
  </si>
  <si>
    <t>x3550 M5, Xeon 12C E5-2680v3 120W 2.5GHz/2133MHz/30MB, 1x16GB, O/Bay HS 2.5in SATA/SAS, SR M5210, 750W p/s, Rack</t>
  </si>
  <si>
    <t>5463L2U</t>
  </si>
  <si>
    <t>x3550 M5, Xeon 12C E5-2690v3 135W 2.6GHz/2133MHz/30MB, 1x16GB, O/Bay HS 2.5in SATA/SAS, SR M5210, 750W p/s, Rack</t>
  </si>
  <si>
    <t>5463M2U</t>
  </si>
  <si>
    <t>x3550 M5, Xeon 18C E5-2699v3 145W 2.3GHz/2133MHz/45MB, 1x16GB, O/Bay HS 2.5in SATA/SAS, SR M5210, 900W p/s, Rack</t>
  </si>
  <si>
    <t>5463EMU</t>
  </si>
  <si>
    <t>5463ENU</t>
  </si>
  <si>
    <t>5463EOU</t>
  </si>
  <si>
    <t>5463EPU</t>
  </si>
  <si>
    <t>5463EQU</t>
  </si>
  <si>
    <t>5463ERU</t>
  </si>
  <si>
    <t>5463ESU</t>
  </si>
  <si>
    <t>x3650 M4</t>
  </si>
  <si>
    <t>x3650 M4, Xeon 4C E5-2637v2 130W 3.5GHz/1866MHz/15MB, 1x8GB, O/Bay HS 2.5in SAS/SATA, SR M5110e, 900W p/s, Rack</t>
  </si>
  <si>
    <t>x3650 M4, Xeon 6C E5-2643v2 130W 3.5GHz/1866MHz/25MB, 1x8GB, O/Bay HS 2.5in SAS/SATA, SR M5110e, 900W p/s, Rack</t>
  </si>
  <si>
    <t>x3650 M4, Xeon 8C E5-2667v2 130W 3.3GHz/1866MHz/25MB, 1x8GB, O/Bay HS 2.5in SAS/SATA, SR M5110e, 900W p/s, Rack</t>
  </si>
  <si>
    <t>x3650 M4, Xeon 10C E5-2650Lv2 70W 1.7GHz/1600MHz/25MB, 1x8GB, O/Bay HS 2.5in SAS/SATA, SR M5110e, 550W p/s, Rack</t>
  </si>
  <si>
    <t>x3650 M4, Xeon 12C E5-2697v2 130W 2.7GHz/1866MHz/30MB, 1x8GB, O/Bay HS 2.5in SAS/SATA, SR M5110e, 900W p/s, Rack</t>
  </si>
  <si>
    <t>x3650 M4, Xeon 4C E5-2603v2 80W 1.8GHz/1333MHz/10MB, 1x4GB, O/Bay HS 2.5in SAS/SATA, SR M5110e, 550W p/s, Rack</t>
  </si>
  <si>
    <t>x3650 M4, Xeon 4C E5-2609v2 80W 2.5GHz/1333MHz/10MB, 1x4GB, O/Bay HS 2.5in SAS/SATA, SR M5110e, 550W p/s, Rack</t>
  </si>
  <si>
    <t>x3650 M4, Xeon 6C E5-2620v2 80W 2.1GHz/1600MHz/15MB, 1x8GB, O/Bay HS 3.5in SAS/SATA, SR M5110e, 550W p/s, Rack</t>
  </si>
  <si>
    <t>x3650 M4, Xeon 6C E5-2630v2 80W 2.6GHz/1600MHz/15MB, 1x8GB, O/Bay HS 2.5in SAS/SATA, SR M5110e, 550W p/s, Rack</t>
  </si>
  <si>
    <t>x3650 M4, Xeon 8C E5-2640v2 95W 2.0GHz/1600MHz/20MB, 1x8GB, O/Bay HS 2.5in SAS/SATA, SR M5110e, 550W p/s, Rack</t>
  </si>
  <si>
    <t>x3650 M4, Xeon 8C E5-2650v2 95W 2.6GHz/1866MHz/20MB, 1x8GB, O/Bay HS 2.5in SAS/SATA, SR M5110e, 750W p/s, Rack</t>
  </si>
  <si>
    <t>x3650 M4, Xeon 10C E5-2660v2 95W 2.2GHz/1866MHz/25MB, 1x8GB, O/Bay HS 2.5in SAS/SATA, SR M5110e, 750W p/s, Rack</t>
  </si>
  <si>
    <t>x3650 M4, Xeon 10C E5-2670v2 115W 2.5GHz/1866MHz/25MB, 1x8GB, O/Bay HS 2.5in SAS/SATA, SR M5110e, 750W p/s, Rack</t>
  </si>
  <si>
    <t>x3650 M4, Xeon 10C E5-2680v2 115W 2.8GHz/1866MHz/25MB, 1x8GB, O/Bay HS 2.5in SAS/SATA, SR M5110e, 900W p/s, Rack</t>
  </si>
  <si>
    <t>x3650 M4, Xeon 10C E5-2690v2 130W 3.0GHz/1866MHz/25MB, 1x8GB, O/Bay HS 2.5in SAS/SATA, SR M5110e, 900W p/s, Rack</t>
  </si>
  <si>
    <t>x3650 M5</t>
  </si>
  <si>
    <t>546252U</t>
  </si>
  <si>
    <t>x3650 M5, Xeon 8C E5-2630Lv3 55W 1.8GHz/1866MHz/20MB, 1x16GB, O/Bay HS 2.5in SAS/SATA, SR M5210, 550W p/s, Rack</t>
  </si>
  <si>
    <t>546262U</t>
  </si>
  <si>
    <t>x3650 M5, Xeon 12C E5-2670v3 120W 2.3GHz/2133MHz/30MB, 1x16GB, O/Bay HS 2.5in SAS/SATA, SR M5210, 750W p/s, Rack</t>
  </si>
  <si>
    <t>5462A2U</t>
  </si>
  <si>
    <t>x3650 M5, Xeon 6C E5-2603v3 85W 1.6GHz/1600MHz/15MB, 1x8GB, O/Bay SS 2.5in SAS/SATA, 550W p/s, Rack</t>
  </si>
  <si>
    <t>5462B2U</t>
  </si>
  <si>
    <t>x3650 M5, Xeon 6C E5-2609v3 85W 1.9GHz/1600MHz/15MB, 1x8GB, O/Bay SS 3.5in SAS/SATA, 550W p/s, Rack</t>
  </si>
  <si>
    <t>5462C2U</t>
  </si>
  <si>
    <t>x3650 M5, Xeon 6C E5-2620v3 85W 2.4GHz/1866MHz/15MB, 1x16GB, O/Bay HS 2.5in SAS/SATA, SR M1215, 550W p/s, Rack</t>
  </si>
  <si>
    <t>5462C4U</t>
  </si>
  <si>
    <t>x3650 M5, Xeon 6C E5-2620v3 85W 2.4GHz/1866MHz/15MB, 1x16GB, O/Bay HS 3.5in SAS/SATA, SR M1215, 550W p/s, Rack</t>
  </si>
  <si>
    <t>5462D2U</t>
  </si>
  <si>
    <t>x3650 M5, Xeon 8C E5-2630v3 85W 2.4GHz/1866MHz/20MB, 1x16GB, O/Bay HS 2.5in SAS/SATA, SR M5210, 550W p/s, Rack</t>
  </si>
  <si>
    <t>5462D4U</t>
  </si>
  <si>
    <t>x3650 M5, Xeon 8C E5-2630v3 85W 2.4GHz/1866MHz/20MB, 1x16GB, O/Bay HS 3.5in SAS/SATA, SR M5210, 750W p/s, Rack</t>
  </si>
  <si>
    <t>5462F2U</t>
  </si>
  <si>
    <t>x3650 M5, Xeon 8C E5-2640v3 90W 2.6GHz/1866MHz/20MB, 1x16GB, O/Bay HS 2.5in SAS/SATA, SR M5210, 550W p/s, Rack</t>
  </si>
  <si>
    <t>5462F4U</t>
  </si>
  <si>
    <t>x3650 M5, Xeon 8C E5-2640v3 90W 2.6GHz/1866MHz/20MB, 1x16GB, O/Bay HS 2.5in SAS/SATA, SR M5210, 750W p/s, Rack</t>
  </si>
  <si>
    <t>5462G2U</t>
  </si>
  <si>
    <t>x3650 M5, Xeon 10C E5-2650v3 105W 2.3GHz/2133MHz/25MB, 1x16GB, O/Bay HS 2.5in SAS/SATA, SR M5210, 750W p/s, Rack</t>
  </si>
  <si>
    <t>5462J2U</t>
  </si>
  <si>
    <t>x3650 M5, Xeon 12C E5-2680v3 120W 2.5GHz/2133MHz/30MB, 1x16GB, O/Bay HS 2.5in SAS/SATA, SR M5210, 900W p/s, Rack</t>
  </si>
  <si>
    <t>5462L2U</t>
  </si>
  <si>
    <t>x3650 M5, Xeon 12C E5-2690v3 135W 2.6GHz/2133MHz/30MB, 1x16GB, O/Bay HS 2.5in SAS/SATA, SR M5210, 900W p/s, Rack</t>
  </si>
  <si>
    <t>5462M2U</t>
  </si>
  <si>
    <t>x3650 M5, Xeon 18C E5-2699v3 145W 2.3GHz/2133MHz/45MB, 1x16GB, O/Bay HS 2.5in SAS/SATA, SR M5210, 750W p/s, Rack</t>
  </si>
  <si>
    <t>5462EAU</t>
  </si>
  <si>
    <t>Express x3650 M5, Xeon 6C E5-2609v3 85W 1.9GHz/1600MHz/15MB, 1x8GB, O/Bay HS 2.5in SATA/SAS, SR M5210, Multiburner, 550W p/s, Rack</t>
  </si>
  <si>
    <t>5462EBU</t>
  </si>
  <si>
    <t>Express x3650 M5, Xeon 8C E5-2630v3 85W 2.4GHz/1866MHz/20MB, 1x16GB, O/Bay HS 2.5in SATA/SAS, SR M5210, Multiburner, 550W p/s, Rack</t>
  </si>
  <si>
    <t>5462ECU</t>
  </si>
  <si>
    <t>5462ENU</t>
  </si>
  <si>
    <t>5462EOU</t>
  </si>
  <si>
    <t>Express x3650 M5, Xeon 6C E5-2620v3 85W 2.4GHz/1866MHz/15MB, 1x8GB, O/Bay HS 2.5in SATA/SAS, SR M5210, Multiburner, 550W p/s, Rack</t>
  </si>
  <si>
    <t>5462EPU</t>
  </si>
  <si>
    <t>Express x3650 M5, Xeon 6C E5-2620v3 85W 2.4GHz/1866MHz/15MB, 1x8GB, 2x300GB, HS 2.5in SAS, SR M5210, Multiburner, 2x550W p/s, Rack</t>
  </si>
  <si>
    <t>5462EQU</t>
  </si>
  <si>
    <t>5462EDU</t>
  </si>
  <si>
    <t>5462ERU</t>
  </si>
  <si>
    <t>Express x3650 M5, 2xXeon 10C E5-2650v3 105W 2.3GHz/2133MHz/25MB, 2x16GB, O/Bay HS 2.5in SATA/SAS, SR M5210, Multiburner, 2x750W p/s, Rack</t>
  </si>
  <si>
    <t>5462EEU</t>
  </si>
  <si>
    <t>Express x3650 M5, Xeon 12C E5-2670v3 120W 2.3GHz/2133MHz/30MB, 1x16GB, O/Bay HS 2.5in SATA/SAS, SR M5210, Multiburner, 750W p/s, Rack</t>
  </si>
  <si>
    <t>5462ESU</t>
  </si>
  <si>
    <t>x3750 M4</t>
  </si>
  <si>
    <t>8753A1U</t>
  </si>
  <si>
    <t>x3750 M4, 2x Xeon 8C E5-4627v2 130W 3.3GHz/1866MHz/16MB, 2x8GB, O/Bay HS 2.5in SATA/SAS, SR M5210e, 900W p/s, Rack</t>
  </si>
  <si>
    <t>8753A2U</t>
  </si>
  <si>
    <t>x3750 M4, Xeon 4C E5-4603v2 95W 2.2GHz/1333MHz/10MB, 8GB, O/Bay HS 2.5in SATA/SAS, SR M5210e, 900W p/s, Rack</t>
  </si>
  <si>
    <t>8753A3U</t>
  </si>
  <si>
    <t>x3750 M4, 2x Xeon 6C E5-4607v2 95W 2.6GHz/1333MHz/15MB, 2x8GB, O/Bay HS 2.5in SATA/SAS, SR M5210e, 900W p/s, Rack</t>
  </si>
  <si>
    <t>8753B1U</t>
  </si>
  <si>
    <t>x3750 M4, 2x Xeon 8C E5-4610v2 95W 2.3GHz/1600MHz/16MB, 2x8GB, O/Bay HS 2.5in SATA/SAS, SR M5210e, 900W p/s, Rack</t>
  </si>
  <si>
    <t>8753B2U</t>
  </si>
  <si>
    <t>x3750 M4, 2x Xeon 8C E5-4620v2 95W 2.6GHz/1600MHz/20MB, 2x8GB, O/Bay HS 1.8in SATA/SAS, SR M5210e, 900W p/s, Rack</t>
  </si>
  <si>
    <t>8753C1U</t>
  </si>
  <si>
    <t>x3750 M4, 2x Xeon 10C E5-4640v2 95W 2.2GHz/1866MHz/20MB, 2x8GB, O/Bay HS 2.5in SATA/SAS, SR M5210e, 900W p/s, Rack</t>
  </si>
  <si>
    <t>8753C2U</t>
  </si>
  <si>
    <t>x3750 M4, 2x Xeon 10C E5-4650v2 95W 2.4GHz/1866MHz/25MB, 2x8GB, O/Bay HS 2.5in SATA/SAS, SR M5210e, 900W p/s, Rack</t>
  </si>
  <si>
    <t>x3850 X6</t>
  </si>
  <si>
    <t>x3850 X6, 2x Compute Book Xeon 15C E7-8880v2 130W 2.5GHz/1600MHz/37.5MB, 16x8GB, 6x1.2TB HS 2.5in SAS, 2x400GB HS 2.5in SATA SSD, SR M5210, 4x1400W p/s, Rack</t>
  </si>
  <si>
    <t>x3850 X6, 2x Compute Book Xeon 15C E7-8880v2 130W 2.5GHz/1600MHz/37.5MB, 16x16GB, 6x1.2TB HS 2.5in SAS, 2x400GB HS 2.5in SATA SSD, SR M5210, 4x1400W p/s, Rack</t>
  </si>
  <si>
    <t>x3850 X6, 2x Compute Book Xeon 15C E7-8880v2 130W 2.5GHz/1600MHz/37.5MB, 16x32GB, 6x1.2TB HS 2.5in SAS, 2x400GB HS 2.5in SATA SSD, SR M5210, 4x1400W p/s, Rack</t>
  </si>
  <si>
    <t>x3850 X6, 4x Compute Book Xeon 15C E7-8880v2 130W 2.5GHz/1600MHz/37.5MB, 32x16GB, 6x1.2TB HS 2.5in SAS, 2x400GB HS 2.5in SATA SSD, SR M5210, 4x1400W p/s, Rack</t>
  </si>
  <si>
    <t>x3850 X6, 4x Compute Book Xeon 15C E7-8880v2 130W 2.5GHz/1600MHz/37.5MB, 32x32GB, 6x1.2TB HS 2.5in SAS, 2x400GB HS 2.5in SATA SSD, SR M5210, SR M5120, 4x1400W p/s, Rack</t>
  </si>
  <si>
    <t>6241H2U</t>
  </si>
  <si>
    <t>6241H3U</t>
  </si>
  <si>
    <t>6241H4U</t>
  </si>
  <si>
    <t>6241H5U</t>
  </si>
  <si>
    <t>6241H6U</t>
  </si>
  <si>
    <t>x3950 X6, 4x Compute Book Xeon 15C E7-8880v2 130W 2.5GHz/1600MHz/37.5MB, 32x16GB, 6x1.2TB HS 2.5in SAS, 2x400GB HS 2.5in SATA SSD, SR M5210, 8x1400W p/s, Rack</t>
  </si>
  <si>
    <t>x3950 X6, 4x Compute Book Xeon 15C E7-8880v2 130W 2.5GHz/1600MHz/37.5MB, 32x32GB, 12x1.2TB HS 2.5in SAS, 4x400GB HS 2.5in SATA SSD, 2xSR M5210, 8x1400W p/s, Rack</t>
  </si>
  <si>
    <t>x3950 X6, 8x Compute Book Xeon 15C E7-8880v2 130W 2.5GHz/1600MHz/37.5MB, 64x32GB, 12x1.2TB HS 2.5in SAS, 4x400GB HS 2.5in SATA SSD, 2xSR M5210, 8x1400W p/s, Rack</t>
  </si>
  <si>
    <t>6241HBU</t>
  </si>
  <si>
    <t>6241HCU</t>
  </si>
  <si>
    <t>6241HDU</t>
  </si>
  <si>
    <t>HS23</t>
  </si>
  <si>
    <t>HS23, Xeon 4C E5-2609v2 80W 2.5GHz/1333MHz/10MB, 1x8GB, O/Bay 2.5in SAS/SATA</t>
  </si>
  <si>
    <t>HS23, Xeon 4C E5-2603v2 80W 1.8GHz/1333MHz/10MB, 1x8GB, O/Bay 2.5in SAS/SATA</t>
  </si>
  <si>
    <t>HS23, Xeon 6C E5-2620 95W 2.0GHz/1333MHz/15MB, 4x4GB, O/Bay 2.5in SAS</t>
  </si>
  <si>
    <t>HS23, Xeon 6C E5-2620v2 80W 2.1GHz/1600MHz/15MB, 1x8GB, O/Bay 2.5in SAS/SATA</t>
  </si>
  <si>
    <t>HS23, Xeon 6C E5-2630v2 80W 2.6GHz/1600MHz/15MB, 1x8GB, O/Bay 2.5in SAS/SATA</t>
  </si>
  <si>
    <t>HS23, Xeon 8C E5-2640v2 95W 2.0GHz/1600MHz/20MB, 1x8GB, O/Bay 2.5in SAS/SATA</t>
  </si>
  <si>
    <t>HS23, Xeon 8C E5-2650v2 95W 2.6GHz/1866MHz/20MB, 1x8GB, O/Bay 2.5in SAS/SATA</t>
  </si>
  <si>
    <t>HS23, Xeon 10C E5-2660v2 95W 2.2GHz/1866MHz/25MB, 1x8GB, O/Bay 2.5in SAS/SATA</t>
  </si>
  <si>
    <t>HS23, Xeon 10C E5-2670v2 115W 2.5GHz/1866MHz/25MB, 1x8GB, O/Bay 2.5in SAS/SATA</t>
  </si>
  <si>
    <t>HS23, Xeon 10C E5-2680v2 115W 2.8GHz/1866MHz/25MB, 1x8GB, O/Bay 2.5in SAS/SATA</t>
  </si>
  <si>
    <t>HS23, Xeon 10C E5-2650Lv2 70W 1.7GHz/1600MHz/25MB, 1x8GB, O/Bay 2.5in SAS/SATA</t>
  </si>
  <si>
    <t>HS23, Xeon 8C E5-2648L 70W 1.8GHz/1600MHz/20MB, 4x4GB, O/Bay 2.5in SAS</t>
  </si>
  <si>
    <t>HS23, Xeon 12C E5-2697v2 130W 2.7GHz/1866MHz/30MB, 1x8GB, O/Bay 2.5in SAS/SATA</t>
  </si>
  <si>
    <t>HS23, Xeon 8C E5-2628Lv2 70W 1.9GHz/1600MHz/20MB, 1x8GB, O/Bay 2.5in SAS/SATA, Emulex 10GbE VFA Advanced II</t>
  </si>
  <si>
    <t>HS23, Xeon 10C E5-2658v2 95W 2.4GHz/1866MHz/25MB, 1x8GB, O/Bay 2.5in SAS/SATA, Emulex 10GbE VFA Advanced II</t>
  </si>
  <si>
    <t>Flex System Manager Node</t>
  </si>
  <si>
    <t>x240</t>
  </si>
  <si>
    <t>x240 M5</t>
  </si>
  <si>
    <t>9532A2U</t>
  </si>
  <si>
    <t>9532B2U</t>
  </si>
  <si>
    <t>9532B4U</t>
  </si>
  <si>
    <t>9532B6U</t>
  </si>
  <si>
    <t>9532C2U</t>
  </si>
  <si>
    <t>9532D2U</t>
  </si>
  <si>
    <t>9532D4U</t>
  </si>
  <si>
    <t>9532D6U</t>
  </si>
  <si>
    <t>9532F2U</t>
  </si>
  <si>
    <t>9532G2U</t>
  </si>
  <si>
    <t>9532H2U</t>
  </si>
  <si>
    <t>9532H4U</t>
  </si>
  <si>
    <t>9532H6U</t>
  </si>
  <si>
    <t>9532J2U</t>
  </si>
  <si>
    <t>9532J4U</t>
  </si>
  <si>
    <t>9532J6U</t>
  </si>
  <si>
    <t>9532L2U</t>
  </si>
  <si>
    <t>9532L4U</t>
  </si>
  <si>
    <t>9532L6U</t>
  </si>
  <si>
    <t>9532M2U</t>
  </si>
  <si>
    <t>9532N2U</t>
  </si>
  <si>
    <t>9532Q2U</t>
  </si>
  <si>
    <t>9532E1U</t>
  </si>
  <si>
    <t>9532E2U</t>
  </si>
  <si>
    <t>9532E3U</t>
  </si>
  <si>
    <t>9532E4U</t>
  </si>
  <si>
    <t>9532E5U</t>
  </si>
  <si>
    <t>x280 X6</t>
  </si>
  <si>
    <t>x440</t>
  </si>
  <si>
    <t>7167G2U</t>
  </si>
  <si>
    <t>7167H2U</t>
  </si>
  <si>
    <t>7167J2U</t>
  </si>
  <si>
    <t>7167J4U</t>
  </si>
  <si>
    <t>7167L2U</t>
  </si>
  <si>
    <t>7167M2U</t>
  </si>
  <si>
    <t>nx360 M5</t>
  </si>
  <si>
    <t>546522U</t>
  </si>
  <si>
    <t>546542U</t>
  </si>
  <si>
    <t>546562U</t>
  </si>
  <si>
    <t>Racks</t>
  </si>
  <si>
    <t>Conversion Kits</t>
  </si>
  <si>
    <t>00AL538</t>
  </si>
  <si>
    <t>System x3500 M5 Tower to Rack Conversion Kit</t>
  </si>
  <si>
    <t>00D2594</t>
  </si>
  <si>
    <t>Tower to Rack Kit</t>
  </si>
  <si>
    <t>00J6353</t>
  </si>
  <si>
    <t>42C5284</t>
  </si>
  <si>
    <t>42C8923</t>
  </si>
  <si>
    <t>5U Tower-to-Rack Kit</t>
  </si>
  <si>
    <t>81Y7006</t>
  </si>
  <si>
    <t>Tower to Rack Conversion Kit</t>
  </si>
  <si>
    <t>Processors</t>
  </si>
  <si>
    <t>Intel Xeon 6C Processor Model E5-2643v2 130W 3.5GHz/1866MHz/25MB</t>
  </si>
  <si>
    <t>Intel Xeon 8C Processor Model E5-2667v2 130W 3.3GHz/1866MHz/25MB</t>
  </si>
  <si>
    <t>Intel Xeon 4C Processor Model E5-2603v2 80W 1.8GHz/1333MHz/10MB</t>
  </si>
  <si>
    <t>Intel Xeon 4C Processor Model E5-2609v2 80W 2.5GHz/1333MHz/10MB</t>
  </si>
  <si>
    <t>Intel Xeon 6C Processor Model E5-2630Lv2 60W 2.4GHz/1600MHz/15MB</t>
  </si>
  <si>
    <t>Intel Xeon 10C Processor Model E5-2650Lv2 70W 1.7GHz/1600MHz/25MB</t>
  </si>
  <si>
    <t>Intel Xeon 6C Processor Model E5-2630v2 80W 2.6GHz/1600MHz/15MB</t>
  </si>
  <si>
    <t>Intel Xeon 4C Processor Model E5-2637v2 130W 3.5GHz/1866MHz/15MB</t>
  </si>
  <si>
    <t>Intel Xeon 6C Processor Model E5-2618Lv2 50W 2.0GHz/1333MHz/15MB</t>
  </si>
  <si>
    <t>Intel Xeon 10C Processor Model E5-2658v2 95W 2.4GHz/1866MHz/25MB</t>
  </si>
  <si>
    <t>Intel Xeon 6C Processor Model E5-2620 v2 80W 2.1GHz/1600MHz/15MB</t>
  </si>
  <si>
    <t>Intel Xeon 8C Processor Model E5-2650 v2 95W 2.6GHz/1866MHz/20MB</t>
  </si>
  <si>
    <t>Intel Xeon 10C Processor Model E5-2690 v2 130W 3.0GHz/1866MHz/25MB</t>
  </si>
  <si>
    <t>Intel Xeon 8C Processor Model E5-2640 v2 95W 2.0GHz/1600MHz/20MB</t>
  </si>
  <si>
    <t>Intel Xeon 12C Processor Model E5-2695 v2 115W 2.4GHz/1866MHz/30MB</t>
  </si>
  <si>
    <t>Intel Xeon 12C Processor Model E5-2697 v2 130W 2.7GHz/1866MHz/30MB</t>
  </si>
  <si>
    <t>Intel Xeon 6C Processor Model  E5-2440 95W 2.4GHz/1033MHz/15MB Upgrade Kit</t>
  </si>
  <si>
    <t>00AE510</t>
  </si>
  <si>
    <t>00AE511</t>
  </si>
  <si>
    <t>Intel Xeon 10C Processor Model E5-2648Lv2 70W 1.9GHz/1866MHz/25MB</t>
  </si>
  <si>
    <t>00AE512</t>
  </si>
  <si>
    <t>00AE513</t>
  </si>
  <si>
    <t>Intel Xeon 8C Processor Model E5-2628Lv2 70W 1.9GHz/1600MHz/20MB</t>
  </si>
  <si>
    <t>00AL138</t>
  </si>
  <si>
    <t>00AL139</t>
  </si>
  <si>
    <t>Intel Xeon 4C Processor Model E5-2609v2 80W 2.5GHz /1333MHz/10MB</t>
  </si>
  <si>
    <t>00AL140</t>
  </si>
  <si>
    <t>Intel Xeon 6C Processor Model E5-2620v2 80W 2.1GHz/1600MHz/15MB</t>
  </si>
  <si>
    <t>00AL141</t>
  </si>
  <si>
    <t>00AL142</t>
  </si>
  <si>
    <t>00AL143</t>
  </si>
  <si>
    <t>Intel Xeon 8C Processor Model E5-2640v2 95W 2.0GHz/1600MHz/20MB</t>
  </si>
  <si>
    <t>00AL144</t>
  </si>
  <si>
    <t>Intel Xeon 10C Processor Model E5-2660v2 95W 2.2GHz/1866MHz/25MB</t>
  </si>
  <si>
    <t>00AL145</t>
  </si>
  <si>
    <t>Intel Xeon 8C Processor Model E5-2650v2 95W 2.6GHz/1866MHz/20MB</t>
  </si>
  <si>
    <t>00AL146</t>
  </si>
  <si>
    <t>00AL147</t>
  </si>
  <si>
    <t>Intel Xeon 12C Processor Model E5-2695v2 115W 2.4GHz/1866MHz/30MB</t>
  </si>
  <si>
    <t>00AL148</t>
  </si>
  <si>
    <t>Intel Xeon 10C Processor Model E5-2670v2 115W 2.5GHz/1866MHz/25MB</t>
  </si>
  <si>
    <t>00AL149</t>
  </si>
  <si>
    <t>Intel Xeon 10C Processor Model E5-2680v2 115W 2.8GHz/1866MHz/25MB</t>
  </si>
  <si>
    <t>00KA569</t>
  </si>
  <si>
    <t>00KA570</t>
  </si>
  <si>
    <t>00Y2848</t>
  </si>
  <si>
    <t>00Y2849</t>
  </si>
  <si>
    <t>Intel Xeon 12C Processor Model E5-2697v2 130W 2.7GHz/1866MHz/30MB</t>
  </si>
  <si>
    <t>00Y2850</t>
  </si>
  <si>
    <t>00Y2851</t>
  </si>
  <si>
    <t>00Y2852</t>
  </si>
  <si>
    <t>00Y2853</t>
  </si>
  <si>
    <t>00Y2854</t>
  </si>
  <si>
    <t>00Y2855</t>
  </si>
  <si>
    <t>00Y2856</t>
  </si>
  <si>
    <t>00Y2857</t>
  </si>
  <si>
    <t>00Y2858</t>
  </si>
  <si>
    <t>00Y2859</t>
  </si>
  <si>
    <t>Intel Xeon 10C Processor Model E5-2690v2 130W 3.0GHz/1866MHz/25MB</t>
  </si>
  <si>
    <t>00Y2861</t>
  </si>
  <si>
    <t>00Y2862</t>
  </si>
  <si>
    <t>00Y2863</t>
  </si>
  <si>
    <t>Intel Xeon 8C Processor Model E5-2667 v2 130W 3.3GHz/1866MHz/25MB</t>
  </si>
  <si>
    <t>00Y2864</t>
  </si>
  <si>
    <t>00Y8430</t>
  </si>
  <si>
    <t>Intel Xeon 8C Processor Model E5-2628L v2 70W 1.9GHz/1600MHz/20MB</t>
  </si>
  <si>
    <t>00Y8431</t>
  </si>
  <si>
    <t>Intel Xeon 10C Processor Model E5-2648L v2 70W 1.9GHz/1866MHz/25MB</t>
  </si>
  <si>
    <t>46W4210</t>
  </si>
  <si>
    <t>Intel Xeon 4C Processor Model E5-2603 v2 80W 1.8GHz/1333MHz/10MB</t>
  </si>
  <si>
    <t>46W4211</t>
  </si>
  <si>
    <t>Intel Xeon 4C Processor Model E5-2609 v2 80W 2.5GHz/1333MHz/10MB</t>
  </si>
  <si>
    <t>46W4212</t>
  </si>
  <si>
    <t>Intel Xeon 4C Processor Model E5-2637 v2 130W 3.5GHz/1866MHz/15MB</t>
  </si>
  <si>
    <t>46W4213</t>
  </si>
  <si>
    <t>46W4214</t>
  </si>
  <si>
    <t>Intel Xeon 6C Processor Model E5-2630 v2 80W 2.6GHz/1600MHz/15MB</t>
  </si>
  <si>
    <t>46W4215</t>
  </si>
  <si>
    <t>46W4216</t>
  </si>
  <si>
    <t>Intel Xeon 10C Processor Model E5-2660 v2 95W 2.2GHz/1866MHz/25MB</t>
  </si>
  <si>
    <t>46W4217</t>
  </si>
  <si>
    <t>46W4219</t>
  </si>
  <si>
    <t>Intel Xeon 10C Processor Model E5-2670 v2 115W 2.5GHz/1866MHz/25MB</t>
  </si>
  <si>
    <t>46W4220</t>
  </si>
  <si>
    <t>Intel Xeon 10C Processor Model E5-2680 v2 115W 2.8GHz/1866MHz/25MB</t>
  </si>
  <si>
    <t>46W4221</t>
  </si>
  <si>
    <t>Intel Xeon 6C Processor Model E5-2643 v2 130W 3.5GHz/1866MHz/25MB</t>
  </si>
  <si>
    <t>46W4222</t>
  </si>
  <si>
    <t>46W4223</t>
  </si>
  <si>
    <t>46W4224</t>
  </si>
  <si>
    <t>46W4225</t>
  </si>
  <si>
    <t>Intel Xeon 10C Processor Model E5-2650L v2 70W 1.7GHz/1600MHz/25MB</t>
  </si>
  <si>
    <t>46W4226</t>
  </si>
  <si>
    <t>Intel Xeon 6C Processor Model E5-2630L v2 60W 2.4GHz/1600MHz/15MB</t>
  </si>
  <si>
    <t>46W4297</t>
  </si>
  <si>
    <t>00D2593</t>
  </si>
  <si>
    <t>Redundant System FAN</t>
  </si>
  <si>
    <t>00D0574</t>
  </si>
  <si>
    <t>Intel Xeon 10C Processor Model E5-4624Lv2 70W 1.9GHz/1866MHz/25MB</t>
  </si>
  <si>
    <t>00D1948</t>
  </si>
  <si>
    <t>00D1953</t>
  </si>
  <si>
    <t>00D1958</t>
  </si>
  <si>
    <t>00D1963</t>
  </si>
  <si>
    <t>00D1968</t>
  </si>
  <si>
    <t>00D1973</t>
  </si>
  <si>
    <t>00D1978</t>
  </si>
  <si>
    <t>00D1988</t>
  </si>
  <si>
    <t>Intel Xeon 12C Processor Model E5-4657Lv2 115W 2.4GHz/1866MHz/30MB</t>
  </si>
  <si>
    <t>00J6381</t>
  </si>
  <si>
    <t>Intel Xeon 4C Processor Model E5-2403v2 80W 1.8GHz/1333MHz/10MB</t>
  </si>
  <si>
    <t>00J6382</t>
  </si>
  <si>
    <t>Intel Xeon 4C Processor Model E5-2407v2 80W 2.4GHz/1333MHz/10MB</t>
  </si>
  <si>
    <t>00J6383</t>
  </si>
  <si>
    <t>Intel Xeon 6C Processor Model E5-2420v2 80W 2.2GHz/1600MHz/15MB</t>
  </si>
  <si>
    <t>00J6384</t>
  </si>
  <si>
    <t>Intel Xeon 6C Processor Model E5-2430v2 80W 2.5GHz/1600MHz/15MB</t>
  </si>
  <si>
    <t>00J6385</t>
  </si>
  <si>
    <t>Intel Xeon 8C Processor Model E5-2440v2 95W 1.9GHz/1600MHz/20MB</t>
  </si>
  <si>
    <t>00J6386</t>
  </si>
  <si>
    <t>Intel Xeon 8C Processor Model E5-2450v2 95W 2.5GHz/1600MHz/20MB</t>
  </si>
  <si>
    <t>00J6387</t>
  </si>
  <si>
    <t>Intel Xeon 10C Processor Model E5-2470Lv2 95W 2.4GHz/1600MHz/25MB</t>
  </si>
  <si>
    <t>00J6388</t>
  </si>
  <si>
    <t>Intel Xeon 6C Processor Model E5-2430Lv2 60W 2.4GHz/1600MHz/15MB</t>
  </si>
  <si>
    <t>00J6389</t>
  </si>
  <si>
    <t>Intel Xeon 10C Processor Model E5-2450Lv2 60W 1.7GHz/1600MHz/25MB</t>
  </si>
  <si>
    <t>00Y7257</t>
  </si>
  <si>
    <t>00Y7259</t>
  </si>
  <si>
    <t>00Y7437</t>
  </si>
  <si>
    <t>Intel Xeon 6C Processor Model E5-2418Lv2 45W 2.0GHz/1333MHz/15MB</t>
  </si>
  <si>
    <t>00Y7438</t>
  </si>
  <si>
    <t>Intel Xeon 8C Processor Model E5-2428Lv2 60W 2.4GHz/1333MHz/20MB</t>
  </si>
  <si>
    <t>00Y7439</t>
  </si>
  <si>
    <t>Intel Xeon 10C Processor Model E5-2448Lv2 70W 2.0GHz/1600MHz/25MB</t>
  </si>
  <si>
    <t>00Y7650</t>
  </si>
  <si>
    <t>00Y7652</t>
  </si>
  <si>
    <t>00Y8265</t>
  </si>
  <si>
    <t>00Y8266</t>
  </si>
  <si>
    <t>46W2833</t>
  </si>
  <si>
    <t>46W2834</t>
  </si>
  <si>
    <t>46W2835</t>
  </si>
  <si>
    <t>46W2836</t>
  </si>
  <si>
    <t>46W2837</t>
  </si>
  <si>
    <t>46W2838</t>
  </si>
  <si>
    <t>46W2839</t>
  </si>
  <si>
    <t>46W2840</t>
  </si>
  <si>
    <t>46W2841</t>
  </si>
  <si>
    <t>46W2842</t>
  </si>
  <si>
    <t>46W2843</t>
  </si>
  <si>
    <t>46W2844</t>
  </si>
  <si>
    <t>46W2846</t>
  </si>
  <si>
    <t>46W2847</t>
  </si>
  <si>
    <t>46W2848</t>
  </si>
  <si>
    <t>46W2849</t>
  </si>
  <si>
    <t>46W2850</t>
  </si>
  <si>
    <t>46W4360</t>
  </si>
  <si>
    <t>46W4361</t>
  </si>
  <si>
    <t>46W4362</t>
  </si>
  <si>
    <t>46W4363</t>
  </si>
  <si>
    <t>46W4364</t>
  </si>
  <si>
    <t>46W4365</t>
  </si>
  <si>
    <t>46W4366</t>
  </si>
  <si>
    <t>46W4367</t>
  </si>
  <si>
    <t>46W4369</t>
  </si>
  <si>
    <t>46W4370</t>
  </si>
  <si>
    <t>46W4371</t>
  </si>
  <si>
    <t>46W4372</t>
  </si>
  <si>
    <t>46W4373</t>
  </si>
  <si>
    <t>46W4374</t>
  </si>
  <si>
    <t>46W4375</t>
  </si>
  <si>
    <t>46W4376</t>
  </si>
  <si>
    <t>46W4377</t>
  </si>
  <si>
    <t>46W9126</t>
  </si>
  <si>
    <t>Intel Xeon 12C Processor Model E5-2695v2 115W 2.4GHz/1866MHz/30MB Upgrade Kit</t>
  </si>
  <si>
    <t>46W9127</t>
  </si>
  <si>
    <t>Intel Xeon 12C Processor Model E5-2697v2 130W 2.7GHz/1866MHz/30MB Upgrade Kit</t>
  </si>
  <si>
    <t>46W9128</t>
  </si>
  <si>
    <t>Intel Xeon 4C Processor Model E5-2603v2 80W 1.8GHz/1333MHz/10MB Upgrade Kit</t>
  </si>
  <si>
    <t>46W9129</t>
  </si>
  <si>
    <t>Intel Xeon 4C Processor Model E5-2609v2 80W 2.5GHz/1333MHz/10MB Upgrade Kit</t>
  </si>
  <si>
    <t>46W9130</t>
  </si>
  <si>
    <t>46W9131</t>
  </si>
  <si>
    <t>Intel Xeon 6C Processor Model E5-2630v2 80W 2.6GHz/1600MHz/15MB Upgrade Kit</t>
  </si>
  <si>
    <t>46W9132</t>
  </si>
  <si>
    <t>Intel Xeon 8C Processor Model E5-2640v2 95W 2.0GHz/1600MHz/20MB Upgrade Kit</t>
  </si>
  <si>
    <t>46W9133</t>
  </si>
  <si>
    <t>Intel Xeon 8C Processor Model E5-2650v2 95W 2.6GHz/1866MHz/20MB Upgrade Kit</t>
  </si>
  <si>
    <t>46W9134</t>
  </si>
  <si>
    <t>46W9135</t>
  </si>
  <si>
    <t>Intel Xeon 10C Processor Model E5-2670v2 115W 2.5GHz/1866MHz/25MB Upgrade Kit</t>
  </si>
  <si>
    <t>46W9136</t>
  </si>
  <si>
    <t>Intel Xeon 10C Processor Model E5-2680v2 115W 2.8GHz/1866MHz/25MB Upgrade Kit</t>
  </si>
  <si>
    <t>46W9137</t>
  </si>
  <si>
    <t>Intel Xeon 10C Processor Model E5-2690v2 130W 3.0GHz/1866MHz/25MB Upgrade Kit</t>
  </si>
  <si>
    <t>46W9139</t>
  </si>
  <si>
    <t>Intel Xeon 4C Processor Model E5-2637v2 130W 3.5GHz/1866MHz/15MB Upgrade Kit</t>
  </si>
  <si>
    <t>46W9140</t>
  </si>
  <si>
    <t>Intel Xeon 6C Processor Model E5-2643v2 130W 3.5GHz/1866MHz/25MB Upgrade Kit</t>
  </si>
  <si>
    <t>46W9141</t>
  </si>
  <si>
    <t>Intel Xeon 8C Processor Model E5-2667v2 130W 3.3GHz/1866MHz/25MB Upgrade Kit</t>
  </si>
  <si>
    <t>46W9142</t>
  </si>
  <si>
    <t>Intel Xeon 6C Processor Model E5-2630Lv2 60W 2.4GHz/1600MHz/15MB Upgrade Kit</t>
  </si>
  <si>
    <t>46W9143</t>
  </si>
  <si>
    <t>Intel Xeon 10C Processor Model E5-2650Lv2 70W 1.7GHz/1600MHz/25MB Upgrade Kit</t>
  </si>
  <si>
    <t>94Y5260</t>
  </si>
  <si>
    <t>94Y5261</t>
  </si>
  <si>
    <t>94Y5262</t>
  </si>
  <si>
    <t>94Y5263</t>
  </si>
  <si>
    <t>94Y5264</t>
  </si>
  <si>
    <t>94Y5265</t>
  </si>
  <si>
    <t>94Y5266</t>
  </si>
  <si>
    <t>94Y5267</t>
  </si>
  <si>
    <t>94Y5268</t>
  </si>
  <si>
    <t>94Y5269</t>
  </si>
  <si>
    <t>94Y5271</t>
  </si>
  <si>
    <t>94Y5274</t>
  </si>
  <si>
    <t>94Y5275</t>
  </si>
  <si>
    <t>94Y5276</t>
  </si>
  <si>
    <t>94Y5277</t>
  </si>
  <si>
    <t>94Y5278</t>
  </si>
  <si>
    <t>94Y5279</t>
  </si>
  <si>
    <t>94Y5281</t>
  </si>
  <si>
    <t>94Y5282</t>
  </si>
  <si>
    <t>00FK640</t>
  </si>
  <si>
    <t>Intel Xeon Processor E5-2603 v3 6C 1.6GHz 15MB Cache 1600MHz 85W</t>
  </si>
  <si>
    <t>00FK641</t>
  </si>
  <si>
    <t>Intel Xeon Processor E5-2609 v3 6C 1.9GHz 15MB Cache 1600MHz 85W</t>
  </si>
  <si>
    <t>00FK642</t>
  </si>
  <si>
    <t>Intel Xeon Processor E5-2620 v3 6C 2.4GHz 15MB Cache 1866MHz 85W</t>
  </si>
  <si>
    <t>00FK643</t>
  </si>
  <si>
    <t>Intel Xeon Processor E5-2630 v3 8C 2.4GHz 20MB Cache 1866MHz 85W</t>
  </si>
  <si>
    <t>00FK644</t>
  </si>
  <si>
    <t>00FK645</t>
  </si>
  <si>
    <t>00FK647</t>
  </si>
  <si>
    <t>00FK648</t>
  </si>
  <si>
    <t>00FK649</t>
  </si>
  <si>
    <t>00FK655</t>
  </si>
  <si>
    <t>00FL153</t>
  </si>
  <si>
    <t>Intel Xeon Processor E5-2697 v3 14C 2.6GHz 35MB 2133MHz 145W</t>
  </si>
  <si>
    <t>00FL154</t>
  </si>
  <si>
    <t>Intel Xeon Processor E5-2695 v3 14C 2.3GHz 35MB 2133MHz 120W</t>
  </si>
  <si>
    <t>00FL155</t>
  </si>
  <si>
    <t>Intel Xeon Processor E5-2690 v3 12C 2.6GHz 30MB 2133MHz 135W</t>
  </si>
  <si>
    <t>00FL156</t>
  </si>
  <si>
    <t>Intel Xeon Processor E5-2680 v3 12C 2.5GHz 30MB 2133MHz 120W</t>
  </si>
  <si>
    <t>00FL157</t>
  </si>
  <si>
    <t>Intel Xeon Processor E5-2670 v3 12C 2.3GHz 30MB 2133MHz 120W</t>
  </si>
  <si>
    <t>00FL158</t>
  </si>
  <si>
    <t>Intel Xeon Processor E5-2660 v3 10C 2.6GHz 25MB 2133MHz 105W</t>
  </si>
  <si>
    <t>00FL159</t>
  </si>
  <si>
    <t>Intel Xeon Processor E5-2650 v3 10C 2.3GHz 25MB 2133MHz 105W</t>
  </si>
  <si>
    <t>00FL160</t>
  </si>
  <si>
    <t>Intel Xeon Processor E5-2650L v3 12C 1.8GHz 30MB 2133MHz 65W</t>
  </si>
  <si>
    <t>00FL161</t>
  </si>
  <si>
    <t>Intel Xeon Processor E5-2640 v3 8C 2.6GHz 20MB 1866MHz 90W</t>
  </si>
  <si>
    <t>00FL162</t>
  </si>
  <si>
    <t>Intel Xeon Processor E5-2630 v3 8C 2.4GHz 20MB 1866MHz 85W</t>
  </si>
  <si>
    <t>00FL163</t>
  </si>
  <si>
    <t>Intel Xeon Processor E5-2620 v3 6C 2.4GHz 15MB 1866MHz 85W</t>
  </si>
  <si>
    <t>00FL164</t>
  </si>
  <si>
    <t>Intel Xeon Processor E5-2630L v3 8C 1.8GHz 20MB 1866MHz 55W</t>
  </si>
  <si>
    <t>00FL165</t>
  </si>
  <si>
    <t>Intel Xeon Processor E5-2609 v3 6C 1.9GHz 15MB 1600MHz 85W</t>
  </si>
  <si>
    <t>00FL166</t>
  </si>
  <si>
    <t>Intel Xeon Processor E5-2603 v3 6C 1.6GHz 15MB 1600MHz 85W</t>
  </si>
  <si>
    <t>00FL167</t>
  </si>
  <si>
    <t>Intel Xeon Processor E5-2667 v3 8C 3.2GHz 20MB 2133MHz 135W</t>
  </si>
  <si>
    <t>00FL168</t>
  </si>
  <si>
    <t>Intel Xeon Processor E5-2643 v3 6C 3.4GHz 20MB 2133MHz 135W</t>
  </si>
  <si>
    <t>00FL169</t>
  </si>
  <si>
    <t>Intel Xeon Processor E5-2637 v3 4C 3.5GHz 15MB 2133MHz 135W</t>
  </si>
  <si>
    <t>00KA067</t>
  </si>
  <si>
    <t>00KA068</t>
  </si>
  <si>
    <t>00KA069</t>
  </si>
  <si>
    <t>00KA070</t>
  </si>
  <si>
    <t>00KA071</t>
  </si>
  <si>
    <t>00KA072</t>
  </si>
  <si>
    <t>00KA074</t>
  </si>
  <si>
    <t>00KA075</t>
  </si>
  <si>
    <t>00KA076</t>
  </si>
  <si>
    <t>00KA077</t>
  </si>
  <si>
    <t>00KA829</t>
  </si>
  <si>
    <t>Intel Xeon Processor E5-2683 v3 14C 2.0GHz 35MB 2133MHz 120W</t>
  </si>
  <si>
    <t>00KA945</t>
  </si>
  <si>
    <t>Intel Xeon Processor E5-2698 v3 16C 2.3GHz 40MB 2133MHz 135W</t>
  </si>
  <si>
    <t>00KA946</t>
  </si>
  <si>
    <t>Intel Xeon Processor E5-2623 v3 4C 3.0GHz 10MB 1866MHz 105W</t>
  </si>
  <si>
    <t>00KA947</t>
  </si>
  <si>
    <t>Intel Xeon Processor E5-2699 v3 18C 2.3GHz 45MB 2133MHz 145W</t>
  </si>
  <si>
    <t>00KF372</t>
  </si>
  <si>
    <t>00KF584</t>
  </si>
  <si>
    <t>00KG038</t>
  </si>
  <si>
    <t>00KG039</t>
  </si>
  <si>
    <t>00KG040</t>
  </si>
  <si>
    <t>00KG052</t>
  </si>
  <si>
    <t>Intel Xeon Processor E5-2630L v3 8C 1.8GHz 20MB 2133MHz 55W</t>
  </si>
  <si>
    <t>00KG692</t>
  </si>
  <si>
    <t>Intel Xeon Processor E5-2685 v3 12C 2.6GHz 30MB 2133MHz 120W</t>
  </si>
  <si>
    <t>00KG839</t>
  </si>
  <si>
    <t>00KG840</t>
  </si>
  <si>
    <t>00KG841</t>
  </si>
  <si>
    <t>00KG842</t>
  </si>
  <si>
    <t>00KG843</t>
  </si>
  <si>
    <t>00KG844</t>
  </si>
  <si>
    <t>00KG845</t>
  </si>
  <si>
    <t>00KG846</t>
  </si>
  <si>
    <t>00KG847</t>
  </si>
  <si>
    <t>00KG848</t>
  </si>
  <si>
    <t>00KG849</t>
  </si>
  <si>
    <t>00MU296</t>
  </si>
  <si>
    <t>Intel Xeon Processor E5-2608L v3 6C 2.0GHz 15MB Cache 1866MHz 52W</t>
  </si>
  <si>
    <t>00MU297</t>
  </si>
  <si>
    <t>Intel Xeon Processor E5-2618L v3 8C 2.3GHz 20MB Cache 1866MHz 75W</t>
  </si>
  <si>
    <t>00MU298</t>
  </si>
  <si>
    <t>Intel Xeon Processor E5-2628L v3 10C 2.0GHz 25MB Cache 1866MHz 75W</t>
  </si>
  <si>
    <t>00MU299</t>
  </si>
  <si>
    <t>Intel Xeon Processor E5-2648L v3 12C 1.8GHz 30MB Cache 2133MHz 75W</t>
  </si>
  <si>
    <t>00MU300</t>
  </si>
  <si>
    <t>Intel Xeon Processor E5-2658 v3 12C 2.2GHz 30MB Cache 2133MHz 105W</t>
  </si>
  <si>
    <t>00MU330</t>
  </si>
  <si>
    <t>Intel Xeon Processor E5-2660 v3 10C 2.6GHz 25MB Cache 2133MHz 135W</t>
  </si>
  <si>
    <t>00MU331</t>
  </si>
  <si>
    <t>Intel Xeon Processor E5-2667 v3 8C 3.2GHz 20MB Cache 2133MHz 135W</t>
  </si>
  <si>
    <t>00MU332</t>
  </si>
  <si>
    <t>Intel Xeon Processor E5-2623 v3 4C 3.0GHz 10MB Cache 1866MHz 105W</t>
  </si>
  <si>
    <t>00MU400</t>
  </si>
  <si>
    <t>00MU401</t>
  </si>
  <si>
    <t>00MU402</t>
  </si>
  <si>
    <t>00MU403</t>
  </si>
  <si>
    <t>00MU404</t>
  </si>
  <si>
    <t>00MU405</t>
  </si>
  <si>
    <t>00MU406</t>
  </si>
  <si>
    <t>00MU407</t>
  </si>
  <si>
    <t>00MU408</t>
  </si>
  <si>
    <t>00MU409</t>
  </si>
  <si>
    <t>00MU410</t>
  </si>
  <si>
    <t>00MU566</t>
  </si>
  <si>
    <t>00MU567</t>
  </si>
  <si>
    <t>00MU568</t>
  </si>
  <si>
    <t>00MU569</t>
  </si>
  <si>
    <t>00MU570</t>
  </si>
  <si>
    <t>44X3961</t>
  </si>
  <si>
    <t>X6 Compute Book Intel Xeon 6C Processor Model E7-4809v2 105W 1.9GHz/1066MHz/12MB</t>
  </si>
  <si>
    <t>44X3966</t>
  </si>
  <si>
    <t>44X3971</t>
  </si>
  <si>
    <t>X6 Compute Book Intel Xeon 10C Processor Model E7-4830v2 105W 2.2GHz/1333MHz/20MB</t>
  </si>
  <si>
    <t>44X3976</t>
  </si>
  <si>
    <t>44X3981</t>
  </si>
  <si>
    <t>X6 Compute Book Intel Xeon 12C Processor Model E7-4860v2 130W 2.6GHz/1600MHz/30MB</t>
  </si>
  <si>
    <t>44X3986</t>
  </si>
  <si>
    <t>X6 Compute Book Intel Xeon 15C Processor Model E7-4870v2 130W 2.3GHz/1600MHz/30MB</t>
  </si>
  <si>
    <t>44X3991</t>
  </si>
  <si>
    <t>X6 Compute Book Intel Xeon 15C Processor Model E7-4880v2 130W 2.5GHz/1600MHz/37.5MB</t>
  </si>
  <si>
    <t>44X3996</t>
  </si>
  <si>
    <t>X6 Compute Book Intel Xeon 15C Processor Model E7-4890v2 155W 2.8GHz/1600MHz/37.5MB</t>
  </si>
  <si>
    <t>44X4001</t>
  </si>
  <si>
    <t>X6 Compute Book Intel Xeon 12C Processor Model E7-8850v2 105W 2.3GHz/1333MHz/24MB</t>
  </si>
  <si>
    <t>44X4006</t>
  </si>
  <si>
    <t>X6 Compute Book Intel Xeon 6C Processor Model E7-8893v2 155W 3.4GHz/1600MHz/37.5MB</t>
  </si>
  <si>
    <t>44X4011</t>
  </si>
  <si>
    <t>X6 Compute Book Intel Xeon 15C Processor Model E7-8870v2 130W 2.3GHz/1600MHz/30MB</t>
  </si>
  <si>
    <t>44X4016</t>
  </si>
  <si>
    <t>X6 Compute Book Intel Xeon 15C Processor Model E7-8880v2 130W 2.5GHz/1600MHz/37.5MB</t>
  </si>
  <si>
    <t>44X4021</t>
  </si>
  <si>
    <t>X6 Compute Book Intel Xeon 15C Processor Model E7-8890v2 155W 2.8GHz/1600MHz/37.5MB</t>
  </si>
  <si>
    <t>44X4026</t>
  </si>
  <si>
    <t>X6 Compute Book Intel Xeon 10C Processor Model E7-8891v2 155W 3.2GHz/1600MHz/37.5MB</t>
  </si>
  <si>
    <t>44X4031</t>
  </si>
  <si>
    <t>X6 Compute Book Intel Xeon 12C Processor Model E7-8857v2 130W 3.0GHz/1600MHz/30MB</t>
  </si>
  <si>
    <t>44X4036</t>
  </si>
  <si>
    <t>X6 Compute Book Intel Xeon 15C Processor Model E7-8880Lv2 105W 2.2GHz/1600MHz/37.5MB</t>
  </si>
  <si>
    <t>81Y7113</t>
  </si>
  <si>
    <t>81Y7114</t>
  </si>
  <si>
    <t>81Y7115</t>
  </si>
  <si>
    <t>81Y7116</t>
  </si>
  <si>
    <t>81Y7117</t>
  </si>
  <si>
    <t>81Y7118</t>
  </si>
  <si>
    <t>81Y7119</t>
  </si>
  <si>
    <t>81Y7120</t>
  </si>
  <si>
    <t>81Y7121</t>
  </si>
  <si>
    <t>Intel Xeon Processor E5-2650L v3 12C 1.8GHz 30MB Cache 2133MHz 65W</t>
  </si>
  <si>
    <t>00AL537</t>
  </si>
  <si>
    <t>System x3500 M5 Redundant Cooling Kit</t>
  </si>
  <si>
    <t>00FM322</t>
  </si>
  <si>
    <t>Intel Xeon Processor E5-4607 v2 6C 2.6GHz 15MB 1333MHz 95W R</t>
  </si>
  <si>
    <t>00FM324</t>
  </si>
  <si>
    <t>Intel Xeon Processor E5-4610 v2 8C 2.3GHz 16MB 1600MHz 95W R</t>
  </si>
  <si>
    <t>00FM326</t>
  </si>
  <si>
    <t>Intel Xeon Processor E5-4620 v2 8C 2.6GHz 20MB 1600MHz 95W R</t>
  </si>
  <si>
    <t>00FM328</t>
  </si>
  <si>
    <t>Intel Xeon Processor E5-4650 v2 10C 2.4GHz 25MB 1866MHz 95W R</t>
  </si>
  <si>
    <t>00FM330</t>
  </si>
  <si>
    <t>Intel Xeon Processor E5-4657L v2 12C 2.4GHz 30MB 1866MHz 115W R</t>
  </si>
  <si>
    <t>00FM343</t>
  </si>
  <si>
    <t>Intel Xeon Processor E5-4627 v2 8C 3.3GHz 16MB 1866MHz 130W R</t>
  </si>
  <si>
    <t>00JX050</t>
  </si>
  <si>
    <t>Intel Xeon Proc E5-2697 v3 14C 2.6GHz 35MB Cache 2133MHz 145W</t>
  </si>
  <si>
    <t>00JX051</t>
  </si>
  <si>
    <t>Intel Xeon Proc E5-2695 v3 14C 2.3GHz 35MB Cache 2133MHz 120W</t>
  </si>
  <si>
    <t>00JX052</t>
  </si>
  <si>
    <t>Intel Xeon Proc E5-2690 v3 12C 2.6GHz 30MB Cache 2133MHz 135W</t>
  </si>
  <si>
    <t>00JX053</t>
  </si>
  <si>
    <t>Intel Xeon Proc E5-2680 v3 12C 2.5GHz 30MB Cache 2133MHz 120W</t>
  </si>
  <si>
    <t>00JX054</t>
  </si>
  <si>
    <t>Intel Xeon Proc E5-2670 v3 12C 2.3GHz 30MB Cache 2133MHz 120W</t>
  </si>
  <si>
    <t>00JX055</t>
  </si>
  <si>
    <t>Intel Xeon Proc E5-2660 v3 10C 2.6GHz 25MB Cache 2133MHz 105W</t>
  </si>
  <si>
    <t>00JX056</t>
  </si>
  <si>
    <t>Intel Xeon Proc E5-2650 v3 10C 2.3GHz 25MB Cache 2133MHz 105W</t>
  </si>
  <si>
    <t>00JX057</t>
  </si>
  <si>
    <t>Intel Xeon Proc E5-2650L v3 12C 1.8GHz 30MB Cache 2133MHz 65W</t>
  </si>
  <si>
    <t>00JX058</t>
  </si>
  <si>
    <t>Intel Xeon Proc E5-2640 v3 8C 2.6GHz 20MB Cache 1866MHz 90W</t>
  </si>
  <si>
    <t>00JX059</t>
  </si>
  <si>
    <t>Intel Xeon Proc E5-2630 v3 8C 2.4GHz 20MB Cache 1866MHz 85W</t>
  </si>
  <si>
    <t>00JX060</t>
  </si>
  <si>
    <t>Intel Xeon Proc E5-2620 v3 6C 2.4GHz 15MB Cache 1866MHz 85W</t>
  </si>
  <si>
    <t>00JX061</t>
  </si>
  <si>
    <t>Intel Xeon Proc E5-2630L v3 8C 1.8GHz 20MB Cache 1866MHz 55W</t>
  </si>
  <si>
    <t>00JX062</t>
  </si>
  <si>
    <t>Intel Xeon Proc E5-2609 v3 6C 1.9GHz 15MB Cache 1600MHz 85W</t>
  </si>
  <si>
    <t>00JX063</t>
  </si>
  <si>
    <t>Intel Xeon Proc E5-2603 v3 6C 1.6GHz 15MB Cache 1600MHz 85W</t>
  </si>
  <si>
    <t>00JX064</t>
  </si>
  <si>
    <t>Intel Xeon Proc E5-2667 v3 8C 3.2GHz 20MB Cache 2133MHz 135W</t>
  </si>
  <si>
    <t>00JX065</t>
  </si>
  <si>
    <t>Intel Xeon Proc E5-2643 v3 6C 3.4GHz 20MB Cache 2133MHz 135W</t>
  </si>
  <si>
    <t>00JX066</t>
  </si>
  <si>
    <t>Intel Xeon Proc E5-2637 v3 4C 3.5GHz 15MB Cache 2133MHz 135W</t>
  </si>
  <si>
    <t>00KJ043</t>
  </si>
  <si>
    <t>Intel Xeon Proc E5-2699 v3 18C 2.3GHz 45MB Cache 2133MHz 145W</t>
  </si>
  <si>
    <t>00KJ044</t>
  </si>
  <si>
    <t>Intel Xeon Proc E5-2658 v3 12C 2.2GHz 30MB Cache 2133MHz 105W</t>
  </si>
  <si>
    <t>00KJ045</t>
  </si>
  <si>
    <t>Intel Xeon Proc E5-2698 v3 16C 2.3GHz 40MB Cache 2133MHz 135W</t>
  </si>
  <si>
    <t>00KJ046</t>
  </si>
  <si>
    <t>Intel Xeon Proc E5-2685 v3 12C 2.6GHz 30MB Cache 2133MHz 120W</t>
  </si>
  <si>
    <t>00KJ047</t>
  </si>
  <si>
    <t>Intel Xeon Proc E5-2683 v3 14C 2.0GHz 35MB Cache 2133MHz 120W</t>
  </si>
  <si>
    <t>00KJ048</t>
  </si>
  <si>
    <t>Intel Xeon Proc E5-2623 v3 4C 3.0GHz 10MB Cache 1866MHz 105W</t>
  </si>
  <si>
    <t>00KJ049</t>
  </si>
  <si>
    <t>Intel Xeon Proc E5-2648L v3 12C 1.8GHz 30MB Cache 2133MHz 75W</t>
  </si>
  <si>
    <t>00KJ050</t>
  </si>
  <si>
    <t>Intel Xeon Proc E5-2628L v3 10C 2.0GHz 25MB Cache 1866MHz 75W</t>
  </si>
  <si>
    <t>00KJ051</t>
  </si>
  <si>
    <t>Intel Xeon Proc E5-2618L v3 8C 2.3GHz 20MB Cache 1866MHz 75W</t>
  </si>
  <si>
    <t>00KJ052</t>
  </si>
  <si>
    <t>Intel Xeon Proc E5-2608L v3 6C 2.0GHz 15MB Cache 1866MHz 52W</t>
  </si>
  <si>
    <t>47C2303</t>
  </si>
  <si>
    <t>Intel Xeon Processor E5-4607 v2 6C 2.6GHz 15MB 1333MHz 95W F</t>
  </si>
  <si>
    <t>47C2307</t>
  </si>
  <si>
    <t>Intel Xeon Processor E5-4610 v2 8C 2.3GHz 16MB 1600MHz 95W F</t>
  </si>
  <si>
    <t>47C2311</t>
  </si>
  <si>
    <t>Intel Xeon Processor E5-4620 v2 8C 2.6GHz 20MB 1600MHz 95W F</t>
  </si>
  <si>
    <t>47C2319</t>
  </si>
  <si>
    <t>Intel Xeon Processor E5-4650 v2 10C 2.4GHz 25MB 1866MHz 95W F</t>
  </si>
  <si>
    <t>47C2323</t>
  </si>
  <si>
    <t>Intel Xeon Processor E5-4627 v2 8C 3.3GHz 16MB 1866MHz 130W F</t>
  </si>
  <si>
    <t>47C2331</t>
  </si>
  <si>
    <t>Intel Xeon Processor E5-4657L v2 12C 2.4GHz 30MB 1866MHz 115W F</t>
  </si>
  <si>
    <t>Memory</t>
  </si>
  <si>
    <t>00D5008</t>
  </si>
  <si>
    <t>32GB (1x32GB, 4Rx4, 1.35V) PC3L-10600 CL9 ECC DDR3 1333MHz VLP RDIMM</t>
  </si>
  <si>
    <t>00FE000</t>
  </si>
  <si>
    <t>00FE005</t>
  </si>
  <si>
    <t>8GB (1x8GB, 1Rx4, 1.35V) PC3L-12800 CL11 ECC DDR3 1600MHz LP RDIMM</t>
  </si>
  <si>
    <t>88Y7365</t>
  </si>
  <si>
    <t>00D5012</t>
  </si>
  <si>
    <t>4GB (1x4GB, 2Rx8, 1.35V) PC3L-12800 CL11 ECC DDR3 1600MHz LP UDIMM</t>
  </si>
  <si>
    <t>00D5016</t>
  </si>
  <si>
    <t>8GB (1x8GB, 2Rx8, 1.35V) PC3L-12800 CL11 ECC DDR3 1600MHz LP UDIMM</t>
  </si>
  <si>
    <t>00D5020</t>
  </si>
  <si>
    <t>4GB (1x4GB, 1Rx4, 1.5V) PC3-14900 CL13 ECC DDR3 1866MHz LP RDIMM</t>
  </si>
  <si>
    <t>00D5024</t>
  </si>
  <si>
    <t>4GB (1x4GB, 1Rx4, 1.35V) PC3L-12800 CL11 ECC DDR3 1600MHz LP RDIMM</t>
  </si>
  <si>
    <t>00D5028</t>
  </si>
  <si>
    <t>4GB (1x4GB, 2Rx8, 1.5V) PC3-14900 CL13 ECC DDR3 1866MHz LP RDIMM</t>
  </si>
  <si>
    <t>00D5032</t>
  </si>
  <si>
    <t>8GB (1x8GB, 1Rx4, 1.5V) PC3-14900 CL13 ECC DDR3 1866MHz LP RDIMM</t>
  </si>
  <si>
    <t>00D5036</t>
  </si>
  <si>
    <t>00D5040</t>
  </si>
  <si>
    <t>8GB (1x8GB, 2Rx8, 1.5V) PC3-14900 CL13 ECC DDR3 1866MHz LP RDIMM</t>
  </si>
  <si>
    <t>00D5044</t>
  </si>
  <si>
    <t>8GB (1x8GB, 2Rx8, 1.35V) PC3L-12800 CL11 ECC DDR3 1600MHz LP RDIMM</t>
  </si>
  <si>
    <t>00D5048</t>
  </si>
  <si>
    <t>16GB (1x16GB, 2Rx4, 1.5V) PC3-14900 CL13 ECC DDR3 1866MHz LP RDIMM</t>
  </si>
  <si>
    <t>46W0672</t>
  </si>
  <si>
    <t>16GB (1x16GB, 2Rx4, 1.35V) PC3L-12800 CL11 ECC DDR3 1600MHz LP RDIMM</t>
  </si>
  <si>
    <t>46W0676</t>
  </si>
  <si>
    <t>32GB (1x32GB, 4Rx4, 1.35V)PC3L-12800 CL11 ECC DDR3 1600MHz LP LRDIMM</t>
  </si>
  <si>
    <t>46W0688</t>
  </si>
  <si>
    <t>4GB (1x4GB, 2Rx8, 1.5V) PC3-14900 CL13 ECC DDR3 1866MHz VLP RDIMM</t>
  </si>
  <si>
    <t>46W0692</t>
  </si>
  <si>
    <t>4GB (1x4GB, 2Rx8, 1.35V) PC3L-12800 CL11 ECC DDR3 1600MHz VLP RDIMM</t>
  </si>
  <si>
    <t>46W0700</t>
  </si>
  <si>
    <t>8GB (1x8GB, 1Rx4, 1.35V) PC3L-12800 CL11 ECC DDR3 1600MHz VLP RDIMM</t>
  </si>
  <si>
    <t>46W0704</t>
  </si>
  <si>
    <t>8GB (1x8GB, 2Rx8, 1.5V) PC3-14900 CL13 ECC DDR3 1866MHz VLP RDIMM</t>
  </si>
  <si>
    <t>46W0708</t>
  </si>
  <si>
    <t>8GB (1x8GB, 2Rx8, 1.35V) PC3L-12800 CL11 ECC DDR3 1600MHz VLP RDIMM</t>
  </si>
  <si>
    <t>46W0712</t>
  </si>
  <si>
    <t>16GB (1x16GB, 2Rx4, 1.5V) PC3-14900 CL13 ECC DDR3 1866MHz VLP RDIMM</t>
  </si>
  <si>
    <t>46W0716</t>
  </si>
  <si>
    <t>16GB (1x16GB, 2Rx4, 1.35V) PC3L-12800 CL11 ECC DDR3 1600MHz VLP RDIMM</t>
  </si>
  <si>
    <t>46W0761</t>
  </si>
  <si>
    <t>32GB (1x32GB, 4Rx4, 1.5V) PC3-14900 CL13 ECC DDR3 1866MHz LP LRDIMM</t>
  </si>
  <si>
    <t>46W0779</t>
  </si>
  <si>
    <t>46W0784</t>
  </si>
  <si>
    <t>4GB TruDDR4 Memory (1Rx8, 1.2V) PC4-17000 CL15 2133MHz LP RDIMM</t>
  </si>
  <si>
    <t>46W0788</t>
  </si>
  <si>
    <t>8GB TruDDR4 Memory (1Rx4, 1.2V) PC4-17000 CL15 2133MHz LP RDIMM</t>
  </si>
  <si>
    <t>46W0792</t>
  </si>
  <si>
    <t>8GB TruDDR4 Memory (2Rx8, 1.2V) PC4-17000 CL15 2133MHz LP RDIMM</t>
  </si>
  <si>
    <t>46W0796</t>
  </si>
  <si>
    <t>46W0800</t>
  </si>
  <si>
    <t>32GB TruDDR4 Memory (4Rx4, 1.2V) PC417000 CL15 2133MHz LP LRDIMM</t>
  </si>
  <si>
    <t>95Y4812</t>
  </si>
  <si>
    <t>64GB TruDDR4 Memory (4Rx4,1.2V) PC4-17000 CL15 2133MHz LP LRDIMM</t>
  </si>
  <si>
    <t>95Y4821</t>
  </si>
  <si>
    <t>Disk Drives</t>
  </si>
  <si>
    <t>00AJ111</t>
  </si>
  <si>
    <t>00AJ485</t>
  </si>
  <si>
    <t>00AJ490</t>
  </si>
  <si>
    <t>00AD010</t>
  </si>
  <si>
    <t>00AD025</t>
  </si>
  <si>
    <t>00AD040</t>
  </si>
  <si>
    <t>00AD055</t>
  </si>
  <si>
    <t>00AJ000</t>
  </si>
  <si>
    <t>00AJ005</t>
  </si>
  <si>
    <t>00AJ010</t>
  </si>
  <si>
    <t>00AJ015</t>
  </si>
  <si>
    <t>00AJ086</t>
  </si>
  <si>
    <t>00AJ096</t>
  </si>
  <si>
    <t>00AJ106</t>
  </si>
  <si>
    <t>00AJ141</t>
  </si>
  <si>
    <t>00AJ156</t>
  </si>
  <si>
    <t>00AJ161</t>
  </si>
  <si>
    <t>00AJ166</t>
  </si>
  <si>
    <t>00AJ207</t>
  </si>
  <si>
    <t>00AJ212</t>
  </si>
  <si>
    <t>00AJ217</t>
  </si>
  <si>
    <t>00AJ335</t>
  </si>
  <si>
    <t>00AJ340</t>
  </si>
  <si>
    <t>00AJ345</t>
  </si>
  <si>
    <t>00AJ350</t>
  </si>
  <si>
    <t>00AJ355</t>
  </si>
  <si>
    <t>00AJ360</t>
  </si>
  <si>
    <t>00AJ365</t>
  </si>
  <si>
    <t>00AJ370</t>
  </si>
  <si>
    <t>00AJ395</t>
  </si>
  <si>
    <t>00AJ400</t>
  </si>
  <si>
    <t>00AJ405</t>
  </si>
  <si>
    <t>00AJ410</t>
  </si>
  <si>
    <t>00AJ435</t>
  </si>
  <si>
    <t>00FN020</t>
  </si>
  <si>
    <t>00FN268</t>
  </si>
  <si>
    <t>00FN278</t>
  </si>
  <si>
    <t>00NA597</t>
  </si>
  <si>
    <t>500GB 7.2K 6Gbps NL SATA 2.5in G3SS HDD</t>
  </si>
  <si>
    <t>00NA622</t>
  </si>
  <si>
    <t>1TB 7.2K 6Gbps NL SATA 2.5in G3SS HDD</t>
  </si>
  <si>
    <t>00W1543</t>
  </si>
  <si>
    <t>41Y8331</t>
  </si>
  <si>
    <t>41Y8336</t>
  </si>
  <si>
    <t>41Y8341</t>
  </si>
  <si>
    <t>49Y6002</t>
  </si>
  <si>
    <t>49Y6129</t>
  </si>
  <si>
    <t>49Y6134</t>
  </si>
  <si>
    <t>49Y6139</t>
  </si>
  <si>
    <t>49Y6195</t>
  </si>
  <si>
    <t>49Y6210</t>
  </si>
  <si>
    <t>90Y3227</t>
  </si>
  <si>
    <t>P3600 400GB NVMe 2.5in G3HS Enterprise Value PCIe SSD for System x</t>
  </si>
  <si>
    <t>90Y3230</t>
  </si>
  <si>
    <t>P3600 800GB NVMe 2.5in G3HS Enterprise Value PCIe SSD for System x</t>
  </si>
  <si>
    <t>90Y3233</t>
  </si>
  <si>
    <t>P3600 1.6TB NVMe 2.5in G3HS Enterprise Value PCIe SSD for System x</t>
  </si>
  <si>
    <t>90Y3236</t>
  </si>
  <si>
    <t>00AD035</t>
  </si>
  <si>
    <t>00AJ121</t>
  </si>
  <si>
    <t>00AJ136</t>
  </si>
  <si>
    <t>00FN337</t>
  </si>
  <si>
    <t>00FN379</t>
  </si>
  <si>
    <t>00FN389</t>
  </si>
  <si>
    <t>00FN399</t>
  </si>
  <si>
    <t>00FN409</t>
  </si>
  <si>
    <t>49Y3234</t>
  </si>
  <si>
    <t>00AD060</t>
  </si>
  <si>
    <t>00AD075</t>
  </si>
  <si>
    <t>00AD085</t>
  </si>
  <si>
    <t>00AJ071</t>
  </si>
  <si>
    <t>00AJ081</t>
  </si>
  <si>
    <t>00AJ091</t>
  </si>
  <si>
    <t>00AJ126</t>
  </si>
  <si>
    <t>00AJ146</t>
  </si>
  <si>
    <t>00AJ290</t>
  </si>
  <si>
    <t>00AJ300</t>
  </si>
  <si>
    <t>00FN040</t>
  </si>
  <si>
    <t>00FN113</t>
  </si>
  <si>
    <t>00FN123</t>
  </si>
  <si>
    <t>00FN143</t>
  </si>
  <si>
    <t>00FN173</t>
  </si>
  <si>
    <t>00FN183</t>
  </si>
  <si>
    <t>00FN188</t>
  </si>
  <si>
    <t>00FN208</t>
  </si>
  <si>
    <t>00FN213</t>
  </si>
  <si>
    <t>00FN228</t>
  </si>
  <si>
    <t>00ML213</t>
  </si>
  <si>
    <t>00NA221</t>
  </si>
  <si>
    <t>00NA231</t>
  </si>
  <si>
    <t>00NA241</t>
  </si>
  <si>
    <t>00NA251</t>
  </si>
  <si>
    <t>00NA261</t>
  </si>
  <si>
    <t>00NA271</t>
  </si>
  <si>
    <t>00NA291</t>
  </si>
  <si>
    <t>00NA301</t>
  </si>
  <si>
    <t>00NA331</t>
  </si>
  <si>
    <t>00NA346</t>
  </si>
  <si>
    <t>00NA356</t>
  </si>
  <si>
    <t>00NA441</t>
  </si>
  <si>
    <t>Hardfile Accessories</t>
  </si>
  <si>
    <t>00JX141</t>
  </si>
  <si>
    <t>00JX177</t>
  </si>
  <si>
    <t>00Y8615</t>
  </si>
  <si>
    <t>3.5in HDD RAID cage for nx360 M4 Storage Native Expansion Tray</t>
  </si>
  <si>
    <t>00AL348</t>
  </si>
  <si>
    <t>00D9034</t>
  </si>
  <si>
    <t>3.5in Hot Swap Cage Assembly, Rear, 2 x 3.5in</t>
  </si>
  <si>
    <t>00D9051</t>
  </si>
  <si>
    <t>x3630 M4 ODD Cage assembly</t>
  </si>
  <si>
    <t>00FK886</t>
  </si>
  <si>
    <t>Rear Backplane, 2x3.5in HDD Extension To Front Array (14HDD Array)</t>
  </si>
  <si>
    <t>00KC525</t>
  </si>
  <si>
    <t>00KG601</t>
  </si>
  <si>
    <t>NeXtScale 12G Storage Native Expansion Tray</t>
  </si>
  <si>
    <t>00KG603</t>
  </si>
  <si>
    <t>nx360 3.5in HDD8 Cage - HW RAID</t>
  </si>
  <si>
    <t>00Y7548</t>
  </si>
  <si>
    <t>00Y7626</t>
  </si>
  <si>
    <t>x3650M4 16x 2.5in HS HDD Assembly Kit for 12Gb RAID</t>
  </si>
  <si>
    <t>00Y7627</t>
  </si>
  <si>
    <t>x3650M4 16x 2.5in HS HDD Assembly Kit with Expander for 12Gb RAID</t>
  </si>
  <si>
    <t>00Y7658</t>
  </si>
  <si>
    <t>x3650 M4 HD 3 x 8 2.5in HS HDD Assembly Kit</t>
  </si>
  <si>
    <t>00Y7677</t>
  </si>
  <si>
    <t>x3650M4 16x 2.5in HS HDD Assembly Kit with two expanders</t>
  </si>
  <si>
    <t>46W6576</t>
  </si>
  <si>
    <t>3.5in Simple Swap HDD Hardware RAID upgrade kit</t>
  </si>
  <si>
    <t>46W6577</t>
  </si>
  <si>
    <t>2.5in Simple Swap HDD Hardware RAID upgrade kit</t>
  </si>
  <si>
    <t>49Y8119</t>
  </si>
  <si>
    <t>81Y6657</t>
  </si>
  <si>
    <t>x3550 M4 plus 4x 2.5in HDD Assembly Kit</t>
  </si>
  <si>
    <t>94Y6386</t>
  </si>
  <si>
    <t>4 x 2.5in Hot-Swap SAS upgrade assembling kit</t>
  </si>
  <si>
    <t>00AL184</t>
  </si>
  <si>
    <t>Rear Backplane, 2x3.5in HDD Separate Array</t>
  </si>
  <si>
    <t>00D2011</t>
  </si>
  <si>
    <t>00D2020</t>
  </si>
  <si>
    <t>00D2022</t>
  </si>
  <si>
    <t>00D2024</t>
  </si>
  <si>
    <t>00D2590</t>
  </si>
  <si>
    <t>00D2591</t>
  </si>
  <si>
    <t>00D2592</t>
  </si>
  <si>
    <t>00D9490</t>
  </si>
  <si>
    <t>x3650 M4 Plus 8x 2.5in HS HDD Assembly Kit</t>
  </si>
  <si>
    <t>00D9492</t>
  </si>
  <si>
    <t>x3650 M4 16 Plus 16x 1.8in SSD Assembly Kit</t>
  </si>
  <si>
    <t>00D9493</t>
  </si>
  <si>
    <t>x3650 M4 8x 2.5in Plus 16x 1.8in SSD Assembly Kit</t>
  </si>
  <si>
    <t>00Y7297</t>
  </si>
  <si>
    <t>x3550M4 2.5in HDD Assembly Kit for 12Gb RAID</t>
  </si>
  <si>
    <t>44X4104</t>
  </si>
  <si>
    <t>4x 2.5in HDD Riser</t>
  </si>
  <si>
    <t>44X4106</t>
  </si>
  <si>
    <t>1.8in SSD drive bay</t>
  </si>
  <si>
    <t>46W9242</t>
  </si>
  <si>
    <t>2.5in Hot Swap SAS/SATA for 16 and 24 HDDs (12GB)</t>
  </si>
  <si>
    <t>46W9243</t>
  </si>
  <si>
    <t>2.5in Hot Swap SAS/SATA for 8 and 32 HDDs (12GB)</t>
  </si>
  <si>
    <t>69Y5319</t>
  </si>
  <si>
    <t>x3650 M4 Plus 8x 2.5in HS HDD Assembly Kit with Expander</t>
  </si>
  <si>
    <t>81Y7010</t>
  </si>
  <si>
    <t>2.5in Hot Swap SAS/SATA for 8 and 32 HDDs</t>
  </si>
  <si>
    <t>2.5in Hot Swap SAS/SATA for 16 and 24 HDDs</t>
  </si>
  <si>
    <t>00FL175</t>
  </si>
  <si>
    <t>nx360 M5 2.5in Front Hot Swap Drive Cage</t>
  </si>
  <si>
    <t>00FL465</t>
  </si>
  <si>
    <t>nx360 M5 Drive Cage with 1 LFF Assy 3.5in HDD Left</t>
  </si>
  <si>
    <t>00J6352</t>
  </si>
  <si>
    <t>System x3100 3.5in Simple Swap HDD Hardware RAID upgrade kit</t>
  </si>
  <si>
    <t>00J6455</t>
  </si>
  <si>
    <t>System x3100 Hardware RAID Remote Battery/Cap Mechanical kit</t>
  </si>
  <si>
    <t>00KA894</t>
  </si>
  <si>
    <t>nx360 M5 2.5in Rear Drive Cage</t>
  </si>
  <si>
    <t>00KA895</t>
  </si>
  <si>
    <t>nx360 M5 1.8in Rear Drive Cage</t>
  </si>
  <si>
    <t>46C9030</t>
  </si>
  <si>
    <t>00FK658</t>
  </si>
  <si>
    <t>System x3650 M5 Rear 2x 2.5in HDD Kit</t>
  </si>
  <si>
    <t>00FK659</t>
  </si>
  <si>
    <t>System x3650 M5 Rear 2x 3.5in HDD Kit</t>
  </si>
  <si>
    <t>00FK661</t>
  </si>
  <si>
    <t>System x3650 M5 Plus 8x 2.5in HS HDD Assembly Kit with Expander</t>
  </si>
  <si>
    <t>00FK676</t>
  </si>
  <si>
    <t>System x3650 M5 Plus 8x 2.5in HS HDD Assembly Kit</t>
  </si>
  <si>
    <t>00KA055</t>
  </si>
  <si>
    <t>System x3550 M5 4x 2.5in HS HDD Kit PLUS</t>
  </si>
  <si>
    <t>00KA056</t>
  </si>
  <si>
    <t>System x3550 M5 4x 2.5in SS HDD Kit PLUS, Non-Raid</t>
  </si>
  <si>
    <t>00KA058</t>
  </si>
  <si>
    <t>System x3550 M5 2x 2.5in HS HDD Rear Kit</t>
  </si>
  <si>
    <t>00KA060</t>
  </si>
  <si>
    <t>System x3550 M5 4x 2.5in SS HDD Kit PLUS, HW RAID</t>
  </si>
  <si>
    <t>00MU147</t>
  </si>
  <si>
    <t>x3650 M5 8x 2.5in SS HDD ServeRAID Assembly Kit</t>
  </si>
  <si>
    <t>00MU148</t>
  </si>
  <si>
    <t>x3650 M5 8x 3.5in SS HDD ServeRAID Assembly Kit</t>
  </si>
  <si>
    <t>00AL540</t>
  </si>
  <si>
    <t>00AL541</t>
  </si>
  <si>
    <t>00AL542</t>
  </si>
  <si>
    <t>00AL543</t>
  </si>
  <si>
    <t>00AL544</t>
  </si>
  <si>
    <t>System x3500 M5 2.5in Hot Swap SAS</t>
  </si>
  <si>
    <t>00KG037</t>
  </si>
  <si>
    <t>8x 2.5in Hot-Swap SAS/SATA Upgrade Kit for 22 HDDs (Inter mix)</t>
  </si>
  <si>
    <t>CD/DVD Drives</t>
  </si>
  <si>
    <t>00AM066</t>
  </si>
  <si>
    <t>Ultraslim 9.5mm SATA DVD-ROM</t>
  </si>
  <si>
    <t>00AM067</t>
  </si>
  <si>
    <t>Ultraslim 9.5mm SATA Multi Burner</t>
  </si>
  <si>
    <t>00J5999</t>
  </si>
  <si>
    <t>46M0901</t>
  </si>
  <si>
    <t>46M0902</t>
  </si>
  <si>
    <t>81Y6404</t>
  </si>
  <si>
    <t>Storage Controller Cards</t>
  </si>
  <si>
    <t>46C8988</t>
  </si>
  <si>
    <t>46C9010</t>
  </si>
  <si>
    <t>47C8670</t>
  </si>
  <si>
    <t>00D4487</t>
  </si>
  <si>
    <t>00D4488</t>
  </si>
  <si>
    <t>00AE983</t>
  </si>
  <si>
    <t>00AE986</t>
  </si>
  <si>
    <t>00AE989</t>
  </si>
  <si>
    <t>00AE992</t>
  </si>
  <si>
    <t>00AE995</t>
  </si>
  <si>
    <t>00AE998</t>
  </si>
  <si>
    <t>00JY001</t>
  </si>
  <si>
    <t>00Y3264</t>
  </si>
  <si>
    <t>00Y3266</t>
  </si>
  <si>
    <t>00Y5624</t>
  </si>
  <si>
    <t>49Y4265</t>
  </si>
  <si>
    <t>90Y4390</t>
  </si>
  <si>
    <t>90Y5179</t>
  </si>
  <si>
    <t>00AE912</t>
  </si>
  <si>
    <t>00AE916</t>
  </si>
  <si>
    <t>00AE930</t>
  </si>
  <si>
    <t>00AE938</t>
  </si>
  <si>
    <t>00FL174</t>
  </si>
  <si>
    <t>nx360 M5 Remote Battery Holder</t>
  </si>
  <si>
    <t>00Y3337</t>
  </si>
  <si>
    <t>00Y3341</t>
  </si>
  <si>
    <t>46C9110</t>
  </si>
  <si>
    <t>46C9114</t>
  </si>
  <si>
    <t>47C8656</t>
  </si>
  <si>
    <t>47C8660</t>
  </si>
  <si>
    <t>47C8664</t>
  </si>
  <si>
    <t>47C8668</t>
  </si>
  <si>
    <t>47C8675</t>
  </si>
  <si>
    <t>47C8706</t>
  </si>
  <si>
    <t>47C8708</t>
  </si>
  <si>
    <t>47C8710</t>
  </si>
  <si>
    <t>47C8712</t>
  </si>
  <si>
    <t>95Y3760</t>
  </si>
  <si>
    <t>46C9084</t>
  </si>
  <si>
    <t>ServeRAID-MR10i/is/M Replacement Battery</t>
  </si>
  <si>
    <t>46M0917</t>
  </si>
  <si>
    <t>ServeRAID-M5000 Series Battery Assembly</t>
  </si>
  <si>
    <t>00D8544</t>
  </si>
  <si>
    <t>Network Cards</t>
  </si>
  <si>
    <t>00AM476</t>
  </si>
  <si>
    <t>90Y3558</t>
  </si>
  <si>
    <t>00D9550</t>
  </si>
  <si>
    <t>00D9690</t>
  </si>
  <si>
    <t>44T1360</t>
  </si>
  <si>
    <t>49Y7980</t>
  </si>
  <si>
    <t>49Y7990</t>
  </si>
  <si>
    <t>90Y4600</t>
  </si>
  <si>
    <t>94Y5180</t>
  </si>
  <si>
    <t>00AL310</t>
  </si>
  <si>
    <t>PCIe Riser Card 2 (2 x8 + 1 x4 LP for Slotless RAID) v2</t>
  </si>
  <si>
    <t>00AL653</t>
  </si>
  <si>
    <t>00AL678</t>
  </si>
  <si>
    <t>PCIe Riser Card for slot 1 (1 x8 FH/HL + 1 x8 LP Slots) v2</t>
  </si>
  <si>
    <t>00AL679</t>
  </si>
  <si>
    <t>PCIe Riser Card 1 (1 x16 FH/HL Slot) for Graphic card v2</t>
  </si>
  <si>
    <t>00AL680</t>
  </si>
  <si>
    <t>PCIe Riser Card 2 (1 x4 LP for Slotless RAID) v2</t>
  </si>
  <si>
    <t>00D4489</t>
  </si>
  <si>
    <t>PCIe Riser Card for slot 1 (1 x8 FH/HL + 1 x8 LP Slots)</t>
  </si>
  <si>
    <t>00D4490</t>
  </si>
  <si>
    <t>PCIe Riser Card 1 (1 x16 FH/HL Slot) for Graphic card</t>
  </si>
  <si>
    <t>00D8603</t>
  </si>
  <si>
    <t>PCIe Riser Card 2 (1 x8 LP for Slotless RAID)</t>
  </si>
  <si>
    <t>00D8604</t>
  </si>
  <si>
    <t>PCIe Riser Card 2 (2 x8 LP Slots + 1 x4 LP for Slotless RAID)</t>
  </si>
  <si>
    <t>00Y7549</t>
  </si>
  <si>
    <t>PCIe Riser Card 2 (1 x8 LP for Slotless RAID) v2</t>
  </si>
  <si>
    <t>00Y7550</t>
  </si>
  <si>
    <t>PCIe Riser Card 1 (1 x16 FH/FL Slot) v2</t>
  </si>
  <si>
    <t>00Y7551</t>
  </si>
  <si>
    <t>PCIe Riser Card 2 (1 x16 LP Slot + 1 x4 LP for Slotless RAID) v2</t>
  </si>
  <si>
    <t>00Y7757</t>
  </si>
  <si>
    <t>x3650 M4 HD PCIe Riser Card 2 (1 x16 FH/FL + 1 x8 FH/HL Slots)</t>
  </si>
  <si>
    <t>00Y7758</t>
  </si>
  <si>
    <t>x3650 M4 HD PCIX Riser Card 2 (1 x16 FH/HL PCIe + 2 PCIX FH/FL)</t>
  </si>
  <si>
    <t>00Y7759</t>
  </si>
  <si>
    <t>x3650 M4 HD PCIe Riser Card 2 (1 x8 FH/FL + 2 x8 FH/HL Slots)</t>
  </si>
  <si>
    <t>69Y5670</t>
  </si>
  <si>
    <t>x3550 M4 PCIe Gen-III Riser Card 2(1 x8 FH/HL Slot)</t>
  </si>
  <si>
    <t>69Y5671</t>
  </si>
  <si>
    <t>x3550 M4 PCIe Gen-III Riser Card 2(1 x16 FH/HL Slot)</t>
  </si>
  <si>
    <t>90Y6381</t>
  </si>
  <si>
    <t>PCIe Riser Card 1 (1 x16 FH/FL Slot)</t>
  </si>
  <si>
    <t>90Y6383</t>
  </si>
  <si>
    <t>PCIe Riser Card 2 (1 x16 LP Slot + 1 x4 LP for Slotless RAID)</t>
  </si>
  <si>
    <t>94Y7585</t>
  </si>
  <si>
    <t>x3550 M4 PCIe Riser Card 1 (1 x16 LP Slot)</t>
  </si>
  <si>
    <t>00AL181</t>
  </si>
  <si>
    <t>1U Riser Card, Two PCIe x8 Slots</t>
  </si>
  <si>
    <t>00AL182</t>
  </si>
  <si>
    <t>1U Riser Card, One PCIe x16 slot</t>
  </si>
  <si>
    <t>00AL183</t>
  </si>
  <si>
    <t>1U Riser Card, One PCIe x8 slot (For Slotless RAID only)</t>
  </si>
  <si>
    <t>00AL185</t>
  </si>
  <si>
    <t>00AL652</t>
  </si>
  <si>
    <t>00D2009</t>
  </si>
  <si>
    <t>00D8540</t>
  </si>
  <si>
    <t>44X4049</t>
  </si>
  <si>
    <t>X6 Half-length I/O Book</t>
  </si>
  <si>
    <t>44X4051</t>
  </si>
  <si>
    <t>X6 Full-length I/O Book</t>
  </si>
  <si>
    <t>47C9952</t>
  </si>
  <si>
    <t>47C9977</t>
  </si>
  <si>
    <t>69Y5321</t>
  </si>
  <si>
    <t>x3650 M4 PCIe Gen-III Riser Card 2 (1 x8 FH/FL + 2 x8 FH/HL Slots)</t>
  </si>
  <si>
    <t>69Y5322</t>
  </si>
  <si>
    <t>x3650 M4 PCIe Gen-III Riser Card 2 (1 x16 FH/FL + 1 x8 FH/HL Slots)</t>
  </si>
  <si>
    <t>81Y6843</t>
  </si>
  <si>
    <t>x3650 M4 PCIX Riser Card 2 (1 x16 FH/HL PCIe + 2 PCIX FH/FL Slots)</t>
  </si>
  <si>
    <t>88Y7371</t>
  </si>
  <si>
    <t>90Y5085</t>
  </si>
  <si>
    <t>x3650 M4 PCIe Riser Card 2 (1 x16 for GPU + 1 x8 FH/HL Slots)</t>
  </si>
  <si>
    <t>90Y6454</t>
  </si>
  <si>
    <t>00AG530</t>
  </si>
  <si>
    <t>00D9501</t>
  </si>
  <si>
    <t>00FL179</t>
  </si>
  <si>
    <t>nx360 M5 RAID Riser</t>
  </si>
  <si>
    <t>00FL180</t>
  </si>
  <si>
    <t>nx360 M5 ML2 Riser</t>
  </si>
  <si>
    <t>00FL464</t>
  </si>
  <si>
    <t>nx360 M5 Compute Node Front Riser</t>
  </si>
  <si>
    <t>00JY800</t>
  </si>
  <si>
    <t>00JY804</t>
  </si>
  <si>
    <t>00Y3306</t>
  </si>
  <si>
    <t>49Y7900</t>
  </si>
  <si>
    <t>69Y1938</t>
  </si>
  <si>
    <t>69Y1942</t>
  </si>
  <si>
    <t>88Y5920</t>
  </si>
  <si>
    <t>90Y3454</t>
  </si>
  <si>
    <t>90Y3466</t>
  </si>
  <si>
    <t>90Y3482</t>
  </si>
  <si>
    <t>94Y5160</t>
  </si>
  <si>
    <t>94Y5164</t>
  </si>
  <si>
    <t>95Y2375</t>
  </si>
  <si>
    <t>95Y2386</t>
  </si>
  <si>
    <t>95Y2391</t>
  </si>
  <si>
    <t>00KA061</t>
  </si>
  <si>
    <t>System x3550 M5 PCIe Riser 1 (1x LP x16 CPU0)</t>
  </si>
  <si>
    <t>00KA062</t>
  </si>
  <si>
    <t>System x3550 M5 PCIe Riser 2, 1 CPU (2xLP,LP x8 CPU0 + LP x8 CPU0)</t>
  </si>
  <si>
    <t>00KA063</t>
  </si>
  <si>
    <t>System x3550 M5 PCIe Riser 1 (1x ML2 x16 CPU0)</t>
  </si>
  <si>
    <t>00KA066</t>
  </si>
  <si>
    <t>System x3550 M5 PCIe Riser 2, 1-2 CPU (LP x16 CPU0 + LP x16 CPU1)</t>
  </si>
  <si>
    <t>00KA489</t>
  </si>
  <si>
    <t>System x3650 M5 PCIe Riser (1 x16 FH/FL + 1 x8 FH/HL Slots)</t>
  </si>
  <si>
    <t>00KA498</t>
  </si>
  <si>
    <t>System x3650 M5 PCIe Riser (2 x8 FH/FL + 1 x8 FH/HL Slots)</t>
  </si>
  <si>
    <t>00KA504</t>
  </si>
  <si>
    <t>System x3650 M5 PCIe Riser 1 (1 x16 FH/FL + 1 x8 ML2 Slots)</t>
  </si>
  <si>
    <t>00KA519</t>
  </si>
  <si>
    <t>System x3650 M5 PCIe Riser 1 (2 x8 FH/FL + 1 x8 ML2 Slots)</t>
  </si>
  <si>
    <t>00Y7730</t>
  </si>
  <si>
    <t>90Y5178</t>
  </si>
  <si>
    <t>44T1370</t>
  </si>
  <si>
    <t>46M4110</t>
  </si>
  <si>
    <t>46M4113</t>
  </si>
  <si>
    <t>00D1994</t>
  </si>
  <si>
    <t>00D1996</t>
  </si>
  <si>
    <t>00D1998</t>
  </si>
  <si>
    <t>00D2026</t>
  </si>
  <si>
    <t>00D2028</t>
  </si>
  <si>
    <t>00FP650</t>
  </si>
  <si>
    <t>00JY820</t>
  </si>
  <si>
    <t>00JY824</t>
  </si>
  <si>
    <t>00JY830</t>
  </si>
  <si>
    <t>81Y3520</t>
  </si>
  <si>
    <t>94Y5200</t>
  </si>
  <si>
    <t>00AG500</t>
  </si>
  <si>
    <t>00AG510</t>
  </si>
  <si>
    <t>00AG520</t>
  </si>
  <si>
    <t>Integration Management Modules</t>
  </si>
  <si>
    <t>90Y3901</t>
  </si>
  <si>
    <t>Other I/O</t>
  </si>
  <si>
    <t>00ML200</t>
  </si>
  <si>
    <t>00ML700</t>
  </si>
  <si>
    <t>00ML706</t>
  </si>
  <si>
    <t>41Y8298</t>
  </si>
  <si>
    <t>41Y8382</t>
  </si>
  <si>
    <t>00ML233</t>
  </si>
  <si>
    <t>USB Memory Key for VMWare ESXi 5.1 Update 2</t>
  </si>
  <si>
    <t>00ML235</t>
  </si>
  <si>
    <t>USB Memory Key for VMWare ESXi 5.5 Update 2</t>
  </si>
  <si>
    <t>00AM013</t>
  </si>
  <si>
    <t>Broadcom Ethernet Adapter 5719 - 4 port upgrade</t>
  </si>
  <si>
    <t>00KC332</t>
  </si>
  <si>
    <t>System x3500 M5 COM Port Kit</t>
  </si>
  <si>
    <t>Video Adapters</t>
  </si>
  <si>
    <t>00FP670</t>
  </si>
  <si>
    <t>Intel Xeon Phi 3120A</t>
  </si>
  <si>
    <t>00FP671</t>
  </si>
  <si>
    <t>NVIDIA GRID K1</t>
  </si>
  <si>
    <t>00FP672</t>
  </si>
  <si>
    <t>NVIDIA Quadro K6000</t>
  </si>
  <si>
    <t>00FP674</t>
  </si>
  <si>
    <t>NVIDIA Grid K2 (Actively Cooled)</t>
  </si>
  <si>
    <t>00FP676</t>
  </si>
  <si>
    <t>NVIDIA Tesla K40c</t>
  </si>
  <si>
    <t>47C2120</t>
  </si>
  <si>
    <t>47C2121</t>
  </si>
  <si>
    <t>47C2122</t>
  </si>
  <si>
    <t>00J6162</t>
  </si>
  <si>
    <t>Intel Xeon Phi 7120P</t>
  </si>
  <si>
    <t>00J6163</t>
  </si>
  <si>
    <t>Intel Xeon Phi 5110P</t>
  </si>
  <si>
    <t>00FL133</t>
  </si>
  <si>
    <t>NVIDIA Tesla K40m</t>
  </si>
  <si>
    <t>00J6160</t>
  </si>
  <si>
    <t>NVIDIA GVX K1</t>
  </si>
  <si>
    <t>00J6161</t>
  </si>
  <si>
    <t>NVIDIA GVX K2</t>
  </si>
  <si>
    <t>47C2137</t>
  </si>
  <si>
    <t>94Y5960</t>
  </si>
  <si>
    <t>NVIDIA Tesla M2090</t>
  </si>
  <si>
    <t>I/O Cabling</t>
  </si>
  <si>
    <t>90Y3470</t>
  </si>
  <si>
    <t>3m FDR Infiniband Cable</t>
  </si>
  <si>
    <t>90Y9338</t>
  </si>
  <si>
    <t>Chassis Modules</t>
  </si>
  <si>
    <t>68Y7030</t>
  </si>
  <si>
    <t>BladeCenter and System x Options</t>
  </si>
  <si>
    <t>44E5686</t>
  </si>
  <si>
    <t>00FK940</t>
  </si>
  <si>
    <t>x3100 M5 5U Operating Temperature Enhancement Kit</t>
  </si>
  <si>
    <t>00J6351</t>
  </si>
  <si>
    <t>Operating Temperature Enhancement Kit</t>
  </si>
  <si>
    <t>00Y8325</t>
  </si>
  <si>
    <t>00D6952</t>
  </si>
  <si>
    <t>BladeCenter HT Interposer for Gb Switch/Bridge Bays w/ ISL</t>
  </si>
  <si>
    <t>00Y3270</t>
  </si>
  <si>
    <t>00Y3447</t>
  </si>
  <si>
    <t>2019A1X</t>
  </si>
  <si>
    <t>32R1860</t>
  </si>
  <si>
    <t>32R1861</t>
  </si>
  <si>
    <t>39Y8966</t>
  </si>
  <si>
    <t>39Y9195</t>
  </si>
  <si>
    <t>39Y9314</t>
  </si>
  <si>
    <t>39Y9324</t>
  </si>
  <si>
    <t>40K9605</t>
  </si>
  <si>
    <t>BladeCenter H Serial Port Breakout Cable</t>
  </si>
  <si>
    <t>42C1828</t>
  </si>
  <si>
    <t>42C5278</t>
  </si>
  <si>
    <t>42C5300</t>
  </si>
  <si>
    <t>42C5302</t>
  </si>
  <si>
    <t>42C5305</t>
  </si>
  <si>
    <t>42C5315</t>
  </si>
  <si>
    <t>43W3584</t>
  </si>
  <si>
    <t>44R5913</t>
  </si>
  <si>
    <t>44W4404</t>
  </si>
  <si>
    <t>44W4475</t>
  </si>
  <si>
    <t>44W4479</t>
  </si>
  <si>
    <t>44W4483</t>
  </si>
  <si>
    <t>44X1907</t>
  </si>
  <si>
    <t>44X1920</t>
  </si>
  <si>
    <t>44X1921</t>
  </si>
  <si>
    <t>44X1945</t>
  </si>
  <si>
    <t>81Y3120</t>
  </si>
  <si>
    <t>81Y7007</t>
  </si>
  <si>
    <t>Redundant Cooling Upgrade Kit</t>
  </si>
  <si>
    <t>90Y9332</t>
  </si>
  <si>
    <t>90Y9350</t>
  </si>
  <si>
    <t>43W4068</t>
  </si>
  <si>
    <t>94Y8550</t>
  </si>
  <si>
    <t>00Y8197</t>
  </si>
  <si>
    <t>x3100 M5 4U Operating Temperature Enhancement Kit</t>
  </si>
  <si>
    <t>68Y6650</t>
  </si>
  <si>
    <t>Expansion Enclosures and Cables</t>
  </si>
  <si>
    <t>00D2607</t>
  </si>
  <si>
    <t>SAS cable upgrade kit for Two RAID array (RAID adapter not included)</t>
  </si>
  <si>
    <t>00D9532</t>
  </si>
  <si>
    <t>x3650 M4 925MM SAS Cable</t>
  </si>
  <si>
    <t>00FL170</t>
  </si>
  <si>
    <t>nx360 M5 1x2, 2.5in 12G HDD short cable, HW RAID (stack-up)</t>
  </si>
  <si>
    <t>00FL173</t>
  </si>
  <si>
    <t>nx360 M5 1.8in SSD 12G short cable vertical (HW RAID)</t>
  </si>
  <si>
    <t>00FL466</t>
  </si>
  <si>
    <t>nx360 M5 2.5in HDD 2x cable right angle cable (no RAID)</t>
  </si>
  <si>
    <t>00FL467</t>
  </si>
  <si>
    <t>nx360 M5 Rear SSD cable 1.8in server node 4 SSD to planar (no RAID)</t>
  </si>
  <si>
    <t>00KA360</t>
  </si>
  <si>
    <t>nx360 M5 1x2, 2.5in 12G HDD short cable, HW RAID (stack-up) Port 1</t>
  </si>
  <si>
    <t>00Y8597</t>
  </si>
  <si>
    <t>x3550M4 mini-SAS Cable Kit for 12Gb RAID</t>
  </si>
  <si>
    <t>46W9244</t>
  </si>
  <si>
    <t>SAS cable option for Two 12Gb RAID cards</t>
  </si>
  <si>
    <t>Fibre Channel / SAN</t>
  </si>
  <si>
    <t>00D5823</t>
  </si>
  <si>
    <t>00FE325</t>
  </si>
  <si>
    <t>00FL177</t>
  </si>
  <si>
    <t>nx360 M5 IMM Management Interposer</t>
  </si>
  <si>
    <t>00FM412</t>
  </si>
  <si>
    <t>00FM413</t>
  </si>
  <si>
    <t>00FM414</t>
  </si>
  <si>
    <t>00KF007</t>
  </si>
  <si>
    <t>00KF008</t>
  </si>
  <si>
    <t>00KF009</t>
  </si>
  <si>
    <t>00KF010</t>
  </si>
  <si>
    <t>00KF011</t>
  </si>
  <si>
    <t>00KF012</t>
  </si>
  <si>
    <t>44X1962</t>
  </si>
  <si>
    <t>Brocade 8 Gb SFP+ SW Optical Transceiver</t>
  </si>
  <si>
    <t>49Y4216</t>
  </si>
  <si>
    <t>Brocade 10Gb SFP+ SR Optical Transceiver</t>
  </si>
  <si>
    <t>49Y4218</t>
  </si>
  <si>
    <t>QLogic 10Gb SFP+ SR Optical Transceiver</t>
  </si>
  <si>
    <t>88Y6393</t>
  </si>
  <si>
    <t>Brocade 16Gb SFP+ transceiver module</t>
  </si>
  <si>
    <t>88Y6416</t>
  </si>
  <si>
    <t>Brocade 8Gb SFP+ Optical Transceiver</t>
  </si>
  <si>
    <t>94Y5212</t>
  </si>
  <si>
    <t>94Y5350</t>
  </si>
  <si>
    <t>94Y5355</t>
  </si>
  <si>
    <t>95Y3309</t>
  </si>
  <si>
    <t>Ethernet Options</t>
  </si>
  <si>
    <t>95Y0540</t>
  </si>
  <si>
    <t>Brocade VDX SFP+ LR, Transceiver</t>
  </si>
  <si>
    <t>00AK142</t>
  </si>
  <si>
    <t>UM KVM Module VGA+SD Dual RJ45</t>
  </si>
  <si>
    <t>00AY240</t>
  </si>
  <si>
    <t>81Y8295</t>
  </si>
  <si>
    <t>1m 10GE Twinax Act Copper SFP+</t>
  </si>
  <si>
    <t>81Y8296</t>
  </si>
  <si>
    <t>3m 10GE Twinax Act Copper SFP+</t>
  </si>
  <si>
    <t>81Y8297</t>
  </si>
  <si>
    <t>5m 10GE Twinax Act Copper SFP+</t>
  </si>
  <si>
    <t>00KF002</t>
  </si>
  <si>
    <t>00KF003</t>
  </si>
  <si>
    <t>00KF004</t>
  </si>
  <si>
    <t>00KF005</t>
  </si>
  <si>
    <t>00KF006</t>
  </si>
  <si>
    <t>00KF013</t>
  </si>
  <si>
    <t>44T1364</t>
  </si>
  <si>
    <t>Mellanox SX6036 FDR14 InfiniBand Switch (PSE)</t>
  </si>
  <si>
    <t>Mellanox SX6036 FDR14 InfiniBand Switch (oPSE)</t>
  </si>
  <si>
    <t>Power Supply Units</t>
  </si>
  <si>
    <t>00AK884</t>
  </si>
  <si>
    <t>00J6844</t>
  </si>
  <si>
    <t>00AL534</t>
  </si>
  <si>
    <t>00AL535</t>
  </si>
  <si>
    <t>System x 750W High Efficiency Titanium AC Power Supply</t>
  </si>
  <si>
    <t>00AL742</t>
  </si>
  <si>
    <t>00AL743</t>
  </si>
  <si>
    <t>00J6451</t>
  </si>
  <si>
    <t>675W -48V Redundant DC PSU</t>
  </si>
  <si>
    <t>00KA521</t>
  </si>
  <si>
    <t>00Y8652</t>
  </si>
  <si>
    <t>44X4132</t>
  </si>
  <si>
    <t>44X4150</t>
  </si>
  <si>
    <t>44X4152</t>
  </si>
  <si>
    <t>88Y7367</t>
  </si>
  <si>
    <t>88Y7373</t>
  </si>
  <si>
    <t>88Y7431</t>
  </si>
  <si>
    <t>88Y7433</t>
  </si>
  <si>
    <t>90Y3800</t>
  </si>
  <si>
    <t>Mellanox MSX60xx/MSX10xx 300w Power Supply with Intake Fan</t>
  </si>
  <si>
    <t>90Y3802</t>
  </si>
  <si>
    <t>Mellanox MSX60xx/MSX10xx 300w Power Supply with Exhaust Fan</t>
  </si>
  <si>
    <t>94Y5975</t>
  </si>
  <si>
    <t>00Y8569</t>
  </si>
  <si>
    <t>CFF 900W Power Supply</t>
  </si>
  <si>
    <t>00AL536</t>
  </si>
  <si>
    <t>System x 900W High Efficiency Platinum AC Power Supply</t>
  </si>
  <si>
    <t>00FK930</t>
  </si>
  <si>
    <t>System x 550W High Efficiency Platinum AC Power Supply</t>
  </si>
  <si>
    <t>00FK932</t>
  </si>
  <si>
    <t>00FK934</t>
  </si>
  <si>
    <t>System x 750W High Efficiency Titanium AC Power Supply (200-240V)</t>
  </si>
  <si>
    <t>00FK936</t>
  </si>
  <si>
    <t>00KA094</t>
  </si>
  <si>
    <t>00KA096</t>
  </si>
  <si>
    <t>00KA097</t>
  </si>
  <si>
    <t>00KA098</t>
  </si>
  <si>
    <t>00AL533</t>
  </si>
  <si>
    <t>00FJ635</t>
  </si>
  <si>
    <t>43W9049</t>
  </si>
  <si>
    <t>UPS</t>
  </si>
  <si>
    <t>55941AX</t>
  </si>
  <si>
    <t>55941KX</t>
  </si>
  <si>
    <t>55942AX</t>
  </si>
  <si>
    <t>55942BX</t>
  </si>
  <si>
    <t>55942KX</t>
  </si>
  <si>
    <t>55943AX</t>
  </si>
  <si>
    <t>55943BX</t>
  </si>
  <si>
    <t>55943KX</t>
  </si>
  <si>
    <t>55945KX</t>
  </si>
  <si>
    <t>55946BX</t>
  </si>
  <si>
    <t>55946KX</t>
  </si>
  <si>
    <t>55948KX</t>
  </si>
  <si>
    <t>55948PX</t>
  </si>
  <si>
    <t>55949BX</t>
  </si>
  <si>
    <t>55949KX</t>
  </si>
  <si>
    <t>55949PX</t>
  </si>
  <si>
    <t>55951AX</t>
  </si>
  <si>
    <t>55951KX</t>
  </si>
  <si>
    <t>55952AX</t>
  </si>
  <si>
    <t>55952KX</t>
  </si>
  <si>
    <t>Rack Power Distribution Units</t>
  </si>
  <si>
    <t>39Y8905</t>
  </si>
  <si>
    <t>DPI 100-127V NEMA PDU</t>
  </si>
  <si>
    <t>39Y8938</t>
  </si>
  <si>
    <t>DPI 30amp Front End PDU w/ Nema L5-30P</t>
  </si>
  <si>
    <t>39Y8939</t>
  </si>
  <si>
    <t>DPI 30amp Front End PDU w/ Nema L6-30P</t>
  </si>
  <si>
    <t>39Y8940</t>
  </si>
  <si>
    <t>DPI 60amp/250V Front-end PDU with IEC 309 2P+Gnd connector</t>
  </si>
  <si>
    <t>44X3193</t>
  </si>
  <si>
    <t>DPI Three Phase 60A/208V Enterprise C13 PDU Plus</t>
  </si>
  <si>
    <t>39Y8923</t>
  </si>
  <si>
    <t>DPI Three-phase 60A/208V C19 Enterprise PDU (US)</t>
  </si>
  <si>
    <t>39Y8957</t>
  </si>
  <si>
    <t>DPI Universal Rack PDU (UK)</t>
  </si>
  <si>
    <t>DPI Universal Rack PDU with Nema L5-20P and L6-20P (US line)</t>
  </si>
  <si>
    <t>46M4143</t>
  </si>
  <si>
    <t>46M4140</t>
  </si>
  <si>
    <t>46M4134</t>
  </si>
  <si>
    <t>46M4122</t>
  </si>
  <si>
    <t>46M4125</t>
  </si>
  <si>
    <t>46M4128</t>
  </si>
  <si>
    <t>46M4131</t>
  </si>
  <si>
    <t>46M4116</t>
  </si>
  <si>
    <t>46M4005</t>
  </si>
  <si>
    <t>46M4004</t>
  </si>
  <si>
    <t>46M4003</t>
  </si>
  <si>
    <t>46M4002</t>
  </si>
  <si>
    <t>39Y8941</t>
  </si>
  <si>
    <t>39M2816</t>
  </si>
  <si>
    <t>39Y8948</t>
  </si>
  <si>
    <t>Rack Monitor Kit</t>
  </si>
  <si>
    <t>Keyboards</t>
  </si>
  <si>
    <t>46W6712</t>
  </si>
  <si>
    <t>00AM600</t>
  </si>
  <si>
    <t>46W6728</t>
  </si>
  <si>
    <t>00AM622</t>
  </si>
  <si>
    <t>Mouse</t>
  </si>
  <si>
    <t>40K9200</t>
  </si>
  <si>
    <t>Accessories</t>
  </si>
  <si>
    <t>Fans</t>
  </si>
  <si>
    <t>00AL388</t>
  </si>
  <si>
    <t>x3630 M4 Rear Fan Kit</t>
  </si>
  <si>
    <t>00KA059</t>
  </si>
  <si>
    <t>System x3550 M5 Thermal Kit</t>
  </si>
  <si>
    <t>00Y7117</t>
  </si>
  <si>
    <t>x3550 M4 Addl Fan for High Performance Adapters</t>
  </si>
  <si>
    <t>00Y8200</t>
  </si>
  <si>
    <t>System x3100 Thermal Solution Fan kit for 5U Tower</t>
  </si>
  <si>
    <t>00Y8570</t>
  </si>
  <si>
    <t>n1200 Enclosure Fan Assembly</t>
  </si>
  <si>
    <t>43W9078</t>
  </si>
  <si>
    <t>46W8422</t>
  </si>
  <si>
    <t>46W9177</t>
  </si>
  <si>
    <t>System x3100 Thermal Solution Fan kit for 4U Tower</t>
  </si>
  <si>
    <t>Rack Options</t>
  </si>
  <si>
    <t>00KC334</t>
  </si>
  <si>
    <t>System x3500 M5 Cable Management Kit</t>
  </si>
  <si>
    <t>69Y1193</t>
  </si>
  <si>
    <t>69Y2346</t>
  </si>
  <si>
    <t>81Y6821</t>
  </si>
  <si>
    <t>81Y6822</t>
  </si>
  <si>
    <t>00Y3001</t>
  </si>
  <si>
    <t>Switch Seal Kit</t>
  </si>
  <si>
    <t>00Y3011</t>
  </si>
  <si>
    <t>1U Rack pass through bracket</t>
  </si>
  <si>
    <t>00Y3016</t>
  </si>
  <si>
    <t>42U 1100mm Deep Dynamic Rack cable management bracket kit</t>
  </si>
  <si>
    <t>00Y3026</t>
  </si>
  <si>
    <t>Cable installation tool for racks</t>
  </si>
  <si>
    <t>00Y3040</t>
  </si>
  <si>
    <t>00Y8568</t>
  </si>
  <si>
    <t>n1200 Enclosure Shipping Bracket Kit</t>
  </si>
  <si>
    <t>43X0437</t>
  </si>
  <si>
    <t>69Y1192</t>
  </si>
  <si>
    <t>69Y2347</t>
  </si>
  <si>
    <t>17237RX</t>
  </si>
  <si>
    <t>25R5559</t>
  </si>
  <si>
    <t>1U Quick Install Filler Panel Kit</t>
  </si>
  <si>
    <t>25R5560</t>
  </si>
  <si>
    <t>3U Quick Install Filler Panel Kit</t>
  </si>
  <si>
    <t>00FK622</t>
  </si>
  <si>
    <t>00FK656</t>
  </si>
  <si>
    <t>00FK660</t>
  </si>
  <si>
    <t>System x3650 M5 Lockable Bezel</t>
  </si>
  <si>
    <t>00KA161</t>
  </si>
  <si>
    <t>COM Port Bracket</t>
  </si>
  <si>
    <t>00KA162</t>
  </si>
  <si>
    <t>System x3550 M5 Security Bezel</t>
  </si>
  <si>
    <t>00KA500</t>
  </si>
  <si>
    <t>System x Gen-II Universal Slides Kit</t>
  </si>
  <si>
    <t>00KA606</t>
  </si>
  <si>
    <t>System x3550 M5 Slide Kit G4</t>
  </si>
  <si>
    <t>00KA607</t>
  </si>
  <si>
    <t>System x Enterprise 1U Cable Management Arm (CMA)</t>
  </si>
  <si>
    <t>43X0340</t>
  </si>
  <si>
    <t>43W9055</t>
  </si>
  <si>
    <t>43W9057</t>
  </si>
  <si>
    <t>Rack Console Connections</t>
  </si>
  <si>
    <t>39M2895</t>
  </si>
  <si>
    <t>39M2897</t>
  </si>
  <si>
    <t>NetBAY 1.5m KVM Conversion Option pack</t>
  </si>
  <si>
    <t>43V6147</t>
  </si>
  <si>
    <t>46M5382</t>
  </si>
  <si>
    <t>46M5383</t>
  </si>
  <si>
    <t>69Y5681</t>
  </si>
  <si>
    <t>x3550 M4 ODD Cable</t>
  </si>
  <si>
    <t>69Y1194</t>
  </si>
  <si>
    <t>x3650 M4 ODD Cable</t>
  </si>
  <si>
    <t>00AL956</t>
  </si>
  <si>
    <t>System x3650 M5 ODD Cable</t>
  </si>
  <si>
    <t>81Y5286</t>
  </si>
  <si>
    <t>Rack Power Cables</t>
  </si>
  <si>
    <t>00D7192</t>
  </si>
  <si>
    <t>4.3m, US/CAN, NEMA L15-30P - (3P+Gnd) to 3X IEC 320 C19 Line Cord</t>
  </si>
  <si>
    <t>00D7195</t>
  </si>
  <si>
    <t>2.5m, 15A/208V, C19 to NEMA 6-15P (US) Line Cord</t>
  </si>
  <si>
    <t>00D7196</t>
  </si>
  <si>
    <t>1.8m, 15A/208V, C19 to NEMA 6-15P (US) Line Cord</t>
  </si>
  <si>
    <t>00D7197</t>
  </si>
  <si>
    <t>4.3m, 15A/250V, C19 to NEMA 6-15P (US) Line Cord</t>
  </si>
  <si>
    <t>00Y3043</t>
  </si>
  <si>
    <t>1.0m C13 to C14 Jumper Cord, Rack Power Cable</t>
  </si>
  <si>
    <t>00Y3046</t>
  </si>
  <si>
    <t>1.345m, 2X C13 to C14 Jumper Cord, Rack Power Cable</t>
  </si>
  <si>
    <t>00Y3047</t>
  </si>
  <si>
    <t>2.054m, 2X C13 to C14 Jumper Cord, Rack Power Cable</t>
  </si>
  <si>
    <t>25R5783</t>
  </si>
  <si>
    <t>4.3m Double 30A NEMA L6-30P (208V)</t>
  </si>
  <si>
    <t>25R5784</t>
  </si>
  <si>
    <t>4.3m, 230V, Dual 32A IEC 309 P+N+G/16AIEC320-C20</t>
  </si>
  <si>
    <t>25R5785</t>
  </si>
  <si>
    <t>2.8m, 200-240V, Triple 16A IEC 320-C20</t>
  </si>
  <si>
    <t>39Y7921</t>
  </si>
  <si>
    <t>Line cord - 2.8m, 220-240V, C13 to CEI 23-16 (Italy/Chile)</t>
  </si>
  <si>
    <t>39Y7930</t>
  </si>
  <si>
    <t>Line cord - 2.8m, 10A/250V, C13 to IRAM 2073 (Argentina)</t>
  </si>
  <si>
    <t>39Y7931</t>
  </si>
  <si>
    <t>Line cord - 4.3M, 10A/125V, C13 to NEMA 5-15P (US)</t>
  </si>
  <si>
    <t>39Y7932</t>
  </si>
  <si>
    <t>4.3m, 10A/100-250V, C13 to IEC 320-C14 Rack Power Cable</t>
  </si>
  <si>
    <t>39Y7937</t>
  </si>
  <si>
    <t>1.5m, 10A/100-250V, C13 to IEC 320-C14 Rack Power Cable</t>
  </si>
  <si>
    <t>39Y7938</t>
  </si>
  <si>
    <t>2.8m, 10A/100-250V, C13 to IEC 320-C20 Rack Power Cable</t>
  </si>
  <si>
    <t>40K9614</t>
  </si>
  <si>
    <t>4.3m, 30A/208V, EPDU to NEMA L6-30P (US) Line Cord</t>
  </si>
  <si>
    <t>40K9615</t>
  </si>
  <si>
    <t>4.3m, 60A/208V, Souriau UTG to IEC 309 2P+G (US) Line Cord</t>
  </si>
  <si>
    <t>40K9772</t>
  </si>
  <si>
    <t>4.3m, 16A/208V, C19 to NEMA L6-20P (US) Line Cord</t>
  </si>
  <si>
    <t>40K9777</t>
  </si>
  <si>
    <t>C19 4.3 meter Line Cord- Argentina</t>
  </si>
  <si>
    <t>47C2487</t>
  </si>
  <si>
    <t>1.2m, 10A/100-250V, 2 Short C13s to Short C14 Rack Power Cable</t>
  </si>
  <si>
    <t>47C2488</t>
  </si>
  <si>
    <t>2.5m, 10A/100-250V, 2 Long C13s to Short C14 Rack Power Cable</t>
  </si>
  <si>
    <t>47C2489</t>
  </si>
  <si>
    <t>2.8m, 10A/100-250V, 2 Short C13s to Long C14 Rack Power Cable</t>
  </si>
  <si>
    <t>47C2490</t>
  </si>
  <si>
    <t>4.1m, 10A/100-250V, 2 Long C13s to Long C14 Rack Power Cable</t>
  </si>
  <si>
    <t>47C2491</t>
  </si>
  <si>
    <t>1.2m, 16A/100-250V, 2 Short C13s to Short C20 Rack Power Cable</t>
  </si>
  <si>
    <t>47C2492</t>
  </si>
  <si>
    <t>2.5m, 16A/100-250V, 2 Long C13s to Short C20 Rack Power Cable</t>
  </si>
  <si>
    <t>47C2493</t>
  </si>
  <si>
    <t>2.8m, 16A/100-250V, 2 Short C13s to Long C20 Rack Power Cable</t>
  </si>
  <si>
    <t>47C2494</t>
  </si>
  <si>
    <t>4.1m, 16A/100-250V, 2 Long C13s to Long C20 Rack Power Cable</t>
  </si>
  <si>
    <t>47C2495</t>
  </si>
  <si>
    <t>4.3m, 16A/380-415V, EPDU/IEC 309 3P+N+G 3ph wye (non-US) Line Cord</t>
  </si>
  <si>
    <t>47C2496</t>
  </si>
  <si>
    <t>4.3m, 16A/380-415V, E45d/IEC 309 3P+N+G 3ph wye (non-US) Line Cord</t>
  </si>
  <si>
    <t>47C2497</t>
  </si>
  <si>
    <t>4.3m, 32A/230V, E45d to IEC 309 P+N+G (non US) Line Cord</t>
  </si>
  <si>
    <t>88Y6937</t>
  </si>
  <si>
    <t>AC Power Cable - US (15A/125V, NEMA 5-15, 2.5m)</t>
  </si>
  <si>
    <t>2.8m, 10A/120V, C13 to NEMA 5-15P (US) Line Cord</t>
  </si>
  <si>
    <t>00D4692</t>
  </si>
  <si>
    <t>IBM Fabric Mgr for Flex Chassis w/1 Yr S&amp;S</t>
  </si>
  <si>
    <t>00D4693</t>
  </si>
  <si>
    <t>IBM Fabric Mgr for Flex Chassis w/3 Yr S&amp;S</t>
  </si>
  <si>
    <t>SLES X86 2 Socket Std SUSE Support 1Yr</t>
  </si>
  <si>
    <t>SLES X86 2 Socket Std SUSE Support 3Yr</t>
  </si>
  <si>
    <t>SLES X86 2 Socket Std SUSE Support 5Yr</t>
  </si>
  <si>
    <t>SLES X86 2 Socket Virt Unlimited Std SUSE Support 1Yr</t>
  </si>
  <si>
    <t>SLES X86 2 Socket Virt Unlimited Std SUSE Support 3Yr</t>
  </si>
  <si>
    <t>SLES X86 2 Socket Virt Unlimited Std SUSE Support 5Yr</t>
  </si>
  <si>
    <t>SLES HA Extension 2 Socket 1Yr</t>
  </si>
  <si>
    <t>SLES HA Extension 2 Socket 3Yr</t>
  </si>
  <si>
    <t>SLES HA Extension 2 Socket 5Yr</t>
  </si>
  <si>
    <t>SLES Geo Clustering Extension 2 Socket 1Yr</t>
  </si>
  <si>
    <t>SLES Geo Clustering Extension 2 Socket 3Yr</t>
  </si>
  <si>
    <t>SLES Geo Clustering Extension 2 Socket 5Yr</t>
  </si>
  <si>
    <t>00FF239</t>
  </si>
  <si>
    <t>Windows Server 2012 R2 Foundation ROK (1CPU) - MultiLang</t>
  </si>
  <si>
    <t>00FF246</t>
  </si>
  <si>
    <t>Windows Server 2012 R2 Standard ROK (2CPU/2VMs) - MultiLang</t>
  </si>
  <si>
    <t>00FF253</t>
  </si>
  <si>
    <t>Windows Server 2012 R2 Standard ROK (4CPU/4VMs) - MultiLang</t>
  </si>
  <si>
    <t>00FF260</t>
  </si>
  <si>
    <t>Windows Server 2012 R2 Datacenter ROK (2CPU) - MultiLang</t>
  </si>
  <si>
    <t>00FF267</t>
  </si>
  <si>
    <t>Windows Server 2012 R2 Datacenter ROK (4CPU) - MultiLang</t>
  </si>
  <si>
    <t>00FF274</t>
  </si>
  <si>
    <t>Windows Storage Server 2012 R2 Standard ROK (2CPU/2VMs) - MultiLang</t>
  </si>
  <si>
    <t>00FF281</t>
  </si>
  <si>
    <t>Windows Storage Server 2012 R2 Standard ROK (4CPU/4VMs) - MultiLang</t>
  </si>
  <si>
    <t>00FF288</t>
  </si>
  <si>
    <t>Windows Server 2012 R2 Essentials ROK (1-2CPU) - MultiLang</t>
  </si>
  <si>
    <t>00FF295</t>
  </si>
  <si>
    <t>Win Svr Standard 2012 R2 to 2012 Downgrade Kit-Multilanguage ROK</t>
  </si>
  <si>
    <t>00FF302</t>
  </si>
  <si>
    <t>Win Svr Datacenter 2012 R2 to 2012 Downgrade Kit-Multilanguage ROK</t>
  </si>
  <si>
    <t>00FF309</t>
  </si>
  <si>
    <t>Win Svr Standard 2012 R2 to 2008 R2 Downgrade Kit-Multilanguage ROK</t>
  </si>
  <si>
    <t>00FF316</t>
  </si>
  <si>
    <t>Win Svr Datacenter 2012 R2 to 2008 R2 DowngradeKit-Multilanguage ROK</t>
  </si>
  <si>
    <t>00FP648</t>
  </si>
  <si>
    <t>IBM SKLM for System x w/SEDs - FoD per Install w/1Yr S&amp;S</t>
  </si>
  <si>
    <t>00FP649</t>
  </si>
  <si>
    <t>IBM SKLM for System x w/SEDs - FoD per Install w/3Yr S&amp;S</t>
  </si>
  <si>
    <t>00KE518</t>
  </si>
  <si>
    <t>IBM GPFS for x86 V3.x Server per 10 PVU with 1 Year SW S&amp;S</t>
  </si>
  <si>
    <t>00KE519</t>
  </si>
  <si>
    <t>IBM GPFS for x86 V3.x Server per 250, 10 PVU with 1 Yr SW S&amp;S</t>
  </si>
  <si>
    <t>00KE520</t>
  </si>
  <si>
    <t>IBM GPFS for x86 V3.x Client per 10 PVU with 1 Year SW S&amp;S</t>
  </si>
  <si>
    <t>00KE521</t>
  </si>
  <si>
    <t>IBM GPFS for x86 V3.x Client per 250, 10 PVU with 1 Yr SW S&amp;S</t>
  </si>
  <si>
    <t>00KE522</t>
  </si>
  <si>
    <t>IBM GPFS for x86 V3.x FPO per 10 PVU with 1 Year SW S&amp;S</t>
  </si>
  <si>
    <t>00KE523</t>
  </si>
  <si>
    <t>IBM GPFS for x86 V3.x FPO per 250, 10 PVU with 1 Year SW S&amp;S</t>
  </si>
  <si>
    <t>00KE524</t>
  </si>
  <si>
    <t>IBM GPFS for x86 V3.x Server per 10 PVU with 3 Year SW S&amp;S</t>
  </si>
  <si>
    <t>00KE525</t>
  </si>
  <si>
    <t>IBM GPFS for x86 V3.x Server per 250, 10 PVU with 3 Yr SW S&amp;S</t>
  </si>
  <si>
    <t>00KE526</t>
  </si>
  <si>
    <t>IBM GPFS for x86 V3.x Client per 10 PVU with 3 Year SW S&amp;S</t>
  </si>
  <si>
    <t>00KE527</t>
  </si>
  <si>
    <t>IBM GPFS for x86 V3.x Client per 250, 10 PVU with 3 Yr SW S&amp;S</t>
  </si>
  <si>
    <t>00KE528</t>
  </si>
  <si>
    <t>IBM GPFS for x86 V3.x FPO per 10 PVU with 3 Year SW S&amp;S</t>
  </si>
  <si>
    <t>00KE529</t>
  </si>
  <si>
    <t>IBM GPFS for x86 V3.x FPO per 250, 10 PVU with 3 Year SW S&amp;S</t>
  </si>
  <si>
    <t>00KE530</t>
  </si>
  <si>
    <t>IBM GPFS for x86 V3.x Server per 10 PVU with 5 Year SW S&amp;S</t>
  </si>
  <si>
    <t>00KE531</t>
  </si>
  <si>
    <t>IBM GPFS for x86 V3.x Server per 250, 10 PVU with 5 Yr SW S&amp;S</t>
  </si>
  <si>
    <t>00KE532</t>
  </si>
  <si>
    <t>IBM GPFS for x86 V3.x Client per 10 PVU with 5 Year SW S&amp;S</t>
  </si>
  <si>
    <t>00KE533</t>
  </si>
  <si>
    <t>IBM GPFS for x86 V3.x Client per 250, 10 PVU with 5 Yr SW S&amp;S</t>
  </si>
  <si>
    <t>00KE534</t>
  </si>
  <si>
    <t>IBM GPFS for x86 V3.x FPO per 10 PVU with 5 Year SW S&amp;S</t>
  </si>
  <si>
    <t>00KE535</t>
  </si>
  <si>
    <t>IBM GPFS for x86 V3.x FPO per 250, 10 PVU with 5 Year SW S&amp;S</t>
  </si>
  <si>
    <t>00KE590</t>
  </si>
  <si>
    <t>IBM GPFS x86 Express Ed V4.x Server per socket with 1 Year SW S&amp;S</t>
  </si>
  <si>
    <t>00KE591</t>
  </si>
  <si>
    <t>IBM GPFS x86 Express Ed V4.x Server per 250 socket w/ 1 Yr SW S&amp;S</t>
  </si>
  <si>
    <t>00KE592</t>
  </si>
  <si>
    <t>IBM GPFS x86 Express Ed V4.x Client per socket with 1 Year SW S&amp;S</t>
  </si>
  <si>
    <t>00KE593</t>
  </si>
  <si>
    <t>IBM GPFS x86 Express Ed V4.x Client per 250 socket w/ 1 Yr SW S&amp;S</t>
  </si>
  <si>
    <t>00KE594</t>
  </si>
  <si>
    <t>IBM GPFS x86 Express Ed V4.x FPO per socket with 1 Year SW S&amp;S</t>
  </si>
  <si>
    <t>00KE595</t>
  </si>
  <si>
    <t>IBM GPFS x86 Express Ed V4.x FPO per 250 socket with 1 Yr SW S&amp;S</t>
  </si>
  <si>
    <t>00KE596</t>
  </si>
  <si>
    <t>IBM GPFS x86 Standard Ed V4.x Server per socket with 1 Year SW S&amp;S</t>
  </si>
  <si>
    <t>00KE597</t>
  </si>
  <si>
    <t>IBM GPFS x86 Standard Ed V4.x Server per 250 socket w/ 1 Yr SW S&amp;S</t>
  </si>
  <si>
    <t>00KE598</t>
  </si>
  <si>
    <t>IBM GPFS x86 Standard Ed V4.x Client per socket with 1 Year SW S&amp;S</t>
  </si>
  <si>
    <t>00KE599</t>
  </si>
  <si>
    <t>IBM GPFS x86 Standard Ed V4.x Client per 250 socket w/ 1 Yr SW S&amp;S</t>
  </si>
  <si>
    <t>00KE600</t>
  </si>
  <si>
    <t>IBM GPFS x86 Standard Ed V4.x FPO per socket with 1 Year SW S&amp;S</t>
  </si>
  <si>
    <t>00KE601</t>
  </si>
  <si>
    <t>IBM GPFS x86 Standard Ed V4.x FPO per 250 socket with 1 Yr SW S&amp;S</t>
  </si>
  <si>
    <t>00KE602</t>
  </si>
  <si>
    <t>IBM GPFS x86 Advanced Ed V4.x Server per socket with 1 Year SW S&amp;S</t>
  </si>
  <si>
    <t>00KE603</t>
  </si>
  <si>
    <t>IBM GPFS x86 Advanced Ed V4.x Server per 250 socket w/ 1 Yr SW S&amp;S</t>
  </si>
  <si>
    <t>00KE604</t>
  </si>
  <si>
    <t>IBM GPFS x86 Advanced Ed V4.x Client per socket with 1 Year SW S&amp;S</t>
  </si>
  <si>
    <t>00KE605</t>
  </si>
  <si>
    <t>IBM GPFS x86 Advanced Ed V4.x Client per 250 socket w/ 1 Yr SW S&amp;S</t>
  </si>
  <si>
    <t>00KE606</t>
  </si>
  <si>
    <t>IBM GPFS x86 Advanced Ed V4.x FPO per socket with 1 Year SW S&amp;S</t>
  </si>
  <si>
    <t>00KE607</t>
  </si>
  <si>
    <t>IBM GPFS x86 Advanced Ed V4.x FPO per 250 socket with 1 Yr SW S&amp;S</t>
  </si>
  <si>
    <t>00KE608</t>
  </si>
  <si>
    <t>IBM GPFS x86 Express Ed V4.x Server per socket with 3 Year SW S&amp;S</t>
  </si>
  <si>
    <t>00KE609</t>
  </si>
  <si>
    <t>IBM GPFS x86 Express Ed V4.x Server per 250 socket w/ 3 Yr SW S&amp;S</t>
  </si>
  <si>
    <t>00KE610</t>
  </si>
  <si>
    <t>IBM GPFS x86 Express Ed V4.x Client per socket with 3 Year SW S&amp;S</t>
  </si>
  <si>
    <t>00KE611</t>
  </si>
  <si>
    <t>IBM GPFS x86 Express Ed V4.x Client per 250 socket w/ 3 Yr SW S&amp;S</t>
  </si>
  <si>
    <t>00KE612</t>
  </si>
  <si>
    <t>IBM GPFS x86 Express Ed V4.x FPO per socket with 3 Year SW S&amp;S</t>
  </si>
  <si>
    <t>00KE613</t>
  </si>
  <si>
    <t>IBM GPFS x86 Express Ed V4.x FPO per 250 socket with 3 Yr SW S&amp;S</t>
  </si>
  <si>
    <t>00KE614</t>
  </si>
  <si>
    <t>IBM GPFS x86 Standard Ed V4.x Server per socket with 3 Year SW S&amp;S</t>
  </si>
  <si>
    <t>00KE615</t>
  </si>
  <si>
    <t>IBM GPFS x86 Standard Ed V4.x Server per 250 socket w/ 3 Yr SW S&amp;S</t>
  </si>
  <si>
    <t>00KE616</t>
  </si>
  <si>
    <t>IBM GPFS x86 Standard Ed V4.x Client per socket with 3 Year SW S&amp;S</t>
  </si>
  <si>
    <t>00KE617</t>
  </si>
  <si>
    <t>IBM GPFS x86 Standard Ed V4.x Client per 250 socket w/ 3 Yr SW S&amp;S</t>
  </si>
  <si>
    <t>00KE618</t>
  </si>
  <si>
    <t>IBM GPFS x86 Standard Ed V4.x FPO per socket with 3 Year SW S&amp;S</t>
  </si>
  <si>
    <t>00KE619</t>
  </si>
  <si>
    <t>IBM GPFS x86 Standard Ed V4.x FPO per 250 socket with 3 Yr SW S&amp;S</t>
  </si>
  <si>
    <t>00KE620</t>
  </si>
  <si>
    <t>IBM GPFS x86 Advanced Ed V4.x Server per socket with 3 Year SW S&amp;S</t>
  </si>
  <si>
    <t>00KE621</t>
  </si>
  <si>
    <t>IBM GPFS x86 Advanced Ed V4.x Server per 250 socket w/ 3 Yr SW S&amp;S</t>
  </si>
  <si>
    <t>00KE622</t>
  </si>
  <si>
    <t>IBM GPFS x86 Advanced Ed V4.x Client per socket with 3 Year SW S&amp;S</t>
  </si>
  <si>
    <t>00KE623</t>
  </si>
  <si>
    <t>IBM GPFS x86 Advanced Ed V4.x Client per 250 socket w/ 3 Yr SW S&amp;S</t>
  </si>
  <si>
    <t>00KE624</t>
  </si>
  <si>
    <t>IBM GPFS x86 Advanced Ed V4.x FPO per socket with 3 Year SW S&amp;S</t>
  </si>
  <si>
    <t>00KE625</t>
  </si>
  <si>
    <t>IBM GPFS x86 Advanced Ed V4.x FPO per 250 socket with 3 Yr SW S&amp;S</t>
  </si>
  <si>
    <t>00KE626</t>
  </si>
  <si>
    <t>IBM GPFS x86 Express Ed V4.x Server per socket with 5 Year SW S&amp;S</t>
  </si>
  <si>
    <t>00KE627</t>
  </si>
  <si>
    <t>IBM GPFS x86 Express Ed V4.x Server per 250 socket w/ 5 Yr SW S&amp;S</t>
  </si>
  <si>
    <t>00KE628</t>
  </si>
  <si>
    <t>IBM GPFS x86 Express Ed V4.x Client per socket with 5 Year SW S&amp;S</t>
  </si>
  <si>
    <t>00KE629</t>
  </si>
  <si>
    <t>IBM GPFS x86 Express Ed V4.x Client per 250 socket w/ 5 Yr SW S&amp;S</t>
  </si>
  <si>
    <t>00KE630</t>
  </si>
  <si>
    <t>IBM GPFS x86 Express Ed V4.x FPO per socket with 5 Year SW S&amp;S</t>
  </si>
  <si>
    <t>00KE631</t>
  </si>
  <si>
    <t>IBM GPFS x86 Express Ed V4.x FPO per 250 socket with 5 Yr SW S&amp;S</t>
  </si>
  <si>
    <t>00KE632</t>
  </si>
  <si>
    <t>IBM GPFS x86 Standard Ed V4.x Server per socket with 5 Year SW S&amp;S</t>
  </si>
  <si>
    <t>00KE633</t>
  </si>
  <si>
    <t>IBM GPFS x86 Standard Ed V4.x Server per 250 socket w/ 5 Yr SW S&amp;S</t>
  </si>
  <si>
    <t>00KE634</t>
  </si>
  <si>
    <t>IBM GPFS x86 Standard Ed V4.x Client per socket with 5 Year SW S&amp;S</t>
  </si>
  <si>
    <t>00KE635</t>
  </si>
  <si>
    <t>IBM GPFS x86 Standard Ed V4.x Client per 250 socket w/ 5 Yr SW S&amp;S</t>
  </si>
  <si>
    <t>00KE636</t>
  </si>
  <si>
    <t>IBM GPFS x86 Standard Ed V4.x FPO per socket with 5 Year SW S&amp;S</t>
  </si>
  <si>
    <t>00KE637</t>
  </si>
  <si>
    <t>IBM GPFS x86 Standard Ed V4.x FPO per 250 socket with 5 Yr SW S&amp;S</t>
  </si>
  <si>
    <t>00KE638</t>
  </si>
  <si>
    <t>IBM GPFS x86 Advanced Ed V4.x Server per socket with 5 Year SW S&amp;S</t>
  </si>
  <si>
    <t>00KE639</t>
  </si>
  <si>
    <t>IBM GPFS x86 Advanced Ed V4.x Server per 250 socket w/ 5 Yr SW S&amp;S</t>
  </si>
  <si>
    <t>00KE640</t>
  </si>
  <si>
    <t>IBM GPFS x86 Advanced Ed V4.x Client per socket with 5 Year SW S&amp;S</t>
  </si>
  <si>
    <t>00KE641</t>
  </si>
  <si>
    <t>IBM GPFS x86 Advanced Ed V4.x Client per 250 socket w/ 5 Yr SW S&amp;S</t>
  </si>
  <si>
    <t>00KE642</t>
  </si>
  <si>
    <t>IBM GPFS x86 Advanced Ed V4.x FPO per socket with 5 Year SW S&amp;S</t>
  </si>
  <si>
    <t>00KE643</t>
  </si>
  <si>
    <t>IBM GPFS x86 Advanced Ed V4.x FPO per 250 socket with 5 Yr SW S&amp;S</t>
  </si>
  <si>
    <t>00KE703</t>
  </si>
  <si>
    <t>IBM Platform Cluster Mgr Std Ed for x86 V4.x, Mngd Svr w/1 Yr SW S&amp;S</t>
  </si>
  <si>
    <t>00KE704</t>
  </si>
  <si>
    <t>IBM Platform Cluster Mgr Std Ed for x86 V4.x, Mngd Svr w/3 Yr SW S&amp;S</t>
  </si>
  <si>
    <t>00KE705</t>
  </si>
  <si>
    <t>IBM Platform Cluster Mgr Std Ed for x86 V4.x, Mngd Svr w/5 Yr SW S&amp;S</t>
  </si>
  <si>
    <t>00KE706</t>
  </si>
  <si>
    <t>IBM Platform LSF Standard Ed for x86 V9.x, Per RVU w/1 Yr SW S&amp;S</t>
  </si>
  <si>
    <t>00KE707</t>
  </si>
  <si>
    <t>IBM Platform LSF Standard Ed for x86 V9.x, Per RVU w/3 Yr SW S&amp;S</t>
  </si>
  <si>
    <t>00KE708</t>
  </si>
  <si>
    <t>IBM Platform LSF Standard Ed for x86 V9.x, Per RVU w/5 Yr SW S&amp;S</t>
  </si>
  <si>
    <t>00KE709</t>
  </si>
  <si>
    <t>IBM Platform RTM Server for x86 V9.x, Per Install w/1 Yr SW S&amp;S</t>
  </si>
  <si>
    <t>00KE710</t>
  </si>
  <si>
    <t>IBM Platform RTM Data Collector for x86 V9.x, Per RVU w/1 Yr SW S&amp;S</t>
  </si>
  <si>
    <t>00KE711</t>
  </si>
  <si>
    <t>IBM Platform RTM Server for x86 V9.x, Per Install w/3 Yr SW S&amp;S</t>
  </si>
  <si>
    <t>00KE712</t>
  </si>
  <si>
    <t>IBM Platform RTM Data Collector for x86 V9.x, Per RVU w/3 Yr SW S&amp;S</t>
  </si>
  <si>
    <t>00KE713</t>
  </si>
  <si>
    <t>IBM Platform RTM Server for x86 V9.x, Per Install w/5 Yr SW S&amp;S</t>
  </si>
  <si>
    <t>00KE714</t>
  </si>
  <si>
    <t>IBM Platform RTM Data Collector for x86 V9.x, Per RVU w/5 Yr SW S&amp;S</t>
  </si>
  <si>
    <t>00KE715</t>
  </si>
  <si>
    <t>IBM Platform Appl Ctr Std Ed for x86 V9.x, Per ConUser w/1 Yr SW S&amp;S</t>
  </si>
  <si>
    <t>00KE716</t>
  </si>
  <si>
    <t>IBM Platform Appl Ctr Std Ed for x86 V9.x, Per ConUser w/3 Yr SW S&amp;S</t>
  </si>
  <si>
    <t>00KE717</t>
  </si>
  <si>
    <t>IBM Platform Appl Ctr Std Ed for x86 V9.x, Per ConUser w/5 Yr SW S&amp;S</t>
  </si>
  <si>
    <t>00KE724</t>
  </si>
  <si>
    <t>IBM Platform HPC for x86 V4.x, Per Managed Server w/1 Yr SW S&amp;S</t>
  </si>
  <si>
    <t>00KE725</t>
  </si>
  <si>
    <t>IBM Platform HPC for x86 V4.x, Per Managed Server w/3 Yr SW S&amp;S</t>
  </si>
  <si>
    <t>00KE726</t>
  </si>
  <si>
    <t>IBM Platform HPC for x86 V4.x, Per Managed Server w/5 Yr SW S&amp;S</t>
  </si>
  <si>
    <t>00KE727</t>
  </si>
  <si>
    <t>IBM Platform License Scheduler for x86 V9.x, Per RVU w/1 Yr SW S&amp;S</t>
  </si>
  <si>
    <t>00KE728</t>
  </si>
  <si>
    <t>IBM Platform License Scheduler for x86 V9.x, Per RVU w/3 Yr SW S&amp;S</t>
  </si>
  <si>
    <t>00KE729</t>
  </si>
  <si>
    <t>IBM Platform License Scheduler for x86 V9.x, Per RVU w/5 Yr SW S&amp;S</t>
  </si>
  <si>
    <t>00KE730</t>
  </si>
  <si>
    <t>IBM Platform MPI for x86 V9.x, Per RVU w/1 Yr SW S&amp;S</t>
  </si>
  <si>
    <t>00KE731</t>
  </si>
  <si>
    <t>IBM Platform MPI for x86 V9.x, Per RVU w/3 Yr SW S&amp;S</t>
  </si>
  <si>
    <t>00KE732</t>
  </si>
  <si>
    <t>IBM Platform MPI for x86 V9.x, Per RVU w/5 Yr SW S&amp;S</t>
  </si>
  <si>
    <t>00KE733</t>
  </si>
  <si>
    <t>IBM Platform Cluster Mgr Adv Ed for x86 V4.x, Mngd Svr w/1 Yr SW S&amp;S</t>
  </si>
  <si>
    <t>00KE734</t>
  </si>
  <si>
    <t>IBM Platform Cluster Mgr Adv Ed for x86 V4.x, Mngd Svr w/3 Yr SW S&amp;S</t>
  </si>
  <si>
    <t>00KE735</t>
  </si>
  <si>
    <t>IBM Platform Cluster Mgr Adv Ed for x86 V4.x, Mngd Svr w/5 Yr SW S&amp;S</t>
  </si>
  <si>
    <t>00KE757</t>
  </si>
  <si>
    <t>IBM Platform LSF Standard Ed for x86 V9.x, Per 250 RVU w/1 Yr SW S&amp;S</t>
  </si>
  <si>
    <t>00KE758</t>
  </si>
  <si>
    <t>IBM Platform LSF Standard Ed for x86 V9.x, Per 250 RVU w/3 Yr SW S&amp;S</t>
  </si>
  <si>
    <t>00KE759</t>
  </si>
  <si>
    <t>IBM Platform LSF Standard Ed for x86 V9.x, Per 250 RVU w/5 Yr SW S&amp;S</t>
  </si>
  <si>
    <t>00KE760</t>
  </si>
  <si>
    <t>IBM Platform RTM Data Collector for x86 V9.x, Per 250RVU w/1Yr SWS&amp;S</t>
  </si>
  <si>
    <t>00KE761</t>
  </si>
  <si>
    <t>IBM Platform RTM Data Collector for x86 V9.x, Per 250RVU w/3Yr SWS&amp;S</t>
  </si>
  <si>
    <t>00KE762</t>
  </si>
  <si>
    <t>IBM Platform RTM Data Collector for x86 V9.x, Per 250RVU w/5Yr SWS&amp;S</t>
  </si>
  <si>
    <t>00KE769</t>
  </si>
  <si>
    <t>IBM Platform License Scheduler for x86 V9.x, Per 250RVU w/1Yr SW S&amp;S</t>
  </si>
  <si>
    <t>00KE770</t>
  </si>
  <si>
    <t>IBM Platform License Scheduler for x86 V9.x, Per 250RVU w/3Yr SW S&amp;S</t>
  </si>
  <si>
    <t>00KE771</t>
  </si>
  <si>
    <t>IBM Platform License Scheduler for x86 V9.x, Per 250RVU w/5Yr SW S&amp;S</t>
  </si>
  <si>
    <t>00KE772</t>
  </si>
  <si>
    <t>IBM Platform MPI for x86 V9.x, Per 250 RVU w/1 Yr SW S&amp;S</t>
  </si>
  <si>
    <t>00KE773</t>
  </si>
  <si>
    <t>IBM Platform MPI for x86 V9.x, Per 250 RVU w/3 Yr SW S&amp;S</t>
  </si>
  <si>
    <t>00KE774</t>
  </si>
  <si>
    <t>IBM Platform MPI for x86 V9.x, Per 250 RVU w/5 Yr SW S&amp;S</t>
  </si>
  <si>
    <t>00KE795</t>
  </si>
  <si>
    <t>00KE796</t>
  </si>
  <si>
    <t>Zenoss Resource Manager for 1 Virtualized Srv w/1 Year SnS</t>
  </si>
  <si>
    <t>00KE797</t>
  </si>
  <si>
    <t>Zenoss Resource Manager for 10 Virtualized Srvs w/1 Year SnS</t>
  </si>
  <si>
    <t>00KE798</t>
  </si>
  <si>
    <t>Zenoss Resource Manager for 100 Virtualized Srvs w/1 Year SnS</t>
  </si>
  <si>
    <t>00KE799</t>
  </si>
  <si>
    <t>Zenoss Resource Manager for 1 Physical Srv w/1 Year SnS</t>
  </si>
  <si>
    <t>00KE800</t>
  </si>
  <si>
    <t>Zenoss Resource Manager for 10 Physical Srvs w/1 Year SnS</t>
  </si>
  <si>
    <t>00KE801</t>
  </si>
  <si>
    <t>Zenoss Resource Manager for 100 Physical Srvs w/1 Year SnS</t>
  </si>
  <si>
    <t>00MT273</t>
  </si>
  <si>
    <t>IBM Cloud Mgr w/OpenStack for x86-L v4.x, per Socket w/1Yr SW S&amp;S</t>
  </si>
  <si>
    <t>00MT274</t>
  </si>
  <si>
    <t>IBM Cloud Mgr w/OpenStack for x86-L v4.x, per Socket w/3Yr SW S&amp;S</t>
  </si>
  <si>
    <t>00KH104</t>
  </si>
  <si>
    <t>IBM Platform Data Mgr for LSF V9.x, Per Simul Session w/1 Yr SW S&amp;S</t>
  </si>
  <si>
    <t>00KH105</t>
  </si>
  <si>
    <t>IBM Platform Data Mgr for LSF V9.x, Per Simul Session w/3 Yr SW S&amp;S</t>
  </si>
  <si>
    <t>00KH106</t>
  </si>
  <si>
    <t>IBM Platform Data Mgr for LSF V9.x, Per Simul Session w/5 Yr SW S&amp;S</t>
  </si>
  <si>
    <t>00KH107</t>
  </si>
  <si>
    <t>IBM Platform Process Mgr for x86 V9.x Per Concur User w/1 Yr SW S&amp;S</t>
  </si>
  <si>
    <t>00KH108</t>
  </si>
  <si>
    <t>IBM Platform Process Mgr for x86 V9.x Per Concur User w/3 Yr SW S&amp;S</t>
  </si>
  <si>
    <t>00KH109</t>
  </si>
  <si>
    <t>IBM Platform Process Mgr for x86 V9.x Per Concur User w/5 Yr SW S&amp;S</t>
  </si>
  <si>
    <t>00MT210</t>
  </si>
  <si>
    <t>Atlantis SW ILIO Persistent VDI p/user, 1 yr Standard S&amp;S</t>
  </si>
  <si>
    <t>00MT211</t>
  </si>
  <si>
    <t>Atlantis SW ILIO Persistent VDI p/user, 3 yr Standard S&amp;S</t>
  </si>
  <si>
    <t>00MT212</t>
  </si>
  <si>
    <t>Atlantis SW ILIO Persistent VDI p/250user, 1 yr Standard S&amp;S</t>
  </si>
  <si>
    <t>00MT213</t>
  </si>
  <si>
    <t>Atlantis SW ILIO Persistent VDI p/250user, 3 yr Standard S&amp;S</t>
  </si>
  <si>
    <t>00MT214</t>
  </si>
  <si>
    <t>Atlantis SW ILIO Diskless VDI p/user, 1 yr Standard S&amp;S</t>
  </si>
  <si>
    <t>00MT215</t>
  </si>
  <si>
    <t>Atlantis SW ILIO Diskless VDI p/user, 3 yr Standard S&amp;S</t>
  </si>
  <si>
    <t>00MT216</t>
  </si>
  <si>
    <t>Atlantis SW ILIO Diskless VDI p/250user, 1 yr Standard S&amp;S</t>
  </si>
  <si>
    <t>00MT217</t>
  </si>
  <si>
    <t>Atlantis SW ILIO Diskless VDI p/250user, 3 yr Standard S&amp;S</t>
  </si>
  <si>
    <t>00MT218</t>
  </si>
  <si>
    <t>Atlantis SW ILIO Stateless VDI p/user, 1 yr Standard S&amp;S</t>
  </si>
  <si>
    <t>00MT219</t>
  </si>
  <si>
    <t>Atlantis SW ILIO Stateless VDI p/user, 3 yr Standard S&amp;S</t>
  </si>
  <si>
    <t>00MT220</t>
  </si>
  <si>
    <t>Atlantis SW ILIO Stateless VDI p/250user, 1 yr Standard S&amp;S</t>
  </si>
  <si>
    <t>00MT221</t>
  </si>
  <si>
    <t>Atlantis SW ILIO Stateless VDI p/250user, 3 yr Standard S&amp;S</t>
  </si>
  <si>
    <t>00MT222</t>
  </si>
  <si>
    <t>Atlantis SW ILIO for XenApp Standard  p/host,1 yr Standard S&amp;S</t>
  </si>
  <si>
    <t>00MT223</t>
  </si>
  <si>
    <t>Atlantis SW ILIO for XenApp Standard  p/host,3 yr Standard S&amp;S</t>
  </si>
  <si>
    <t>00MT224</t>
  </si>
  <si>
    <t>Atlantis SW ILIO for XenApp Standard  p/250host,1 yr Standard S&amp;S</t>
  </si>
  <si>
    <t>00MT225</t>
  </si>
  <si>
    <t>Atlantis SW ILIO for XenApp Standard  p/250host,3 yr Standard S&amp;S</t>
  </si>
  <si>
    <t>00MT226</t>
  </si>
  <si>
    <t>Atlantis SW ILIO for XenApp Enterprise  p/host,1 yr Standard S&amp;S</t>
  </si>
  <si>
    <t>00MT227</t>
  </si>
  <si>
    <t>Atlantis SW ILIO for XenApp Enterprise  p/host,3 yr Standard S&amp;S</t>
  </si>
  <si>
    <t>00MT228</t>
  </si>
  <si>
    <t>Atlantis SW ILIO for XenApp Enterprise  p/250host,1 yr Standard S&amp;S</t>
  </si>
  <si>
    <t>00MT229</t>
  </si>
  <si>
    <t>Atlantis SW ILIO for XenApp Enterprise  p/250host,3 yr Standard S&amp;S</t>
  </si>
  <si>
    <t>00MT230</t>
  </si>
  <si>
    <t>Atlantis SW ILIO for XenApp Entprise  p/cncrnt usr,1 yr Stdrd S&amp;S</t>
  </si>
  <si>
    <t>00MT231</t>
  </si>
  <si>
    <t>Atlantis SW ILIO for XenApp Entprise  p/cncrnt usr,3 yr Stdrd S&amp;S</t>
  </si>
  <si>
    <t>00MT232</t>
  </si>
  <si>
    <t>Atlantis SW ILIO for XenApp Entprise  p/250cncrnt usr,1 yr Stdrd S&amp;S</t>
  </si>
  <si>
    <t>00MT233</t>
  </si>
  <si>
    <t>Atlantis SW ILIO for XenApp Entprise  p/250cncrnt usr,3 yr Stdrd S&amp;S</t>
  </si>
  <si>
    <t>00MT234</t>
  </si>
  <si>
    <t>Atlantis SW USX for local storage, p/TB,1 yr Standard S&amp;S</t>
  </si>
  <si>
    <t>00MT235</t>
  </si>
  <si>
    <t>Atlantis SW USX for local storage, p/TB,3 yr Standard S&amp;S</t>
  </si>
  <si>
    <t>00MT236</t>
  </si>
  <si>
    <t>Atlantis SW USX for local storage, p/TB,5 yr Standard S&amp;S</t>
  </si>
  <si>
    <t>00MT237</t>
  </si>
  <si>
    <t>Atlantis SW USX for local storage, p/TB,1 yr Premium (24x7) S&amp;S</t>
  </si>
  <si>
    <t>00MT238</t>
  </si>
  <si>
    <t>Atlantis SW USX for local storage, p/TB,3 yr Premium (24x7) S&amp;S</t>
  </si>
  <si>
    <t>00MT239</t>
  </si>
  <si>
    <t>Atlantis SW USX for local storage, p/TB,5 yr Premium (24x7) S&amp;S</t>
  </si>
  <si>
    <t>00MT240</t>
  </si>
  <si>
    <t>Atlantis SW USX for shared storage, p/TB,1 yr Standard S&amp;S</t>
  </si>
  <si>
    <t>00MT241</t>
  </si>
  <si>
    <t>Atlantis SW USX for shared storage, p/TB,3 yr Standard S&amp;S</t>
  </si>
  <si>
    <t>00MT242</t>
  </si>
  <si>
    <t>Atlantis SW USX for shared storage, p/TB,5 yr Standard S&amp;S</t>
  </si>
  <si>
    <t>00MT243</t>
  </si>
  <si>
    <t>Atlantis SW USX for shared storage, p/TB,1 yr Premium S&amp;S</t>
  </si>
  <si>
    <t>00MT244</t>
  </si>
  <si>
    <t>Atlantis SW USX for shared storage, p/TB,3 yr Premium S&amp;S</t>
  </si>
  <si>
    <t>00MT245</t>
  </si>
  <si>
    <t>Atlantis SW USX for shared storage, p/TB,5 yr Premium S&amp;S</t>
  </si>
  <si>
    <t>00MT246</t>
  </si>
  <si>
    <t>Atlantis SW USX for VDI storage, p/Desktop VM,1 yr Standard S&amp;S</t>
  </si>
  <si>
    <t>00MT247</t>
  </si>
  <si>
    <t>Atlantis SW USX for VDI storage, p/Desktop VM,3 yr Standard S&amp;S</t>
  </si>
  <si>
    <t>00MT248</t>
  </si>
  <si>
    <t>Atlantis SW USX for VDI storage, p/Desktop VM,5 yr Standard S&amp;S</t>
  </si>
  <si>
    <t>00MT249</t>
  </si>
  <si>
    <t>Atlantis SW USX for VDI storage, p/Desktop VM,1 yr Premium S&amp;S</t>
  </si>
  <si>
    <t>00MT250</t>
  </si>
  <si>
    <t>Atlantis SW USX for VDI storage, p/Desktop VM,3 yr Premium S&amp;S</t>
  </si>
  <si>
    <t>00MT251</t>
  </si>
  <si>
    <t>Atlantis SW USX for VDI storage, p/Desktop VM,5 yr Premium S&amp;S</t>
  </si>
  <si>
    <t>00MT252</t>
  </si>
  <si>
    <t>Atlantis SW USX for VDI storage, p/250Desktop VM,1 yr Standard S&amp;S</t>
  </si>
  <si>
    <t>00MT253</t>
  </si>
  <si>
    <t>Atlantis SW USX for VDI storage, p/250Desktop VM,3 yr Standard S&amp;S</t>
  </si>
  <si>
    <t>00MT254</t>
  </si>
  <si>
    <t>Atlantis SW USX for VDI storage, p/250Desktop VM,5 yr Standard S&amp;S</t>
  </si>
  <si>
    <t>00MT255</t>
  </si>
  <si>
    <t>Atlantis SW USX for VDI storage, p/250Desktop VM,1 yr Premium S&amp;S</t>
  </si>
  <si>
    <t>00MT256</t>
  </si>
  <si>
    <t>Atlantis SW USX for VDI storage, p/250Desktop VM,3 yr Premium S&amp;S</t>
  </si>
  <si>
    <t>00MT257</t>
  </si>
  <si>
    <t>Atlantis SW USX for VDI storage, p/250Desktop VM,5 yr Premium S&amp;S</t>
  </si>
  <si>
    <t>00MT258</t>
  </si>
  <si>
    <t>Atlantis SW USX for Shared Desktops, p/host,1 yr Standard S&amp;S</t>
  </si>
  <si>
    <t>00MT259</t>
  </si>
  <si>
    <t>Atlantis SW USX for Shared Desktops, p/host,3 yr Standard S&amp;S</t>
  </si>
  <si>
    <t>00MT260</t>
  </si>
  <si>
    <t>Atlantis SW USX for Shared Desktops, p/host,5 yr Standard S&amp;S</t>
  </si>
  <si>
    <t>00MT261</t>
  </si>
  <si>
    <t>Atlantis SW USX for Shared Desktops, p/host,1 yr Premium S&amp;S</t>
  </si>
  <si>
    <t>00MT262</t>
  </si>
  <si>
    <t>Atlantis SW USX for Shared Desktops, p/host,3 yr Premium S&amp;S</t>
  </si>
  <si>
    <t>00MT263</t>
  </si>
  <si>
    <t>Atlantis SW USX for Shared Desktops, p/host,5 yr Premium S&amp;S</t>
  </si>
  <si>
    <t>00MT264</t>
  </si>
  <si>
    <t>Atlantis SW USX for Shared Desktops, p/250host,1 yr Standard S&amp;S</t>
  </si>
  <si>
    <t>00MT265</t>
  </si>
  <si>
    <t>Atlantis SW USX for Shared Desktops, p/250host,3 yr Standard S&amp;S</t>
  </si>
  <si>
    <t>00MT266</t>
  </si>
  <si>
    <t>Atlantis SW USX for Shared Desktops, p/250host,5 yr Standard S&amp;S</t>
  </si>
  <si>
    <t>00MT267</t>
  </si>
  <si>
    <t>Atlantis SW USX for Shared Desktops, p/250host,1 yr Premium S&amp;S</t>
  </si>
  <si>
    <t>00MT268</t>
  </si>
  <si>
    <t>Atlantis SW USX for Shared Desktops, p/250host,3 yr Premium S&amp;S</t>
  </si>
  <si>
    <t>00MT269</t>
  </si>
  <si>
    <t>Atlantis SW USX for Shared Desktops, p/250host,5 yr Premium S&amp;S</t>
  </si>
  <si>
    <t>00Y6198</t>
  </si>
  <si>
    <t>IBM Fabric Mgr for BladeCenter w/1 Yr S&amp;S</t>
  </si>
  <si>
    <t>00Y6199</t>
  </si>
  <si>
    <t>IBM Fabric Mgr for BladeCenter w/3 Yr S&amp;S</t>
  </si>
  <si>
    <t>00Y6200</t>
  </si>
  <si>
    <t>IBM Fabric Mgr for BCS w/1 Yr S&amp;S</t>
  </si>
  <si>
    <t>00Y6201</t>
  </si>
  <si>
    <t>IBM Fabric Mgr for BCS w/3 Yr S&amp;S</t>
  </si>
  <si>
    <t>00Y6202</t>
  </si>
  <si>
    <t>IBM Fabric Mgr Upgrade from BOFM for BladeCenter w/1 Yr S&amp;S</t>
  </si>
  <si>
    <t>00Y6203</t>
  </si>
  <si>
    <t>IBM Fabric Mgr Upgrade from BOFM for BCS w/1 Yr S&amp;S</t>
  </si>
  <si>
    <t>00Y6219</t>
  </si>
  <si>
    <t>IBM Fabric Mgr for Flex Chassis w/1 Yr SW S&amp;S (no auth code)</t>
  </si>
  <si>
    <t>00Y6220</t>
  </si>
  <si>
    <t>IBM Fabric Mgr for BladeCenter w/1 Yr SW S&amp;S (no auth code)</t>
  </si>
  <si>
    <t>00Y6221</t>
  </si>
  <si>
    <t>IBM Fabric Mgr for BCS w/1 Yr SW S&amp;S (no auth code)</t>
  </si>
  <si>
    <t>00Y6326</t>
  </si>
  <si>
    <t>Windows Srv Datacenter 2012 2CPU Additional License ROK -Multilang</t>
  </si>
  <si>
    <t>00Y6330</t>
  </si>
  <si>
    <t>Win Stg Srv 2012 Std 2CPU Additional License ROK -Multilang</t>
  </si>
  <si>
    <t>00Y6345</t>
  </si>
  <si>
    <t>Windows Server CAL 2012 (1 User) - Multilanguage</t>
  </si>
  <si>
    <t>00Y6346</t>
  </si>
  <si>
    <t>Windows Server CAL 2012 (5 User) - Multilanguage</t>
  </si>
  <si>
    <t>00Y6347</t>
  </si>
  <si>
    <t>Windows Server CAL 2012 (10 User) - Multilanguage</t>
  </si>
  <si>
    <t>00Y6348</t>
  </si>
  <si>
    <t>Windows Server CAL 2012 (50 User) - Multilanguage</t>
  </si>
  <si>
    <t>00Y6349</t>
  </si>
  <si>
    <t>Windows Server CAL 2012 (1 Device) - Multilanguage</t>
  </si>
  <si>
    <t>00Y6350</t>
  </si>
  <si>
    <t>Windows Server CAL 2012 (5 Device) - Multilanguage</t>
  </si>
  <si>
    <t>00Y6351</t>
  </si>
  <si>
    <t>Windows Server CAL 2012 (10 Device) - Multilanguage</t>
  </si>
  <si>
    <t>00Y6352</t>
  </si>
  <si>
    <t>Windows Server CAL 2012 (50 Device) - Multilanguage</t>
  </si>
  <si>
    <t>00Y6353</t>
  </si>
  <si>
    <t>Windows Remote Desktop Services CAL 2012 (1 User) - Multilanguage</t>
  </si>
  <si>
    <t>00Y6354</t>
  </si>
  <si>
    <t>Windows Remote Desktop Services CAL 2012 (5 User) - Multilanguage</t>
  </si>
  <si>
    <t>00Y6355</t>
  </si>
  <si>
    <t>Windows Remote Desktop Services CAL 2012 (1 Device) - Multilanguage</t>
  </si>
  <si>
    <t>00Y6356</t>
  </si>
  <si>
    <t>Windows Remote Desktop Services CAL 2012 (5 Device) - Multilanguage</t>
  </si>
  <si>
    <t>26K5607</t>
  </si>
  <si>
    <t>Brocade ISL Trunking for IBM eServer BladeCenter</t>
  </si>
  <si>
    <t>32R1822</t>
  </si>
  <si>
    <t>Brocade 10-port Upgrade for IBM BladeCenter.</t>
  </si>
  <si>
    <t>49Y9170</t>
  </si>
  <si>
    <t>Moab Adaptive HPC Suite - 1 Socket w/3 Yr Sub and Supp</t>
  </si>
  <si>
    <t>49Y9171</t>
  </si>
  <si>
    <t>Moab Adaptive HPC Suite - 8 Sockets w/3 Yr Sub and Supp</t>
  </si>
  <si>
    <t>49Y9172</t>
  </si>
  <si>
    <t>Moab Adaptive Computing Suite - 1 Socket w/3 Yr Sub and Supp</t>
  </si>
  <si>
    <t>80Y9434</t>
  </si>
  <si>
    <t>Windows® Small Business Server 2011 CAL Suite (1 User)</t>
  </si>
  <si>
    <t>80Y9435</t>
  </si>
  <si>
    <t>Windows® Small Business Server 2011 CAL Suite (1 Device)</t>
  </si>
  <si>
    <t>80Y9436</t>
  </si>
  <si>
    <t>Windows® Small Business Server 2011 Prem Add-On CAL Suite (1 User)</t>
  </si>
  <si>
    <t>80Y9437</t>
  </si>
  <si>
    <t>Windows® Small Business Server 2011 Prem Add-On CAL Suite (1 Device)</t>
  </si>
  <si>
    <t>95Y1112</t>
  </si>
  <si>
    <t>IBM Systems Director Standard Ed for x86 V6-Srvr Lic w/1 Yr S&amp;S</t>
  </si>
  <si>
    <t>95Y1174</t>
  </si>
  <si>
    <t>IBM Flex System Manager w/1 Yr S&amp;S</t>
  </si>
  <si>
    <t>LAB Services</t>
  </si>
  <si>
    <t>00Y3491</t>
  </si>
  <si>
    <t>One Day System x Premium ServiceUnit - SSA</t>
  </si>
  <si>
    <t>00Y3533</t>
  </si>
  <si>
    <t>One Day System x Remote / Local ServiceUnit - SSA</t>
  </si>
  <si>
    <t>95Y4053</t>
  </si>
  <si>
    <t>SYSTEM X LAB SERVICES ServiceUnit - SSA</t>
  </si>
  <si>
    <t>LightPaths</t>
  </si>
  <si>
    <t>00AL566</t>
  </si>
  <si>
    <t>System x3500 M5 Lightpath Upgrade Kit</t>
  </si>
  <si>
    <t>00KA054</t>
  </si>
  <si>
    <t>System x Advanced LCD Light Path Kit</t>
  </si>
  <si>
    <t>00KA503</t>
  </si>
  <si>
    <t>00Y7676</t>
  </si>
  <si>
    <t>90Y6533</t>
  </si>
  <si>
    <t>Lightpath Upgrade kit</t>
  </si>
  <si>
    <t>Activation Key</t>
  </si>
  <si>
    <t>81Y2393</t>
  </si>
  <si>
    <t>Flex System Options</t>
  </si>
  <si>
    <t>95Y3318</t>
  </si>
  <si>
    <t>95Y3320</t>
  </si>
  <si>
    <t>68Y8588</t>
  </si>
  <si>
    <t>81Y8983</t>
  </si>
  <si>
    <t>46C7191</t>
  </si>
  <si>
    <t>46M6181</t>
  </si>
  <si>
    <t>00Y3871</t>
  </si>
  <si>
    <t>Flex System X6 4-Socket Scalability Connector</t>
  </si>
  <si>
    <t>00Y3874</t>
  </si>
  <si>
    <t>Flex System X6 8-Socket Scalability Connector</t>
  </si>
  <si>
    <t>00Y8393</t>
  </si>
  <si>
    <t>68Y7484</t>
  </si>
  <si>
    <t>00D5845</t>
  </si>
  <si>
    <t>00D5847</t>
  </si>
  <si>
    <t>00Y3322</t>
  </si>
  <si>
    <t>00Y3324</t>
  </si>
  <si>
    <t>47C9993</t>
  </si>
  <si>
    <t>49Y4294</t>
  </si>
  <si>
    <t>49Y4298</t>
  </si>
  <si>
    <t>49Y4798</t>
  </si>
  <si>
    <t>69Y1934</t>
  </si>
  <si>
    <t>88Y6037</t>
  </si>
  <si>
    <t>88Y6043</t>
  </si>
  <si>
    <t>88Y6374</t>
  </si>
  <si>
    <t>88Y6382</t>
  </si>
  <si>
    <t>88Y6386</t>
  </si>
  <si>
    <t>90Y3450</t>
  </si>
  <si>
    <t>90Y3462</t>
  </si>
  <si>
    <t>90Y3562</t>
  </si>
  <si>
    <t>90Y9310</t>
  </si>
  <si>
    <t>90Y9346</t>
  </si>
  <si>
    <t>90Y9356</t>
  </si>
  <si>
    <t>94Y5158</t>
  </si>
  <si>
    <t>94Y5159</t>
  </si>
  <si>
    <t>6099L2C</t>
  </si>
  <si>
    <t>6099S2C</t>
  </si>
  <si>
    <t>6099T2C</t>
  </si>
  <si>
    <t>6194L2C</t>
  </si>
  <si>
    <t>6194S2C</t>
  </si>
  <si>
    <t>6195SC5</t>
  </si>
  <si>
    <t>610024X</t>
  </si>
  <si>
    <t>3873AR1</t>
  </si>
  <si>
    <t>Brocade 300 FC SAN Switch</t>
  </si>
  <si>
    <t>3873AR2</t>
  </si>
  <si>
    <t>Brocade 6505 FC SAN Switch</t>
  </si>
  <si>
    <t>3873BR1</t>
  </si>
  <si>
    <t>Brocade 6510 FC SAN Switch</t>
  </si>
  <si>
    <t>6160S5E</t>
  </si>
  <si>
    <t>6160S6E</t>
  </si>
  <si>
    <t>IBM TS2260 Tape Drive Model H6S</t>
  </si>
  <si>
    <t>6160S6X</t>
  </si>
  <si>
    <t>6171S4R</t>
  </si>
  <si>
    <t>6171S5R</t>
  </si>
  <si>
    <t>6171S6R</t>
  </si>
  <si>
    <t>61732UL</t>
  </si>
  <si>
    <t>TS3100 Tape Library Model L2U</t>
  </si>
  <si>
    <t>61734UL</t>
  </si>
  <si>
    <t>TS3200 Tape Library Model L4U</t>
  </si>
  <si>
    <t>61901UX</t>
  </si>
  <si>
    <t>6099TEU</t>
  </si>
  <si>
    <t>6099SEU</t>
  </si>
  <si>
    <t>6099LEU</t>
  </si>
  <si>
    <t>6194SEU</t>
  </si>
  <si>
    <t>6194LEU</t>
  </si>
  <si>
    <t>6195LEF</t>
  </si>
  <si>
    <t>6195SEF</t>
  </si>
  <si>
    <t>00MJ162</t>
  </si>
  <si>
    <t>0.6m SAS Cable (mSAS HD to mSAS)</t>
  </si>
  <si>
    <t>00MJ163</t>
  </si>
  <si>
    <t>1.5m SAS Cable (mSAS HD to mSAS)</t>
  </si>
  <si>
    <t>00MJ166</t>
  </si>
  <si>
    <t>3m SAS Cable (mSAS HD to mSAS)</t>
  </si>
  <si>
    <t>00MJ176</t>
  </si>
  <si>
    <t>0.6m SAS Cable (mSAS HD to mSAS HD)</t>
  </si>
  <si>
    <t>00MJ178</t>
  </si>
  <si>
    <t>1.5m SAS Cable (mSAS HD to mSAS HD)</t>
  </si>
  <si>
    <t>00MJ180</t>
  </si>
  <si>
    <t>3m SAS Cable (mSAS HD to mSAS HD)</t>
  </si>
  <si>
    <t>00NC539</t>
  </si>
  <si>
    <t>0.6m 12 Gb SAS Cable (mSAS HD to mSAS HD)</t>
  </si>
  <si>
    <t>00NC541</t>
  </si>
  <si>
    <t>1.5m 12 Gb SAS Cable (mSAS HD to mSAS HD)</t>
  </si>
  <si>
    <t>00NC543</t>
  </si>
  <si>
    <t>3m 12 Gb SAS Cable (mSAS HD to mSAS HD)</t>
  </si>
  <si>
    <t>00NC545</t>
  </si>
  <si>
    <t>6m 12 Gb SAS Cable (mSAS HD to mSAS HD)</t>
  </si>
  <si>
    <t>00MJ101</t>
  </si>
  <si>
    <t>4GB to 8GB Cache Upgrade</t>
  </si>
  <si>
    <t>00NC509</t>
  </si>
  <si>
    <t>64 GB to 128 GB Cache Upgrade</t>
  </si>
  <si>
    <t>00MJ109</t>
  </si>
  <si>
    <t>Generic Bezel 20 Pack - LFF Control</t>
  </si>
  <si>
    <t>00MJ111</t>
  </si>
  <si>
    <t>Generic Bezel 20 Pack - LFF Expansion</t>
  </si>
  <si>
    <t>00MJ113</t>
  </si>
  <si>
    <t>Generic Bezel 20 Pack - SFF Control</t>
  </si>
  <si>
    <t>00MJ115</t>
  </si>
  <si>
    <t>Generic Bezel 20 Pack - SFF Expansion</t>
  </si>
  <si>
    <t>Advanced Functions</t>
  </si>
  <si>
    <t>00MJ117</t>
  </si>
  <si>
    <t>00MJ119</t>
  </si>
  <si>
    <t>FlashCopy Upgrade</t>
  </si>
  <si>
    <t>00MJ121</t>
  </si>
  <si>
    <t>Remote Mirroring</t>
  </si>
  <si>
    <t>00MJ123</t>
  </si>
  <si>
    <t>Easy Tier</t>
  </si>
  <si>
    <t>00MT543</t>
  </si>
  <si>
    <t>Encryption Enablement</t>
  </si>
  <si>
    <t>00MT545</t>
  </si>
  <si>
    <t>Encryption USB Drive Pack</t>
  </si>
  <si>
    <t>00NA011</t>
  </si>
  <si>
    <t>6171 Transparent LTO Encryption</t>
  </si>
  <si>
    <t>00NA069</t>
  </si>
  <si>
    <t>6173 Path Failover</t>
  </si>
  <si>
    <t>00NA083</t>
  </si>
  <si>
    <t>6173 Transparent LTO Encryption</t>
  </si>
  <si>
    <t>00NV409</t>
  </si>
  <si>
    <t>6190 SATA/SAS DVDRAM Sled Drive</t>
  </si>
  <si>
    <t>00NV410</t>
  </si>
  <si>
    <t>6190 SATA/SAS DVDRAM Drive/Cable/Card</t>
  </si>
  <si>
    <t>00NV411</t>
  </si>
  <si>
    <t>6190 USB DVDRAM Sled Drive</t>
  </si>
  <si>
    <t>00NV412</t>
  </si>
  <si>
    <t>6190 USB DVDRAM Drive/Cable/Card</t>
  </si>
  <si>
    <t>00NA013</t>
  </si>
  <si>
    <t>6171 Rack Mount Kit</t>
  </si>
  <si>
    <t>00NA015</t>
  </si>
  <si>
    <t>6171 Deskside Covers</t>
  </si>
  <si>
    <t>00NA089</t>
  </si>
  <si>
    <t>6173 Rack Mount Kit</t>
  </si>
  <si>
    <t>00NV426</t>
  </si>
  <si>
    <t>6160 Rack Mount Shelf Kit w/PDU Line Cord</t>
  </si>
  <si>
    <t>00MY760</t>
  </si>
  <si>
    <t>Brocade FC SAN 65xx mid-mount rack kit</t>
  </si>
  <si>
    <t>00MY794</t>
  </si>
  <si>
    <t>Brocade FC SAN 300 Slide Rack mount kit</t>
  </si>
  <si>
    <t>00MN522</t>
  </si>
  <si>
    <t>6 TB 7,200 rpm 12 Gb SAS 3.5-inch Hard Drive</t>
  </si>
  <si>
    <t>00MN524</t>
  </si>
  <si>
    <t>1.8 TB 10,000 rpm 12 Gb SAS 3.5-Inch Hard Drive</t>
  </si>
  <si>
    <t>00MN526</t>
  </si>
  <si>
    <t>1.8 TB 10,000 rpm 12 Gb SAS 2.5-inch Hard Drive</t>
  </si>
  <si>
    <t>00MN532</t>
  </si>
  <si>
    <t>00MN534</t>
  </si>
  <si>
    <t>00MN536</t>
  </si>
  <si>
    <t>00MN538</t>
  </si>
  <si>
    <t>00MN540</t>
  </si>
  <si>
    <t>00NC515</t>
  </si>
  <si>
    <t>3 TB 7,200 rpm 6 Gb SAS NL 3.5 Inch HDD</t>
  </si>
  <si>
    <t>00NC517</t>
  </si>
  <si>
    <t>4 TB 7,200 rpm 6 Gb SAS NL 3.5 Inch HDD</t>
  </si>
  <si>
    <t>00NC519</t>
  </si>
  <si>
    <t>300 GB 15,000 rpm 12 Gb SAS 2.5 Inch HDD</t>
  </si>
  <si>
    <t>00NC521</t>
  </si>
  <si>
    <t>600 GB 15,000 rpm 12 Gb SAS 2.5 Inch HDD</t>
  </si>
  <si>
    <t>00NC523</t>
  </si>
  <si>
    <t>600 GB 10,000 rpm 6 Gb SAS 2.5 Inch HDD</t>
  </si>
  <si>
    <t>00NC525</t>
  </si>
  <si>
    <t>900 GB 10,000 rpm 6 Gb SAS 2.5 Inch HDD</t>
  </si>
  <si>
    <t>00NC527</t>
  </si>
  <si>
    <t>1.2 TB 10,000 rpm 6 Gb SAS 2.5 Inch HDD</t>
  </si>
  <si>
    <t>00NC529</t>
  </si>
  <si>
    <t>1 TB 7,200 rpm 6 Gb SAS NL 2.5 Inch HDD</t>
  </si>
  <si>
    <t>00NC531</t>
  </si>
  <si>
    <t>200 GB 12 Gb SAS 2.5 Inch Flash Drive</t>
  </si>
  <si>
    <t>00NC533</t>
  </si>
  <si>
    <t>400 GB 12 Gb SAS 2.5 Inch Flash Drive</t>
  </si>
  <si>
    <t>00NC535</t>
  </si>
  <si>
    <t>800 GB 12 Gb SAS 2.5 Inch Flash Drive</t>
  </si>
  <si>
    <t>00AK399</t>
  </si>
  <si>
    <t>00MJ127</t>
  </si>
  <si>
    <t>00MJ129</t>
  </si>
  <si>
    <t>00MJ131</t>
  </si>
  <si>
    <t>900 GB 10,000 rpm 6 Gb SAS 3.5 Inch HDD</t>
  </si>
  <si>
    <t>00MJ133</t>
  </si>
  <si>
    <t>1.2 TB 10,000 rpm 6 Gb SAS 3.5 Inch HDD</t>
  </si>
  <si>
    <t>00MJ135</t>
  </si>
  <si>
    <t>300 GB 15,000 rpm 6 Gb SAS 3.5 Inch HDD</t>
  </si>
  <si>
    <t>00MJ137</t>
  </si>
  <si>
    <t>600 GB 15,000 rpm 12 Gb SAS 3.5 Inch HDD</t>
  </si>
  <si>
    <t>00MJ141</t>
  </si>
  <si>
    <t>300 GB 15,000 rpm 6 Gb SAS 2.5 Inch HDD</t>
  </si>
  <si>
    <t>00MJ143</t>
  </si>
  <si>
    <t>00MJ145</t>
  </si>
  <si>
    <t>00MJ147</t>
  </si>
  <si>
    <t>00MJ149</t>
  </si>
  <si>
    <t>00MJ151</t>
  </si>
  <si>
    <t>00MJ154</t>
  </si>
  <si>
    <t>00MJ156</t>
  </si>
  <si>
    <t>00MJ158</t>
  </si>
  <si>
    <t>00NC557</t>
  </si>
  <si>
    <t>3TB 3.5in 7.2K 6Gb SAS NL HDD</t>
  </si>
  <si>
    <t>00NC559</t>
  </si>
  <si>
    <t>4TB 3.5in 7.2K 6Gb SAS NL HDD</t>
  </si>
  <si>
    <t>00NC565</t>
  </si>
  <si>
    <t>00NC567</t>
  </si>
  <si>
    <t>900GB 2.5in 10K 6Gb SAS HDD</t>
  </si>
  <si>
    <t>00NC571</t>
  </si>
  <si>
    <t>1TB 2.5in 7.2K 6Gb SAS NL HDD</t>
  </si>
  <si>
    <t>00NC629</t>
  </si>
  <si>
    <t>00NC631</t>
  </si>
  <si>
    <t>00NC633</t>
  </si>
  <si>
    <t>00NC635</t>
  </si>
  <si>
    <t>00NC639</t>
  </si>
  <si>
    <t>00NC641</t>
  </si>
  <si>
    <t>00NC645</t>
  </si>
  <si>
    <t>00NC647</t>
  </si>
  <si>
    <t>00NC649</t>
  </si>
  <si>
    <t>00NC651</t>
  </si>
  <si>
    <t>00NC653</t>
  </si>
  <si>
    <t>00NC656</t>
  </si>
  <si>
    <t>00NC658</t>
  </si>
  <si>
    <t>00NC660</t>
  </si>
  <si>
    <t>Tape Options</t>
  </si>
  <si>
    <t>00KC506</t>
  </si>
  <si>
    <t>00D8924</t>
  </si>
  <si>
    <t>46C5368</t>
  </si>
  <si>
    <t>81Y3647</t>
  </si>
  <si>
    <t>69Y1456</t>
  </si>
  <si>
    <t>Tape Enablement Kit for x3755 M3</t>
  </si>
  <si>
    <t>00NA017</t>
  </si>
  <si>
    <t>Ultrium Cleaning Cartridge L1 UCC</t>
  </si>
  <si>
    <t>00NA019</t>
  </si>
  <si>
    <t>6171 Additional Tape Magazine</t>
  </si>
  <si>
    <t>00NA021</t>
  </si>
  <si>
    <t>Ultrium 4 Data Cartridges 5-Pack</t>
  </si>
  <si>
    <t>00NA023</t>
  </si>
  <si>
    <t>Ultrium 5 Data Cartridges 5-Pack</t>
  </si>
  <si>
    <t>00NA025</t>
  </si>
  <si>
    <t>Ultrium 6 Data Cartridges 5-Pack</t>
  </si>
  <si>
    <t>00NA091</t>
  </si>
  <si>
    <t>6173 Right Side Tape Magazine</t>
  </si>
  <si>
    <t>00NA093</t>
  </si>
  <si>
    <t>6173 Left Upper 4U Tape Magazine</t>
  </si>
  <si>
    <t>00NA095</t>
  </si>
  <si>
    <t>6173 Left Lower 4U Tape Magazine</t>
  </si>
  <si>
    <t>00NA097</t>
  </si>
  <si>
    <t>6173 Left Side 2U Tape Magazine</t>
  </si>
  <si>
    <t>00NA101</t>
  </si>
  <si>
    <t>6173 LTO Ultrium 4 Fibre Channel Drive Sled</t>
  </si>
  <si>
    <t>00NA103</t>
  </si>
  <si>
    <t>6173 LTO Ultrium 4 Half High Fibre Channel Drive Sled</t>
  </si>
  <si>
    <t>00NA105</t>
  </si>
  <si>
    <t>6173 LTO Ultrium 4 Half High SAS DriveV2  Sled</t>
  </si>
  <si>
    <t>00NA107</t>
  </si>
  <si>
    <t>6173 LTO Ultrium 5 Fibre Channel Drive</t>
  </si>
  <si>
    <t>00NA109</t>
  </si>
  <si>
    <t>6173 LTO Ultrium 5 SAS Drive Sled</t>
  </si>
  <si>
    <t>00NA111</t>
  </si>
  <si>
    <t>6173 LTO Ultrium 5  Half High  SAS  Drive Sled</t>
  </si>
  <si>
    <t>00NA113</t>
  </si>
  <si>
    <t>6173 LTO Ultrium 5  Half High  Fibre Drive Sled</t>
  </si>
  <si>
    <t>00NA115</t>
  </si>
  <si>
    <t>6173 LTO Ultrium 6 Fibre Channel Drive</t>
  </si>
  <si>
    <t>00NA117</t>
  </si>
  <si>
    <t>6173 LTO Ultrium 6  Half High  SAS  Drive Sled</t>
  </si>
  <si>
    <t>00NA119</t>
  </si>
  <si>
    <t>6173 LTO Ultrium 6  Half High  Fibre Drive Sled</t>
  </si>
  <si>
    <t>00NA121</t>
  </si>
  <si>
    <t>6173 LTO Ultrium 4 SAS Drive Sled</t>
  </si>
  <si>
    <t>00NV402</t>
  </si>
  <si>
    <t>6190 HH LTO5 SAS Tape Drive</t>
  </si>
  <si>
    <t>00NV403</t>
  </si>
  <si>
    <t>6190 LTO Ultrium 5  Half High  Fibre Drive Sled</t>
  </si>
  <si>
    <t>00NV404</t>
  </si>
  <si>
    <t>6190 HH LTO6 SAS Tape Drive</t>
  </si>
  <si>
    <t>00NV405</t>
  </si>
  <si>
    <t>6190 LTO Ultrium 6  Half High  Fibre Drive Sled</t>
  </si>
  <si>
    <t>00NV406</t>
  </si>
  <si>
    <t>6190 RDX 3.0 Dock/320GB Cart Bundle</t>
  </si>
  <si>
    <t>00NV407</t>
  </si>
  <si>
    <t>6190 RDX 3.0 Dock/500GB Cart Bundle</t>
  </si>
  <si>
    <t>00NV408</t>
  </si>
  <si>
    <t>6190 RDX 3.0 Dock/1TB Cart Bundle</t>
  </si>
  <si>
    <t>00NV413</t>
  </si>
  <si>
    <t>320GB RDX Cart</t>
  </si>
  <si>
    <t>00NV414</t>
  </si>
  <si>
    <t>500GB RDX Cart</t>
  </si>
  <si>
    <t>00NV415</t>
  </si>
  <si>
    <t>1TB RDX Cart</t>
  </si>
  <si>
    <t>00NV430</t>
  </si>
  <si>
    <t>2 TB RDX Data Cartridge</t>
  </si>
  <si>
    <t>00NV455</t>
  </si>
  <si>
    <t>6190 RDX 3.0 Dock/2.0TB Cart Bundle</t>
  </si>
  <si>
    <t>00MN499</t>
  </si>
  <si>
    <t>Lenovo 0.5m LC-LC OM3 MMF Cable</t>
  </si>
  <si>
    <t>00MN502</t>
  </si>
  <si>
    <t>Lenovo 1m LC-LC OM3 MMF Cable</t>
  </si>
  <si>
    <t>00MN505</t>
  </si>
  <si>
    <t>Lenovo 3m LC-LC OM3 MMF Cable</t>
  </si>
  <si>
    <t>00MN508</t>
  </si>
  <si>
    <t>Lenovo 5m LC-LC OM3 MMF Cable</t>
  </si>
  <si>
    <t>00MN511</t>
  </si>
  <si>
    <t>Lenovo 10m LC-LC OM3 MMF Cable</t>
  </si>
  <si>
    <t>00MN514</t>
  </si>
  <si>
    <t>Lenovo 15m LC-LC OM3 MMF Cable</t>
  </si>
  <si>
    <t>00MN517</t>
  </si>
  <si>
    <t>Lenovo 25m LC-LC OM3 MMF Cable</t>
  </si>
  <si>
    <t>00MN520</t>
  </si>
  <si>
    <t>Lenovo 30m LC-LC OM3 MMF Cable</t>
  </si>
  <si>
    <t>00MJ103</t>
  </si>
  <si>
    <t>00MJ105</t>
  </si>
  <si>
    <t>8Gb FC LW SFP Transceivers (Pair)</t>
  </si>
  <si>
    <t>00MJ168</t>
  </si>
  <si>
    <t>1m Fiber Cable (LC)</t>
  </si>
  <si>
    <t>00MJ170</t>
  </si>
  <si>
    <t>5m Fiber Cable (LC)</t>
  </si>
  <si>
    <t>00MJ172</t>
  </si>
  <si>
    <t>25m Fiber Cable (LC)</t>
  </si>
  <si>
    <t>00MJ174</t>
  </si>
  <si>
    <t>10m OM3 Fiber Cable (LC)</t>
  </si>
  <si>
    <t>00MN530</t>
  </si>
  <si>
    <t>16Gb FC LW SFP Transceivers</t>
  </si>
  <si>
    <t>00MY764</t>
  </si>
  <si>
    <t>Brocade 8GB 10KM LW SFP Transceiver</t>
  </si>
  <si>
    <t>00MY766</t>
  </si>
  <si>
    <t>Brocade 8GB 25KM ELW SFP Transceiver</t>
  </si>
  <si>
    <t>00MY768</t>
  </si>
  <si>
    <t>Brocade 16GB 10KM LW SFP Transceiver</t>
  </si>
  <si>
    <t>00MY770</t>
  </si>
  <si>
    <t>Brocade 16GB 25KM ELW SFP Transceiver</t>
  </si>
  <si>
    <t>00NA085</t>
  </si>
  <si>
    <t>13 m LC-LC Fibre Cable</t>
  </si>
  <si>
    <t>00NA087</t>
  </si>
  <si>
    <t>25 m LC-LC Fibre Cable</t>
  </si>
  <si>
    <t>00NA009</t>
  </si>
  <si>
    <t>2 m Mini-SAS/Mini-SAS 1x Cable (host SFF-8088 to target SFF-8088)</t>
  </si>
  <si>
    <t>00NA077</t>
  </si>
  <si>
    <t>Mini-SAS/Mini-SAS 4x Interposer</t>
  </si>
  <si>
    <t>00NV417</t>
  </si>
  <si>
    <t>Quad SAS Cable</t>
  </si>
  <si>
    <t>00NV418</t>
  </si>
  <si>
    <t>Mini-SAS to Mini-SAS Cable</t>
  </si>
  <si>
    <t>00NV419</t>
  </si>
  <si>
    <t>HD-SAS Cable to Mini-SAS</t>
  </si>
  <si>
    <t>00NV420</t>
  </si>
  <si>
    <t>Y-SAS HD to Mini-SAS Cable</t>
  </si>
  <si>
    <t>00MJ099</t>
  </si>
  <si>
    <t>10Gb iSCSI - FCoE 2 Port Host Interface Card</t>
  </si>
  <si>
    <t>00NC627</t>
  </si>
  <si>
    <t>10 Gb Ethernet 2 Port Adapter Cards (Pair)</t>
  </si>
  <si>
    <t>00MN528</t>
  </si>
  <si>
    <t>16Gb FC Adapter Pair</t>
  </si>
  <si>
    <t>00NC503</t>
  </si>
  <si>
    <t>8 Gb FC 4 Port Adapter Cards (Pair)</t>
  </si>
  <si>
    <t>00NC505</t>
  </si>
  <si>
    <t>10 Gb Ethernet 4 Port Adapter Cards (Pair)</t>
  </si>
  <si>
    <t>00MJ093</t>
  </si>
  <si>
    <t>6Gb SAS 4 Port Host Interface Card</t>
  </si>
  <si>
    <t>00MJ095</t>
  </si>
  <si>
    <t>8Gb FC 4 Port Host Interface Card</t>
  </si>
  <si>
    <t>00MJ097</t>
  </si>
  <si>
    <t>1Gb iSCSI 4 Port Host Interface Card</t>
  </si>
  <si>
    <t>00NC625</t>
  </si>
  <si>
    <t>00NA071</t>
  </si>
  <si>
    <t>Additional Power Supply for TS3200</t>
  </si>
  <si>
    <t>00MJ107</t>
  </si>
  <si>
    <t>Rack Shipment Bracket</t>
  </si>
  <si>
    <t>00MJ242</t>
  </si>
  <si>
    <t>00MJ248</t>
  </si>
  <si>
    <t>1.8m, 10A/120V, C13 to NEMA 5-15P (US/Chicago) Line Cord</t>
  </si>
  <si>
    <t>00NA027</t>
  </si>
  <si>
    <t>00NA045</t>
  </si>
  <si>
    <t>2.8m, 10A/208V, C13 to NEMA 6-15P (US) Line Cord</t>
  </si>
  <si>
    <t>00NA063</t>
  </si>
  <si>
    <t>00NC547</t>
  </si>
  <si>
    <t>00NC549</t>
  </si>
  <si>
    <t>2.8m, 13A/125V, C13 to NEMA 5-15P (US) Line Cord</t>
  </si>
  <si>
    <t>Storage Options</t>
  </si>
  <si>
    <t>00NC507</t>
  </si>
  <si>
    <t>Compression Accelerator Cards (Pair)</t>
  </si>
  <si>
    <t>00KE180</t>
  </si>
  <si>
    <t>IBM Storwize Family for Strwz V7000 Cntlr V7 - Bundle w/3Yr S&amp;S</t>
  </si>
  <si>
    <t>00KE181</t>
  </si>
  <si>
    <t>IBM Storwize Family for Strwz V7000 Cntlr V7 - Easy Tier w/3Yr S&amp;S</t>
  </si>
  <si>
    <t>00KE182</t>
  </si>
  <si>
    <t>IBM Storwize Family for Strwz V7000 Cntlr V7 - Flashcopy w/3Yr S&amp;S</t>
  </si>
  <si>
    <t>00KE183</t>
  </si>
  <si>
    <t>IBM Storwize Family for Strwz V7000 Cntlr V7 - Rmt Mirror w/3Yr S&amp;S</t>
  </si>
  <si>
    <t>00KE184</t>
  </si>
  <si>
    <t>IBM Storwize Family for Strwz V7000 Cntlr V7 - Compression w/3Yr S&amp;S</t>
  </si>
  <si>
    <t>00KE205</t>
  </si>
  <si>
    <t>IBM Storwize Family for Strwz V7000 Expan V7 - Bundle w/3Yr S&amp;S</t>
  </si>
  <si>
    <t>00KE206</t>
  </si>
  <si>
    <t>IBM Storwize Family for Strwz V7000 Expan V7 - Easy Tier w/3Yr S&amp;S</t>
  </si>
  <si>
    <t>00KE207</t>
  </si>
  <si>
    <t>IBM Storwize Family for Strwz V7000 Expan V7 - Flashcopy w/3Yr S&amp;S</t>
  </si>
  <si>
    <t>00KE208</t>
  </si>
  <si>
    <t>IBM Storwize Family for Strwz V7000 Expan V7 - Rmt Mirror w/3Yr S&amp;S</t>
  </si>
  <si>
    <t>00KE209</t>
  </si>
  <si>
    <t>IBM Storwize Family for Strwz V7000 Expan V7 - Compression w/3Yr S&amp;S</t>
  </si>
  <si>
    <t>00KE230</t>
  </si>
  <si>
    <t>IBM Storwize Family for Strwz V7000 ExtVirt V7-Bundle w/3Yr S&amp;S</t>
  </si>
  <si>
    <t>00KE231</t>
  </si>
  <si>
    <t>IBM Storwize Family for Strwz V7000 ExtVirt V7-Easy Tier w/3Yr S&amp;S</t>
  </si>
  <si>
    <t>00KE232</t>
  </si>
  <si>
    <t>IBM Storwize Family for Strwz V7000 ExtVirt V7-Flashcopy w/3Yr S&amp;S</t>
  </si>
  <si>
    <t>00KE233</t>
  </si>
  <si>
    <t>IBM Storwize Family for Strwz V7000 ExtVirt V7-Rmt Mirror w/3Yr S&amp;S</t>
  </si>
  <si>
    <t>00KE234</t>
  </si>
  <si>
    <t>IBM Storwize Family for Strwz V7000 ExtVirt V7-Compression w/3Yr S&amp;S</t>
  </si>
  <si>
    <t>00KE258</t>
  </si>
  <si>
    <t>IBM Storwize Family for Strwz V5000 Cntlr V7 - Bundle w/3Yr S&amp;S</t>
  </si>
  <si>
    <t>00KE259</t>
  </si>
  <si>
    <t>IBM Storwize Family for Strwz V5000 Cntlr V7 - Easy Tier w/3Yr S&amp;S</t>
  </si>
  <si>
    <t>00KE260</t>
  </si>
  <si>
    <t>IBM Storwize Family for Strwz V5000 Cntlr V7 - Rmt Mirror w/3Yr S&amp;S</t>
  </si>
  <si>
    <t>00KE261</t>
  </si>
  <si>
    <t>IBM Storwize Family for Strwz V5000 Cntlr V7 - Flashcopy w/3Yr S&amp;S</t>
  </si>
  <si>
    <t>00KE278</t>
  </si>
  <si>
    <t>IBM Storwize Family for Strwz V5000 Expan V7 - Bundle w/3Yr S&amp;S</t>
  </si>
  <si>
    <t>00KE279</t>
  </si>
  <si>
    <t>IBM Storwize Family for Strwz V5000 Expan V7 - Easy Tier w/3Yr S&amp;S</t>
  </si>
  <si>
    <t>00KE280</t>
  </si>
  <si>
    <t>IBM Storwize Family for Strwz V5000 Expan V7 - Rmt Mirror w/3Yr S&amp;S</t>
  </si>
  <si>
    <t>00KE281</t>
  </si>
  <si>
    <t>IBM Storwize Family for Strwz V5000 Expan V7 - Flashcopy w/3Yr S&amp;S</t>
  </si>
  <si>
    <t>00KE298</t>
  </si>
  <si>
    <t>IBM Storwize Family for Strwz V5000 ExtVirt V7-Bundle w/3Yr S&amp;S</t>
  </si>
  <si>
    <t>00KE299</t>
  </si>
  <si>
    <t>IBM Storwize Family for Strwz V5000 ExtVirt V7-Easy Tier w/3Yr S&amp;S</t>
  </si>
  <si>
    <t>00KE300</t>
  </si>
  <si>
    <t>IBM Storwize Family for Strwz V5000 ExtVirt V7-Rmt Mirror w/3Yr S&amp;S</t>
  </si>
  <si>
    <t>00KE301</t>
  </si>
  <si>
    <t>IBM Storwize Family for Strwz V5000 ExtVirt V7-Flashcopy w/3Yr S&amp;S</t>
  </si>
  <si>
    <t>Brocade SAN Features</t>
  </si>
  <si>
    <t>00MT455</t>
  </si>
  <si>
    <t>Brocade 300 8 Port Software License Pack (POD)</t>
  </si>
  <si>
    <t>00MT457</t>
  </si>
  <si>
    <t>Brocade 6505 12 Port Software License Pack (POD)</t>
  </si>
  <si>
    <t>00MT459</t>
  </si>
  <si>
    <t>Brocade 6510 12 Port Software License Pack (POD)</t>
  </si>
  <si>
    <t>00MY776</t>
  </si>
  <si>
    <t>Brocade 6510 S/W, Integrated Routing</t>
  </si>
  <si>
    <t>00MY778</t>
  </si>
  <si>
    <t>Brocade 6510 S/W, ISL Trunking</t>
  </si>
  <si>
    <t>00MY779</t>
  </si>
  <si>
    <t>Brocade 6510 S/W, Fabric Vision</t>
  </si>
  <si>
    <t>00MY780</t>
  </si>
  <si>
    <t>Brocade 6510 S/W, Extended Fabric</t>
  </si>
  <si>
    <t>00MY781</t>
  </si>
  <si>
    <t>Brocade 6510 S/W, Enterprise Bundle (TRK, FV, EF)</t>
  </si>
  <si>
    <t>00MY787</t>
  </si>
  <si>
    <t>Brocade 300/6505 S/W, ISL Trunking</t>
  </si>
  <si>
    <t>00MY788</t>
  </si>
  <si>
    <t>Brocade 300/6505 S/W, Fabric Vision</t>
  </si>
  <si>
    <t>00MY789</t>
  </si>
  <si>
    <t>Brocade 300/6505 S/W, Extended Fabric</t>
  </si>
  <si>
    <t>00MY790</t>
  </si>
  <si>
    <t>Brocade 300/6505 S/W, Enterprise Bundle (TRK, FV, EF)</t>
  </si>
  <si>
    <t>00MY810</t>
  </si>
  <si>
    <t>Brocade 300 S/W, Full Fabric (EPORT Upgrade)</t>
  </si>
  <si>
    <t>00D5810</t>
  </si>
  <si>
    <t>00D5813</t>
  </si>
  <si>
    <t>00D6151</t>
  </si>
  <si>
    <t>00D6222</t>
  </si>
  <si>
    <t>00D6288</t>
  </si>
  <si>
    <t>00D9676</t>
  </si>
  <si>
    <t>00FM472</t>
  </si>
  <si>
    <t>44X1964</t>
  </si>
  <si>
    <t>49Y7884</t>
  </si>
  <si>
    <t>81Y1622</t>
  </si>
  <si>
    <t>90Y9412</t>
  </si>
  <si>
    <t>90Y9415</t>
  </si>
  <si>
    <t>90Y9427</t>
  </si>
  <si>
    <t>90Y9430</t>
  </si>
  <si>
    <t>90Y9433</t>
  </si>
  <si>
    <t>46C9250</t>
  </si>
  <si>
    <t>46C9254</t>
  </si>
  <si>
    <t>46C9256</t>
  </si>
  <si>
    <t>46C9258</t>
  </si>
  <si>
    <t>46C9260</t>
  </si>
  <si>
    <t>46C9262</t>
  </si>
  <si>
    <t>46C9264</t>
  </si>
  <si>
    <t>46C9266</t>
  </si>
  <si>
    <t>00AY764</t>
  </si>
  <si>
    <t>00AY765</t>
  </si>
  <si>
    <t>00D6180</t>
  </si>
  <si>
    <t>00FE333</t>
  </si>
  <si>
    <t>46C3447</t>
  </si>
  <si>
    <t>49Y7886</t>
  </si>
  <si>
    <t>49Y7887</t>
  </si>
  <si>
    <t>49Y7888</t>
  </si>
  <si>
    <t>49Y7890</t>
  </si>
  <si>
    <t>49Y7891</t>
  </si>
  <si>
    <t>90Y9424</t>
  </si>
  <si>
    <t>00AY123</t>
  </si>
  <si>
    <t>00D6060</t>
  </si>
  <si>
    <t>Air Inlet Duct for 483 mm RackSwitch</t>
  </si>
  <si>
    <t>00D6061</t>
  </si>
  <si>
    <t>Air Inlet Duct for 442 mm RackSwitch</t>
  </si>
  <si>
    <t>00D6062</t>
  </si>
  <si>
    <t>Air Inlet Duct for 382 mm RackSwitch</t>
  </si>
  <si>
    <t>90Y9462</t>
  </si>
  <si>
    <t>Console Cable Kit Spare</t>
  </si>
  <si>
    <t>00D6071</t>
  </si>
  <si>
    <t>Hot-Swappable, Rear-to-Front Fan Assembly Spare</t>
  </si>
  <si>
    <t>00D6073</t>
  </si>
  <si>
    <t>Hot-Swappable, Front-to-Rear Fan Assembly Spare</t>
  </si>
  <si>
    <t>00CG089</t>
  </si>
  <si>
    <t>00D6185</t>
  </si>
  <si>
    <t>00AY121</t>
  </si>
  <si>
    <t>00D9860</t>
  </si>
  <si>
    <t>Power Cord Retention Clip</t>
  </si>
  <si>
    <t>Spare Products</t>
  </si>
  <si>
    <t>00D5857</t>
  </si>
  <si>
    <t>Hot-Swappable, 750W CFF Power Supply Spare (front to rear)</t>
  </si>
  <si>
    <t>00D5858</t>
  </si>
  <si>
    <t>Hot-Swappable, 750W CFF Power Supply Spare (rear to front)</t>
  </si>
  <si>
    <t>00D5961</t>
  </si>
  <si>
    <t>Hot-Swappable, Front-to-Rear 550W CFF Power Supply Spare</t>
  </si>
  <si>
    <t>49Y7937</t>
  </si>
  <si>
    <t>Hot-Swappable, Front-to-Rear Power Supply Spare</t>
  </si>
  <si>
    <t>49Y7938</t>
  </si>
  <si>
    <t>Hot-Swappable, Rear-to-Front Power Supply Spare</t>
  </si>
  <si>
    <t>49Y7939</t>
  </si>
  <si>
    <t>9848-AC2</t>
  </si>
  <si>
    <t>9848-AE2</t>
  </si>
  <si>
    <t>Regla 45</t>
  </si>
  <si>
    <t>5462AC1 Servidor System x 3650 M5</t>
  </si>
  <si>
    <t>C 5462AC1</t>
  </si>
  <si>
    <t>Regla 46</t>
  </si>
  <si>
    <t>6173L2U TS3100 Tape Library Module L2U</t>
  </si>
  <si>
    <t>C 6173L2U</t>
  </si>
  <si>
    <t>Regla 47</t>
  </si>
  <si>
    <t>3573-L2U TS3100 Tape Library Module L2U</t>
  </si>
  <si>
    <t>Regla 48</t>
  </si>
  <si>
    <t>3573-L4U TS3200 Tape Library Module L4U</t>
  </si>
  <si>
    <t>Regla 49</t>
  </si>
  <si>
    <t>6173L4U TS3200 Tape Library Module L4U</t>
  </si>
  <si>
    <t>C 6173L4U</t>
  </si>
  <si>
    <t>Regla 50</t>
  </si>
  <si>
    <t>VS6-STD-C VMware vSphere 6 Standard for 1 processor</t>
  </si>
  <si>
    <t>Regla 51</t>
  </si>
  <si>
    <t>VCS6-FND-C VMware vCenter Server 6 Foundation for vSphere up to 3 hosts (Per Instance)</t>
  </si>
  <si>
    <t>C VCS6-FND-C</t>
  </si>
  <si>
    <t>Regla 52</t>
  </si>
  <si>
    <t>VCS6-STD-C VMware vCenter Server 6 Standard for vSphere (Per Instance)</t>
  </si>
  <si>
    <t>C VCS6-STD-C</t>
  </si>
  <si>
    <t>Regla 53</t>
  </si>
  <si>
    <t>V-VBRENT-VS-P0000-00 Veeam Backup &amp; Replication Enterprise for VMware</t>
  </si>
  <si>
    <t>Tipo - Modelo</t>
  </si>
  <si>
    <t>Equipo</t>
  </si>
  <si>
    <t>Consumo electrico maximo (KVA)</t>
  </si>
  <si>
    <t>Consumo electrico maximo (Watts)</t>
  </si>
  <si>
    <t>Generacion de calor maxima (Btu/hour)</t>
  </si>
  <si>
    <t>Alto (U)</t>
  </si>
  <si>
    <t>Alto (cm)</t>
  </si>
  <si>
    <t>Profundidad (cm)</t>
  </si>
  <si>
    <t>Ancho (cm)</t>
  </si>
  <si>
    <t>Peso (Kg)</t>
  </si>
  <si>
    <t>Rango voltaje</t>
  </si>
  <si>
    <t>Tipo toma</t>
  </si>
  <si>
    <t>Numero tomas</t>
  </si>
  <si>
    <t>100 to 127 V ac or 200 to 208 V AC or 220 to 240 V ac</t>
  </si>
  <si>
    <t>C14</t>
  </si>
  <si>
    <t>100-240 volt ac</t>
  </si>
  <si>
    <t>200 to 240 V ac</t>
  </si>
  <si>
    <t xml:space="preserve">200 to 208 V AC or 220 to 240 V ac </t>
  </si>
  <si>
    <t xml:space="preserve"> 200 to 208 or 220 to 240 V ac</t>
  </si>
  <si>
    <t>IBM Total Storage b-type SAN Switch Model B24</t>
  </si>
  <si>
    <t>85-264 V ac</t>
  </si>
  <si>
    <t>HMC 1:7042-CR7 Rack-mounted Hardw.Mgmt.Console</t>
  </si>
  <si>
    <t xml:space="preserve">100 to 127 V ac,  200 to 240 V ac </t>
  </si>
  <si>
    <t>IBM 7316-TF3 Rack-Mounted Flat Panel Console Kit</t>
  </si>
  <si>
    <t>Rack Model T00</t>
  </si>
  <si>
    <t>200 to 240 V AC</t>
  </si>
  <si>
    <t>NEMA L6-30</t>
  </si>
  <si>
    <t>Rack 1:Rack Model T42</t>
  </si>
  <si>
    <t xml:space="preserve">100-240 V ac </t>
  </si>
  <si>
    <t>100 - 240 VAC</t>
  </si>
  <si>
    <t>IBM System x modelo 3650 M4</t>
  </si>
  <si>
    <t>100 - 127 (nominal) V ac - 200 - 240 (nominal) V ac</t>
  </si>
  <si>
    <t>TS3100 Tape Library Express</t>
  </si>
  <si>
    <t xml:space="preserve"> 100-240 V ac</t>
  </si>
  <si>
    <t>IBM Flex Sys Enterprise Chassis</t>
  </si>
  <si>
    <t>200-240 V ac</t>
  </si>
  <si>
    <t>IBM PureFlex Rack</t>
  </si>
  <si>
    <t>IBM Flex System x240</t>
  </si>
  <si>
    <t>8737-14U</t>
  </si>
  <si>
    <t>IBM Flex System p260</t>
  </si>
  <si>
    <t>IBM Flex System p460</t>
  </si>
  <si>
    <t>IBM System x modelo 3550 M4</t>
  </si>
  <si>
    <t>TS3200 Tape Library Express</t>
  </si>
  <si>
    <t xml:space="preserve"> 100-240 V ac </t>
  </si>
  <si>
    <t>IBM Storwize V7000 Disk Control Enclosure</t>
  </si>
  <si>
    <t>100-240 V ac, 3.8 - 9.0 A, 50/60 Hz</t>
  </si>
  <si>
    <t>IBM Storwize V7000 Disk Expansion Enclosure</t>
  </si>
  <si>
    <t>Server 1:8202 Model E4D</t>
  </si>
  <si>
    <t>100 to 127 or 200 to 208 or 220 to 240 V ac</t>
  </si>
  <si>
    <t>Server 1:8202 Model E4C</t>
  </si>
  <si>
    <t>8408-E8D (5887)</t>
  </si>
  <si>
    <t>Expansión 5887</t>
  </si>
  <si>
    <t>8202-E4C (5887)</t>
  </si>
  <si>
    <t>IBM Power 750 Express</t>
  </si>
  <si>
    <t xml:space="preserve">200 to 240 V ac </t>
  </si>
  <si>
    <t>DS3524</t>
  </si>
  <si>
    <t>Expansión EXP3524</t>
  </si>
  <si>
    <t>794712U</t>
  </si>
  <si>
    <t>x3650 M2</t>
  </si>
  <si>
    <t>100 to 127 (nominal) V ac- 200 to 240 (nominal) V ac</t>
  </si>
  <si>
    <t>79473AU</t>
  </si>
  <si>
    <t>7870D2U</t>
  </si>
  <si>
    <t>BladeCenter HS22</t>
  </si>
  <si>
    <t xml:space="preserve">200 to 240 (nominal) V ac; 50 Hz or 60 Hz </t>
  </si>
  <si>
    <t>802845U</t>
  </si>
  <si>
    <t>BladeCenter HS12</t>
  </si>
  <si>
    <t>802827U</t>
  </si>
  <si>
    <t>88524SU</t>
  </si>
  <si>
    <t>IBM eServer BladeCenter(tm) H Chassis</t>
  </si>
  <si>
    <t>100-240 V ac</t>
  </si>
  <si>
    <t>17353LX</t>
  </si>
  <si>
    <t>IBM 1x8 Console Switch</t>
  </si>
  <si>
    <t>4193B2U</t>
  </si>
  <si>
    <t>x3350</t>
  </si>
  <si>
    <t>100 to 127 (nominal) V ac; 50 Hz or 60 Hz; 6.0 A
200 to 240 (nominal) V ac; 50 Hz or 60 Hz; 3.0 A</t>
  </si>
  <si>
    <t>100 to 127 (nominal) V ac; 50 Hz or 60 Hz; 7.8 A
200 to 240 (nominal) V ac; 50 Hz or 60 Hz; 3.8 A</t>
  </si>
  <si>
    <t>100 to 127 (nominal) V ac; 50 Hz or 60 Hz; 6.5 A
200 to 240 (nominal) V ac; 50 Hz or 60 Hz; 3.3 A</t>
  </si>
  <si>
    <t>100 to 127 (nominal) V ac; 50 Hz or 60 Hz; 8.9 A
200 to 240 (nominal) V ac; 50 Hz or 60 Hz; 4.5 A</t>
  </si>
  <si>
    <t xml:space="preserve">100 to 127 (nominal) V ac; 50 Hz or 60 Hz; 6.5 A
200 to 240 (nominal) V ac; 50 Hz or 60 Hz; 3.3 A </t>
  </si>
  <si>
    <t>100 - 127 (nominal) V ac; 50 Hz or 60 Hz; 10.0 A
200 - 240 (nominal) V ac; 50 Hz or 60 Hz; 5.0 A</t>
  </si>
  <si>
    <t>100 - 127 (nominal) V ac; 50 Hz or 60 Hz; 6.5 A
200 - 240 (nominal) V ac; 50 Hz or 60 Hz; 3.3 A</t>
  </si>
  <si>
    <t>100 - 127 (nominal) V ac; 50 Hz or 60 Hz; 8.9 A
200 - 240 (nominal) V ac; 50 Hz or 60 Hz; 4.5 A</t>
  </si>
  <si>
    <t>IBM BladeCenter S Chassis</t>
  </si>
  <si>
    <t>100 to 127 V or 200 to 240 V ac power</t>
  </si>
  <si>
    <t>IBM 1U 18.5-inch Standard and Enhanced Media
Consoles</t>
  </si>
  <si>
    <t>90 to 264 V AC (nominal): 47 Hz to 63 Hz</t>
  </si>
  <si>
    <t>IBM x3500 M4 5U Tower Server</t>
  </si>
  <si>
    <t>100 to 240 V ac; 50 - 60 Hz; 11 - 5.5 A</t>
  </si>
  <si>
    <t>NEMA L5-15</t>
  </si>
  <si>
    <t>NetBAY S2 42U Rack Cabinet</t>
  </si>
  <si>
    <t>5462AC1</t>
  </si>
  <si>
    <t>5462-A2U</t>
  </si>
  <si>
    <t>x3650 M5, Xeon 6C E5-2603 v3 1,6GHz</t>
  </si>
  <si>
    <t>5462-B2U</t>
  </si>
  <si>
    <t>x3650 M5, Xeon 6C E5-2609 v3 1,9GHz</t>
  </si>
  <si>
    <t>5462-C2U</t>
  </si>
  <si>
    <t>x3650 M5, Xeon 6C E5-2620 v3 2,4GHz</t>
  </si>
  <si>
    <t>5462-C4U</t>
  </si>
  <si>
    <t>x3650 M5, Xeon 6C E5-2620 v2 2,4GHz</t>
  </si>
  <si>
    <t>5462-D2U</t>
  </si>
  <si>
    <t>x3650 M5, Xeon 8C E5-2630 v3 2,4GHz</t>
  </si>
  <si>
    <t>5462-D4U</t>
  </si>
  <si>
    <t>5462-EAU</t>
  </si>
  <si>
    <t>5462-EBU</t>
  </si>
  <si>
    <t>5462-ECU</t>
  </si>
  <si>
    <t>x3650 M5, Xeon 8C E5-2640 v3 2,6GHz</t>
  </si>
  <si>
    <t>5462-EDU</t>
  </si>
  <si>
    <t>x3650 M5, Xeon 10C E5-2650 v3 2,3GHz</t>
  </si>
  <si>
    <t>5462-EEU</t>
  </si>
  <si>
    <t>x3650 M5, Xeon 12C E5-2670 v3 2,3GHz</t>
  </si>
  <si>
    <t>5462-F2U</t>
  </si>
  <si>
    <t>5462-F4U</t>
  </si>
  <si>
    <t>x3650 M5, Xeon 8C E5-2640 v2 2,6GHz</t>
  </si>
  <si>
    <t>5462-G2U</t>
  </si>
  <si>
    <t>5462-J2U</t>
  </si>
  <si>
    <t>x3650 M5, Xeon 12C E5-2680 v3 2,5GHz</t>
  </si>
  <si>
    <t>5462-L2U</t>
  </si>
  <si>
    <t>x3650 M5, Xeon 12C E5-2690 v3 2,6GHz</t>
  </si>
  <si>
    <t>5462-M2U</t>
  </si>
  <si>
    <t>x3650 M5, Xeon 18C E5-2699 v3 2,3GHz</t>
  </si>
  <si>
    <t>5462-52U</t>
  </si>
  <si>
    <t>x3650 M5, Xeon 8C E5-2630L v3 1,8GHz</t>
  </si>
  <si>
    <t>5462-62U</t>
  </si>
  <si>
    <t>V5000 LFF Control</t>
  </si>
  <si>
    <t>V5000 LFF Expansion</t>
  </si>
  <si>
    <t>V5000 SFF Control</t>
  </si>
  <si>
    <t>V5000 SFF Expansion</t>
  </si>
  <si>
    <t>100 - 127 (nominal) V ac; 50 - 60 Hz; 5.3 A (maximum)
200 - 240 (nominal) V ac; 50 - 60 Hz; 2.6 A (maximum)</t>
  </si>
  <si>
    <t>1.0 amps at 100 V ac, 0.5 amps at 240 V ac</t>
  </si>
  <si>
    <t>Regla 54</t>
  </si>
  <si>
    <t>2145-DH8 SVC Nodo 1:IBM System Storage SVC Storage Engine</t>
  </si>
  <si>
    <t>C 2145-DH8</t>
  </si>
  <si>
    <t>Regla 55</t>
  </si>
  <si>
    <t>9843-AE2 FlashSystem 1:IBM FlashSystem 900</t>
  </si>
  <si>
    <t>C 9843-AE2</t>
  </si>
  <si>
    <t>Regla 56</t>
  </si>
  <si>
    <t>Regla 57</t>
  </si>
  <si>
    <t>6099SEU V3700 SFF Expansion</t>
  </si>
  <si>
    <t>C 6099SEU</t>
  </si>
  <si>
    <t>Regla 58</t>
  </si>
  <si>
    <t>6099S2C V3700 SFF Dual Control</t>
  </si>
  <si>
    <t>C 6099S2C</t>
  </si>
  <si>
    <t>Regla 59</t>
  </si>
  <si>
    <t>61732UL TS3100 Tape Library Module L2U</t>
  </si>
  <si>
    <t>C 61732UL</t>
  </si>
  <si>
    <t>Regla 60</t>
  </si>
  <si>
    <t>5462L2U x3650 M5, Xeon 12C E5-2690v3 135W 2.6GHz/2133MHz/30MB, 1x16GB, O/Bay HS 2.5in SAS/SATA, SR M5210, 900W p/s, Rack</t>
  </si>
  <si>
    <t>C 5462L2U</t>
  </si>
  <si>
    <t>Regla 61</t>
  </si>
  <si>
    <t>5462C2U x3650 M5, Xeon 6C E5-2620v3 85W 2.4GHz/1866MHz/15MB, 1x16GB, O/Bay HS 2.5in SAS/SATA, SR M1215, 550W p/s, Rack</t>
  </si>
  <si>
    <t>C 5462C2U</t>
  </si>
  <si>
    <t>Regla 62</t>
  </si>
  <si>
    <t>39Y8951 DPI Universal Rack PDU with Nema L5-20P and L6-20P (US line)</t>
  </si>
  <si>
    <t>C 39Y8951</t>
  </si>
  <si>
    <t>Regla 63</t>
  </si>
  <si>
    <t>1754A1X Local 1x8 Console Manager (LCM8)</t>
  </si>
  <si>
    <t>C 1754A1X</t>
  </si>
  <si>
    <t>17238BX 1U 18.5in Standard Console</t>
  </si>
  <si>
    <t>C 17238BX</t>
  </si>
  <si>
    <t>Regla 64</t>
  </si>
  <si>
    <t>Regla 65</t>
  </si>
  <si>
    <t>5765-PVE  PowerVM Enterprise Edition</t>
  </si>
  <si>
    <t>C 5765-PVE</t>
  </si>
  <si>
    <t>Regla 66</t>
  </si>
  <si>
    <t>3580-H6S TS2260 Tape Drive Express w/ HHLTO6 SAS Drive</t>
  </si>
  <si>
    <t>C 3580-H6S</t>
  </si>
  <si>
    <t>Hojas reservadas</t>
  </si>
  <si>
    <t>Servicios</t>
  </si>
  <si>
    <t>Reglas servicios</t>
  </si>
  <si>
    <t>Garantias</t>
  </si>
  <si>
    <t>Exhibits</t>
  </si>
  <si>
    <t>Parametros</t>
  </si>
  <si>
    <t>Tabla compras</t>
  </si>
  <si>
    <t>Tabla Clientes (2)</t>
  </si>
  <si>
    <t>Lista de Precios</t>
  </si>
  <si>
    <t>Portafolio Power</t>
  </si>
  <si>
    <t>Portafolio System x</t>
  </si>
  <si>
    <t>Caracteristicas ambientales</t>
  </si>
  <si>
    <t>Formato tabla caracteristicas</t>
  </si>
  <si>
    <t>Portafolio Storage - DOU</t>
  </si>
  <si>
    <t>Portafolio Storage</t>
  </si>
  <si>
    <t>Portafolio PureFlex</t>
  </si>
  <si>
    <t>Categorias Hardware</t>
  </si>
  <si>
    <t>Lista productos</t>
  </si>
  <si>
    <t xml:space="preserve"> 40Y5999</t>
  </si>
  <si>
    <t>System Storage Storwize V5000 2078-12C / 2078-24C / 2078-12E / 2078-24E</t>
  </si>
  <si>
    <t>VIOS</t>
  </si>
  <si>
    <t>f(x)</t>
  </si>
  <si>
    <t>g(x)</t>
  </si>
  <si>
    <t>s.o. / hypervisores</t>
  </si>
  <si>
    <t>srv / storage</t>
  </si>
  <si>
    <t>x</t>
  </si>
  <si>
    <t>lineal</t>
  </si>
  <si>
    <t>a=</t>
  </si>
  <si>
    <t>h=</t>
  </si>
  <si>
    <t>k=</t>
  </si>
  <si>
    <t>coef=</t>
  </si>
  <si>
    <t>x=</t>
  </si>
  <si>
    <t>f(x)=</t>
  </si>
  <si>
    <t>f(x) es horas/año dedicadas a soporte</t>
  </si>
  <si>
    <t>f(x)=a(x - h)^(1/coef)+k</t>
  </si>
  <si>
    <t>Valores</t>
  </si>
  <si>
    <t>Hr cdg (precio venta)</t>
  </si>
  <si>
    <t>Dcto op. mantenimiento</t>
  </si>
  <si>
    <t>Convenios de soporte y Administración Delegada</t>
  </si>
  <si>
    <t xml:space="preserve">Cliente : </t>
  </si>
  <si>
    <t xml:space="preserve">Tipo oferta (convenio 3, 12 administración) : </t>
  </si>
  <si>
    <t>Convenio 3 meses</t>
  </si>
  <si>
    <t>Convenio 12 meses</t>
  </si>
  <si>
    <t>Admon/mes x 36</t>
  </si>
  <si>
    <t>Valor hr base</t>
  </si>
  <si>
    <t>Valor fix</t>
  </si>
  <si>
    <t>Cant.</t>
  </si>
  <si>
    <t>Cons.</t>
  </si>
  <si>
    <t>Proc.</t>
  </si>
  <si>
    <t>Fix</t>
  </si>
  <si>
    <t xml:space="preserve">Proc. </t>
  </si>
  <si>
    <t xml:space="preserve">Admon </t>
  </si>
  <si>
    <t>2°nivel</t>
  </si>
  <si>
    <t>US mes</t>
  </si>
  <si>
    <t>US año</t>
  </si>
  <si>
    <t>Almacenamiento</t>
  </si>
  <si>
    <t>Entrada (V3700 / DS5000) cajas controladoras</t>
  </si>
  <si>
    <t>Entrada (V3700 / DS5000) cajas expansion</t>
  </si>
  <si>
    <t>Instancias virtualización</t>
  </si>
  <si>
    <t>x86 vm linux</t>
  </si>
  <si>
    <t>PowerVM LPAR AIX / Linux - instancias s.o.</t>
  </si>
  <si>
    <t>PowerVM LPAR IBM i - instancias s.o.</t>
  </si>
  <si>
    <t>Aplicaciones</t>
  </si>
  <si>
    <t>Servidores BRMS</t>
  </si>
  <si>
    <t>Servidores TSM</t>
  </si>
  <si>
    <t>Replicación</t>
  </si>
  <si>
    <t>Regla 67</t>
  </si>
  <si>
    <t>V-VASENT-VS-P0000-00 Veeam Availability Suite Enterprise for VMware (includes Backup &amp; Replication Enterprise + Veeam ONE)</t>
  </si>
  <si>
    <t>LENOVO</t>
  </si>
  <si>
    <t>IBM FlashSystem V9000 Control Enclosure (3 yr)</t>
  </si>
  <si>
    <t xml:space="preserve">200-240 Vac, 3.8 A, 50/60 Hz </t>
  </si>
  <si>
    <t>IBM FlashSystem V9000 Storage Enclosure (3 yr)</t>
  </si>
  <si>
    <t>100-240 Vac, 50/60 Hz</t>
  </si>
  <si>
    <t>Nombre</t>
  </si>
  <si>
    <t>Macro</t>
  </si>
  <si>
    <t>X</t>
  </si>
  <si>
    <t>Y1</t>
  </si>
  <si>
    <t>Ancho</t>
  </si>
  <si>
    <t>Alto</t>
  </si>
  <si>
    <t>Cargar eConfig</t>
  </si>
  <si>
    <t>MAC_CargareConfig</t>
  </si>
  <si>
    <t>Cargar Lenovo</t>
  </si>
  <si>
    <t>MAC_CargarIntel</t>
  </si>
  <si>
    <t>Cargar Cisco</t>
  </si>
  <si>
    <t>MAC_CargarCisco</t>
  </si>
  <si>
    <t>Tabla de compras</t>
  </si>
  <si>
    <t>MAC_GenerarArchivoPedido</t>
  </si>
  <si>
    <t>Tabla clientes</t>
  </si>
  <si>
    <t>MAC_GenerarTablaCliente2</t>
  </si>
  <si>
    <t>MAC_GenerarServicios2</t>
  </si>
  <si>
    <t>Acerca de</t>
  </si>
  <si>
    <t>Nombre completo archivo configuracion</t>
  </si>
  <si>
    <t>Viaticos</t>
  </si>
  <si>
    <t>SERVICIOS DE INGENIERIA</t>
  </si>
  <si>
    <t>Calculo hrs</t>
  </si>
  <si>
    <t>Perifericos</t>
  </si>
  <si>
    <t>Categorias servicios</t>
  </si>
  <si>
    <t>Modalidades de garantia</t>
  </si>
  <si>
    <t>CATEGORiAS HARDWARE</t>
  </si>
  <si>
    <t>Donde x es numero de instancias</t>
  </si>
  <si>
    <t>Crear tabla</t>
  </si>
  <si>
    <t>MAC_AcercaDe</t>
  </si>
  <si>
    <t>Polizas</t>
  </si>
  <si>
    <t>3 Años 5x9 NBD a 3 años 7x24x4</t>
  </si>
  <si>
    <t>CISCO</t>
  </si>
  <si>
    <t>Version</t>
  </si>
  <si>
    <t>Regla 68</t>
  </si>
  <si>
    <t>V-VBRSTD-VS-P0000-00 Veeam Backup &amp; Replication Standard for Vmware</t>
  </si>
  <si>
    <t>Validar tabla</t>
  </si>
  <si>
    <t>MAC_ValidarTabla</t>
  </si>
  <si>
    <t>Garantías</t>
  </si>
  <si>
    <t>MAC_CalcularGarantias</t>
  </si>
  <si>
    <t>Especificaciones</t>
  </si>
  <si>
    <t>MAC_GenerarTablaCaracteristicasAmbientales</t>
  </si>
  <si>
    <t>Uplift precio lista</t>
  </si>
  <si>
    <t>LISTA DE PRECIOS TOP SELLER THINKSERVER Y OPCIONALES</t>
  </si>
  <si>
    <t>No. De Parte</t>
  </si>
  <si>
    <t>ONSHORE</t>
  </si>
  <si>
    <t>70FX000LLD</t>
  </si>
  <si>
    <t>70G0000BLD</t>
  </si>
  <si>
    <t>70G00011LD</t>
  </si>
  <si>
    <t>70G00005LD</t>
  </si>
  <si>
    <t>64114B4</t>
  </si>
  <si>
    <t>64114B2</t>
  </si>
  <si>
    <t>64116B4</t>
  </si>
  <si>
    <t>64116B2</t>
  </si>
  <si>
    <t>00WC088</t>
  </si>
  <si>
    <t>Lenovo Storage S2200/S3200 8G Fibre Channel SFP+ Module 1 pack</t>
  </si>
  <si>
    <t>00WC086</t>
  </si>
  <si>
    <t>Lenovo Storage S2200/S3200 1G RJ45 iSCSI SFP+ Module 1 pack</t>
  </si>
  <si>
    <t>00WC087</t>
  </si>
  <si>
    <t>Lenovo Storage S2200/S3200 10G SW Optical iSCSI SFP+ Module 1 pack</t>
  </si>
  <si>
    <t>00WC089</t>
  </si>
  <si>
    <t>00MM685</t>
  </si>
  <si>
    <t>00MM700</t>
  </si>
  <si>
    <t>00MM695</t>
  </si>
  <si>
    <t>00MM690</t>
  </si>
  <si>
    <t>00MM705</t>
  </si>
  <si>
    <t>00MM735</t>
  </si>
  <si>
    <t>00MM730</t>
  </si>
  <si>
    <t>00WC035</t>
  </si>
  <si>
    <t>00WC040</t>
  </si>
  <si>
    <t>64111B2</t>
  </si>
  <si>
    <t>Lenovo Storage E1012 LFF Disk Expansion with Dual SAS IO Modules</t>
  </si>
  <si>
    <t>64111B4</t>
  </si>
  <si>
    <t>Lenovo Storage E1024 SFF Disk Expansion with Dual SAS IO Modules</t>
  </si>
  <si>
    <t>00WE754</t>
  </si>
  <si>
    <t>External MiniSAS 8088/MiniSAS 8088 0.6m cable</t>
  </si>
  <si>
    <t>00WE755</t>
  </si>
  <si>
    <t>External MiniSAS 8088/MiniSAS 8088  1m cable</t>
  </si>
  <si>
    <t>00WE756</t>
  </si>
  <si>
    <t>External MiniSAS 8088/MiniSAS 8088 2m cable</t>
  </si>
  <si>
    <t>00WE760</t>
  </si>
  <si>
    <t>Lenovo Storage S2200 256 Snapshot Upgrade</t>
  </si>
  <si>
    <t>00WE761</t>
  </si>
  <si>
    <t>Lenovo Storage S2200/S3200 512 Snapshot Upgrade</t>
  </si>
  <si>
    <t>00WE764</t>
  </si>
  <si>
    <t>Lenovo Storage SSD Data Tiering Upgrade</t>
  </si>
  <si>
    <t>creartabla</t>
  </si>
  <si>
    <t>cargareconfig</t>
  </si>
  <si>
    <t>cargarcisco</t>
  </si>
  <si>
    <t>validartabla</t>
  </si>
  <si>
    <t>acercade</t>
  </si>
  <si>
    <t>cargarlenovo</t>
  </si>
  <si>
    <t>tabladecompras</t>
  </si>
  <si>
    <t>tablaclientes</t>
  </si>
  <si>
    <t>Nombre boton</t>
  </si>
  <si>
    <t>MAC_CrearTablaCostos</t>
  </si>
  <si>
    <t>Regla 69</t>
  </si>
  <si>
    <t>7042-CR9 Consola HMC</t>
  </si>
  <si>
    <t>C 7042-CR9</t>
  </si>
  <si>
    <t>Servidor Oracle DB</t>
  </si>
  <si>
    <t>IBM LABSERVICES COLOMBIA</t>
  </si>
  <si>
    <t>REDSIS CORP</t>
  </si>
  <si>
    <t>Origen</t>
  </si>
  <si>
    <t>Destino</t>
  </si>
  <si>
    <t>CSI BUSINESS SOFTWARE LTDA</t>
  </si>
  <si>
    <t>INGEAL</t>
  </si>
  <si>
    <t>INGRAM</t>
  </si>
  <si>
    <t>MAKRO COMPUTO</t>
  </si>
  <si>
    <t>METTLER TOLEDO</t>
  </si>
  <si>
    <t>MIDRANGE PERFORMANCE GROUP</t>
  </si>
  <si>
    <t>NCR</t>
  </si>
  <si>
    <t>ROCKET SOFTWARE</t>
  </si>
  <si>
    <t>TECRED</t>
  </si>
  <si>
    <t>TOSHIBA</t>
  </si>
  <si>
    <t>ZONE OF MASTERING ORACLE SOLUTIONS</t>
  </si>
  <si>
    <t>P_Venta_Unit</t>
  </si>
  <si>
    <t>Procesar_para</t>
  </si>
  <si>
    <t>Hoja servicios</t>
  </si>
  <si>
    <t>Descriptivos</t>
  </si>
  <si>
    <t>Categoría Ingeniería</t>
  </si>
  <si>
    <t>Código</t>
  </si>
  <si>
    <t>Duración sesiones</t>
  </si>
  <si>
    <t>Duración horas</t>
  </si>
  <si>
    <t>CLVMIL01</t>
  </si>
  <si>
    <t>Cloud</t>
  </si>
  <si>
    <t>Por maquina virtual</t>
  </si>
  <si>
    <t>ENCAO01</t>
  </si>
  <si>
    <t>Por servidor</t>
  </si>
  <si>
    <t>ENCAO02</t>
  </si>
  <si>
    <t>Hora de Soporte SLKM</t>
  </si>
  <si>
    <t>Por Hora</t>
  </si>
  <si>
    <t>ENCIL01</t>
  </si>
  <si>
    <t>ENCIL02</t>
  </si>
  <si>
    <t>ENCML01</t>
  </si>
  <si>
    <t>ENCML02</t>
  </si>
  <si>
    <t>FBSIL01</t>
  </si>
  <si>
    <t>FastBack</t>
  </si>
  <si>
    <t>Por Servidor</t>
  </si>
  <si>
    <t>FBSML01</t>
  </si>
  <si>
    <t>Por 1 Servidor</t>
  </si>
  <si>
    <t>FBWDG01</t>
  </si>
  <si>
    <t>Afinamiento de plataforma de Fastback WS</t>
  </si>
  <si>
    <t>Por Ambiente</t>
  </si>
  <si>
    <t>Clientes/Agentes</t>
  </si>
  <si>
    <t>FBWIL01</t>
  </si>
  <si>
    <t>Por Cliente</t>
  </si>
  <si>
    <t>FBWML01</t>
  </si>
  <si>
    <t>FBWTR01</t>
  </si>
  <si>
    <t>Entrenamiento no formal</t>
  </si>
  <si>
    <t>Por grupo de 3 personas</t>
  </si>
  <si>
    <t>GOAWAO01</t>
  </si>
  <si>
    <t>GoAnyWhere</t>
  </si>
  <si>
    <t>Servidor / Mes</t>
  </si>
  <si>
    <t>GOAWAO02</t>
  </si>
  <si>
    <t>Hora plena consultor Senior</t>
  </si>
  <si>
    <t>GOAWAO03</t>
  </si>
  <si>
    <t>Hora preferencial consultor Senior</t>
  </si>
  <si>
    <t>GOAWAO04</t>
  </si>
  <si>
    <t>Hora plena analista/programador</t>
  </si>
  <si>
    <t>GOAWAO05</t>
  </si>
  <si>
    <t>Hora preferencial analista/programador</t>
  </si>
  <si>
    <t>SYSXSN01</t>
  </si>
  <si>
    <t>HW Intel &amp; Chassis</t>
  </si>
  <si>
    <t>Soporte 2do. Nivel</t>
  </si>
  <si>
    <t>x86 - xServer / Cuchilla / Nodo - 2do. Nivel</t>
  </si>
  <si>
    <t>SYSXSN02</t>
  </si>
  <si>
    <t>Chasis (Blade Center, Flex, UCS) - 2do. Nivel</t>
  </si>
  <si>
    <t>SYSXIF01</t>
  </si>
  <si>
    <t>SYSXIF02</t>
  </si>
  <si>
    <t>SYSXIF03</t>
  </si>
  <si>
    <t>Cuchillas</t>
  </si>
  <si>
    <t>SYSXIF04</t>
  </si>
  <si>
    <t>Por Chasis</t>
  </si>
  <si>
    <t>SYSXIF05</t>
  </si>
  <si>
    <t>Por Modulo</t>
  </si>
  <si>
    <t>SYSXIF06</t>
  </si>
  <si>
    <t>SYSXIF07</t>
  </si>
  <si>
    <t>SYSXIF08</t>
  </si>
  <si>
    <t>SYSXIF09</t>
  </si>
  <si>
    <t>SYSXIF10</t>
  </si>
  <si>
    <t>SYSXIF11</t>
  </si>
  <si>
    <t>SYSXIF12</t>
  </si>
  <si>
    <t>SYSXIF13</t>
  </si>
  <si>
    <t>SYSXIF14</t>
  </si>
  <si>
    <t>SYSXIF15</t>
  </si>
  <si>
    <t>SYSXIF16</t>
  </si>
  <si>
    <t>SYSXIF17</t>
  </si>
  <si>
    <t>Por Consola</t>
  </si>
  <si>
    <t>Consolas</t>
  </si>
  <si>
    <t>SYSXIF18</t>
  </si>
  <si>
    <t>SYSXIF19</t>
  </si>
  <si>
    <t>SYSXIL01</t>
  </si>
  <si>
    <t>SYSXIL02</t>
  </si>
  <si>
    <t>SYSXIL03</t>
  </si>
  <si>
    <t>SYSXIL05</t>
  </si>
  <si>
    <t>SYSXML01</t>
  </si>
  <si>
    <t>SYSXML02</t>
  </si>
  <si>
    <t>SYSXML03</t>
  </si>
  <si>
    <t>Por Pack</t>
  </si>
  <si>
    <t>SYSXML04</t>
  </si>
  <si>
    <t>SYSXML05</t>
  </si>
  <si>
    <t>SYSXML06</t>
  </si>
  <si>
    <t>Diagnostico de servidor de rack o torre tipo entry midrange highend</t>
  </si>
  <si>
    <t>SYSXML07</t>
  </si>
  <si>
    <t>Diagnostico de servidor tipo Blade o ComputeNode</t>
  </si>
  <si>
    <t>SYSXML08</t>
  </si>
  <si>
    <t>PWRAO01</t>
  </si>
  <si>
    <t>HW POWER</t>
  </si>
  <si>
    <t>Por ventana</t>
  </si>
  <si>
    <t>Ventanas</t>
  </si>
  <si>
    <t>PWRSN02</t>
  </si>
  <si>
    <t>PWRSN03</t>
  </si>
  <si>
    <t>PWRIF01</t>
  </si>
  <si>
    <t>PWRIF02</t>
  </si>
  <si>
    <t>PWRIF03</t>
  </si>
  <si>
    <t>PWRIF04</t>
  </si>
  <si>
    <t>PWRIF06</t>
  </si>
  <si>
    <t>Expansiones</t>
  </si>
  <si>
    <t>PWRIF07</t>
  </si>
  <si>
    <t>PWRIF08</t>
  </si>
  <si>
    <t>PWRIF09</t>
  </si>
  <si>
    <t>Por Dispositivo</t>
  </si>
  <si>
    <t>PWRIF10</t>
  </si>
  <si>
    <t>Por cada 3 slots a ocupar</t>
  </si>
  <si>
    <t>PWRIF11</t>
  </si>
  <si>
    <t>Discos</t>
  </si>
  <si>
    <t>PWRIF12</t>
  </si>
  <si>
    <t>Por Slot a retirar</t>
  </si>
  <si>
    <t>PWRIF13</t>
  </si>
  <si>
    <t>Por disco</t>
  </si>
  <si>
    <t>PWRIF14</t>
  </si>
  <si>
    <t>PWRIL01</t>
  </si>
  <si>
    <t>PWRIL02</t>
  </si>
  <si>
    <t>PWRIL03</t>
  </si>
  <si>
    <t>Por FRU</t>
  </si>
  <si>
    <t>PWRIL04</t>
  </si>
  <si>
    <t>PWRML01</t>
  </si>
  <si>
    <t>PWRML02</t>
  </si>
  <si>
    <t>PWRML03</t>
  </si>
  <si>
    <t>PWRSL01</t>
  </si>
  <si>
    <t>PWRTR01</t>
  </si>
  <si>
    <t>AIXAO01</t>
  </si>
  <si>
    <t>IBM AIX</t>
  </si>
  <si>
    <t>AIXAO02</t>
  </si>
  <si>
    <t>Copia  de  DATA - AIX   (SAVEVG /SYSBACK)    paquetes de 300GB</t>
  </si>
  <si>
    <t>AIXAO03</t>
  </si>
  <si>
    <t>Copia de seguridad S.O. (mksysb)</t>
  </si>
  <si>
    <t>AIXAO04</t>
  </si>
  <si>
    <t>AIXAO05</t>
  </si>
  <si>
    <t>Por Sistema Operativo</t>
  </si>
  <si>
    <t>AIXAO06</t>
  </si>
  <si>
    <t>AIXAO07</t>
  </si>
  <si>
    <t>Por nodo</t>
  </si>
  <si>
    <t>AIXAO08</t>
  </si>
  <si>
    <t>Servicio Aseguramiento Sistema Operativo AIX-LINUX</t>
  </si>
  <si>
    <t>AIXAO09</t>
  </si>
  <si>
    <t>Hora de soporte AIX</t>
  </si>
  <si>
    <t>AIXAO10</t>
  </si>
  <si>
    <t>AIXAO11</t>
  </si>
  <si>
    <t>Hora de soporte POWERHA</t>
  </si>
  <si>
    <t>AIXAO12</t>
  </si>
  <si>
    <t>Hora de soporte GPFS</t>
  </si>
  <si>
    <t>AIXDG01</t>
  </si>
  <si>
    <t>AIXDG02</t>
  </si>
  <si>
    <t>AIXIL01</t>
  </si>
  <si>
    <t>AIXIL02</t>
  </si>
  <si>
    <t>Por pareja de nodos</t>
  </si>
  <si>
    <t>AIXIL03</t>
  </si>
  <si>
    <t>AIXIL04</t>
  </si>
  <si>
    <t>AIXIL05</t>
  </si>
  <si>
    <t>AIXIL06</t>
  </si>
  <si>
    <t>AIXIL07</t>
  </si>
  <si>
    <t>Instalacion de un servicio de NIM sobre servidor AIX existente</t>
  </si>
  <si>
    <t>AIXML01</t>
  </si>
  <si>
    <t>AIXML02</t>
  </si>
  <si>
    <t>AIXML03</t>
  </si>
  <si>
    <t>AIXML04</t>
  </si>
  <si>
    <t>AIXMT01</t>
  </si>
  <si>
    <t>Migraciones &amp; Traslados</t>
  </si>
  <si>
    <t>Traslado de ambientes AIX - Base (RISC to RISC) - Ambiente Productivo</t>
  </si>
  <si>
    <t>AIXMT02</t>
  </si>
  <si>
    <t>AIXMT03</t>
  </si>
  <si>
    <t>Traslado de datos AIX - Base (RISC to RISC)</t>
  </si>
  <si>
    <t>AIXMT04</t>
  </si>
  <si>
    <t>AIXSL01</t>
  </si>
  <si>
    <t>AIXSL02</t>
  </si>
  <si>
    <t>AIXSL03</t>
  </si>
  <si>
    <t>AIXSL04</t>
  </si>
  <si>
    <t>DIRIL01</t>
  </si>
  <si>
    <t>DIRIL02</t>
  </si>
  <si>
    <t>DIRIL03</t>
  </si>
  <si>
    <t>Por Agente</t>
  </si>
  <si>
    <t>DIRML01</t>
  </si>
  <si>
    <t>DIRML02</t>
  </si>
  <si>
    <t>DIRTR01</t>
  </si>
  <si>
    <t>IBMIAO01</t>
  </si>
  <si>
    <t>IBM i</t>
  </si>
  <si>
    <t>Por actividad</t>
  </si>
  <si>
    <t>IBMIAO02</t>
  </si>
  <si>
    <t>IBMIAO03</t>
  </si>
  <si>
    <t>IBMIAO04</t>
  </si>
  <si>
    <t>IBMIAO05</t>
  </si>
  <si>
    <t>Ajustes de BRMS  en un ambiente existente (Pack x 5 configuraciones)</t>
  </si>
  <si>
    <t>IBMIAO06</t>
  </si>
  <si>
    <t>IBMIAO07</t>
  </si>
  <si>
    <t>Redes</t>
  </si>
  <si>
    <t>IBMIAO08</t>
  </si>
  <si>
    <t>IBMIAO09</t>
  </si>
  <si>
    <t>IBMIAO10</t>
  </si>
  <si>
    <t>IBMIAO11</t>
  </si>
  <si>
    <t>Acompañamiento en pruebas de Switching con IBM iCluster</t>
  </si>
  <si>
    <t>IBMIAO12</t>
  </si>
  <si>
    <t>Ajustes en configuraciones en un Cluster existente (Pack x 8 configuraciones)</t>
  </si>
  <si>
    <t>IBMIAO13</t>
  </si>
  <si>
    <t>IBMIAO14</t>
  </si>
  <si>
    <t>IBMISN15</t>
  </si>
  <si>
    <t>Servidores BRMS - 2do. Nivel</t>
  </si>
  <si>
    <t>IBMISN16</t>
  </si>
  <si>
    <t>iCluster x instancia primera-replica - 2do. Nivel</t>
  </si>
  <si>
    <t>IBMIDG01</t>
  </si>
  <si>
    <t>IBMIDG02</t>
  </si>
  <si>
    <t>IBMIDG03</t>
  </si>
  <si>
    <t>IBMIDG04</t>
  </si>
  <si>
    <t>IBMIDG05</t>
  </si>
  <si>
    <t>IBMIIL01</t>
  </si>
  <si>
    <t>IBMIIL02</t>
  </si>
  <si>
    <t>IBMIIL03</t>
  </si>
  <si>
    <t>IBMIIL04</t>
  </si>
  <si>
    <t>IBMIIL05</t>
  </si>
  <si>
    <t>IBMIIL06</t>
  </si>
  <si>
    <t>IBMIIL06-01</t>
  </si>
  <si>
    <t>Por CEC</t>
  </si>
  <si>
    <t>IBMIIL06-02</t>
  </si>
  <si>
    <t>IBMIIL06-03</t>
  </si>
  <si>
    <t>IBMIIL07</t>
  </si>
  <si>
    <t>Por componente</t>
  </si>
  <si>
    <t>IBMIIL08</t>
  </si>
  <si>
    <t>IBMIIL09</t>
  </si>
  <si>
    <t>IBMIIL10</t>
  </si>
  <si>
    <t>IBMIIL11</t>
  </si>
  <si>
    <t>IBMIIL12</t>
  </si>
  <si>
    <t>IBMIIL13</t>
  </si>
  <si>
    <t>IBMIIL14</t>
  </si>
  <si>
    <t>IBMIIL15</t>
  </si>
  <si>
    <t>IBMIIL16</t>
  </si>
  <si>
    <t>IBMIIL17</t>
  </si>
  <si>
    <t>IBMIIL18</t>
  </si>
  <si>
    <t>IBMIIL19</t>
  </si>
  <si>
    <t>IBMIML01</t>
  </si>
  <si>
    <t>IBMIML02</t>
  </si>
  <si>
    <t>IBMIML03</t>
  </si>
  <si>
    <t>IBMIML04</t>
  </si>
  <si>
    <t>Por Nodo</t>
  </si>
  <si>
    <t>IBMIML05</t>
  </si>
  <si>
    <t>Reconfiguracion de un cluster existente usando Rocket iCluster</t>
  </si>
  <si>
    <t>IBMIMT01</t>
  </si>
  <si>
    <t>IBMIMT02</t>
  </si>
  <si>
    <t>IBMIMT03</t>
  </si>
  <si>
    <t>Traslado de datos IBM i</t>
  </si>
  <si>
    <t>IBMIMT04</t>
  </si>
  <si>
    <t>IBMIMT05</t>
  </si>
  <si>
    <t>IBMIMT06</t>
  </si>
  <si>
    <t>IBMISL01</t>
  </si>
  <si>
    <t>IBMISL02</t>
  </si>
  <si>
    <t>IBMISL03</t>
  </si>
  <si>
    <t>IBMISL04</t>
  </si>
  <si>
    <t>IBMISL05</t>
  </si>
  <si>
    <t>IBMITR01</t>
  </si>
  <si>
    <t>iCluster 7.1 FastTrack 16 horas, 4 sesiones</t>
  </si>
  <si>
    <t>PKVMAO01</t>
  </si>
  <si>
    <t>Por Plantilla</t>
  </si>
  <si>
    <t>PKVMAO02</t>
  </si>
  <si>
    <t>Por Despliegue</t>
  </si>
  <si>
    <t>PKVMAO03</t>
  </si>
  <si>
    <t>Hora de soporte de PowerKVM</t>
  </si>
  <si>
    <t>PKVMIL01</t>
  </si>
  <si>
    <t>Instalacion de un (1) host POWERKVM en un (1) Servidor IBM POWERLINUX</t>
  </si>
  <si>
    <t>Por Servidor Power</t>
  </si>
  <si>
    <t>PKVMML01</t>
  </si>
  <si>
    <t>PVMAO01</t>
  </si>
  <si>
    <t>IBM PowerVM</t>
  </si>
  <si>
    <t>Servicio Aseguramiento Sistema Operativo IBM VIOS</t>
  </si>
  <si>
    <t>PVMAO02</t>
  </si>
  <si>
    <t>PVMAO03</t>
  </si>
  <si>
    <t>PVMAO04</t>
  </si>
  <si>
    <t>Adicionar HW nuevo a servidor POWERVC existente (Limite:1 STG, 2 SWSAN, 1 POWER)</t>
  </si>
  <si>
    <t>PVMAO05</t>
  </si>
  <si>
    <t>PVMAO06</t>
  </si>
  <si>
    <t>Hora de soporte PowerVM</t>
  </si>
  <si>
    <t>PVMAO07</t>
  </si>
  <si>
    <t>Hora de soporte PowerVC</t>
  </si>
  <si>
    <t>PVMSN08</t>
  </si>
  <si>
    <t>PowerVM LPAR AIX / Linux - Instancias S.O. - 2do. Nivel</t>
  </si>
  <si>
    <t>PVMSN09</t>
  </si>
  <si>
    <t>PowerVM LPAR IBM i - Instancias S.O. - 2do. Nivel</t>
  </si>
  <si>
    <t>PVMSN10</t>
  </si>
  <si>
    <t>VIOS - 2do. Nivel</t>
  </si>
  <si>
    <t>PVMIL01</t>
  </si>
  <si>
    <t>PVMIL02</t>
  </si>
  <si>
    <t>PVMIL03</t>
  </si>
  <si>
    <t>PVMML01</t>
  </si>
  <si>
    <t>PVMML02</t>
  </si>
  <si>
    <t>TSMAO01</t>
  </si>
  <si>
    <t>IBM TSM</t>
  </si>
  <si>
    <t>TSMAO02</t>
  </si>
  <si>
    <t>TSMAO03</t>
  </si>
  <si>
    <t>TSMAO04</t>
  </si>
  <si>
    <t>TSMAO05</t>
  </si>
  <si>
    <t>Acompañamiento cliente pruebas contingencia TSM usando HADR</t>
  </si>
  <si>
    <t>TSMAO06</t>
  </si>
  <si>
    <t>Hora de soporte IBM - TSM</t>
  </si>
  <si>
    <t>TSMSN07</t>
  </si>
  <si>
    <t>Servidores TSM - 2do. Nivel</t>
  </si>
  <si>
    <t>TSMDG01</t>
  </si>
  <si>
    <t>TSMDG03</t>
  </si>
  <si>
    <t>Afinamiento de plataforma de backup existente con TSM "Servicio Entry"</t>
  </si>
  <si>
    <t>TSMDG04</t>
  </si>
  <si>
    <t>Afinamiento de plataforma de backup existente con TSM "Servicio Estandar"</t>
  </si>
  <si>
    <t>TSMDG05</t>
  </si>
  <si>
    <t>Afinamiento de plataforma de backup existente con TSM "Servicio Enterprise"</t>
  </si>
  <si>
    <t>TSMIL01</t>
  </si>
  <si>
    <t>TSMIL02</t>
  </si>
  <si>
    <t>TSMIL03</t>
  </si>
  <si>
    <t>TSMIL04</t>
  </si>
  <si>
    <t>Por Diseño</t>
  </si>
  <si>
    <t>TSMIL05</t>
  </si>
  <si>
    <t>TSMIL06</t>
  </si>
  <si>
    <t>Activacion Funcion Ecnriptacion backups TSM</t>
  </si>
  <si>
    <t>TSMML01</t>
  </si>
  <si>
    <t>TSMML02</t>
  </si>
  <si>
    <t>Por Combo</t>
  </si>
  <si>
    <t>TSMML03</t>
  </si>
  <si>
    <t>TSMMT01</t>
  </si>
  <si>
    <t>Traslado de Servidor IBM TSM (1 servidor)</t>
  </si>
  <si>
    <t>TSMSL01</t>
  </si>
  <si>
    <t>TSMSL02</t>
  </si>
  <si>
    <t>TSMSL03</t>
  </si>
  <si>
    <t>TSMSL04</t>
  </si>
  <si>
    <t>TSMTR01</t>
  </si>
  <si>
    <t>LNXAO01</t>
  </si>
  <si>
    <t>Linux</t>
  </si>
  <si>
    <t>Hora de soporte LINUX</t>
  </si>
  <si>
    <t>LNXIL01</t>
  </si>
  <si>
    <t>LNXIL02</t>
  </si>
  <si>
    <t>Por Cluster</t>
  </si>
  <si>
    <t>LNXIL03</t>
  </si>
  <si>
    <t>Por 1 Sistema Operativo</t>
  </si>
  <si>
    <t>LNXML01</t>
  </si>
  <si>
    <t>LNDSN01</t>
  </si>
  <si>
    <t>Lotus Notes</t>
  </si>
  <si>
    <t>Lotus Notes/Domino -2do. Nivel</t>
  </si>
  <si>
    <t>MSOFAO01</t>
  </si>
  <si>
    <t>Microsoft</t>
  </si>
  <si>
    <t>Por Instancia</t>
  </si>
  <si>
    <t>ActiveDirectory</t>
  </si>
  <si>
    <t>MSOFAO02</t>
  </si>
  <si>
    <t>MicroSoft</t>
  </si>
  <si>
    <t>Hora de acompañamiento Microsoft</t>
  </si>
  <si>
    <t>MSOFIL01</t>
  </si>
  <si>
    <t>MSOFIL02</t>
  </si>
  <si>
    <t>WSUS</t>
  </si>
  <si>
    <t>MSOFIL03</t>
  </si>
  <si>
    <t>Rol de Archivos y Almacenamiento (FileServer DFS) 2008R2 2012</t>
  </si>
  <si>
    <t>FileServer</t>
  </si>
  <si>
    <t>MSOFIL04</t>
  </si>
  <si>
    <t>Rol de Archivos y Almacenamiento servidor adicional (FileServer DFS) 2008R2 2012</t>
  </si>
  <si>
    <t>MSOFIL06</t>
  </si>
  <si>
    <t>Windows</t>
  </si>
  <si>
    <t>MSOFIL07</t>
  </si>
  <si>
    <t>MSOFIL08</t>
  </si>
  <si>
    <t>Bases de Datos</t>
  </si>
  <si>
    <t>MSOFIL09</t>
  </si>
  <si>
    <t>HyperV</t>
  </si>
  <si>
    <t>MSOFIL10</t>
  </si>
  <si>
    <t>MSOFIL11</t>
  </si>
  <si>
    <t>MSOFIL12</t>
  </si>
  <si>
    <t>MSOFIL13</t>
  </si>
  <si>
    <t>MSOFIL14</t>
  </si>
  <si>
    <t>Microsoft Networking</t>
  </si>
  <si>
    <t>MSOFIL15</t>
  </si>
  <si>
    <t>MSOFMT01</t>
  </si>
  <si>
    <t>MSOFMT02</t>
  </si>
  <si>
    <t>MSOFMT03</t>
  </si>
  <si>
    <t>MONAO01</t>
  </si>
  <si>
    <t>Monitoreo</t>
  </si>
  <si>
    <t>Por HMC</t>
  </si>
  <si>
    <t>MONAO02</t>
  </si>
  <si>
    <t>Hora de soporte Herramientas de Monitoreo</t>
  </si>
  <si>
    <t>MONIL01</t>
  </si>
  <si>
    <t>MONIL02</t>
  </si>
  <si>
    <t>MONIL03</t>
  </si>
  <si>
    <t>NETIF01</t>
  </si>
  <si>
    <t>Networking</t>
  </si>
  <si>
    <t>Por Switch</t>
  </si>
  <si>
    <t>NETIL01</t>
  </si>
  <si>
    <t>NETIL02</t>
  </si>
  <si>
    <t>NETIL03</t>
  </si>
  <si>
    <t>NETIL06</t>
  </si>
  <si>
    <t>NETIL07</t>
  </si>
  <si>
    <t>ORAAO01</t>
  </si>
  <si>
    <t>Oracle</t>
  </si>
  <si>
    <t>Hora de soporte Oracle</t>
  </si>
  <si>
    <t>ORASN02</t>
  </si>
  <si>
    <t>Servidor Oracle DB - 2do. Nivel</t>
  </si>
  <si>
    <t>CLFWAO01</t>
  </si>
  <si>
    <t>Seguridad-Cloud</t>
  </si>
  <si>
    <t>Por Firewall</t>
  </si>
  <si>
    <t>CLFWAO02</t>
  </si>
  <si>
    <t>CLFWAO03</t>
  </si>
  <si>
    <t>CLFWAO04</t>
  </si>
  <si>
    <t>CLFWAO05</t>
  </si>
  <si>
    <t>Por ambiente Cloud</t>
  </si>
  <si>
    <t>CLFWAO06</t>
  </si>
  <si>
    <t>Hora de soporte Seguridad Cloud</t>
  </si>
  <si>
    <t>CLFWIL01</t>
  </si>
  <si>
    <t>CLFWIL02</t>
  </si>
  <si>
    <t>SNWAO01</t>
  </si>
  <si>
    <t>SonicWall</t>
  </si>
  <si>
    <t>SNWAO02</t>
  </si>
  <si>
    <t>SNWAO03</t>
  </si>
  <si>
    <t>SNWAO04</t>
  </si>
  <si>
    <t>SNWAO05</t>
  </si>
  <si>
    <t>SNWAO06</t>
  </si>
  <si>
    <t>Hora de soporte Seguridad Sonicwall</t>
  </si>
  <si>
    <t>SNWIF01</t>
  </si>
  <si>
    <t>SNWIL01</t>
  </si>
  <si>
    <t>SNWIL02</t>
  </si>
  <si>
    <t>SNWIL03</t>
  </si>
  <si>
    <t>SNWTR01</t>
  </si>
  <si>
    <t>STGAO01</t>
  </si>
  <si>
    <t>Por Controladora</t>
  </si>
  <si>
    <t>Controladoras</t>
  </si>
  <si>
    <t>STGAO02</t>
  </si>
  <si>
    <t>SAN</t>
  </si>
  <si>
    <t>STGAO03</t>
  </si>
  <si>
    <t>STGAO04</t>
  </si>
  <si>
    <t>STGAO05</t>
  </si>
  <si>
    <t>STGAO06</t>
  </si>
  <si>
    <t>STGAO07</t>
  </si>
  <si>
    <t>STGAO08</t>
  </si>
  <si>
    <t>STGAO09</t>
  </si>
  <si>
    <t>Hora de soporte Storage</t>
  </si>
  <si>
    <t>STGSN10</t>
  </si>
  <si>
    <t>Entrada (V3700 / DS5000) cajas controladoras - 2do. Nivel</t>
  </si>
  <si>
    <t>STGSN11</t>
  </si>
  <si>
    <t>STGSN12</t>
  </si>
  <si>
    <t>Controladoras/Expansiones</t>
  </si>
  <si>
    <t>STGSN13</t>
  </si>
  <si>
    <t>STGSN14</t>
  </si>
  <si>
    <t>SAN Switche - 2do. Nivel</t>
  </si>
  <si>
    <t>STGSN15</t>
  </si>
  <si>
    <t>STGSN16</t>
  </si>
  <si>
    <t>STGIF01</t>
  </si>
  <si>
    <t>Tape/Biblioteca</t>
  </si>
  <si>
    <t>STGIF02</t>
  </si>
  <si>
    <t>STGIF03</t>
  </si>
  <si>
    <t>STGIF04</t>
  </si>
  <si>
    <t>STGIF05</t>
  </si>
  <si>
    <t>STGIF06</t>
  </si>
  <si>
    <t>STGIF07</t>
  </si>
  <si>
    <t>STGIF08</t>
  </si>
  <si>
    <t>STGIF09</t>
  </si>
  <si>
    <t>STGIL01</t>
  </si>
  <si>
    <t>STGIL02</t>
  </si>
  <si>
    <t>STGIL03</t>
  </si>
  <si>
    <t>STGIL04</t>
  </si>
  <si>
    <t>STGIL05</t>
  </si>
  <si>
    <t>STGIL06</t>
  </si>
  <si>
    <t>STGIL07</t>
  </si>
  <si>
    <t>STGIL08</t>
  </si>
  <si>
    <t>STGIL09</t>
  </si>
  <si>
    <t>STGIL10</t>
  </si>
  <si>
    <t>STGIL11</t>
  </si>
  <si>
    <t>STGIL12</t>
  </si>
  <si>
    <t>STGIL13</t>
  </si>
  <si>
    <t>STGIL15</t>
  </si>
  <si>
    <t>STGIL16</t>
  </si>
  <si>
    <t>STGIL17</t>
  </si>
  <si>
    <t>STGIL19</t>
  </si>
  <si>
    <t>STGIL20</t>
  </si>
  <si>
    <t>STGIL21</t>
  </si>
  <si>
    <t>Estudio de sistema de almacenamiento, incluye reporte de estado  y recomendaciones (16H)</t>
  </si>
  <si>
    <t>Por Sistema</t>
  </si>
  <si>
    <t>STGIL23</t>
  </si>
  <si>
    <t>STGIL24</t>
  </si>
  <si>
    <t>STGIL26</t>
  </si>
  <si>
    <t>STGIL27</t>
  </si>
  <si>
    <t>STGIL28</t>
  </si>
  <si>
    <t>STGIL29</t>
  </si>
  <si>
    <t>Spectrum</t>
  </si>
  <si>
    <t>STGIL30</t>
  </si>
  <si>
    <t>STGIL31</t>
  </si>
  <si>
    <t>NAS</t>
  </si>
  <si>
    <t>STGIL32</t>
  </si>
  <si>
    <t>STGML01</t>
  </si>
  <si>
    <t>STGML02</t>
  </si>
  <si>
    <t>STGML03</t>
  </si>
  <si>
    <t>STGML04</t>
  </si>
  <si>
    <t>STGML05</t>
  </si>
  <si>
    <t>STGML07</t>
  </si>
  <si>
    <t>STGML08</t>
  </si>
  <si>
    <t>STGMT01</t>
  </si>
  <si>
    <t>STGMT03</t>
  </si>
  <si>
    <t>STGMT04</t>
  </si>
  <si>
    <t>STGMT05</t>
  </si>
  <si>
    <t>STGMT06</t>
  </si>
  <si>
    <t>STGMT07</t>
  </si>
  <si>
    <t>STGMT08</t>
  </si>
  <si>
    <t>Traslado de LUNS de un sistema productivo XIV a XIV</t>
  </si>
  <si>
    <t>STGTR01</t>
  </si>
  <si>
    <t>Entrenamiento V7000 V5000 V3700 4 horas, grupo de 5, no oficial</t>
  </si>
  <si>
    <t>vSphere</t>
  </si>
  <si>
    <t>SYMAO01</t>
  </si>
  <si>
    <t>Symantec Backup</t>
  </si>
  <si>
    <t>Hora de soporte Symantec - Backupexec</t>
  </si>
  <si>
    <t>SYMIL01</t>
  </si>
  <si>
    <t>SYMIL02</t>
  </si>
  <si>
    <t>SYMIL04</t>
  </si>
  <si>
    <t>SYMIL05</t>
  </si>
  <si>
    <t>SYMMT01</t>
  </si>
  <si>
    <t>SYMMT02</t>
  </si>
  <si>
    <t>SYMMT03</t>
  </si>
  <si>
    <t>SYMSL01</t>
  </si>
  <si>
    <t>SYMSL02</t>
  </si>
  <si>
    <t>SYMSL03</t>
  </si>
  <si>
    <t>SYMTR01</t>
  </si>
  <si>
    <t>VEMSN01</t>
  </si>
  <si>
    <t>Veeam Backup</t>
  </si>
  <si>
    <t>VEMDG01</t>
  </si>
  <si>
    <t>Afinamiento Veeam</t>
  </si>
  <si>
    <t>VEMIL01</t>
  </si>
  <si>
    <t>VEMIL02</t>
  </si>
  <si>
    <t>VEMIL03</t>
  </si>
  <si>
    <t>VEMIL04</t>
  </si>
  <si>
    <t>Diseño de un esquema de backup</t>
  </si>
  <si>
    <t>VEMML01</t>
  </si>
  <si>
    <t>VEMSL01</t>
  </si>
  <si>
    <t>VEMTR01</t>
  </si>
  <si>
    <t>VMWAO01</t>
  </si>
  <si>
    <t>VMWare</t>
  </si>
  <si>
    <t>VMWAO02</t>
  </si>
  <si>
    <t>VMWAO03</t>
  </si>
  <si>
    <t>VMWAO04</t>
  </si>
  <si>
    <t>VMWAO05</t>
  </si>
  <si>
    <t>Hora de acompañamiento Vmware</t>
  </si>
  <si>
    <t>VMWAO06</t>
  </si>
  <si>
    <t>VMWAO07</t>
  </si>
  <si>
    <t>VMWAO08</t>
  </si>
  <si>
    <t>Horas soporte Vmware</t>
  </si>
  <si>
    <t>VMWSN09</t>
  </si>
  <si>
    <t>VMWSN10</t>
  </si>
  <si>
    <t>x86 VM Linux - 2do. Nivel</t>
  </si>
  <si>
    <t>VMWDG01</t>
  </si>
  <si>
    <t>VMWDG02</t>
  </si>
  <si>
    <t>VMWDG03</t>
  </si>
  <si>
    <t>VMWDG04</t>
  </si>
  <si>
    <t>VMWDG05</t>
  </si>
  <si>
    <t>Por Paquete</t>
  </si>
  <si>
    <t>VMWIL01</t>
  </si>
  <si>
    <t>VMWIL02</t>
  </si>
  <si>
    <t>VMWIL03</t>
  </si>
  <si>
    <t>VMWIL04</t>
  </si>
  <si>
    <t>VMWIL05</t>
  </si>
  <si>
    <t>VMWIL06</t>
  </si>
  <si>
    <t>VMWIL07</t>
  </si>
  <si>
    <t>View</t>
  </si>
  <si>
    <t>VMWIL08</t>
  </si>
  <si>
    <t>VMWIL09</t>
  </si>
  <si>
    <t>VMWIL10</t>
  </si>
  <si>
    <t>vCOPS</t>
  </si>
  <si>
    <t>VMWIL11</t>
  </si>
  <si>
    <t>SRM</t>
  </si>
  <si>
    <t>VMWIL12</t>
  </si>
  <si>
    <t>VMWIL13</t>
  </si>
  <si>
    <t>VMWIL14</t>
  </si>
  <si>
    <t>VMWIL15</t>
  </si>
  <si>
    <t>VMWIL16</t>
  </si>
  <si>
    <t>VMWIL17</t>
  </si>
  <si>
    <t>VMWIL18</t>
  </si>
  <si>
    <t>VMWML01</t>
  </si>
  <si>
    <t>VMWMT01</t>
  </si>
  <si>
    <t>VMWMT02</t>
  </si>
  <si>
    <t>VMWMT03</t>
  </si>
  <si>
    <t>VMWMT04</t>
  </si>
  <si>
    <t>Traslado de maquina virtual de HyperV a virtual VMWare</t>
  </si>
  <si>
    <t>VMWMT05</t>
  </si>
  <si>
    <t>VMWMT06</t>
  </si>
  <si>
    <t>VMWMT08</t>
  </si>
  <si>
    <t>VMWSL01</t>
  </si>
  <si>
    <t>VMWSL02</t>
  </si>
  <si>
    <t>VMWSL03</t>
  </si>
  <si>
    <t>VMWSL04</t>
  </si>
  <si>
    <t>VMWSL05</t>
  </si>
  <si>
    <t>VMWSL06</t>
  </si>
  <si>
    <t>VMWSL07</t>
  </si>
  <si>
    <t>VMWSL08</t>
  </si>
  <si>
    <t>VMWSL09</t>
  </si>
  <si>
    <t>VMWSL10</t>
  </si>
  <si>
    <t>VMWSL11</t>
  </si>
  <si>
    <t>VMWSL12</t>
  </si>
  <si>
    <t>VMWSL13</t>
  </si>
  <si>
    <t>VMWTR01</t>
  </si>
  <si>
    <t>VMWTR02</t>
  </si>
  <si>
    <t>Entrenamiento vRealize Operations Manager 8 Horas, grupo maximo 5, no oficial</t>
  </si>
  <si>
    <t>VMWTR03</t>
  </si>
  <si>
    <t>Entrenamiento SRM 8 Horas, grupo maximo 5, no oficial</t>
  </si>
  <si>
    <t>Instalacion Logica</t>
  </si>
  <si>
    <t>Servicio de configuracion de una maquina virtual en ambiente Cloud - Redsis</t>
  </si>
  <si>
    <t>Encriptacion</t>
  </si>
  <si>
    <t>Administracion y Operaciones</t>
  </si>
  <si>
    <t>Integracion de una (1) Libreria de Cinta en Servidor SKLM</t>
  </si>
  <si>
    <t>Instalacion de un (1) servidor SKLM (Primario)</t>
  </si>
  <si>
    <t>Instalacion de un (1) servidor SKLM (Secundario)</t>
  </si>
  <si>
    <t>Mantenimiento Logico</t>
  </si>
  <si>
    <t>Instalacion de un (1) FIX/SP a un (1) Servidor SKLM</t>
  </si>
  <si>
    <t>Actualizacion de version TKLM a SKLM</t>
  </si>
  <si>
    <t>Instalacion una consola de administracion de FastBack  (1 consola)</t>
  </si>
  <si>
    <t>Actualizacion consola administracion FBWS</t>
  </si>
  <si>
    <t>Diagnosticos</t>
  </si>
  <si>
    <t>Instalacion Cliente de FastBack</t>
  </si>
  <si>
    <t>Actualizacion de parches Cliente de Fastback</t>
  </si>
  <si>
    <t>Charla tecnica FastBack for WS (1 Sesion, 4 Horas x sesion)</t>
  </si>
  <si>
    <t>Contrato de administracion de plataforma GoAnyWhere</t>
  </si>
  <si>
    <t>Instalacion Fisica</t>
  </si>
  <si>
    <t>Instalacion fisica servidor tipo rack highend</t>
  </si>
  <si>
    <t>Instalacion fisica servidor tipo Blade o Compute Node</t>
  </si>
  <si>
    <t>Instalacion fisica chasis Bladecenter o Flex System</t>
  </si>
  <si>
    <t>Instalacion fisica de un par de modulos para Blade center o Flex System</t>
  </si>
  <si>
    <t>Instalacion fisica modulo AMM / CMM adicional</t>
  </si>
  <si>
    <t>Instalacion kit de rack servidor de torre</t>
  </si>
  <si>
    <t>Instalacion kit de tape o RDX interno</t>
  </si>
  <si>
    <t>Instalacion kit de crecimiento de disco</t>
  </si>
  <si>
    <t>Instalacion de memoria RAM en servidor existente</t>
  </si>
  <si>
    <t>Por Operacion</t>
  </si>
  <si>
    <t>Instalacion memory module/card en servidor existente</t>
  </si>
  <si>
    <t>Instalacion fisica de tarjeta RED/HBA</t>
  </si>
  <si>
    <t>Instalacion fisica de discos adicionales</t>
  </si>
  <si>
    <t>Instalacion fisica caja de  expansion SAS</t>
  </si>
  <si>
    <t>Por Expansion</t>
  </si>
  <si>
    <t>Instalacion fisica de procesador adicional en servidor tipo torre, entry y midrange</t>
  </si>
  <si>
    <t>Instalacion fisica de procesador adicional en servidor tipo highend</t>
  </si>
  <si>
    <t>Montaje e instalacion de PDU tipo 2</t>
  </si>
  <si>
    <t>Instalacion de drivers y configuracion de tarjeta RED/HBA OS WIN</t>
  </si>
  <si>
    <t>Instalacion de drivers y configuracion de tarjeta RED/HBA OS RHEL / SUSE Intel</t>
  </si>
  <si>
    <t>Configuracion logica chasis Bladecenter o Flex System</t>
  </si>
  <si>
    <t>Configuracion Logica modulos SAS RAID</t>
  </si>
  <si>
    <t>Actualizacion de firmware en servidor tipo Torre o Rack</t>
  </si>
  <si>
    <t>Actualizacion de firmware en servidor tipo Blade o Compute Node</t>
  </si>
  <si>
    <t>Actualizacion de firmware modulos AMM Bladecenter (Pack x 2)</t>
  </si>
  <si>
    <t>Actualizacion de firmware modulos CMM Flex (Pack x 2)</t>
  </si>
  <si>
    <t>Actualizacion de firmware para modulos LAN/SAN/SAS Bladecenter y Flex (Pack x 2)</t>
  </si>
  <si>
    <t>Actualizacion de Bladecenter KIT 1 (BNT L2/L3 , SW BROCADE/QLOGIC, 4 modulos max.)</t>
  </si>
  <si>
    <t>Administracion y operaciones</t>
  </si>
  <si>
    <t>Recargo por actividad en horario no habil / ventana de mantenimiento</t>
  </si>
  <si>
    <t>Instalacion fisica servidor POWER tipo Highend</t>
  </si>
  <si>
    <t>Instalacion fisica servidor POWER tipo Blade o Compute Node</t>
  </si>
  <si>
    <t>Instalacion fisica de Expansiones de E/S (disco o Combinadas)</t>
  </si>
  <si>
    <t>Instalacion / Reconfiguracion de Loops HSL/12X y SPCN</t>
  </si>
  <si>
    <t>Instalacion fisica Risers Card en servidores POWER existentes</t>
  </si>
  <si>
    <t>Por operacion/ventana</t>
  </si>
  <si>
    <t>Instalacion Kit de Tape o unidad RDX en servidor POWER (nuevas o existentes)</t>
  </si>
  <si>
    <t>Tarjeteria</t>
  </si>
  <si>
    <t>Instalacion fisica FRU (memorias, tarjetas) en servidores POWER existentes</t>
  </si>
  <si>
    <t>Instalacion fisica de discos en una expansion existente (pack x 6)</t>
  </si>
  <si>
    <t>Retiro fisico FRU en servidores existentes</t>
  </si>
  <si>
    <t>Retiro fisico de discos en una expansion existente (pack por 6)</t>
  </si>
  <si>
    <t>Retiro fisico de Expansiones E/S en servidores POWER existentes (disco o combinadas)</t>
  </si>
  <si>
    <t>Particionamiento/Virtualizacion</t>
  </si>
  <si>
    <t>Configuracion logica de tarjetas (FRU) en ambientes AIX / Linux / IBM i</t>
  </si>
  <si>
    <t>Eliminacion logica de tarjetas  (FRU) en ambientes AIX / Linux / IBM i</t>
  </si>
  <si>
    <t>Actualizacion firmware en servidor POWER existente</t>
  </si>
  <si>
    <t>Actualizacion firmware en Expansiones POWER existentes</t>
  </si>
  <si>
    <t>Actualizacion de parches para la consola HMC / FSM / SDMC</t>
  </si>
  <si>
    <t>Sustitucion Logica</t>
  </si>
  <si>
    <t>Actualizacion de version de consola HMC / FSM a ultima version soportada</t>
  </si>
  <si>
    <t>Charla tecnica de HMC/FSM/SDMC/IVM -  (1 sesion x 4 Horas)</t>
  </si>
  <si>
    <t>Clonacion de  S.O - AIX  (MKSYSB /SYSBACK)</t>
  </si>
  <si>
    <t>Por particion</t>
  </si>
  <si>
    <t>Configuracion de una plantilla de AIX en un chassis PureFlex y despliegue de 3 particiones</t>
  </si>
  <si>
    <t>Configuracion del servicio de hora (NTP)</t>
  </si>
  <si>
    <t>Adecuacion de ambiente AIX/Linux para instalacion de aplicativos</t>
  </si>
  <si>
    <t>Cluster/Replicacion</t>
  </si>
  <si>
    <t>Adicion Recurso/Aplicativo Nuevo en cluster POWERHA existente</t>
  </si>
  <si>
    <t>Clonacion de  VG - AIX  (MKSYSB /SYSBACK) paquete de 300GB</t>
  </si>
  <si>
    <t>Analisis basico de seguridad</t>
  </si>
  <si>
    <t>Por Particion</t>
  </si>
  <si>
    <t>Analisis basico de rendimiento (Disco, Memoria, Procesador)</t>
  </si>
  <si>
    <t>Instalacion de AIX  6.1 / 7.1 Nativo</t>
  </si>
  <si>
    <t>Implementacion de POWERHA (2 nodos locales)</t>
  </si>
  <si>
    <t>Implementacion de POWERHA + GPFS (2 nodos locales)</t>
  </si>
  <si>
    <t>Integracion de un nodo Adicional en cluster GPFS</t>
  </si>
  <si>
    <t>Integracion de un nodo Adicional en cluster POWERHA</t>
  </si>
  <si>
    <t>Implementacion de GPFS (2 nodos locales)</t>
  </si>
  <si>
    <t>Actualizacion (TL/SP) Sistema operativo AIX</t>
  </si>
  <si>
    <t>Actualizacion (SP) Software POWERHA</t>
  </si>
  <si>
    <t>Actualizacion (SP) Software GPFS</t>
  </si>
  <si>
    <t>Instalacion PTFs para solucionar de 1-6 APARs en un servidor IBM AIX/VIOS</t>
  </si>
  <si>
    <t>Traslado de ambientes AIX - Base (STORAGE to STORAGE) Via Sistema Operativo</t>
  </si>
  <si>
    <t>Traslado de datos AIX - Base (STORAGE to STORAGE)  via Sistema Operativo</t>
  </si>
  <si>
    <t>Actualizacion Version de AIX - AIX 5.3 a AIX 6.1/7.1</t>
  </si>
  <si>
    <t>Actualizacion Version de AIX - AIX 6.1 a AIX 7.1</t>
  </si>
  <si>
    <t>Actualizacion Version de GPFS - 3.x  a Ultima estable disponible (Pack x 2 nodos)</t>
  </si>
  <si>
    <t>Actualizacion Version de POWERHA - 6.1 a Ultima version estable disponible (Pack x 2 nodos)</t>
  </si>
  <si>
    <t>Instalacion Servidor de IBM Director en S.O. Soportado</t>
  </si>
  <si>
    <t>Instalacion agente de IBM System Director</t>
  </si>
  <si>
    <t>Instalacion Agente de IBM System Director Especializado</t>
  </si>
  <si>
    <t>Actualizacion de Servidor IBM System Director</t>
  </si>
  <si>
    <t>Actualizacion de agente de IBM Director en S. O. soportado</t>
  </si>
  <si>
    <t>Charla tecnica de ISD - Nivel I  (4 Horas)</t>
  </si>
  <si>
    <t>Ampliacion logica de almacenamiento en ambientes existentes</t>
  </si>
  <si>
    <t>Disminucion logica de almacenamiento en ambientes existentes</t>
  </si>
  <si>
    <t>Cambio de bateria cache para controladoras RAID</t>
  </si>
  <si>
    <t>Acompañamiento en pruebas de Backup y Recuperacion</t>
  </si>
  <si>
    <t>Recuperacion de un sistema IBM i a partir de imagen (opcion 21)</t>
  </si>
  <si>
    <t>Configuracion de SMTP en IBM i</t>
  </si>
  <si>
    <t>Configuracion de NetServer</t>
  </si>
  <si>
    <t>Configuracion del servicio de hora (SNTP)</t>
  </si>
  <si>
    <t>Reconfiguracion de ambientes SNA (E. Extenders) (Pack x 3 nodos)</t>
  </si>
  <si>
    <t>Servicio de recuperacion de contraseñas IBM i</t>
  </si>
  <si>
    <t>Activacion de Funcionalidad</t>
  </si>
  <si>
    <t>Servicio de configuracion SFTP en una particion i</t>
  </si>
  <si>
    <t>Analisis y Diseños</t>
  </si>
  <si>
    <t>Analisis Basico de Seguridad</t>
  </si>
  <si>
    <t>Analisis de QGPL</t>
  </si>
  <si>
    <t>Implementacion de Journaling local</t>
  </si>
  <si>
    <t>Implementacion de Journaling remoto</t>
  </si>
  <si>
    <t>Analisis y reconfiguracion de agrupaciones de Memoria</t>
  </si>
  <si>
    <t>Preparacion particion Madre usando HMC (Pack x 2 particiones clientes)</t>
  </si>
  <si>
    <t>Preparacion particion Madre usando VPM (Pack x 2 particiones clientes)</t>
  </si>
  <si>
    <t>Configuracion de comunicaciones para particiones hospedadas (Pack x 2 particiones clientes)</t>
  </si>
  <si>
    <t>Instalacion servicio de consola LAN (Pack x 2 estaciones de trabajo)</t>
  </si>
  <si>
    <t>* Adicional de preparacion de disco Nativo en expansion</t>
  </si>
  <si>
    <t>* Adicional de preparacion de disco Virtual para particiones Cliente (Hospedado o virtualizado)</t>
  </si>
  <si>
    <t>Instalacion y Configuracion de BRMS (Tape Standalone)</t>
  </si>
  <si>
    <t>Activacion de componente de red de BRMS x nodo</t>
  </si>
  <si>
    <t>Activacion de PM400 para IBM i</t>
  </si>
  <si>
    <t>Activacion de OpenSSH en IBM i</t>
  </si>
  <si>
    <t>Implementacion de Enterprise Extenders (SNA / IP) (Pack x 3 particiones)</t>
  </si>
  <si>
    <t>Implementacion de iCluster Express (Pack x 2 nodos locales, No Switching)</t>
  </si>
  <si>
    <t>Implementacion de iCluster Enterprise (incluye 1 prueba de Switching)</t>
  </si>
  <si>
    <t>Implementacion de iCluster - Nodo Adicional</t>
  </si>
  <si>
    <t>Encriptacion por software en un ambiente BRMS existente</t>
  </si>
  <si>
    <t>Instalacion de WAS 8.x en IBM i</t>
  </si>
  <si>
    <t>Creacion de un Cluster adicional usando Rocket iCluster</t>
  </si>
  <si>
    <t>Actualizacion Microcodigo IBM i (Resave)</t>
  </si>
  <si>
    <t>Actualizacion PTFs Sistema operativo IBM i</t>
  </si>
  <si>
    <t>Actualizacion Technology refresh</t>
  </si>
  <si>
    <t>Actualizacion Fixes iCluster</t>
  </si>
  <si>
    <t>Migracion de ambientes IBM i - Base (RISC to RISC)</t>
  </si>
  <si>
    <t>Migracion de ambientes IBM i - Base (RISC to RISC) - No Productivos</t>
  </si>
  <si>
    <t>Migracion / Reconfiguracion de Ambientes BRMS (Pack x 2 particiones)</t>
  </si>
  <si>
    <t>Migracion de Configuraciones SNA (Pack x 2 particiones)</t>
  </si>
  <si>
    <t>Migracion de Ambientes iCluster (Pack x 2 nodos)</t>
  </si>
  <si>
    <t>Actualizacion de IBM i - V5R4 a IBM i 6.1 / 7.1</t>
  </si>
  <si>
    <t>Actualizacion de IBM i - V5R3 a IBM i 6.1</t>
  </si>
  <si>
    <t>Actualizacion de IBM i - IBM i 6.1  a IBM i 7.1 / 7.2</t>
  </si>
  <si>
    <t>Actualizacion de IBM i - IBM i 7.1 a IBM i 7.2</t>
  </si>
  <si>
    <t>Actualizacion de iCluster - 5.2 a 7.1 (Pack x 2 nodos)</t>
  </si>
  <si>
    <t>Creacion de una (1) plantilla de un (1) servidor Linux - PowerKVM</t>
  </si>
  <si>
    <t>Despliegue de una particion en PowerKVM usando plantilla existente</t>
  </si>
  <si>
    <t>Actualizacion de un Host PowerKVM (SP)</t>
  </si>
  <si>
    <t>Creacion de una (1) plantilla de un (1) servidor AIX/Linux existente - POWERVC</t>
  </si>
  <si>
    <t>Creacion de una (1) plantilla de un (1) servidor IBMi existente - POWERVC</t>
  </si>
  <si>
    <t>Despliegue de una particion en PowerVC usando plantilla existente</t>
  </si>
  <si>
    <t>Instalacion de un (1) Servidor PowerVC</t>
  </si>
  <si>
    <t>Actualizacion  (TL/SP) de Servidor VIOS</t>
  </si>
  <si>
    <t>Actualizacion de FIX/SP de un (1) Servidor PowerVC</t>
  </si>
  <si>
    <t>Instalacion de  IBM Tivoli Operation Center (1 servidor)</t>
  </si>
  <si>
    <t>Instalacion de  IBM Tivoli Monitoring (1 servidor)</t>
  </si>
  <si>
    <t>Recuperacion Servidor TSM (1 Servidor)</t>
  </si>
  <si>
    <t>Reactivacion de una replica HADR-DB2 de Servidor TSM</t>
  </si>
  <si>
    <t>Analisis Basico de Rendimiento (Solucion de Backup)</t>
  </si>
  <si>
    <t>Instalacion solucion de backup con IBM TSM ( 1 server )</t>
  </si>
  <si>
    <t>Instalacion de Cliente de Backup de IBM TSM</t>
  </si>
  <si>
    <t>Instalacion de Agente de Backup de IBM TSM</t>
  </si>
  <si>
    <t>Diseño de Solucion de Backup usando IBM TSM</t>
  </si>
  <si>
    <t>Instalacion  Replica HADR - DB2( Pack x 2 servidores de TSM)</t>
  </si>
  <si>
    <t>Actualizacion parches servidor de IBM TSM ( 1 servidor)</t>
  </si>
  <si>
    <t>Actualizacion de parches Cliente de IBM TSM</t>
  </si>
  <si>
    <t>Actualizacion de parches Agente de IBM TSM</t>
  </si>
  <si>
    <t>Actualizacion Version Servidor IBM TSM de version 5.x a  ultima version disponible (1 Servidor)</t>
  </si>
  <si>
    <t>Actualizacion Version Servidor IBM TSM de version 6.x a ultima version disponible (1 Servidor)</t>
  </si>
  <si>
    <t>Actualizacion de version Cliente de Backup a ultima version estable</t>
  </si>
  <si>
    <t>Actualizacion de version Agente de Backup a ultima version estable</t>
  </si>
  <si>
    <t>Charla tecnica de IBM TSM - 2 Sesiones, 4 horas x sesion</t>
  </si>
  <si>
    <t>Instalacion Sistema Operativo Linux</t>
  </si>
  <si>
    <t>Instalacion de un sistema de Alta disponibilidad “SLES HAE” entre dos (2) particiones SLES</t>
  </si>
  <si>
    <t>Integracion de un nodo Adicional en ambiente "SLES HAE"</t>
  </si>
  <si>
    <t>Actualizacion (SP) Sistema operativo Linux</t>
  </si>
  <si>
    <t>Configuracion de politicas de directorio activo - Tipo 1</t>
  </si>
  <si>
    <t>Instalacion del rol de directorio activo de Windows</t>
  </si>
  <si>
    <t>Instalacion del Rol de WSUS</t>
  </si>
  <si>
    <t>Instalacion Sistema Operativo Windows Server  2008, 2012 en Servidor fisico</t>
  </si>
  <si>
    <t>Instalacion Sistema Operativo Windows Server  2008, 2013 en servidor virtual</t>
  </si>
  <si>
    <t>Instalacion De SQL Server en Modos Cluster</t>
  </si>
  <si>
    <t>Instalacion de Windows para Hyper-V</t>
  </si>
  <si>
    <t>Instalacion basica Servidor Secundario Directorio Activo</t>
  </si>
  <si>
    <t>Instalacion cluster Windows Server 2008, 2012</t>
  </si>
  <si>
    <t>Instalacion Microsoft Terminal Services</t>
  </si>
  <si>
    <t>Instalacion de Microsoft SQL</t>
  </si>
  <si>
    <t>Instalacion de NLB</t>
  </si>
  <si>
    <t>Activacion cluster Hyper-V hasta 3 servidores</t>
  </si>
  <si>
    <t>Migracion de un directorio activo de 2008 a 2012</t>
  </si>
  <si>
    <t>Migracion de un directorio activo de 2003 a 2012</t>
  </si>
  <si>
    <t>Traslado maquina fisica de Windows a Hyper-V</t>
  </si>
  <si>
    <t>Integracion de una (1) HMC Herramienta de Monitoreo LPAR2RDD</t>
  </si>
  <si>
    <t>Instalacion de Herramienta de Monitoreo LPAR2RRD (1 HMC)</t>
  </si>
  <si>
    <t>Instalacion y configuracion de un agente de nivel de sistema - PowerVP</t>
  </si>
  <si>
    <t>Instalacion y configuracion de un agente de nivel de particion - PowerVP</t>
  </si>
  <si>
    <t>Instalacion fisica en gabinete de switch de red</t>
  </si>
  <si>
    <t>Configuracion logica switch de red</t>
  </si>
  <si>
    <t>Creacion de una configuracion de 5 VLAN en un switch BNT Cisco</t>
  </si>
  <si>
    <t>Configuracion LACP_LINK Aggregation BNT Cisco</t>
  </si>
  <si>
    <t>Configuracion logica de appliance UTM</t>
  </si>
  <si>
    <t>Configuracion de 1 VLAN en un switch BNT Cisco</t>
  </si>
  <si>
    <t>Configuracion Publicacion de hasta 10 servicios  adicionales en FW vyatta en IBM Softlayer</t>
  </si>
  <si>
    <t>Configuracion de un (1) VPN cliente adicional en FW vyatta en IBM Softlayer</t>
  </si>
  <si>
    <t>Configuracion de una (1) Interfaz de red  adicional  y configuracion de hasta 15 reglas sobre la misma</t>
  </si>
  <si>
    <t>Configuracion de hasta cinco (5) Politicas/reglas adicionales sobre una interfaz de red</t>
  </si>
  <si>
    <t>Configuracion de 2do firewall vyatta en IBM softlayer para HA</t>
  </si>
  <si>
    <t>Servicio configuracion de un firewall vyatta en IBM softlayer</t>
  </si>
  <si>
    <t>Servicio configuracion de un firewall vyatta en instalacion cliente para VPN Site-to-Site</t>
  </si>
  <si>
    <t>Configuracion de IDS/IPS (remoto)</t>
  </si>
  <si>
    <t>Configuracion de Failover entre FW SonicWall (remoto)</t>
  </si>
  <si>
    <t>Configuracion de Gateway Antivirus (remoto)</t>
  </si>
  <si>
    <t>Configuracion de Inspector de Contenido (CI) (remoto)</t>
  </si>
  <si>
    <t>Configuracion de VPN  avanzada (Site to Site) entre FW SonicWall (remoto)</t>
  </si>
  <si>
    <t>Instalacion fisica servidor Firewall SonicWall</t>
  </si>
  <si>
    <t>Preparacion inicial - servidor Firewall SonicWall</t>
  </si>
  <si>
    <t>Diseño de Configuracion FW SonicWall</t>
  </si>
  <si>
    <t>Configuracion de politicas de Firewall (remoto)</t>
  </si>
  <si>
    <t>Charla tecnica de FW SonicWall (4 Horas)</t>
  </si>
  <si>
    <t>Creacion de hasta 2 arreglos y  5 volumenes en un sistema existente</t>
  </si>
  <si>
    <t>Configuracion de ISL entre switchs existentes con migracion de parametrizaciones</t>
  </si>
  <si>
    <t>Configuracion de ISL entre switchs nuevos</t>
  </si>
  <si>
    <t>Adicion y configuracion de hasta 3 nuevos sistemas en TPC for Disk</t>
  </si>
  <si>
    <t>Configuracion logica de 1 volumen adicional en un gloal o metro mirror existente V3700/V5000/V7000 y SVC</t>
  </si>
  <si>
    <t>Configuracion de zonificacion adicional en switch SAN existente, paquete de 16 puertos</t>
  </si>
  <si>
    <t>Configuracion de zonificacion adicional en switch san existente, paquete de 4 puertos</t>
  </si>
  <si>
    <t>Hora de soporte Storage-Tape/Libreria</t>
  </si>
  <si>
    <t>Entrada (V3700 / DS5000) cajas expansion - 2do. Nivel</t>
  </si>
  <si>
    <t>Medio (V7000 / XIV) cajas controladora + expansion - 2do. Nivel</t>
  </si>
  <si>
    <t>Libreria de cinta rango bajo (TS3100 / TS3200) - 2do. Nivel</t>
  </si>
  <si>
    <t>Libreria de cinta rango medio ( &gt; TS3200) - 2do. Nivel</t>
  </si>
  <si>
    <t>Por Tape/Libreria de cinta</t>
  </si>
  <si>
    <t>Instalacion fisica caja de almacenamiento en sistema existente</t>
  </si>
  <si>
    <t>Instalacion fisica file module v7000 unified</t>
  </si>
  <si>
    <t>Instalacion fisica de discos en sistema de almacenamiento (pack x 6)</t>
  </si>
  <si>
    <t>Instalacion de SFP y cableado de fibras adicionales, paquete de 16 en switch SAN existente</t>
  </si>
  <si>
    <t>Instalacion fisica modulo Libreria de cinta Nivel 2  (TS3310)</t>
  </si>
  <si>
    <t>Instalacion fisica Unidad/Libreria de cinta Nivel - 2  TS3310/VTL</t>
  </si>
  <si>
    <t>Configuracion logica controladora tipo DS3000</t>
  </si>
  <si>
    <t>Configuracion logica controladora tipo DS5000</t>
  </si>
  <si>
    <t>Configuracion logica controladora adicional en V7000</t>
  </si>
  <si>
    <t>Configuracion logica file module de V7000 UNIFIED</t>
  </si>
  <si>
    <t>Configuracion logica controladora adicional en SVC</t>
  </si>
  <si>
    <t>Configuracion logica XIV</t>
  </si>
  <si>
    <t>Configuracion logica expansion tipo EXP3000/EXP5000</t>
  </si>
  <si>
    <t>Configuracion  logica de 1 un nuevo sistema en virtualizacion de storage para v7000 y SVC</t>
  </si>
  <si>
    <t>Configuracion de ISL entre switchs existentes (hasta 2 ISL)</t>
  </si>
  <si>
    <t>Configuracion inicial Switch SAN router, paquete de hasta 8 puertos</t>
  </si>
  <si>
    <t>Configuracion logica controladora tipo DCS3700</t>
  </si>
  <si>
    <t>Instalacion basica de TPC for Disk 5.x , no incluye creacion ni personalizacion de reportes adicionales</t>
  </si>
  <si>
    <t>Virtualizacion Libreria de cinta  Nivel - 1  (TS3100 / TS3200)</t>
  </si>
  <si>
    <t>Virtualizacion Libreria de cinta  Nivel - 2  (TS3310 / TS3500)</t>
  </si>
  <si>
    <t>Instalacion basica de Network Advisor, no incluye creacion ni personalizacion de reportes adicionales</t>
  </si>
  <si>
    <t>Instalacion Software IBM LTFS  Single Drive Edition en un (1) sistema Operativo Soportado</t>
  </si>
  <si>
    <t>Instalacion logica Unidad/Libreria de cinta en sistema operativo  Nivel - 2  TS3310/TS3500/VTL</t>
  </si>
  <si>
    <t>Configuracion logica NAS 4610</t>
  </si>
  <si>
    <t>Configuracion logica Flash System 900</t>
  </si>
  <si>
    <t>Actualizacion Microcodigo Unidad/libreria de cinta</t>
  </si>
  <si>
    <t>Actualizacion de firmware para DS3000/DS5000</t>
  </si>
  <si>
    <t>Actualizacion de firmware para V7000 /V5000 / V3700</t>
  </si>
  <si>
    <t>Actualizacion de firmware para SVC</t>
  </si>
  <si>
    <t>Cambio de baterias en almacenamiento</t>
  </si>
  <si>
    <t>Actualizacion de firmware en switch SAN (hasta 2 niveles)</t>
  </si>
  <si>
    <t>Actualizacion de firmware para Flash System 840</t>
  </si>
  <si>
    <t>Migracion de storage hacia V3500/V3700/V7000 y SVC, de 1 a 5 host</t>
  </si>
  <si>
    <t>Migracion de 10 volumenes de un sistema a XIV</t>
  </si>
  <si>
    <t>Configuracion basica de replica de XIV hasta 10 volumenes</t>
  </si>
  <si>
    <t>Configuracion logica de global  o metro mirror de hasta 10 volumenes en  V3700/V5000/V7000 y SVC</t>
  </si>
  <si>
    <t>Migracion Storage hacia SVC/V3700/V5000/V7000 por 10 volumenes</t>
  </si>
  <si>
    <t>Configuracion logica de global  o metro mirror de hasta 10 volumenes en sistema DCS3700/DS5000</t>
  </si>
  <si>
    <t>Instalacion  solucion de backup con SYMANTEC Backup EXEC  (1 servidor)</t>
  </si>
  <si>
    <t>Instalacion de Agente de Backup para archivos de Backup Exec</t>
  </si>
  <si>
    <t>Instalacion de Agente de Backup para aplicativos de Backup Exec</t>
  </si>
  <si>
    <t>Instalacion de software "Symantec Desktop and Laptop Option - DLO"</t>
  </si>
  <si>
    <t>Actualizacion  parches Servidor Symantec Backup EXEC</t>
  </si>
  <si>
    <t>Actualizacion de parches para Agente de Backup para archivos de Backup Exec</t>
  </si>
  <si>
    <t>Actualizacion de parches para Agente de Backup para aplicativos de Backup Exec</t>
  </si>
  <si>
    <t>Actualizacion Version Servidor Backup Exec a ultima version estable</t>
  </si>
  <si>
    <t>Actualizacion de version del Agente de Backup para archivos de Backup Exec a ultima version estable</t>
  </si>
  <si>
    <t>Actualizacion de version Agente de Backup para aplicativos de Backup Exec a ultima version estable</t>
  </si>
  <si>
    <t>Charla tecnica de Symantec Backup EXEC, (2 Sesiones, 4 Horas x sesion)</t>
  </si>
  <si>
    <t>Configuracion de Replicacion Veeam Backup (1 servidor existente + 2 ESXI)  (LAN)</t>
  </si>
  <si>
    <t>Configuracion Replicacion Veeam Backup (1 servidor existente + 2 ESXI)  (WAN)</t>
  </si>
  <si>
    <t>Actualizacion parches Veeam Backup (1 servidor)</t>
  </si>
  <si>
    <t>Actualizacion Version Servidor Veeam Backup a ultima version estable (1 Servidor)</t>
  </si>
  <si>
    <t>Charla Tecnica de Veeam Backup, (1 Sesion, 4 Horas x sesion)</t>
  </si>
  <si>
    <t>Activacion de ESX existente en cluster de Vmware HA</t>
  </si>
  <si>
    <t>Instalacion de una plantilla RHEL / SUSE + 2 despliegues</t>
  </si>
  <si>
    <t>Instalacion de una plantilla Win2008R2 / WIN2012 + 2 despliegues</t>
  </si>
  <si>
    <t>Configuracion de hasta 10 VLANS</t>
  </si>
  <si>
    <t>Cambios configuracion maquina virtual</t>
  </si>
  <si>
    <t xml:space="preserve">Configuracion de 1 VLAN en cluster de 3 maquinas </t>
  </si>
  <si>
    <t>VMWare Consultoria afinamiento - 25 horas</t>
  </si>
  <si>
    <t>VMWare Consultoria afinamiento - 50 horas</t>
  </si>
  <si>
    <t>VMWare Estudio de consolidacion con Capacity Planner hasta 30 maquinas</t>
  </si>
  <si>
    <t>Revision de salud de hypervisor</t>
  </si>
  <si>
    <t>Vmware afinamiento SAP Tipo 1 para maximo 4 maquinas.</t>
  </si>
  <si>
    <t>Instalacion de nuevo vCenter Server (Windows)</t>
  </si>
  <si>
    <t>Activacion de caracteristicas de DRS en un cluster</t>
  </si>
  <si>
    <t>Activacion de caracteristicas de VDS en un cluster</t>
  </si>
  <si>
    <t>Instalacion de nuevo Vmware Horizon View 6.0 Connection Server</t>
  </si>
  <si>
    <t>Instalacion de nuevo Vmware Horizon View 6.0 Security Server</t>
  </si>
  <si>
    <t>Activacion de un pool en Vmware Horizon View  6.0</t>
  </si>
  <si>
    <t>Instalacion de vCenter Operations Manager Foundation y Standard</t>
  </si>
  <si>
    <t>Instalacion de vCenter Site Recovery Manager instalacion base y hasta 15 maquinas protegidas</t>
  </si>
  <si>
    <t>Configuracion logica de hasta 5 cluster de storage en Enterprise Plus</t>
  </si>
  <si>
    <t>Configuracion inicial de switchs distribuidos, hasta 3 host</t>
  </si>
  <si>
    <t>Configuracion de host adicional en switch distribuido</t>
  </si>
  <si>
    <t>Configuracion de maquinas adicionales en SRM (pack x 10)</t>
  </si>
  <si>
    <t>Instalacion de Data Protection</t>
  </si>
  <si>
    <t>Migracion de Data Recovery a Data Protection hasta 8 TB</t>
  </si>
  <si>
    <t>Instalacion de vCenter Operations Manager Standard Tipo 2</t>
  </si>
  <si>
    <t>Instalacion de parche en ESXi 5</t>
  </si>
  <si>
    <t>Traslado de maquinas virtuales existentes entre clusteres y almacenamiento FC a FC</t>
  </si>
  <si>
    <t>Traslado de maquina fisica REDHAT, SUSE a virtual VMWare</t>
  </si>
  <si>
    <t>Traslado de maquina fisica WINXP, WIN7, WIN2008, WIN2012, WIN2003 a virtual VMWare</t>
  </si>
  <si>
    <t>Migracion de vCenter de 4.x a 5.x sobre un hardware diferente</t>
  </si>
  <si>
    <t>Migracion vCenter a nuevo servidor</t>
  </si>
  <si>
    <t>Traslado de maquina virtual existente entre cluster sin almacenamiento  compartido</t>
  </si>
  <si>
    <t>Actualizacion de Vmtools y Hardware version 4.x a 5.x</t>
  </si>
  <si>
    <t>Actualizacion de ESX de version 4 a 5</t>
  </si>
  <si>
    <t>Actualizacion de ESX de version 5 a 5.1</t>
  </si>
  <si>
    <t>Actualizacion de ESX de version 5 a 5.5</t>
  </si>
  <si>
    <t>Actualizacion de vCenter Appliance de version 5.x a 5.5</t>
  </si>
  <si>
    <t>Actualizacion de vCenter de version 4.x o 5 a 5.1</t>
  </si>
  <si>
    <t>Actualizacion de vCenter de version 4.x o 5 a 5.5</t>
  </si>
  <si>
    <t>Actualizacion de vCenter Site Recovery Manager de Version 5 a 5.8</t>
  </si>
  <si>
    <t>Instalacion de parches en vCenter</t>
  </si>
  <si>
    <t>Instalacion de parches en ESX</t>
  </si>
  <si>
    <t>Actualizacion de ESX de version 5.x a 6</t>
  </si>
  <si>
    <t>Actualizacion de vCenter de version 5.x a 6</t>
  </si>
  <si>
    <t>Actualizacion de VMtools y hardware a version 6.x</t>
  </si>
  <si>
    <t>Entrenamiento vSphere 8 horas, grupo maximo 5, no oficial</t>
  </si>
  <si>
    <t>Chasis (Blade Center, Flex, UCS)</t>
  </si>
  <si>
    <t>Medio (V7000 / XIV) cajas controladora + expansion</t>
  </si>
  <si>
    <t>Flash System</t>
  </si>
  <si>
    <t>San switche</t>
  </si>
  <si>
    <t>Servidores Veeam / BackupExec</t>
  </si>
  <si>
    <t>Libreria de cinta rango bajo (TS3100 / TS3200)</t>
  </si>
  <si>
    <t>Libreria de cinta rango medio ( &gt; TS3200)</t>
  </si>
  <si>
    <t>iCluster x instancia primera-replica</t>
  </si>
  <si>
    <t>Tipo servidor</t>
  </si>
  <si>
    <t>PARTNUMBER</t>
  </si>
  <si>
    <t>TYPE</t>
  </si>
  <si>
    <t>PRODUCT CATEGORY</t>
  </si>
  <si>
    <t>PERIOD</t>
  </si>
  <si>
    <t>SINGLE_PRICE</t>
  </si>
  <si>
    <t>SUGESTED_PRICE</t>
  </si>
  <si>
    <t>MODEL</t>
  </si>
  <si>
    <t>DESCRIPTION</t>
  </si>
  <si>
    <t>SCOPE</t>
  </si>
  <si>
    <t>00EM917</t>
  </si>
  <si>
    <t>Todo Colombia</t>
  </si>
  <si>
    <t>LCO - Lenovo Colomb</t>
  </si>
  <si>
    <t>ION</t>
  </si>
  <si>
    <t>1911;7809;7870;7871;7872;7873;7875;7901;7902;7967;7971;7972;7981;7995;7996;8014;8028;8038;8667;8677;8678;8720;8730;8740;8750;8832;8839;8843;8850;8852;8853;8886</t>
  </si>
  <si>
    <t>Bladecenter Servers</t>
  </si>
  <si>
    <t>12 m</t>
  </si>
  <si>
    <t>ALL;ALL;ALL;ALL;ALL;ALL;ALL;ALL;ALL;ALL;ALL;ALL;ALL;ALL;ALL;ALL;ALL;ALL;ALL;ALL;ALL;ALL;ALL;ALL;ALL;ALL;ALL;ALL;ALL;ALL;ALL;ALL</t>
  </si>
  <si>
    <t>Servicio Post Garantía 1 año 5x9x4 BladeCenter</t>
  </si>
  <si>
    <t>MA Post Wty 5x9</t>
  </si>
  <si>
    <t>00EM918</t>
  </si>
  <si>
    <t>00EM918-CO</t>
  </si>
  <si>
    <t>8721;8731;7906;7916;8737;7917;7903;5455;5456;6391;7912;7913;7918;7919;8685;8686;8861;8862;8863;8683;8687;8870;8688;8855;8872;8874;6385;6386;6388;6389;6390;7321;7831;7832;7833;7834;8722;8733;8752;6205;7163;8877;7164;8865;8866;8864;7141;7143;7145;7147;3837;8878;8879;7233;5464;9532;5465;5456;7148;7385;7162;6241</t>
  </si>
  <si>
    <t>High End x86 Servers</t>
  </si>
  <si>
    <t>ALL;ALL;ALL;ALL;ALL;ALL;ALL;ALL;ALL;ALL;ALL;ALL;ALL;ALL;ALL;ALL;ALL;ALL;ALL;ALL;ALL;ALL;ALL;ALL;ALL;ALL;ALL;ALL;ALL;ALL;ALL;ALL;ALL;ALL;ALL;ALL;ALL;ALL;ALL;ALL;ALL;ALL;ALL;ALL;ALL;ALL;ALL;ALL;ALL;ALL;ALL;ALL;ALL;ALL;ALL;ALL;ALL;ALL;ALL;ALL;ALL;ALL</t>
  </si>
  <si>
    <t>Servicio Post Garantía 1 año 5x9x4 High End Server</t>
  </si>
  <si>
    <t>00EM919</t>
  </si>
  <si>
    <t>00EM919-CO</t>
  </si>
  <si>
    <t>8835;8848;7992;8830;8837;8827;8670;7977;7839;7380;7383;7160;7946;7978;7944;7914;7942;7376;7377;7158;7979;7947;5454;7945;7949;5460;5466;7915;7980;6630;7943;7985;8836;8671;8841;8672;8673;8849;7969;8675;8847;8840;8834;4348;4253;2582;5457;4347;4362;4363;4367;4368;7327;7328;4365;4364;4194;4190;4251;4252;2583;5458;7382;4192;4193;7973;7975;7974;7976;7836;7837;7379;7378;7948;7940;7941;7984;9307; 9306</t>
  </si>
  <si>
    <t>Mid x86 Servers</t>
  </si>
  <si>
    <t>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</t>
  </si>
  <si>
    <t>Servicio Post Garantía 1 año 5x9x4 Low End &amp; Middl</t>
  </si>
  <si>
    <t>00EM920</t>
  </si>
  <si>
    <t>00EM920-CO</t>
  </si>
  <si>
    <t>24 m</t>
  </si>
  <si>
    <t>Servicio Post Garantía 2 años 5x9x4 BladeCenter</t>
  </si>
  <si>
    <t>00EM921</t>
  </si>
  <si>
    <t>00EM921-CO</t>
  </si>
  <si>
    <t>Servicio Post Garantía 2 años 5x9x4 High End Serve</t>
  </si>
  <si>
    <t>00EM922</t>
  </si>
  <si>
    <t>00EM922-CO</t>
  </si>
  <si>
    <t>8835;8848;7992;8830;8837;8827;8670;7977;7839;7380;7383;7160;7946;7978;7944;7914;7942;7376;7377;7158;7979;7947;5454;7945;7949;5460;5466;7915;7980;6630;7943;7985;8836;8671;8841;8672;8673;8849;7969;8675;8847;8840;8834;4348;4253;2582;5457;4347;4362;4363;4367;4368;7327;7328;4365;4364;4194;4190;4251;4252;2583;5458;7382;4192;4193;7973;7975;7974;7976;7836;7837;7379;7378;7948;7940;7941;7984;5495;9307; 9306</t>
  </si>
  <si>
    <t>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;ALL</t>
  </si>
  <si>
    <t>Servicio Post Garantía 2 años 5x9x4 Low End &amp; Midd</t>
  </si>
  <si>
    <t>00EM926</t>
  </si>
  <si>
    <t>00EM926-CO</t>
  </si>
  <si>
    <t>IOU</t>
  </si>
  <si>
    <t>Servicio Post Garantía 1 año 7x24x4 BladeCenter</t>
  </si>
  <si>
    <t>MA Post Wty 7x24</t>
  </si>
  <si>
    <t>00EM927</t>
  </si>
  <si>
    <t>00EM927-CO</t>
  </si>
  <si>
    <t>Servicio Post Garantía 1 año 7x24x4 High End Serve</t>
  </si>
  <si>
    <t>00EM928</t>
  </si>
  <si>
    <t>00EM928-CO</t>
  </si>
  <si>
    <t>Servicio Post Garantía 1 año 7x24x4 Low End &amp; Midd</t>
  </si>
  <si>
    <t>00EM929</t>
  </si>
  <si>
    <t>00EM929-CO</t>
  </si>
  <si>
    <t>Servicio Post Garantía 2 años 7x24x4 BladeCenter</t>
  </si>
  <si>
    <t>00EM930</t>
  </si>
  <si>
    <t>00EM930-CO</t>
  </si>
  <si>
    <t>Servicio Post Garantía 2 años 7x24x4 High End Serv</t>
  </si>
  <si>
    <t>00EM931</t>
  </si>
  <si>
    <t>00EM931-CO</t>
  </si>
  <si>
    <t>Servicio Post Garantía 2 años 7x24x4 Low End &amp; Mid</t>
  </si>
  <si>
    <t>00WW561-CO</t>
  </si>
  <si>
    <t>WSU</t>
  </si>
  <si>
    <t>00WW562-CO</t>
  </si>
  <si>
    <t>8721;8731;7906;7916;8737;7917;7903;5455;5456;6391;7912;7913;7918;7919;8685;8686;8861;8862;8863;8683;8687;8870;8688;8855;8872;8874;6385;6386;6388;6389;6390;7321;7831;7832;7833;7834;8722;8733;8752;6205;7163;8877;7164;8865;8866;8864;7141;7143;7145;7147;3837;8878;8879;5464;9532;5465;5456;7148;7385;7162;6241</t>
  </si>
  <si>
    <t>ALL;ALL;ALL;ALL;ALL;ALL;ALL;ALL;ALL;ALL;ALL;ALL;ALL;ALL;ALL;ALL;ALL;ALL;ALL;ALL;ALL;ALL;ALL;ALL;ALL;ALL;ALL;ALL;ALL;ALL;ALL;ALL;ALL;ALL;ALL;ALL;ALL;ALL;ALL;ALL;ALL;ALL;ALL;ALL;ALL;ALL;ALL;ALL;ALL;ALL;ALL;ALL;ALL;ALL;ALL;ALL;ALL;ALL;ALL;ALL;ALL</t>
  </si>
  <si>
    <t>00WW563-CO</t>
  </si>
  <si>
    <t>8835;8848;7992;8830;8837;8827;8670;7977;7839;7380;7383;7160;7946;7978;7944;7914;7942;7376;7377;7158;7979;7947;5454;7945;7949;5460;5466;7915;7980;6630;7943;7985;5462;5463;9307; 9306</t>
  </si>
  <si>
    <t>ALL;ALL;ALL;ALL;ALL;ALL;ALL;ALL;ALL;ALL;ALL;ALL;ALL;ALL;ALL;ALL;ALL;ALL;ALL;ALL;ALL;ALL;ALL;ALL;ALL;ALL;ALL;ALL;ALL;ALL;ALL;ALL;ALL;ALL;ALL;ALL</t>
  </si>
  <si>
    <t>00WW564-CO</t>
  </si>
  <si>
    <t>8655;8836;8486;8478;8479;8480;8482;8487;8485;8490;8645;8646;8647;8649;8488;8648;8671;8841;8672;8673;8489;8491;8849;7969;8654;8675;8847;8840;8834;4347;4362;4363;4367;4368;7327;7328;4365;4364;4194;4190;4251;4252;2583;5458;7382;4192;4193;7973;7975;7974;7976;7836;7837;7379;7378;7948;7940;7941;7984</t>
  </si>
  <si>
    <t>Low End x86 Servers</t>
  </si>
  <si>
    <t>ALL;ALL;ALL;ALL;ALL;ALL;ALL;ALL;ALL;ALL;ALL;ALL;ALL;ALL;ALL;ALL;ALL;ALL;ALL;ALL;ALL;ALL;ALL;ALL;ALL;ALL;ALL;ALL;ALL;ALL;ALL;ALL;ALL;ALL;ALL;ALL;ALL;ALL;ALL;ALL;ALL;ALL;ALL;ALL;ALL;ALL;ALL;ALL;ALL;ALL;ALL;ALL;ALL;ALL;ALL;ALL;ALL;ALL;ALL</t>
  </si>
  <si>
    <t>00WW568-CO</t>
  </si>
  <si>
    <t>4348;4253;2582;5457</t>
  </si>
  <si>
    <t>ALL;ALL;ALL;ALL</t>
  </si>
  <si>
    <t>00WW569-CO</t>
  </si>
  <si>
    <t>00WW570-CO</t>
  </si>
  <si>
    <t>00WW571-CO</t>
  </si>
  <si>
    <t>00WW572-CO</t>
  </si>
  <si>
    <t>00WW576-CO</t>
  </si>
  <si>
    <t>39K3167-CO</t>
  </si>
  <si>
    <t>39K3168-CO</t>
  </si>
  <si>
    <t>39K3169-CO</t>
  </si>
  <si>
    <t>8835;8848;7992;8674;8676;8830;8837;8827;8670;7977;7839;7380;7383;7160;7946;7978;7944;7914;7942;7376;7377;7158;7979;7947;5454;7945;7949;5460;5466;7915;7980;6630;7943;7985;5462;5463;5495</t>
  </si>
  <si>
    <t>ALL;ALL;ALL;ALL;ALL;ALL;ALL;ALL;ALL;ALL;ALL;ALL;ALL;ALL;ALL;ALL;ALL;ALL;ALL;ALL;ALL;ALL;ALL;ALL;ALL;ALL;ALL;ALL;ALL;ALL;ALL;ALL;ALL;ALL;ALL;ALL;ALL</t>
  </si>
  <si>
    <t>39K3170-CO</t>
  </si>
  <si>
    <t>8655;8836;8486;8478;8479;8480;8482;8487;8485;8490;8645;8646;8647;8649;8488;8648;8671;8841;8672;8673;8489;8491;8849;7969;8654;8675;8847;8840;8834;4347;4362;4363;4367;4368;7327;7328;4365;4364;4194;4190;4251;4252;2583;5458;7382;4192;4193;7973;7975;7974;7976;7836;7837;7379;7378;7948;7940;7941;7984;7158;7914</t>
  </si>
  <si>
    <t>91Y8015</t>
  </si>
  <si>
    <t>91Y8015-CO</t>
  </si>
  <si>
    <t>Servicio de Mantenimiento Post garantia 3 año 24x7</t>
  </si>
  <si>
    <t>91Y8016</t>
  </si>
  <si>
    <t>91Y8016-CO</t>
  </si>
  <si>
    <t>91Y8017</t>
  </si>
  <si>
    <t>91Y8017-CO</t>
  </si>
  <si>
    <t>8835;8848;7992;8830;8837;8827;8670;7977;7839;7380;7383;7160;7946;7978;7944;7914;7942;7376;7377;7158;7979;7947;5454;7945;7949;5460;5466;7915;7980;6630;7943;7985;5462;5463;5495;9307; 9306</t>
  </si>
  <si>
    <t>91Y8018</t>
  </si>
  <si>
    <t>91Y8018-CO</t>
  </si>
  <si>
    <t>8655;8836;8486;8478;8479;8480;8482;8487;8485;8490;8645;8646;8647;8649;8488;8648;8671;8841;8672;8673;8489;8491;8849;7969;8654;8675;8847;8840;8834;4348;4253;2582;5457;4347;4362;4363;4367;4368;7327;7328;4365;4364;4194;4190;4251;4252;2583;5458;7382;4192;4193;7973;7975;7974;7976;7836;7837;7379;7378;7948;7940;7941;7984</t>
  </si>
  <si>
    <t>ALL;ALL;ALL;ALL;ALL;ALL;ALL;ALL;ALL;ALL;ALL;ALL;ALL;ALL;ALL;ALL;ALL;ALL;ALL;ALL;ALL;ALL;ALL;ALL;ALL;ALL;ALL;ALL;ALL;ALL;ALL;ALL;ALL;ALL;ALL;ALL;ALL;ALL;ALL;ALL;ALL;ALL;ALL;ALL;ALL;ALL;ALL;ALL;ALL;ALL;ALL;ALL;ALL;ALL;ALL;ALL;ALL;ALL;ALL;ALL;ALL;ALL;ALL</t>
  </si>
  <si>
    <t>91Y8193</t>
  </si>
  <si>
    <t>91Y8193-CO</t>
  </si>
  <si>
    <t>Servicio de Mantenimiento Post garantia 1 año 24x7</t>
  </si>
  <si>
    <t>91Y8194</t>
  </si>
  <si>
    <t>91Y8194-CO</t>
  </si>
  <si>
    <t>91Y8195</t>
  </si>
  <si>
    <t>91Y8195-CO</t>
  </si>
  <si>
    <t>91Y8196</t>
  </si>
  <si>
    <t>91Y8196-CO</t>
  </si>
  <si>
    <t>8655;8836;8486;8478;8479;8480;8482;8487;8485;8490;8645;8646;8647;8649;8488;8648;8671;8841;8672;8673;8489;8491;8849;7969;8654;8675;8847;8840;8834;4348;4253;2582;5457;4347;4362;4363;4367;4368;7327;7328;4365;4364;4194;4190;4251;4252;2583;5458;7382;4192;4193;7973;7975;7974;7976;7836;7837;7379;7378;7948;7940;7941;7984;7158;7914</t>
  </si>
  <si>
    <t>ALL;ALL;ALL;ALL;ALL;ALL;ALL;ALL;ALL;ALL;ALL;ALL;ALL;ALL;ALL;ALL;ALL;ALL;ALL;ALL;ALL;ALL;ALL;ALL;ALL;ALL;ALL;ALL;ALL;ALL;ALL;ALL;ALL;ALL;ALL;ALL;ALL;ALL;ALL;ALL;ALL;ALL;ALL;ALL;ALL;ALL;ALL;ALL;ALL;ALL;ALL;ALL;ALL;ALL;ALL;ALL;ALL;ALL;ALL;ALL;ALL;ALL;ALL;ALL;ALL</t>
  </si>
  <si>
    <t>91Y8197</t>
  </si>
  <si>
    <t>91Y8197-CO</t>
  </si>
  <si>
    <t>Servicio de Mantenimiento Post garantia 2 año 24x7</t>
  </si>
  <si>
    <t>91Y8198</t>
  </si>
  <si>
    <t>91Y8198-CO</t>
  </si>
  <si>
    <t>91Y8199</t>
  </si>
  <si>
    <t>91Y8199-CO</t>
  </si>
  <si>
    <t>91Y8200</t>
  </si>
  <si>
    <t>91Y8200-CO</t>
  </si>
  <si>
    <t>8655;8836;8486;8478;8479;8480;8482;8487;8485;8490;8645;8646;8647;8649;8488;8648;8671;8841;8672;8673;8489;8491;8849;7969;8654;8675;8847;8840;8834;4348;4253;2582;5457;4347;4362;4363;4367;4368;7327;7328;4365;4364;4194;4190;4251;4252;2583;5458;7382;4192;4193;7973;7975;7974;7976;7836;7837;7379;7378;7948;7940;7941;7984;1723</t>
  </si>
  <si>
    <t>ALL;ALL;ALL;ALL;ALL;ALL;ALL;ALL;ALL;ALL;ALL;ALL;ALL;ALL;ALL;ALL;ALL;ALL;ALL;ALL;ALL;ALL;ALL;ALL;ALL;ALL;ALL;ALL;ALL;ALL;ALL;ALL;ALL;ALL;ALL;ALL;ALL;ALL;ALL;ALL;ALL;ALL;ALL;ALL;ALL;ALL;ALL;ALL;ALL;ALL;ALL;ALL;ALL;ALL;ALL;ALL;ALL;ALL;ALL;ALL;ALL;ALL;ALL;ALL</t>
  </si>
  <si>
    <t>91Y8201</t>
  </si>
  <si>
    <t>91Y8201-CO</t>
  </si>
  <si>
    <t>Servicio de Mantenimiento Post garantia 1 año 5x9x</t>
  </si>
  <si>
    <t>91Y8202</t>
  </si>
  <si>
    <t>91Y8202-CO</t>
  </si>
  <si>
    <t>91Y8203</t>
  </si>
  <si>
    <t>91Y8203-CO</t>
  </si>
  <si>
    <t>91Y8204</t>
  </si>
  <si>
    <t>91Y8204-CO</t>
  </si>
  <si>
    <t>91Y8205</t>
  </si>
  <si>
    <t>91Y8205-CO</t>
  </si>
  <si>
    <t>Servicio de Mantenimiento Post garantia 2 año 5x9x</t>
  </si>
  <si>
    <t>91Y8206</t>
  </si>
  <si>
    <t>91Y8206-CO</t>
  </si>
  <si>
    <t>91Y8207</t>
  </si>
  <si>
    <t>91Y8207-CO</t>
  </si>
  <si>
    <t>91Y8208</t>
  </si>
  <si>
    <t>91Y8208-CO</t>
  </si>
  <si>
    <t>91Y8209</t>
  </si>
  <si>
    <t>91Y8209-CO</t>
  </si>
  <si>
    <t>Servicio de Mantenimiento Post garantia 3 año 5x9x</t>
  </si>
  <si>
    <t>91Y8210</t>
  </si>
  <si>
    <t>91Y8210-CO</t>
  </si>
  <si>
    <t>91Y8211</t>
  </si>
  <si>
    <t>91Y8211-CO</t>
  </si>
  <si>
    <t>8835;8848;7992;8830;8837;8827;8670;7977;7839;7380;7383;7160;7946;7978;7944;7914;7942;7376;7377;7158;7979;7947;5454;7945;7949;5460;5466;7915;7980;6630;7943;7985;5462;5463;5495</t>
  </si>
  <si>
    <t>ALL;ALL;ALL;ALL;ALL;ALL;ALL;ALL;ALL;ALL;ALL;ALL;ALL;ALL;ALL;ALL;ALL;ALL;ALL;ALL;ALL;ALL;ALL;ALL;ALL;ALL;ALL;ALL;ALL;ALL;ALL;ALL;ALL;ALL;ALL</t>
  </si>
  <si>
    <t>91Y8212</t>
  </si>
  <si>
    <t>91Y8212-CO</t>
  </si>
  <si>
    <t>91Y9078-CO</t>
  </si>
  <si>
    <t>Numero parte</t>
  </si>
  <si>
    <t>Periodo</t>
  </si>
  <si>
    <t>00EM917-CO</t>
  </si>
  <si>
    <t>FAMILY</t>
  </si>
  <si>
    <t>CITY_GROUP</t>
  </si>
  <si>
    <t>CONTRACT</t>
  </si>
  <si>
    <t>COUNTRY</t>
  </si>
  <si>
    <t>SERVICE_TYPE</t>
  </si>
  <si>
    <t>ALL</t>
  </si>
  <si>
    <t>Mejora al Servicio de garantia 3 años 5x9 a 5 años 7x24x4</t>
  </si>
  <si>
    <t>Mejora al Servicio de garantia 1 año 5x9 a 5 años 7x24x4</t>
  </si>
  <si>
    <t>Mejora al Servicio de garantia 3 años 5x9 a 4 años 7x24x4</t>
  </si>
  <si>
    <t>Mejora al Servicio de garantia 1 año 5x9 a 4 años 7x24x4</t>
  </si>
  <si>
    <t>Mejora al Servicio de garantia 3 años 5x9 a 3 años 7x24x4</t>
  </si>
  <si>
    <t>Mejora al Servicio de garantia 1 año 5x9 a 3 años 7x24x4</t>
  </si>
  <si>
    <t>40Y5998</t>
  </si>
  <si>
    <t>12C;12E;24C;24E;2DC;2DE</t>
  </si>
  <si>
    <t>00WX533</t>
  </si>
  <si>
    <t>Post Wty Maintenance - 1Yr - 7x24x4hr</t>
  </si>
  <si>
    <t>00WX531</t>
  </si>
  <si>
    <t>WSU+MA 7x24x4hr - 4Yr</t>
  </si>
  <si>
    <t>00WX532</t>
  </si>
  <si>
    <t>WSU+MA 7x24x4hr - 5Yr</t>
  </si>
  <si>
    <t>00WX530</t>
  </si>
  <si>
    <t>HC1;HC2</t>
  </si>
  <si>
    <t>40Y5992</t>
  </si>
  <si>
    <t>00WX528</t>
  </si>
  <si>
    <t>00WX529</t>
  </si>
  <si>
    <t>00WX539</t>
  </si>
  <si>
    <t>00WX537</t>
  </si>
  <si>
    <t>00WX538</t>
  </si>
  <si>
    <t>40Y5995</t>
  </si>
  <si>
    <t>H6S;S63;H5S;H4V</t>
  </si>
  <si>
    <t>00WX519</t>
  </si>
  <si>
    <t>S4H;S4R;S5H;S5R;S6H;S6R</t>
  </si>
  <si>
    <t>40Y5993</t>
  </si>
  <si>
    <t>WSU 7x24x4hr - 3Yr</t>
  </si>
  <si>
    <t>00WX517</t>
  </si>
  <si>
    <t>00WX518</t>
  </si>
  <si>
    <t>00WX536</t>
  </si>
  <si>
    <t>L2U;L4U</t>
  </si>
  <si>
    <t>40Y5994</t>
  </si>
  <si>
    <t>00WX534</t>
  </si>
  <si>
    <t>00WX535</t>
  </si>
  <si>
    <t>00WX527</t>
  </si>
  <si>
    <t>00WX524</t>
  </si>
  <si>
    <t>00WX525</t>
  </si>
  <si>
    <t>00WX526</t>
  </si>
  <si>
    <t>00WX840</t>
  </si>
  <si>
    <t>12C;12E;24C;24E</t>
  </si>
  <si>
    <t>24x7x4 1Yr WSU - Mejora de Garantia</t>
  </si>
  <si>
    <t>00WX841</t>
  </si>
  <si>
    <t>24x7x4 3Yr WSU - Mejora de Garantia</t>
  </si>
  <si>
    <t>00WX842</t>
  </si>
  <si>
    <t>24x7x4 4Yr WSU - Mejora de Garantia</t>
  </si>
  <si>
    <t>00WX843</t>
  </si>
  <si>
    <t>24x7x4 5Yr WSU - Mejora de Garantia</t>
  </si>
  <si>
    <t>00WX523</t>
  </si>
  <si>
    <t>00WX520</t>
  </si>
  <si>
    <t>00WX521</t>
  </si>
  <si>
    <t>00WX522</t>
  </si>
  <si>
    <t>01AA945</t>
  </si>
  <si>
    <t>FT1</t>
  </si>
  <si>
    <t>1 Year Parts Only Post Warranty</t>
  </si>
  <si>
    <t>01AA946</t>
  </si>
  <si>
    <t>1 Year Onsite NBD Post Warrany</t>
  </si>
  <si>
    <t>01AA947</t>
  </si>
  <si>
    <t>1 Year Onsite NBD+KYD Post Warranty</t>
  </si>
  <si>
    <t>01AA948</t>
  </si>
  <si>
    <t>2 Year Parts Only Post Warranty</t>
  </si>
  <si>
    <t>01AA949</t>
  </si>
  <si>
    <t>2 Year Onsite NBD Post Warrany</t>
  </si>
  <si>
    <t>01AA950</t>
  </si>
  <si>
    <t>2 Year Onsite NBD+KYD Post Warranty</t>
  </si>
  <si>
    <t>01AA939</t>
  </si>
  <si>
    <t>3 Year Onsite Repair 9X5 NBD</t>
  </si>
  <si>
    <t>01AA940</t>
  </si>
  <si>
    <t>3 Year Onsite Repair 9x5 NBD+KYD</t>
  </si>
  <si>
    <t>01EG137</t>
  </si>
  <si>
    <t>Mejora al Servicio de garantia 3 años 5x9x4</t>
  </si>
  <si>
    <t>01EG138</t>
  </si>
  <si>
    <t>Mejora al Servicio de garantia 3 años 7x24x4</t>
  </si>
  <si>
    <t>01AA941</t>
  </si>
  <si>
    <t>4 Year Onsite Repair 9x5 NBD</t>
  </si>
  <si>
    <t>01AA942</t>
  </si>
  <si>
    <t>4 Year Onsite Repair 9x5 NBD+KYD</t>
  </si>
  <si>
    <t>01EG139</t>
  </si>
  <si>
    <t>Mejora al Servicio de garantia 4 años 5x9x4</t>
  </si>
  <si>
    <t>01EG140</t>
  </si>
  <si>
    <t>Mejora al Servicio de garantia 4 años 7x24x4</t>
  </si>
  <si>
    <t>01AA943</t>
  </si>
  <si>
    <t>5 Year Onsite Repair 9x5 Next Business Day</t>
  </si>
  <si>
    <t>01AA944</t>
  </si>
  <si>
    <t>5 Year Onsite Repair 9x5 NBD+KYD</t>
  </si>
  <si>
    <t>01EG141</t>
  </si>
  <si>
    <t>Mejora al Servicio de garantia 5 años 5x9x4</t>
  </si>
  <si>
    <t>01EG142</t>
  </si>
  <si>
    <t>Mejora al Servicio de garantia 5 años 7x24x4</t>
  </si>
  <si>
    <t>01AA957</t>
  </si>
  <si>
    <t>FT3</t>
  </si>
  <si>
    <t>01AA958</t>
  </si>
  <si>
    <t>01AA959</t>
  </si>
  <si>
    <t>01AA960</t>
  </si>
  <si>
    <t>01AA961</t>
  </si>
  <si>
    <t>01AA962</t>
  </si>
  <si>
    <t>01AA951</t>
  </si>
  <si>
    <t>01AA952</t>
  </si>
  <si>
    <t>01EG143</t>
  </si>
  <si>
    <t>01EG144</t>
  </si>
  <si>
    <t>01AA953</t>
  </si>
  <si>
    <t>01AA954</t>
  </si>
  <si>
    <t>01EG145</t>
  </si>
  <si>
    <t>01EG146</t>
  </si>
  <si>
    <t>01AA955</t>
  </si>
  <si>
    <t>01AA956</t>
  </si>
  <si>
    <t>01EG147</t>
  </si>
  <si>
    <t>01EG148</t>
  </si>
  <si>
    <t>01EG149</t>
  </si>
  <si>
    <t>FT5</t>
  </si>
  <si>
    <t>01EG150</t>
  </si>
  <si>
    <t>01EG151</t>
  </si>
  <si>
    <t>01EG152</t>
  </si>
  <si>
    <t>01EG153</t>
  </si>
  <si>
    <t>01EG154</t>
  </si>
  <si>
    <t>01EG155</t>
  </si>
  <si>
    <t>FT6</t>
  </si>
  <si>
    <t>01EG156</t>
  </si>
  <si>
    <t>01EG157</t>
  </si>
  <si>
    <t>01EG158</t>
  </si>
  <si>
    <t>01EG159</t>
  </si>
  <si>
    <t>01EG160</t>
  </si>
  <si>
    <t>Servicio Post Garantia 1 año 5x9x4 BladeCenter</t>
  </si>
  <si>
    <t>Servicio Post Garantia 1 año 5x9x4 High End Server</t>
  </si>
  <si>
    <t>Servicio Post Garantia 1 año 5x9x4 Low End &amp; Middl</t>
  </si>
  <si>
    <t>282,27</t>
  </si>
  <si>
    <t>Servicio Post Garantia 2 años 5x9x4 BladeCenter</t>
  </si>
  <si>
    <t>Servicio Post Garantia 2 años 5x9x4 High End Serve</t>
  </si>
  <si>
    <t>Servicio Post Garantia 2 años 5x9x4 Low End &amp; Midd</t>
  </si>
  <si>
    <t>564,54</t>
  </si>
  <si>
    <t>Servicio Post Garantia 1 año 7x24x4 BladeCenter</t>
  </si>
  <si>
    <t>Servicio Post Garantia 1 año 7x24x4 High End Serve</t>
  </si>
  <si>
    <t>Servicio Post Garantia 1 año 7x24x4 Low End &amp; Midd</t>
  </si>
  <si>
    <t>289,64</t>
  </si>
  <si>
    <t>Servicio Post Garantia 2 años 7x24x4 BladeCenter</t>
  </si>
  <si>
    <t>Servicio Post Garantia 2 años 7x24x4 High End Serv</t>
  </si>
  <si>
    <t>Servicio Post Garantia 2 años 7x24x4 Low End &amp; Mid</t>
  </si>
  <si>
    <t>579,28</t>
  </si>
  <si>
    <t>1107,39</t>
  </si>
  <si>
    <t>1830,68</t>
  </si>
  <si>
    <t>660,04</t>
  </si>
  <si>
    <t>538,58</t>
  </si>
  <si>
    <t>908,53</t>
  </si>
  <si>
    <t>603,69</t>
  </si>
  <si>
    <t>1017,84</t>
  </si>
  <si>
    <t>370,4</t>
  </si>
  <si>
    <t>313,52</t>
  </si>
  <si>
    <t>683,47</t>
  </si>
  <si>
    <t>88,46</t>
  </si>
  <si>
    <t>80,76</t>
  </si>
  <si>
    <t>1511,09</t>
  </si>
  <si>
    <t>2438,52</t>
  </si>
  <si>
    <t>868,93</t>
  </si>
  <si>
    <t>675,19</t>
  </si>
  <si>
    <t>503,69</t>
  </si>
  <si>
    <t>812,84</t>
  </si>
  <si>
    <t>225,06</t>
  </si>
  <si>
    <t>1007,39</t>
  </si>
  <si>
    <t>1625,68</t>
  </si>
  <si>
    <t>450,12</t>
  </si>
  <si>
    <t>478,23</t>
  </si>
  <si>
    <t>760,16</t>
  </si>
  <si>
    <t>216,78</t>
  </si>
  <si>
    <t>956,46</t>
  </si>
  <si>
    <t>1520,33</t>
  </si>
  <si>
    <t>433,56</t>
  </si>
  <si>
    <t>1434,69</t>
  </si>
  <si>
    <t>2280,49</t>
  </si>
  <si>
    <t>846,81</t>
  </si>
  <si>
    <t>650,34</t>
  </si>
  <si>
    <t>458,41</t>
  </si>
  <si>
    <t>541,9</t>
  </si>
  <si>
    <t>1197,9</t>
  </si>
  <si>
    <t>1853,9</t>
  </si>
  <si>
    <t>450,7</t>
  </si>
  <si>
    <t>HC1</t>
  </si>
  <si>
    <t>372,3</t>
  </si>
  <si>
    <t>1273,7</t>
  </si>
  <si>
    <t>469,8</t>
  </si>
  <si>
    <t>857,9</t>
  </si>
  <si>
    <t>1327,7</t>
  </si>
  <si>
    <t>388,1</t>
  </si>
  <si>
    <t>490,1</t>
  </si>
  <si>
    <t>1449,1</t>
  </si>
  <si>
    <t>1939,2</t>
  </si>
  <si>
    <t>2429,3</t>
  </si>
  <si>
    <t>796,4</t>
  </si>
  <si>
    <t>657,9</t>
  </si>
  <si>
    <t>1454,3</t>
  </si>
  <si>
    <t>2250,7</t>
  </si>
  <si>
    <t>319,8</t>
  </si>
  <si>
    <t>727,6</t>
  </si>
  <si>
    <t>1047,4</t>
  </si>
  <si>
    <t>1367,2</t>
  </si>
  <si>
    <t>1133,9</t>
  </si>
  <si>
    <t>665,3</t>
  </si>
  <si>
    <t>1799,2</t>
  </si>
  <si>
    <t>2933,1</t>
  </si>
  <si>
    <t>1828,9</t>
  </si>
  <si>
    <t>1510,8</t>
  </si>
  <si>
    <t>3339,7</t>
  </si>
  <si>
    <t>5168,6</t>
  </si>
  <si>
    <t>172,8</t>
  </si>
  <si>
    <t>326,4</t>
  </si>
  <si>
    <t>345,6</t>
  </si>
  <si>
    <t>436,8</t>
  </si>
  <si>
    <t>595,2</t>
  </si>
  <si>
    <t>201,6</t>
  </si>
  <si>
    <t>379,2</t>
  </si>
  <si>
    <t>403,2</t>
  </si>
  <si>
    <t>753,6</t>
  </si>
  <si>
    <t>393,6</t>
  </si>
  <si>
    <t>700,8</t>
  </si>
  <si>
    <t>940,8</t>
  </si>
  <si>
    <t>6099;6099;6099;6099;6099;6099</t>
  </si>
  <si>
    <t>6100;6100</t>
  </si>
  <si>
    <t>6160;6160;6160;6160</t>
  </si>
  <si>
    <t>6173;6173</t>
  </si>
  <si>
    <t>6194;6194;6194;6194</t>
  </si>
  <si>
    <t>HC2</t>
  </si>
  <si>
    <t>S4R</t>
  </si>
  <si>
    <t>S5R</t>
  </si>
  <si>
    <t>Consolas (HMC /FSM / UCS) - 2do. Nivel</t>
  </si>
  <si>
    <t>Formato de cobro</t>
  </si>
  <si>
    <t>Duracion sesiones</t>
  </si>
  <si>
    <t>Duracion horas</t>
  </si>
  <si>
    <t>7042-CR9</t>
  </si>
  <si>
    <t>CR9</t>
  </si>
  <si>
    <t>Tabla destino pedido</t>
  </si>
  <si>
    <t>Tabla_de_costos</t>
  </si>
  <si>
    <t>Consolas (HMC /FSM / UCS)</t>
  </si>
  <si>
    <t>x86 - xServer / Cuchilla / Nodo</t>
  </si>
  <si>
    <t>vSphere / Hyper-v / KVM</t>
  </si>
  <si>
    <t>Power / Server / Cuchilla / Nodo - 2do. Nivel</t>
  </si>
  <si>
    <t>IBMIIL20</t>
  </si>
  <si>
    <t>Servicios de instalacion de Performance Navigator para IBM i</t>
  </si>
  <si>
    <t>RHEVAO01</t>
  </si>
  <si>
    <t>Redhat</t>
  </si>
  <si>
    <t>RHEVAO02</t>
  </si>
  <si>
    <t>Hora de soporte RHEL-KVM-RHEV</t>
  </si>
  <si>
    <t>RHEVIL01</t>
  </si>
  <si>
    <t>RHEVIL02</t>
  </si>
  <si>
    <t>Por Host</t>
  </si>
  <si>
    <t xml:space="preserve">Flash System - 2do. Nivel </t>
  </si>
  <si>
    <t>VARAO01</t>
  </si>
  <si>
    <t>Multiple</t>
  </si>
  <si>
    <t>Por Bolsa</t>
  </si>
  <si>
    <t>Varios</t>
  </si>
  <si>
    <t>VMWAO09</t>
  </si>
  <si>
    <t>Despliegue de plantilla existente Windows 2008,2008R2,2012,2012R2</t>
  </si>
  <si>
    <t>Despliegue 1 maquina virtual</t>
  </si>
  <si>
    <t>Instalacion de Virtualization Manager</t>
  </si>
  <si>
    <t>Instalacion de Virtualization Hypervisor</t>
  </si>
  <si>
    <t>Bolsa de horas de ingenieria</t>
  </si>
  <si>
    <t>Regla 70</t>
  </si>
  <si>
    <t>RV0236407 Red Hat Enterprise Virtualization (2-sockets) Standard</t>
  </si>
  <si>
    <t>C RV0236407</t>
  </si>
  <si>
    <t>CUATRO</t>
  </si>
  <si>
    <t>Actividad</t>
  </si>
  <si>
    <t>Actualizacion exhibit storage</t>
  </si>
  <si>
    <t>C:\Users\adimare\Documents\Herramientas\Desarrollo\Exhibit Storage diciembre 2015.txt</t>
  </si>
  <si>
    <t>Categorias Power</t>
  </si>
  <si>
    <t>Power8 ScO LC</t>
  </si>
  <si>
    <t>Power8 ScO L</t>
  </si>
  <si>
    <t>Power8 ScO</t>
  </si>
  <si>
    <t>Power8 MR</t>
  </si>
  <si>
    <t>PowerFlex</t>
  </si>
  <si>
    <t>PurePower</t>
  </si>
  <si>
    <t>8205-E6C Power 740</t>
  </si>
  <si>
    <t>7965-94Y Rack de 42 EIAs Slim</t>
  </si>
  <si>
    <t>Power S812L</t>
  </si>
  <si>
    <t>8247-21L Power S812L</t>
  </si>
  <si>
    <t>Power S822L</t>
  </si>
  <si>
    <t>8247-22L Power S822L</t>
  </si>
  <si>
    <t>8247-42L Power S824L</t>
  </si>
  <si>
    <t>8348-21C</t>
  </si>
  <si>
    <t>8348</t>
  </si>
  <si>
    <t>21C</t>
  </si>
  <si>
    <t>IBM Power System s812LC</t>
  </si>
  <si>
    <t>8348-21C IBM Power System s812LC</t>
  </si>
  <si>
    <t>8335-GCA</t>
  </si>
  <si>
    <t>8335</t>
  </si>
  <si>
    <t>GCA</t>
  </si>
  <si>
    <t>IBM Power System s822LC</t>
  </si>
  <si>
    <t>8335-GCA IBM Power System s822LC</t>
  </si>
  <si>
    <t>Power S814</t>
  </si>
  <si>
    <t>8286-41A Power S814</t>
  </si>
  <si>
    <t>Power S822</t>
  </si>
  <si>
    <t>8284-22A Power S822</t>
  </si>
  <si>
    <t>Power S824</t>
  </si>
  <si>
    <t>8286-42A Power S824</t>
  </si>
  <si>
    <t>8408-E8E</t>
  </si>
  <si>
    <t>E8E</t>
  </si>
  <si>
    <t>Power E850</t>
  </si>
  <si>
    <t>8408-E8E Power E850</t>
  </si>
  <si>
    <t>9119-MME Power E870</t>
  </si>
  <si>
    <t>9119-MHE Power E880</t>
  </si>
  <si>
    <t>7953-94X Rack de 42 EIAs</t>
  </si>
  <si>
    <t>Enterprise Chasis</t>
  </si>
  <si>
    <t>7893-92X Enterprise Chasis</t>
  </si>
  <si>
    <t>System Manager</t>
  </si>
  <si>
    <t>7955-01M System Manager</t>
  </si>
  <si>
    <t>Nodo p260+</t>
  </si>
  <si>
    <t>7895-23X Nodo p260+</t>
  </si>
  <si>
    <t>Nodo p460+</t>
  </si>
  <si>
    <t>7895-43X Nodo p460+</t>
  </si>
  <si>
    <t>Nodo p270+</t>
  </si>
  <si>
    <t>7954-24X Nodo p270+</t>
  </si>
  <si>
    <t>8374-01M</t>
  </si>
  <si>
    <t>8374</t>
  </si>
  <si>
    <t>Nodo de administracion</t>
  </si>
  <si>
    <t>8374-01M Nodo de administracion</t>
  </si>
  <si>
    <t>8831-NF2</t>
  </si>
  <si>
    <t>8831</t>
  </si>
  <si>
    <t>NF2</t>
  </si>
  <si>
    <t>TOR Eth. switch MSX1710</t>
  </si>
  <si>
    <t>8831-NF2 TOR Eth. switch MSX1710</t>
  </si>
  <si>
    <t>7120-48E</t>
  </si>
  <si>
    <t>7120</t>
  </si>
  <si>
    <t>48E</t>
  </si>
  <si>
    <t>Rack switch G8052</t>
  </si>
  <si>
    <t>7120-48E Rack switch G8052</t>
  </si>
  <si>
    <t>Actualizacion exhibit Power</t>
  </si>
  <si>
    <t>C:\Users\adimare\Documents\Herramientas\Desarrollo\Exhibit Power diciembre 2015.txt</t>
  </si>
  <si>
    <t>1813-80E</t>
  </si>
  <si>
    <t>1813</t>
  </si>
  <si>
    <t>IBM System Storage Exp 3800</t>
  </si>
  <si>
    <t>1813-80E IBM System Storage Exp 3800</t>
  </si>
  <si>
    <t>DCS 3700 Expansion Unit</t>
  </si>
  <si>
    <t>1818-80E DCS 3700 Expansion Unit</t>
  </si>
  <si>
    <t>Cisco MDS 9506 Director</t>
  </si>
  <si>
    <t>2054-E04 Cisco MDS 9506 Director</t>
  </si>
  <si>
    <t>Cisco MDS 9513 Director</t>
  </si>
  <si>
    <t>2054-E11 Cisco MDS 9513 Director</t>
  </si>
  <si>
    <t>2072-12C</t>
  </si>
  <si>
    <t>2072</t>
  </si>
  <si>
    <t>IBM Storwize V3700 LFF Dual Control Enclosure</t>
  </si>
  <si>
    <t>2072-12C IBM Storwize V3700 LFF Dual Control Enclosure</t>
  </si>
  <si>
    <t>2072-12E</t>
  </si>
  <si>
    <t>IBM Storwize V3700 LFF Dual Expansion Enclosure</t>
  </si>
  <si>
    <t>2072-12E IBM Storwize V3700 LFF Dual Expansion Enclosure</t>
  </si>
  <si>
    <t>IBM Storwize V3700 SFF Dual Control Enclosure</t>
  </si>
  <si>
    <t>2072-24C IBM Storwize V3700 SFF Dual Control Enclosure</t>
  </si>
  <si>
    <t>IBM Storwize V3700 SFF Dual Expansion Enclosure</t>
  </si>
  <si>
    <t>2072-24E IBM Storwize V3700 SFF Dual Expansion Enclosure</t>
  </si>
  <si>
    <t>2072-2DC</t>
  </si>
  <si>
    <t>IBM Storwize V3700 SFF DC Dual Control Enclosure</t>
  </si>
  <si>
    <t>2072-2DC IBM Storwize V3700 SFF DC Dual Control Enclosure</t>
  </si>
  <si>
    <t>2072-2DE</t>
  </si>
  <si>
    <t>IBM Storwize V3700 SFF DC Dual Expansion Enclosure</t>
  </si>
  <si>
    <t>2072-2DE IBM Storwize V3700 SFF DC Dual Expansion Enclosure</t>
  </si>
  <si>
    <t>2073-720</t>
  </si>
  <si>
    <t>720</t>
  </si>
  <si>
    <t>2073-720 IBM Storwize V7000 Unified</t>
  </si>
  <si>
    <t>IBM Storwize V7000 Controller G1</t>
  </si>
  <si>
    <t>2076-124 IBM Storwize V7000 Controller G1</t>
  </si>
  <si>
    <t>IBM Storwize V7000 Disk Expansion Enclosure (3.5 inch drives)</t>
  </si>
  <si>
    <t>2076-12F IBM Storwize V7000 Disk Expansion Enclosure (3.5 inch drives)</t>
  </si>
  <si>
    <t>2076-212 IBM Storwize V7000 Disk Expansion Enclosure (3.5 inch drives)</t>
  </si>
  <si>
    <t>IBM Storwize V7000 Disk Expansion Enclosure (2.5 inch drives)</t>
  </si>
  <si>
    <t>2076-224 IBM Storwize V7000 Disk Expansion Enclosure (2.5 inch drives)</t>
  </si>
  <si>
    <t>2076-24F IBM Storwize V7000 Disk Expansion Enclosure (2.5 inch drives)</t>
  </si>
  <si>
    <t>IBM Storwize V7000 Disk Control Enclosure (2.5 inch drives)</t>
  </si>
  <si>
    <t>2076-524 IBM Storwize V7000 Disk Control Enclosure (2.5 inch drives)</t>
  </si>
  <si>
    <t>2077</t>
  </si>
  <si>
    <t>IBM Storwize V5000 Control LFF (1 año de garantia HW)</t>
  </si>
  <si>
    <t>2077-12C IBM Storwize V5000 Control LFF (1 año de garantia HW)</t>
  </si>
  <si>
    <t>IBM Storwize V5000 Expansion LFF (1 año de garantia HW)</t>
  </si>
  <si>
    <t>2077-12E IBM Storwize V5000 Expansion LFF (1 año de garantia HW)</t>
  </si>
  <si>
    <t>IBM Storwize V5000 Control SFF (1 año de garantia HW)</t>
  </si>
  <si>
    <t>2077-24C IBM Storwize V5000 Control SFF (1 año de garantia HW)</t>
  </si>
  <si>
    <t>IBM Storwize V5000 Expansion SFF (1 año de garantia HW)</t>
  </si>
  <si>
    <t>2077-24E IBM Storwize V5000 Expansion SFF (1 año de garantia HW)</t>
  </si>
  <si>
    <t>2078</t>
  </si>
  <si>
    <t>IBM Storwize V5000 Control LFF (3 años de garantia HW)</t>
  </si>
  <si>
    <t>2078-12C IBM Storwize V5000 Control LFF (3 años de garantia HW)</t>
  </si>
  <si>
    <t>IBM Storwize V5000 Expansion LFF (3 años de garantia HW)</t>
  </si>
  <si>
    <t>2078-12E IBM Storwize V5000 Expansion LFF (3 años de garantia HW)</t>
  </si>
  <si>
    <t>IBM Storwize V5000 Control SFF (3 años de garantia HW)</t>
  </si>
  <si>
    <t>2078-24C IBM Storwize V5000 Control SFF (3 años de garantia HW)</t>
  </si>
  <si>
    <t>IBM Storwize V5000 Expansion SFF (3 años de garantia HW)</t>
  </si>
  <si>
    <t>2078-24E IBM Storwize V5000 Expansion SFF (3 años de garantia HW)</t>
  </si>
  <si>
    <t>Racked Storage Solutions</t>
  </si>
  <si>
    <t>2101-200 Racked Storage Solutions</t>
  </si>
  <si>
    <t>2109-C36</t>
  </si>
  <si>
    <t>2109</t>
  </si>
  <si>
    <t>C36</t>
  </si>
  <si>
    <t>IBM TotalStorage Cabinet C36</t>
  </si>
  <si>
    <t>2109-C36 IBM TotalStorage Cabinet C36</t>
  </si>
  <si>
    <t>2145-24F</t>
  </si>
  <si>
    <t>IBM SVC SFF Expansion Enclosure</t>
  </si>
  <si>
    <t>2145-24F IBM SVC SFF Expansion Enclosure</t>
  </si>
  <si>
    <t>2145-DH8</t>
  </si>
  <si>
    <t>DH8</t>
  </si>
  <si>
    <t>IBM System Storage SVC Storage Engine</t>
  </si>
  <si>
    <t>2145-DH8 IBM System Storage SVC Storage Engine</t>
  </si>
  <si>
    <t>IBM DS 8870</t>
  </si>
  <si>
    <t>2421-961 IBM DS 8870</t>
  </si>
  <si>
    <t>2421-96E</t>
  </si>
  <si>
    <t>96E</t>
  </si>
  <si>
    <t>IBM DS 8870 Expansion Unit</t>
  </si>
  <si>
    <t>2421-96E IBM DS 8870 Expansion Unit</t>
  </si>
  <si>
    <t>2421-AP1</t>
  </si>
  <si>
    <t>Storage Appliance</t>
  </si>
  <si>
    <t>2421-AP1 Storage Appliance</t>
  </si>
  <si>
    <t>2422-961 IBM DS 8870</t>
  </si>
  <si>
    <t>2422-96E</t>
  </si>
  <si>
    <t>2422-96E IBM DS 8870 Expansion Unit</t>
  </si>
  <si>
    <t>2423-961 IBM DS 8870</t>
  </si>
  <si>
    <t>2423-96E</t>
  </si>
  <si>
    <t>2423-96E IBM DS 8870 Expansion Unit</t>
  </si>
  <si>
    <t>2424-961 IBM DS 8870</t>
  </si>
  <si>
    <t>2424-96E</t>
  </si>
  <si>
    <t>2424-96E IBM DS 8870 Expansion Unit</t>
  </si>
  <si>
    <t>IBM IBM SystemStorage SAN24B</t>
  </si>
  <si>
    <t>2498-B24 IBM IBM SystemStorage SAN24B</t>
  </si>
  <si>
    <t>IBM System Storage SAN48B-5 16 GB.</t>
  </si>
  <si>
    <t>2498-F48 IBM System Storage SAN48B-5 16 GB.</t>
  </si>
  <si>
    <t>2498-F96 IBM System Storage SAN48B-5 16 GB.</t>
  </si>
  <si>
    <t>2498-N96</t>
  </si>
  <si>
    <t>N96</t>
  </si>
  <si>
    <t>IBM System Networking SAN 96B5</t>
  </si>
  <si>
    <t>2498-N96 IBM System Networking SAN 96B5</t>
  </si>
  <si>
    <t>IBM SystemStorage SAN06B-R 8 Gbps Extension switch</t>
  </si>
  <si>
    <t>2498-R06 IBM SystemStorage SAN06B-R 8 Gbps Extension switch</t>
  </si>
  <si>
    <t>2498-R42</t>
  </si>
  <si>
    <t>R42</t>
  </si>
  <si>
    <t>IBM SystemStorage SAN42B-R</t>
  </si>
  <si>
    <t>2498-R42 IBM SystemStorage SAN42B-R</t>
  </si>
  <si>
    <t>IBM System Storage SAN 384B Director</t>
  </si>
  <si>
    <t>2499-416 IBM System Storage SAN 384B Director</t>
  </si>
  <si>
    <t>IBM System Storage SAN768B Director</t>
  </si>
  <si>
    <t>2499-816 IBM System Storage SAN768B Director</t>
  </si>
  <si>
    <t>IBM XIV Storage System 1 yr Warranty</t>
  </si>
  <si>
    <t>2810-214 IBM XIV Storage System 1 yr Warranty</t>
  </si>
  <si>
    <t>IBM XIV Storage System 3 yr Warranty</t>
  </si>
  <si>
    <t>2812-214 IBM XIV Storage System 3 yr Warranty</t>
  </si>
  <si>
    <t>2810-314</t>
  </si>
  <si>
    <t>314</t>
  </si>
  <si>
    <t>IBM XIV Storage System Gen 3 model 314 1 yr Warranty</t>
  </si>
  <si>
    <t>2810-314 IBM XIV Storage System Gen 3 model 314 1 yr Warranty</t>
  </si>
  <si>
    <t>2812-314</t>
  </si>
  <si>
    <t>IBM XIV Storage System Gen 3 model 314 3 yr Warranty</t>
  </si>
  <si>
    <t>2812-314 IBM XIV Storage System Gen 3 model 314 3 yr Warranty</t>
  </si>
  <si>
    <t>2831-980</t>
  </si>
  <si>
    <t>2831</t>
  </si>
  <si>
    <t>980</t>
  </si>
  <si>
    <t>IBM DS 8884</t>
  </si>
  <si>
    <t>2831-980 IBM DS 8884</t>
  </si>
  <si>
    <t>2831-981</t>
  </si>
  <si>
    <t>981</t>
  </si>
  <si>
    <t>IBM DS 8886</t>
  </si>
  <si>
    <t>2831-981 IBM DS 8886</t>
  </si>
  <si>
    <t>2832-980</t>
  </si>
  <si>
    <t>2832</t>
  </si>
  <si>
    <t>2832-980 IBM DS 8884</t>
  </si>
  <si>
    <t>2832-981</t>
  </si>
  <si>
    <t>2832-981 IBM DS 8886</t>
  </si>
  <si>
    <t>2833-980</t>
  </si>
  <si>
    <t>2833</t>
  </si>
  <si>
    <t>2833-980 IBM DS 8884</t>
  </si>
  <si>
    <t>2833-981</t>
  </si>
  <si>
    <t>2833-981 IBM DS 8886</t>
  </si>
  <si>
    <t>2834-980</t>
  </si>
  <si>
    <t>2834</t>
  </si>
  <si>
    <t>2834-980 IBM DS 8884</t>
  </si>
  <si>
    <t>2834-981</t>
  </si>
  <si>
    <t>2834-981 IBM DS 8886</t>
  </si>
  <si>
    <t>2831-98B</t>
  </si>
  <si>
    <t>98B</t>
  </si>
  <si>
    <t>IBM DS 8884 Expansion Unit</t>
  </si>
  <si>
    <t>2831-98B IBM DS 8884 Expansion Unit</t>
  </si>
  <si>
    <t>2832-98B</t>
  </si>
  <si>
    <t>2832-98B IBM DS 8884 Expansion Unit</t>
  </si>
  <si>
    <t>2833-98B</t>
  </si>
  <si>
    <t>2833-98B IBM DS 8884 Expansion Unit</t>
  </si>
  <si>
    <t>2834-98B</t>
  </si>
  <si>
    <t>2834-98B IBM DS 8884 Expansion Unit</t>
  </si>
  <si>
    <t>2831-98E</t>
  </si>
  <si>
    <t>98E</t>
  </si>
  <si>
    <t>IBM DS 8886 Expansion Unit</t>
  </si>
  <si>
    <t>2831-98E IBM DS 8886 Expansion Unit</t>
  </si>
  <si>
    <t>2832-98E</t>
  </si>
  <si>
    <t>2832-98E IBM DS 8886 Expansion Unit</t>
  </si>
  <si>
    <t>2833-98E</t>
  </si>
  <si>
    <t>2833-98E IBM DS 8886 Expansion Unit</t>
  </si>
  <si>
    <t>2834-98E</t>
  </si>
  <si>
    <t>2834-98E IBM DS 8886 Expansion Unit</t>
  </si>
  <si>
    <t>2836-LF8</t>
  </si>
  <si>
    <t>2836</t>
  </si>
  <si>
    <t>LF8</t>
  </si>
  <si>
    <t>IBM DS 8000 series Function Authorization</t>
  </si>
  <si>
    <t>2836-LF8 IBM DS 8000 series Function Authorization</t>
  </si>
  <si>
    <t>2837-LF8</t>
  </si>
  <si>
    <t>2837</t>
  </si>
  <si>
    <t>2837-LF8 IBM DS 8000 series Function Authorization</t>
  </si>
  <si>
    <t>2838-LF8</t>
  </si>
  <si>
    <t>2838</t>
  </si>
  <si>
    <t>2838-LF8 IBM DS 8000 series Function Authorization</t>
  </si>
  <si>
    <t>2839-LF8</t>
  </si>
  <si>
    <t>2839</t>
  </si>
  <si>
    <t>2839-LF8 IBM DS 8000 series Function Authorization</t>
  </si>
  <si>
    <t>TS2900 LTO 4 HH SAS Tape Autoloader</t>
  </si>
  <si>
    <t>3572-S4H TS2900 LTO 4 HH SAS Tape Autoloader</t>
  </si>
  <si>
    <t>TS2900 LTO 5 HH SAS Tape Autoloader</t>
  </si>
  <si>
    <t>3572-S5H TS2900 LTO 5 HH SAS Tape Autoloader</t>
  </si>
  <si>
    <t>3572-S6H</t>
  </si>
  <si>
    <t>TS2900 Tape Autoloader with LTO Ultrium 6 HH SAS</t>
  </si>
  <si>
    <t>3572-S6H TS2900 Tape Autoloader with LTO Ultrium 6 HH SAS</t>
  </si>
  <si>
    <t>3572-S7H</t>
  </si>
  <si>
    <t>S7H</t>
  </si>
  <si>
    <t>TS2900 Tape Autoloader Express w LTO 7 HH</t>
  </si>
  <si>
    <t>3572-S7H TS2900 Tape Autoloader Express w LTO 7 HH</t>
  </si>
  <si>
    <t>TS 3100 Tape Library Express</t>
  </si>
  <si>
    <t>3573-L2U TS 3100 Tape Library Express</t>
  </si>
  <si>
    <t>TS 3200 Tape Library Express</t>
  </si>
  <si>
    <t>3573-L4U TS 3200 Tape Library Express</t>
  </si>
  <si>
    <t>IBM TS3310 Tape Library Expansion Module</t>
  </si>
  <si>
    <t>3576-E9U IBM TS3310 Tape Library Expansion Module</t>
  </si>
  <si>
    <t>IBM TS3310 Tape Library</t>
  </si>
  <si>
    <t>3576-L5B IBM TS3310 Tape Library</t>
  </si>
  <si>
    <t>TS 2240 Tape Drive</t>
  </si>
  <si>
    <t>3580-H4V TS 2240 Tape Drive</t>
  </si>
  <si>
    <t>TS 2250 Tape Drive</t>
  </si>
  <si>
    <t>3580-H5S TS 2250 Tape Drive</t>
  </si>
  <si>
    <t>3580-H6S TS 2250 Tape Drive</t>
  </si>
  <si>
    <t>3580-H7S</t>
  </si>
  <si>
    <t>H7S</t>
  </si>
  <si>
    <t>TS 2270 Tape Drive</t>
  </si>
  <si>
    <t>3580-H7S TS 2270 Tape Drive</t>
  </si>
  <si>
    <t>TS 2360 Tape Drive</t>
  </si>
  <si>
    <t>3580-S63 TS 2360 Tape Drive</t>
  </si>
  <si>
    <t>IBM TS 3500 Tape Library</t>
  </si>
  <si>
    <t>3584-D22 IBM TS 3500 Tape Library</t>
  </si>
  <si>
    <t>3584-D23 IBM TS 3500 Tape Library</t>
  </si>
  <si>
    <t>3584-D25</t>
  </si>
  <si>
    <t>D25</t>
  </si>
  <si>
    <t>TS 4500 HD 2 Expansion Frame</t>
  </si>
  <si>
    <t>3584-D25 TS 4500 HD 2 Expansion Frame</t>
  </si>
  <si>
    <t>3584-D32</t>
  </si>
  <si>
    <t>D32</t>
  </si>
  <si>
    <t>Tape Library Expansion</t>
  </si>
  <si>
    <t>3584-D32 Tape Library Expansion</t>
  </si>
  <si>
    <t>3584-D42</t>
  </si>
  <si>
    <t>D42</t>
  </si>
  <si>
    <t>3584-D42 Tape Library Expansion</t>
  </si>
  <si>
    <t>3584-D52</t>
  </si>
  <si>
    <t>D52</t>
  </si>
  <si>
    <t>3584-D52 Tape Library Expansion</t>
  </si>
  <si>
    <t>3584-D53 Tape Library Expansion</t>
  </si>
  <si>
    <t>3584-D55</t>
  </si>
  <si>
    <t>D55</t>
  </si>
  <si>
    <t>3584-D55 Tape Library Expansion</t>
  </si>
  <si>
    <t>3584-L23 IBM TS 3500 Tape Library</t>
  </si>
  <si>
    <t>3584-L25</t>
  </si>
  <si>
    <t>L25</t>
  </si>
  <si>
    <t>IBM TS 4500 Tape Library HD2 Base Frame</t>
  </si>
  <si>
    <t>3584-L25 IBM TS 4500 Tape Library HD2 Base Frame</t>
  </si>
  <si>
    <t>3584-L53 IBM TS 3500 Tape Library</t>
  </si>
  <si>
    <t>3584-L52</t>
  </si>
  <si>
    <t>L52</t>
  </si>
  <si>
    <t>3584-L52 IBM TS 3500 Tape Library</t>
  </si>
  <si>
    <t>3584-L55</t>
  </si>
  <si>
    <t>L55</t>
  </si>
  <si>
    <t>3584-L55 IBM TS 4500 Tape Library HD2 Base Frame</t>
  </si>
  <si>
    <t>HD Expansion Frame for Enterprise drives</t>
  </si>
  <si>
    <t>3584-S24 HD Expansion Frame for Enterprise drives</t>
  </si>
  <si>
    <t>3584-S25</t>
  </si>
  <si>
    <t>Ts 4500 HD 2 Expansion Frame</t>
  </si>
  <si>
    <t>3584-S25 Ts 4500 HD 2 Expansion Frame</t>
  </si>
  <si>
    <t>HD Frame for LTO Drives</t>
  </si>
  <si>
    <t>3584-S54 HD Frame for LTO Drives</t>
  </si>
  <si>
    <t>3584-S55</t>
  </si>
  <si>
    <t>S55</t>
  </si>
  <si>
    <t>3584-S55 Ts 4500 HD 2 Expansion Frame</t>
  </si>
  <si>
    <t>Ts 3500 Library Connector</t>
  </si>
  <si>
    <t>3584-SC1 Ts 3500 Library Connector</t>
  </si>
  <si>
    <t>3584-TR1</t>
  </si>
  <si>
    <t>TR1</t>
  </si>
  <si>
    <t>Top Rack Option</t>
  </si>
  <si>
    <t>3584-TR1 Top Rack Option</t>
  </si>
  <si>
    <t>Ultrium 4 Tape Drive</t>
  </si>
  <si>
    <t>3588-F4A Ultrium 4 Tape Drive</t>
  </si>
  <si>
    <t>Ultrium 5 Tape Drive</t>
  </si>
  <si>
    <t>3588-F5A Ultrium 5 Tape Drive</t>
  </si>
  <si>
    <t>3588-F5C</t>
  </si>
  <si>
    <t>F5C</t>
  </si>
  <si>
    <t>3588-F5C Ultrium 5 Tape Drive</t>
  </si>
  <si>
    <t>Ultrium 6 Tape Drive</t>
  </si>
  <si>
    <t>3588-F6A Ultrium 6 Tape Drive</t>
  </si>
  <si>
    <t>3588-F6C</t>
  </si>
  <si>
    <t>F6C</t>
  </si>
  <si>
    <t>3588-F6C Ultrium 6 Tape Drive</t>
  </si>
  <si>
    <t>3588-F7A</t>
  </si>
  <si>
    <t>F7A</t>
  </si>
  <si>
    <t>Ultrium 7 Tape Drive</t>
  </si>
  <si>
    <t>3588-F7A Ultrium 7 Tape Drive</t>
  </si>
  <si>
    <t>3588-F7C</t>
  </si>
  <si>
    <t>F7C</t>
  </si>
  <si>
    <t>3588-F7C Ultrium 7 Tape Drive</t>
  </si>
  <si>
    <t>IBM Ultrium Cleaning Cartridges</t>
  </si>
  <si>
    <t>3589-004 IBM Ultrium Cleaning Cartridges</t>
  </si>
  <si>
    <t>IBM 800 GB Ultrium tape Cartridges Labeled</t>
  </si>
  <si>
    <t>3589-010 IBM 800 GB Ultrium tape Cartridges Labeled</t>
  </si>
  <si>
    <t>IBM 800 GB Ultrium tape Cartridges</t>
  </si>
  <si>
    <t>3589-011 IBM 800 GB Ultrium tape Cartridges</t>
  </si>
  <si>
    <t>IBM 1.5 TB Ultrium tape Cartridges Labeled</t>
  </si>
  <si>
    <t>3589-014 IBM 1.5 TB Ultrium tape Cartridges Labeled</t>
  </si>
  <si>
    <t>IBM 1.5 TB Ultrium tape Cartridges</t>
  </si>
  <si>
    <t>3589-015 IBM 1.5 TB Ultrium tape Cartridges</t>
  </si>
  <si>
    <t>IBM 1.5 TB Ultrium tape WORM Cartridges Labeled</t>
  </si>
  <si>
    <t>3589-034 IBM 1.5 TB Ultrium tape WORM Cartridges Labeled</t>
  </si>
  <si>
    <t>IBM 1.5 TB Ultrium tape WORM Cartridges</t>
  </si>
  <si>
    <t>3589-035 IBM 1.5 TB Ultrium tape WORM Cartridges</t>
  </si>
  <si>
    <t>IBM 2.5 TB Ultrium tape Cartridges Labeled</t>
  </si>
  <si>
    <t>3589-550 IBM 2.5 TB Ultrium tape Cartridges Labeled</t>
  </si>
  <si>
    <t>IBM 2.5 TB Ultrium tape WORM Cartridges Labeled</t>
  </si>
  <si>
    <t>3589-570 IBM 2.5 TB Ultrium tape WORM Cartridges Labeled</t>
  </si>
  <si>
    <t>IBM 2.5 TB Ultrium tape Cartridges</t>
  </si>
  <si>
    <t>3589-650 IBM 2.5 TB Ultrium tape Cartridges</t>
  </si>
  <si>
    <t>IBM 2.5 TB Ultrium tape WORM Cartridges</t>
  </si>
  <si>
    <t>3589-670 IBM 2.5 TB Ultrium tape WORM Cartridges</t>
  </si>
  <si>
    <t>3589-551</t>
  </si>
  <si>
    <t>551</t>
  </si>
  <si>
    <t>IBM 6 TB Ultrium 7 tape Cartridge 20 Pack Labeled</t>
  </si>
  <si>
    <t>3589-551 IBM 6 TB Ultrium 7 tape Cartridge 20 Pack Labeled</t>
  </si>
  <si>
    <t>3589-571</t>
  </si>
  <si>
    <t>571</t>
  </si>
  <si>
    <t>IBM 6 TB Ultrium 7 WORM tape Cartridge 20 Pack Labeled</t>
  </si>
  <si>
    <t>3589-571 IBM 6 TB Ultrium 7 WORM tape Cartridge 20 Pack Labeled</t>
  </si>
  <si>
    <t>3589-651</t>
  </si>
  <si>
    <t>651</t>
  </si>
  <si>
    <t>IBM 6 TB Ultrium 7 tape Cartridge</t>
  </si>
  <si>
    <t>3589-651 IBM 6 TB Ultrium 7 tape Cartridge</t>
  </si>
  <si>
    <t>3589-671</t>
  </si>
  <si>
    <t>671</t>
  </si>
  <si>
    <t>IBM 6 TB Ultrium 7 WORM tape Cartridge 20 Pack</t>
  </si>
  <si>
    <t>3589-671 IBM 6 TB Ultrium 7 WORM tape Cartridge 20 Pack</t>
  </si>
  <si>
    <t>IBM Tape Controller Model C07</t>
  </si>
  <si>
    <t>3592-C07 IBM Tape Controller Model C07</t>
  </si>
  <si>
    <t>IBM TS 1130 Tape Drive</t>
  </si>
  <si>
    <t>3592-E06 IBM TS 1130 Tape Drive</t>
  </si>
  <si>
    <t>TS 1140 Tape Drive</t>
  </si>
  <si>
    <t>3592-E07 TS 1140 Tape Drive</t>
  </si>
  <si>
    <t>3592-E08</t>
  </si>
  <si>
    <t>E08</t>
  </si>
  <si>
    <t>TS 1150 Tape Drive</t>
  </si>
  <si>
    <t>3592-E08 TS 1150 Tape Drive</t>
  </si>
  <si>
    <t>3592-EH7</t>
  </si>
  <si>
    <t>EH7</t>
  </si>
  <si>
    <t>3592-EH7 TS 1140 Tape Drive</t>
  </si>
  <si>
    <t>3592-EH8</t>
  </si>
  <si>
    <t>EH8</t>
  </si>
  <si>
    <t>3592-EH8 TS 1150 Tape Drive</t>
  </si>
  <si>
    <t>IBM Tape Cartridge 3592 Extended Data with Labeling and Init.</t>
  </si>
  <si>
    <t>3599-014 IBM Tape Cartridge 3592 Extended Data with Labeling and Init.</t>
  </si>
  <si>
    <t>IBM Tape Cartridge 3592 Extended Data with Labeling Only</t>
  </si>
  <si>
    <t>3599-015 IBM Tape Cartridge 3592 Extended Data with Labeling Only</t>
  </si>
  <si>
    <t>IBM Tape Cartridge 3592 Extended Data with /o Labeling and Init.</t>
  </si>
  <si>
    <t>3599-016 IBM Tape Cartridge 3592 Extended Data with /o Labeling and Init.</t>
  </si>
  <si>
    <t>Tape Cartridge 3592 Labeled and Initialized Data Cardriges Type C</t>
  </si>
  <si>
    <t>3599-420 Tape Cartridge 3592 Labeled and Initialized Data Cardriges Type C</t>
  </si>
  <si>
    <t>3599-425</t>
  </si>
  <si>
    <t>425</t>
  </si>
  <si>
    <t>Tape Cartridge 3592 Labeled and Initialized Data Cardriges Type D</t>
  </si>
  <si>
    <t>3599-425 Tape Cartridge 3592 Labeled and Initialized Data Cardriges Type D</t>
  </si>
  <si>
    <t>Tape Cartridge 3592 Labeled and Initialized Type K</t>
  </si>
  <si>
    <t>3599-430 Tape Cartridge 3592 Labeled and Initialized Type K</t>
  </si>
  <si>
    <t>3599-435</t>
  </si>
  <si>
    <t>435</t>
  </si>
  <si>
    <t>Tape Cartridge 3592 Labeled and Initialized Type L</t>
  </si>
  <si>
    <t>3599-435 Tape Cartridge 3592 Labeled and Initialized Type L</t>
  </si>
  <si>
    <t>Tape Cartridge 3592 Labeled and Initialized WORM Type Z</t>
  </si>
  <si>
    <t>3599-440 Tape Cartridge 3592 Labeled and Initialized WORM Type Z</t>
  </si>
  <si>
    <t>3599-445</t>
  </si>
  <si>
    <t>445</t>
  </si>
  <si>
    <t>Tape Cartridge 3592 Labeled and Initialized WORM Type Y</t>
  </si>
  <si>
    <t>3599-445 Tape Cartridge 3592 Labeled and Initialized WORM Type Y</t>
  </si>
  <si>
    <t>Tape Cartridge 3592 Labeled Datacartridges Type C</t>
  </si>
  <si>
    <t>3599-520 Tape Cartridge 3592 Labeled Datacartridges Type C</t>
  </si>
  <si>
    <t>3599-525</t>
  </si>
  <si>
    <t>525</t>
  </si>
  <si>
    <t>Tape Cartridge 3592 Labeled Datacartridges Type D</t>
  </si>
  <si>
    <t>3599-525 Tape Cartridge 3592 Labeled Datacartridges Type D</t>
  </si>
  <si>
    <t>Tape Cartridge 3592 Labeled Datacartridges Type K</t>
  </si>
  <si>
    <t>3599-530 Tape Cartridge 3592 Labeled Datacartridges Type K</t>
  </si>
  <si>
    <t>3599-535</t>
  </si>
  <si>
    <t>535</t>
  </si>
  <si>
    <t>Tape Cartridge 3592 Labeled Datacartridges Type L</t>
  </si>
  <si>
    <t>3599-535 Tape Cartridge 3592 Labeled Datacartridges Type L</t>
  </si>
  <si>
    <t>Tape Cartridge 3592 Labeled WORM Type Y</t>
  </si>
  <si>
    <t>3599-540 Tape Cartridge 3592 Labeled WORM Type Y</t>
  </si>
  <si>
    <t>3599-545</t>
  </si>
  <si>
    <t>545</t>
  </si>
  <si>
    <t>Tape Cartridge 3592 Labeled WORM Type Z</t>
  </si>
  <si>
    <t>3599-545 Tape Cartridge 3592 Labeled WORM Type Z</t>
  </si>
  <si>
    <t>Tape Cartridge 3592 Datacartridges Type C</t>
  </si>
  <si>
    <t>3599-620 Tape Cartridge 3592 Datacartridges Type C</t>
  </si>
  <si>
    <t>3599-625</t>
  </si>
  <si>
    <t>625</t>
  </si>
  <si>
    <t>Tape Cartridge 3592 Datacartridges Type D</t>
  </si>
  <si>
    <t>3599-625 Tape Cartridge 3592 Datacartridges Type D</t>
  </si>
  <si>
    <t>Tape Cartridge 3592 Econom. Datacartridges Type K</t>
  </si>
  <si>
    <t>3599-630 Tape Cartridge 3592 Econom. Datacartridges Type K</t>
  </si>
  <si>
    <t>3599-635</t>
  </si>
  <si>
    <t>635</t>
  </si>
  <si>
    <t>Tape Cartridge 3592 Econom. Datacartridges Type L</t>
  </si>
  <si>
    <t>3599-635 Tape Cartridge 3592 Econom. Datacartridges Type L</t>
  </si>
  <si>
    <t>Tape Cartridge 3592 WORM Cartridge Type Y</t>
  </si>
  <si>
    <t>3599-640 Tape Cartridge 3592 WORM Cartridge Type Y</t>
  </si>
  <si>
    <t>3599-645</t>
  </si>
  <si>
    <t>645</t>
  </si>
  <si>
    <t>Tape Cartridge 3592 WORM Cartridge Type Z</t>
  </si>
  <si>
    <t>3599-645 Tape Cartridge 3592 WORM Cartridge Type Z</t>
  </si>
  <si>
    <t>3953-F05</t>
  </si>
  <si>
    <t>Tape Controller Frame</t>
  </si>
  <si>
    <t>3953-F05 Tape Controller Frame</t>
  </si>
  <si>
    <t>3953-L05</t>
  </si>
  <si>
    <t>L05</t>
  </si>
  <si>
    <t>Library Manager</t>
  </si>
  <si>
    <t>3953-L05 Library Manager</t>
  </si>
  <si>
    <t>TS7620 Expansion Drawer</t>
  </si>
  <si>
    <t>3959-EXP TS7620 Expansion Drawer</t>
  </si>
  <si>
    <t>IBM System storage TS7620 Protectier De-duplication Aplliance Express</t>
  </si>
  <si>
    <t>3959-SM2 IBM System storage TS7620 Protectier De-duplication Aplliance Express</t>
  </si>
  <si>
    <t>IBM Tivoli Lifecycle manager</t>
  </si>
  <si>
    <t>5608-A93 IBM Tivoli Lifecycle manager</t>
  </si>
  <si>
    <t>5608-A94</t>
  </si>
  <si>
    <t>A94</t>
  </si>
  <si>
    <t>5608-A94 IBM Tivoli Lifecycle manager</t>
  </si>
  <si>
    <t>5608-A95</t>
  </si>
  <si>
    <t>A95</t>
  </si>
  <si>
    <t>5608-A95 IBM Tivoli Lifecycle manager</t>
  </si>
  <si>
    <t>IBM Tivoli Key Lifecycle Manager V 2.5</t>
  </si>
  <si>
    <t>5608-A99 IBM Tivoli Key Lifecycle Manager V 2.5</t>
  </si>
  <si>
    <t>IBM Tivoli Storage FlashCopy Manager v4.1</t>
  </si>
  <si>
    <t>5608-ACB IBM Tivoli Storage FlashCopy Manager v4.1</t>
  </si>
  <si>
    <t>IBM SmartCloud Acces Instrumentation Layer</t>
  </si>
  <si>
    <t>5608-ACC IBM SmartCloud Acces Instrumentation Layer</t>
  </si>
  <si>
    <t>5608-ACL</t>
  </si>
  <si>
    <t>ACL</t>
  </si>
  <si>
    <t>IBM SmartCloud Virtual Storage Center For Storwize Family V5</t>
  </si>
  <si>
    <t>5608-ACL IBM SmartCloud Virtual Storage Center For Storwize Family V5</t>
  </si>
  <si>
    <t>5608-AP1</t>
  </si>
  <si>
    <t>IBM SmartCloud Virtual Storage Center Entry V5</t>
  </si>
  <si>
    <t>5608-AP1 IBM SmartCloud Virtual Storage Center Entry V5</t>
  </si>
  <si>
    <t>5608-AP2</t>
  </si>
  <si>
    <t>AP2</t>
  </si>
  <si>
    <t>IBM SmartCloud Virtual Storage Center SWMA</t>
  </si>
  <si>
    <t>5608-AP2 IBM SmartCloud Virtual Storage Center SWMA</t>
  </si>
  <si>
    <t>IBM Tivoli Continuous Data Protection for files</t>
  </si>
  <si>
    <t>5608-APG IBM Tivoli Continuous Data Protection for files</t>
  </si>
  <si>
    <t>5608-B15</t>
  </si>
  <si>
    <t>B15</t>
  </si>
  <si>
    <t>IBM Tivoli Storage Prod Center Reg.</t>
  </si>
  <si>
    <t>5608-B15 IBM Tivoli Storage Prod Center Reg.</t>
  </si>
  <si>
    <t>5608-B16</t>
  </si>
  <si>
    <t>B16</t>
  </si>
  <si>
    <t>5608-B16 IBM Tivoli Storage Prod Center Reg.</t>
  </si>
  <si>
    <t>5608-B17</t>
  </si>
  <si>
    <t>B17</t>
  </si>
  <si>
    <t>5608-B17 IBM Tivoli Storage Prod Center Reg.</t>
  </si>
  <si>
    <t>5608-B18</t>
  </si>
  <si>
    <t>B18</t>
  </si>
  <si>
    <t>5608-B18 IBM Tivoli Storage Prod Center Reg.</t>
  </si>
  <si>
    <t>5608-B19</t>
  </si>
  <si>
    <t>B19</t>
  </si>
  <si>
    <t>5608-B19 IBM Tivoli Storage Prod Center Reg.</t>
  </si>
  <si>
    <t>5608-B20</t>
  </si>
  <si>
    <t>B20</t>
  </si>
  <si>
    <t>5608-B20 IBM Tivoli Storage Prod Center Reg.</t>
  </si>
  <si>
    <t>5608-B21</t>
  </si>
  <si>
    <t>B21</t>
  </si>
  <si>
    <t>5608-B21 IBM Tivoli Storage Prod Center Reg.</t>
  </si>
  <si>
    <t>5608-B22 IBM Tivoli Storage Prod Center Reg.</t>
  </si>
  <si>
    <t>5608-B23</t>
  </si>
  <si>
    <t>B23</t>
  </si>
  <si>
    <t>5608-B23 IBM Tivoli Storage Prod Center Reg.</t>
  </si>
  <si>
    <t>5608-B24</t>
  </si>
  <si>
    <t>5608-B24 IBM Tivoli Storage Prod Center Reg.</t>
  </si>
  <si>
    <t>IBM Tivoli Storage Prod Center V5</t>
  </si>
  <si>
    <t>5608-PC1 IBM Tivoli Storage Prod Center V5</t>
  </si>
  <si>
    <t>IBM Tivoli Storage Prod Center Select Edition V5</t>
  </si>
  <si>
    <t>5608-PC2 IBM Tivoli Storage Prod Center Select Edition V5</t>
  </si>
  <si>
    <t>5608-R13</t>
  </si>
  <si>
    <t>R13</t>
  </si>
  <si>
    <t>IBM Tivoli Storage FlashCopy Manager Registration</t>
  </si>
  <si>
    <t>5608-R13 IBM Tivoli Storage FlashCopy Manager Registration</t>
  </si>
  <si>
    <t>5608-R18</t>
  </si>
  <si>
    <t>R18</t>
  </si>
  <si>
    <t>5608-R18 IBM Tivoli Storage FlashCopy Manager Registration</t>
  </si>
  <si>
    <t>IBM Tivoli TPC</t>
  </si>
  <si>
    <t>5608-R61 IBM Tivoli TPC</t>
  </si>
  <si>
    <t>IBM Tivoli Storage FlashCopy Manager V 3.2</t>
  </si>
  <si>
    <t>5608-W07 IBM Tivoli Storage FlashCopy Manager V 3.2</t>
  </si>
  <si>
    <t>IBM Virtual Storage Center V5.1</t>
  </si>
  <si>
    <t>5608-W08 IBM Virtual Storage Center V5.1</t>
  </si>
  <si>
    <t>5608-WC4 IBM Tivoli SPC For Disk</t>
  </si>
  <si>
    <t>5639-ATL</t>
  </si>
  <si>
    <t>ATL</t>
  </si>
  <si>
    <t>Atlantis ILIO Software</t>
  </si>
  <si>
    <t>5639-ATL Atlantis ILIO Software</t>
  </si>
  <si>
    <t>IBM Spectrum Virtualize Software for Stor V7000 Controller Software</t>
  </si>
  <si>
    <t>5639-CB7 IBM Spectrum Virtualize Software for Stor V7000 Controller Software</t>
  </si>
  <si>
    <t>5639-CBA</t>
  </si>
  <si>
    <t>CBA</t>
  </si>
  <si>
    <t>IBM Storwize for Storwize V7000 Controller Software V7</t>
  </si>
  <si>
    <t>5639-CBA IBM Storwize for Storwize V7000 Controller Software V7</t>
  </si>
  <si>
    <t>5639-CBB</t>
  </si>
  <si>
    <t>CBB</t>
  </si>
  <si>
    <t>5639-CBB IBM Storwize for Storwize V7000 Controller Software V7</t>
  </si>
  <si>
    <t>5639-CBC IBM Storwize for Storwize V7000 Controller Software V7</t>
  </si>
  <si>
    <t>5639-CBD</t>
  </si>
  <si>
    <t>CBD</t>
  </si>
  <si>
    <t>5639-CBD IBM Storwize for Storwize V7000 Controller Software V7</t>
  </si>
  <si>
    <t>5639-CBE</t>
  </si>
  <si>
    <t>CBE</t>
  </si>
  <si>
    <t>5639-CBE IBM Storwize for Storwize V7000 Controller Software V7</t>
  </si>
  <si>
    <t>5639-CBF</t>
  </si>
  <si>
    <t>CBF</t>
  </si>
  <si>
    <t>5639-CBF IBM Storwize for Storwize V7000 Controller Software V7</t>
  </si>
  <si>
    <t>5639-CBG</t>
  </si>
  <si>
    <t>CBG</t>
  </si>
  <si>
    <t>5639-CBG IBM Storwize for Storwize V7000 Controller Software V7</t>
  </si>
  <si>
    <t>5639-CBH</t>
  </si>
  <si>
    <t>CBH</t>
  </si>
  <si>
    <t>5639-CBH IBM Storwize for Storwize V7000 Controller Software V7</t>
  </si>
  <si>
    <t>5639-CP7</t>
  </si>
  <si>
    <t>CP7</t>
  </si>
  <si>
    <t>IBM Spectrum Virtualize Software for Stor V7000 Real Time Compression Software</t>
  </si>
  <si>
    <t>5639-CP7 IBM Spectrum Virtualize Software for Stor V7000 Real Time Compression Software</t>
  </si>
  <si>
    <t>5639-CS1</t>
  </si>
  <si>
    <t>CS1</t>
  </si>
  <si>
    <t>IBM Storwize Software for Real time compression</t>
  </si>
  <si>
    <t>5639-CS1 IBM Storwize Software for Real time compression</t>
  </si>
  <si>
    <t>5639-CS2</t>
  </si>
  <si>
    <t>CS2</t>
  </si>
  <si>
    <t>5639-CS2 IBM Storwize Software for Real time compression</t>
  </si>
  <si>
    <t>5639-CS3</t>
  </si>
  <si>
    <t>CS3</t>
  </si>
  <si>
    <t>5639-CS3 IBM Storwize Software for Real time compression</t>
  </si>
  <si>
    <t>5639-CS4</t>
  </si>
  <si>
    <t>CS4</t>
  </si>
  <si>
    <t>5639-CS4 IBM Storwize Software for Real time compression</t>
  </si>
  <si>
    <t>5639-CS5</t>
  </si>
  <si>
    <t>CS5</t>
  </si>
  <si>
    <t>5639-CS5 IBM Storwize Software for Real time compression</t>
  </si>
  <si>
    <t>5639-CS6</t>
  </si>
  <si>
    <t>CS6</t>
  </si>
  <si>
    <t>5639-CS6 IBM Storwize Software for Real time compression</t>
  </si>
  <si>
    <t>5639-CS7</t>
  </si>
  <si>
    <t>CS7</t>
  </si>
  <si>
    <t>5639-CS7 IBM Storwize Software for Real time compression</t>
  </si>
  <si>
    <t>5639-CT7</t>
  </si>
  <si>
    <t>CT7</t>
  </si>
  <si>
    <t>IBM Spectrum Virtualize Software for Stor V5000 Controller Software</t>
  </si>
  <si>
    <t>5639-CT7 IBM Spectrum Virtualize Software for Stor V5000 Controller Software</t>
  </si>
  <si>
    <t>5639-CTA</t>
  </si>
  <si>
    <t>CTA</t>
  </si>
  <si>
    <t>IBM Software Mantenance for Storwize V5000</t>
  </si>
  <si>
    <t>5639-CTA IBM Software Mantenance for Storwize V5000</t>
  </si>
  <si>
    <t>5639-CTC</t>
  </si>
  <si>
    <t>CTC</t>
  </si>
  <si>
    <t>5639-CTC IBM Software Mantenance for Storwize V5000</t>
  </si>
  <si>
    <t>5639-CTF</t>
  </si>
  <si>
    <t>CTF</t>
  </si>
  <si>
    <t>5639-CTF IBM Software Mantenance for Storwize V5000</t>
  </si>
  <si>
    <t>5639-CTG</t>
  </si>
  <si>
    <t>CTG</t>
  </si>
  <si>
    <t>5639-CTG IBM Software Mantenance for Storwize V5000</t>
  </si>
  <si>
    <t>5639-CTH</t>
  </si>
  <si>
    <t>CTH</t>
  </si>
  <si>
    <t>5639-CTH IBM Software Mantenance for Storwize V5000</t>
  </si>
  <si>
    <t>5639-EB7</t>
  </si>
  <si>
    <t>EB7</t>
  </si>
  <si>
    <t>IBM Spectrum Virtualize Software for Stor V7000 External Data Virt. Software</t>
  </si>
  <si>
    <t>5639-EB7 IBM Spectrum Virtualize Software for Stor V7000 External Data Virt. Software</t>
  </si>
  <si>
    <t>5639-EBA</t>
  </si>
  <si>
    <t>EBA</t>
  </si>
  <si>
    <t>IBM Software Mantenance for Storwize 7000</t>
  </si>
  <si>
    <t>5639-EBA IBM Software Mantenance for Storwize 7000</t>
  </si>
  <si>
    <t>5639-EBC</t>
  </si>
  <si>
    <t>EBC</t>
  </si>
  <si>
    <t>5639-EBC IBM Software Mantenance for Storwize 7000</t>
  </si>
  <si>
    <t>5639-EBF</t>
  </si>
  <si>
    <t>EBF</t>
  </si>
  <si>
    <t>5639-EBF IBM Software Mantenance for Storwize 7000</t>
  </si>
  <si>
    <t>5639-EBG</t>
  </si>
  <si>
    <t>EBG</t>
  </si>
  <si>
    <t>5639-EBG IBM Software Mantenance for Storwize 7000</t>
  </si>
  <si>
    <t>5639-EBH</t>
  </si>
  <si>
    <t>EBH</t>
  </si>
  <si>
    <t>5639-EBH IBM Software Mantenance for Storwize 7000</t>
  </si>
  <si>
    <t>5639-ET7</t>
  </si>
  <si>
    <t>ET7</t>
  </si>
  <si>
    <t>IBM Spectrum Virtualize Software for Stor V5000 External Data Virt. Software</t>
  </si>
  <si>
    <t>5639-ET7 IBM Spectrum Virtualize Software for Stor V5000 External Data Virt. Software</t>
  </si>
  <si>
    <t>5639-ETA</t>
  </si>
  <si>
    <t>ETA</t>
  </si>
  <si>
    <t>5639-ETA IBM Software Mantenance for Storwize V5000</t>
  </si>
  <si>
    <t>5639-ETC</t>
  </si>
  <si>
    <t>ETC</t>
  </si>
  <si>
    <t>5639-ETC IBM Software Mantenance for Storwize V5000</t>
  </si>
  <si>
    <t>5639-ETF</t>
  </si>
  <si>
    <t>ETF</t>
  </si>
  <si>
    <t>5639-ETF IBM Software Mantenance for Storwize V5000</t>
  </si>
  <si>
    <t>5639-ETG</t>
  </si>
  <si>
    <t>ETG</t>
  </si>
  <si>
    <t>5639-ETG IBM Software Mantenance for Storwize V5000</t>
  </si>
  <si>
    <t>5639-ETH</t>
  </si>
  <si>
    <t>ETH</t>
  </si>
  <si>
    <t>5639-ETH IBM Software Mantenance for Storwize V5000</t>
  </si>
  <si>
    <t>5639-EV7</t>
  </si>
  <si>
    <t>EV7</t>
  </si>
  <si>
    <t>IBM Spectrum Virtualize Software for Stor V7000 External Virt. Software</t>
  </si>
  <si>
    <t>5639-EV7 IBM Spectrum Virtualize Software for Stor V7000 External Virt. Software</t>
  </si>
  <si>
    <t>5639-FB1</t>
  </si>
  <si>
    <t>FB1</t>
  </si>
  <si>
    <t>IBM FastBack for Storwize V7000 V 6.1</t>
  </si>
  <si>
    <t>5639-FB1 IBM FastBack for Storwize V7000 V 6.1</t>
  </si>
  <si>
    <t>5639-FC7</t>
  </si>
  <si>
    <t>FC7</t>
  </si>
  <si>
    <t>IBM Flash System Real Time Compression Software V7</t>
  </si>
  <si>
    <t>5639-FC7 IBM Flash System Real Time Compression Software V7</t>
  </si>
  <si>
    <t>5639-FR7</t>
  </si>
  <si>
    <t>FR7</t>
  </si>
  <si>
    <t>IBM Flash System V9000 Remote Mirroring Software V7</t>
  </si>
  <si>
    <t>5639-FR7 IBM Flash System V9000 Remote Mirroring Software V7</t>
  </si>
  <si>
    <t>5639-FS7</t>
  </si>
  <si>
    <t>FS7</t>
  </si>
  <si>
    <t>IBM Flash System V9000 Software V7</t>
  </si>
  <si>
    <t>5639-FS7 IBM Flash System V9000 Software V7</t>
  </si>
  <si>
    <t>5639-FV7</t>
  </si>
  <si>
    <t>FV7</t>
  </si>
  <si>
    <t>IBM Flash System V9000 External Virtualization Software V7</t>
  </si>
  <si>
    <t>5639-FV7 IBM Flash System V9000 External Virtualization Software V7</t>
  </si>
  <si>
    <t>5639-HAA</t>
  </si>
  <si>
    <t>HAA</t>
  </si>
  <si>
    <t>IBM Tape Library Manager V1R1</t>
  </si>
  <si>
    <t>5639-HAA IBM Tape Library Manager V1R1</t>
  </si>
  <si>
    <t>IBM Spectrum Archive Enterprise Edition V1 R1</t>
  </si>
  <si>
    <t>5639-LP1 IBM Spectrum Archive Enterprise Edition V1 R1</t>
  </si>
  <si>
    <t>5639-LT1</t>
  </si>
  <si>
    <t>IBM Spectrum Archive Library Edition</t>
  </si>
  <si>
    <t>5639-LT1 IBM Spectrum Archive Library Edition</t>
  </si>
  <si>
    <t>5639-LT5</t>
  </si>
  <si>
    <t>5639-LT5 IBM System Storage Linear Tape File System</t>
  </si>
  <si>
    <t>IBM Network Advisor Software Maintenance</t>
  </si>
  <si>
    <t>5639-NA1 IBM Network Advisor Software Maintenance</t>
  </si>
  <si>
    <t>5639-NA2</t>
  </si>
  <si>
    <t>NA2</t>
  </si>
  <si>
    <t>5639-NA2 IBM Network Advisor Software Maintenance</t>
  </si>
  <si>
    <t>5639-NA3</t>
  </si>
  <si>
    <t>NA3</t>
  </si>
  <si>
    <t>5639-NA3 IBM Network Advisor Software Maintenance</t>
  </si>
  <si>
    <t>5639-NA4</t>
  </si>
  <si>
    <t>NA4</t>
  </si>
  <si>
    <t>5639-NA4 IBM Network Advisor Software Maintenance</t>
  </si>
  <si>
    <t>5639-NA5</t>
  </si>
  <si>
    <t>NA5</t>
  </si>
  <si>
    <t>5639-NA5 IBM Network Advisor Software Maintenance</t>
  </si>
  <si>
    <t>5639-NA6</t>
  </si>
  <si>
    <t>NA6</t>
  </si>
  <si>
    <t>5639-NA6 IBM Network Advisor Software Maintenance</t>
  </si>
  <si>
    <t>IBM Network Advisor V12.3</t>
  </si>
  <si>
    <t>5639-NAT IBM Network Advisor V12.3</t>
  </si>
  <si>
    <t>5639-NN1</t>
  </si>
  <si>
    <t>NN1</t>
  </si>
  <si>
    <t>IBM SONAS Software Maintenance</t>
  </si>
  <si>
    <t>5639-NN1 IBM SONAS Software Maintenance</t>
  </si>
  <si>
    <t>5639-NN2</t>
  </si>
  <si>
    <t>NN2</t>
  </si>
  <si>
    <t>5639-NN2 IBM SONAS Software Maintenance</t>
  </si>
  <si>
    <t>5639-NN3</t>
  </si>
  <si>
    <t>NN3</t>
  </si>
  <si>
    <t>5639-NN3 IBM SONAS Software Maintenance</t>
  </si>
  <si>
    <t>5639-NN4</t>
  </si>
  <si>
    <t>NN4</t>
  </si>
  <si>
    <t>5639-NN4 IBM SONAS Software Maintenance</t>
  </si>
  <si>
    <t>5639-NN5</t>
  </si>
  <si>
    <t>NN5</t>
  </si>
  <si>
    <t>5639-NN5 IBM SONAS Software Maintenance</t>
  </si>
  <si>
    <t>5639-NN6</t>
  </si>
  <si>
    <t>NN6</t>
  </si>
  <si>
    <t>5639-NN6 IBM SONAS Software Maintenance</t>
  </si>
  <si>
    <t>5639-NN7</t>
  </si>
  <si>
    <t>NN7</t>
  </si>
  <si>
    <t>5639-NN7 IBM SONAS Software Maintenance</t>
  </si>
  <si>
    <t>5639-PTA</t>
  </si>
  <si>
    <t>PTA</t>
  </si>
  <si>
    <t>IBM System Storage ProtecTIER Enterprise Edition V3.3</t>
  </si>
  <si>
    <t>5639-PTA IBM System Storage ProtecTIER Enterprise Edition V3.3</t>
  </si>
  <si>
    <t>5639-PTB</t>
  </si>
  <si>
    <t>PTB</t>
  </si>
  <si>
    <t>IBM System Storage ProtecTIER Appliance Edition V3.3</t>
  </si>
  <si>
    <t>5639-PTB IBM System Storage ProtecTIER Appliance Edition V3.3</t>
  </si>
  <si>
    <t>5639-PTC</t>
  </si>
  <si>
    <t>PTC</t>
  </si>
  <si>
    <t>IBM System Storage ProtecTIER Entry Edition V3.3</t>
  </si>
  <si>
    <t>5639-PTC IBM System Storage ProtecTIER Entry Edition V3.3</t>
  </si>
  <si>
    <t>5639-RB7</t>
  </si>
  <si>
    <t>RB7</t>
  </si>
  <si>
    <t>IBM Flash System V9000 Base Software</t>
  </si>
  <si>
    <t>5639-RB7 IBM Flash System V9000 Base Software</t>
  </si>
  <si>
    <t>5639-RBC</t>
  </si>
  <si>
    <t>RBC</t>
  </si>
  <si>
    <t>IBM Flash System V9000 Base Software 3 yr SW Mant. Regist.</t>
  </si>
  <si>
    <t>5639-RBC IBM Flash System V9000 Base Software 3 yr SW Mant. Regist.</t>
  </si>
  <si>
    <t>5639-RMA</t>
  </si>
  <si>
    <t>RMA</t>
  </si>
  <si>
    <t>IBM Storwize Family Software V7000 Remote Mirroring Mant.</t>
  </si>
  <si>
    <t>5639-RMA IBM Storwize Family Software V7000 Remote Mirroring Mant.</t>
  </si>
  <si>
    <t>5639-RMB</t>
  </si>
  <si>
    <t>RMB</t>
  </si>
  <si>
    <t>5639-RMB IBM Storwize Family Software V7000 Remote Mirroring Mant.</t>
  </si>
  <si>
    <t>5639-RMC</t>
  </si>
  <si>
    <t>RMC</t>
  </si>
  <si>
    <t>5639-RMC IBM Storwize Family Software V7000 Remote Mirroring Mant.</t>
  </si>
  <si>
    <t>5639-RMD</t>
  </si>
  <si>
    <t>5639-RMD IBM Storwize Family Software V7000 Remote Mirroring Mant.</t>
  </si>
  <si>
    <t>5639-RME</t>
  </si>
  <si>
    <t>RME</t>
  </si>
  <si>
    <t>5639-RME IBM Storwize Family Software V7000 Remote Mirroring Mant.</t>
  </si>
  <si>
    <t>5639-RMF</t>
  </si>
  <si>
    <t>RMF</t>
  </si>
  <si>
    <t>5639-RMF IBM Storwize Family Software V7000 Remote Mirroring Mant.</t>
  </si>
  <si>
    <t>5639-RMG</t>
  </si>
  <si>
    <t>RMG</t>
  </si>
  <si>
    <t>5639-RMG IBM Storwize Family Software V7000 Remote Mirroring Mant.</t>
  </si>
  <si>
    <t>5639-RMH</t>
  </si>
  <si>
    <t>RMH</t>
  </si>
  <si>
    <t>5639-RMH IBM Storwize Family Software V7000 Remote Mirroring Mant.</t>
  </si>
  <si>
    <t>5639-RM7</t>
  </si>
  <si>
    <t>RM7</t>
  </si>
  <si>
    <t>IBM Spectrum Virtualize Software for Stor V7000 Remote Mirroring Software</t>
  </si>
  <si>
    <t>5639-RM7 IBM Spectrum Virtualize Software for Stor V7000 Remote Mirroring Software</t>
  </si>
  <si>
    <t>5639-SF1</t>
  </si>
  <si>
    <t>SF1</t>
  </si>
  <si>
    <t>IBM Software Mantenance for Storwize 7000 Unified</t>
  </si>
  <si>
    <t>5639-SF1 IBM Software Mantenance for Storwize 7000 Unified</t>
  </si>
  <si>
    <t>5639-SF2</t>
  </si>
  <si>
    <t>SF2</t>
  </si>
  <si>
    <t>5639-SF2 IBM Software Mantenance for Storwize 7000 Unified</t>
  </si>
  <si>
    <t>5639-SF3</t>
  </si>
  <si>
    <t>SF3</t>
  </si>
  <si>
    <t>5639-SF3 IBM Software Mantenance for Storwize 7000 Unified</t>
  </si>
  <si>
    <t>5639-SF4</t>
  </si>
  <si>
    <t>SF4</t>
  </si>
  <si>
    <t>5639-SF4 IBM Software Mantenance for Storwize 7000 Unified</t>
  </si>
  <si>
    <t>5639-SF5</t>
  </si>
  <si>
    <t>SF5</t>
  </si>
  <si>
    <t>5639-SF5 IBM Software Mantenance for Storwize 7000 Unified</t>
  </si>
  <si>
    <t>5639-SF6</t>
  </si>
  <si>
    <t>SF6</t>
  </si>
  <si>
    <t>5639-SF6 IBM Software Mantenance for Storwize 7000 Unified</t>
  </si>
  <si>
    <t>5639-SF7</t>
  </si>
  <si>
    <t>SF7</t>
  </si>
  <si>
    <t>5639-SF7 IBM Software Mantenance for Storwize 7000 Unified</t>
  </si>
  <si>
    <t>5639-SF8</t>
  </si>
  <si>
    <t>SF8</t>
  </si>
  <si>
    <t>5639-SF8 IBM Software Mantenance for Storwize 7000 Unified</t>
  </si>
  <si>
    <t>5639-SM1</t>
  </si>
  <si>
    <t>SM1</t>
  </si>
  <si>
    <t>5639-SM1 IBM Software Mantenance for Storwize 7000</t>
  </si>
  <si>
    <t>5639-SM2</t>
  </si>
  <si>
    <t>5639-SM2 IBM Software Mantenance for Storwize 7000</t>
  </si>
  <si>
    <t>5639-SM3 IBM Software Mantenance for Storwize 7000</t>
  </si>
  <si>
    <t>5639-SM4</t>
  </si>
  <si>
    <t>SM4</t>
  </si>
  <si>
    <t>5639-SM4 IBM Software Mantenance for Storwize 7000</t>
  </si>
  <si>
    <t>5639-SM5</t>
  </si>
  <si>
    <t>SM5</t>
  </si>
  <si>
    <t>5639-SM5 IBM Software Mantenance for Storwize 7000</t>
  </si>
  <si>
    <t>5639-SM6</t>
  </si>
  <si>
    <t>SM6</t>
  </si>
  <si>
    <t>5639-SM6 IBM Software Mantenance for Storwize 7000</t>
  </si>
  <si>
    <t>5639-SM7</t>
  </si>
  <si>
    <t>SM7</t>
  </si>
  <si>
    <t>5639-SM7 IBM Software Mantenance for Storwize 7000</t>
  </si>
  <si>
    <t>5639-SM8</t>
  </si>
  <si>
    <t>SM8</t>
  </si>
  <si>
    <t>5639-SM8 IBM Software Mantenance for Storwize 7000</t>
  </si>
  <si>
    <t>5639-SN1</t>
  </si>
  <si>
    <t>SN1</t>
  </si>
  <si>
    <t>IBM Scale Out Network Attached Storage Software V1</t>
  </si>
  <si>
    <t>5639-SN1 IBM Scale Out Network Attached Storage Software V1</t>
  </si>
  <si>
    <t>5639-ST7</t>
  </si>
  <si>
    <t>ST7</t>
  </si>
  <si>
    <t>IBM Spectrum Virtualize Software for Storwise 5000</t>
  </si>
  <si>
    <t>5639-ST7 IBM Spectrum Virtualize Software for Storwise 5000</t>
  </si>
  <si>
    <t>5639-TL1</t>
  </si>
  <si>
    <t>TL1</t>
  </si>
  <si>
    <t>IBM LTFS Storage Manager V1.1</t>
  </si>
  <si>
    <t>5639-TL1 IBM LTFS Storage Manager V1.1</t>
  </si>
  <si>
    <t>5639-VF1</t>
  </si>
  <si>
    <t>VF1</t>
  </si>
  <si>
    <t>IBM Storwize V7000 File Module Software V1.5</t>
  </si>
  <si>
    <t>5639-VF1 IBM Storwize V7000 File Module Software V1.5</t>
  </si>
  <si>
    <t>IBM Spectrum Virtualize Software for Storwize V7000</t>
  </si>
  <si>
    <t>5639-VM7 IBM Spectrum Virtualize Software for Storwize V7000</t>
  </si>
  <si>
    <t>IBM Spectrum Virtualize Software for Storwize V7000 Expansion Software</t>
  </si>
  <si>
    <t>5639-XB7 IBM Spectrum Virtualize Software for Storwize V7000 Expansion Software</t>
  </si>
  <si>
    <t>5639-XBA</t>
  </si>
  <si>
    <t>XBA</t>
  </si>
  <si>
    <t>5639-XBA IBM Software Mantenance for Storwize 7000</t>
  </si>
  <si>
    <t>5639-XBC IBM Software Mantenance for Storwize 7000</t>
  </si>
  <si>
    <t>5639-XBF</t>
  </si>
  <si>
    <t>XBF</t>
  </si>
  <si>
    <t>5639-XBF IBM Software Mantenance for Storwize 7000</t>
  </si>
  <si>
    <t>5639-XBG</t>
  </si>
  <si>
    <t>XBG</t>
  </si>
  <si>
    <t>5639-XBG IBM Software Mantenance for Storwize 7000</t>
  </si>
  <si>
    <t>5639-XBH</t>
  </si>
  <si>
    <t>XBH</t>
  </si>
  <si>
    <t>5639-XBH IBM Software Mantenance for Storwize 7000</t>
  </si>
  <si>
    <t>5639-XT7</t>
  </si>
  <si>
    <t>XT7</t>
  </si>
  <si>
    <t>IBM Spectrum Virtualize Software for Storwize V5000 Expansion Software</t>
  </si>
  <si>
    <t>5639-XT7 IBM Spectrum Virtualize Software for Storwize V5000 Expansion Software</t>
  </si>
  <si>
    <t>5639-XTA</t>
  </si>
  <si>
    <t>XTA</t>
  </si>
  <si>
    <t>5639-XTA IBM Software Mantenance for Storwize V5000</t>
  </si>
  <si>
    <t>5639-XTC</t>
  </si>
  <si>
    <t>XTC</t>
  </si>
  <si>
    <t>5639-XTC IBM Software Mantenance for Storwize V5000</t>
  </si>
  <si>
    <t>5639-XTF</t>
  </si>
  <si>
    <t>XTF</t>
  </si>
  <si>
    <t>5639-XTF IBM Software Mantenance for Storwize V5000</t>
  </si>
  <si>
    <t>5639-XTG</t>
  </si>
  <si>
    <t>XTG</t>
  </si>
  <si>
    <t>5639-XTG IBM Software Mantenance for Storwize V5000</t>
  </si>
  <si>
    <t>5639-XTH</t>
  </si>
  <si>
    <t>XTH</t>
  </si>
  <si>
    <t>5639-XTH IBM Software Mantenance for Storwize V5000</t>
  </si>
  <si>
    <t>5639-XC1</t>
  </si>
  <si>
    <t>XC1</t>
  </si>
  <si>
    <t>IBM XIV Storage System Software Registration</t>
  </si>
  <si>
    <t>5639-XC1 IBM XIV Storage System Software Registration</t>
  </si>
  <si>
    <t>5639-XC3</t>
  </si>
  <si>
    <t>XC3</t>
  </si>
  <si>
    <t>5639-XC3 IBM XIV Storage System Software Registration</t>
  </si>
  <si>
    <t>5639-XC4</t>
  </si>
  <si>
    <t>XC4</t>
  </si>
  <si>
    <t>5639-XC4 IBM XIV Storage System Software Registration</t>
  </si>
  <si>
    <t>5639-XC6</t>
  </si>
  <si>
    <t>XC6</t>
  </si>
  <si>
    <t>5639-XC6 IBM XIV Storage System Software Registration</t>
  </si>
  <si>
    <t>5639-XC7</t>
  </si>
  <si>
    <t>XC7</t>
  </si>
  <si>
    <t>5639-XC7 IBM XIV Storage System Software Registration</t>
  </si>
  <si>
    <t>5639-XC8</t>
  </si>
  <si>
    <t>XC8</t>
  </si>
  <si>
    <t>5639-XC8 IBM XIV Storage System Software Registration</t>
  </si>
  <si>
    <t>5639-XXA</t>
  </si>
  <si>
    <t>XXA</t>
  </si>
  <si>
    <t>IBM XIV Storage System Software V 10.2.4</t>
  </si>
  <si>
    <t>5639-XXA IBM XIV Storage System Software V 10.2.4</t>
  </si>
  <si>
    <t>5639-XX3</t>
  </si>
  <si>
    <t>XX3</t>
  </si>
  <si>
    <t>5639-XX3 IBM XIV Storage System Software Registration</t>
  </si>
  <si>
    <t>5639-YG1</t>
  </si>
  <si>
    <t>YG1</t>
  </si>
  <si>
    <t>IBM XIV Storage System GEN 3 Software</t>
  </si>
  <si>
    <t>5639-YG1 IBM XIV Storage System GEN 3 Software</t>
  </si>
  <si>
    <t>5639-YG3</t>
  </si>
  <si>
    <t>YG3</t>
  </si>
  <si>
    <t>5639-YG3 IBM XIV Storage System Software Registration</t>
  </si>
  <si>
    <t>5639-YG4</t>
  </si>
  <si>
    <t>YG4</t>
  </si>
  <si>
    <t>5639-YG4 IBM XIV Storage System Software Registration</t>
  </si>
  <si>
    <t>5639-YG6</t>
  </si>
  <si>
    <t>YG6</t>
  </si>
  <si>
    <t>5639-YG6 IBM XIV Storage System Software Registration</t>
  </si>
  <si>
    <t>5639-YG7</t>
  </si>
  <si>
    <t>YG7</t>
  </si>
  <si>
    <t>5639-YG7 IBM XIV Storage System Software Registration</t>
  </si>
  <si>
    <t>5639-YG8</t>
  </si>
  <si>
    <t>YG8</t>
  </si>
  <si>
    <t>5639-YG8 IBM XIV Storage System Software Registration</t>
  </si>
  <si>
    <t>5639-YYB</t>
  </si>
  <si>
    <t>YYB</t>
  </si>
  <si>
    <t>IBM XIV Storage System GEN 3 Software V11</t>
  </si>
  <si>
    <t>5639-YYB IBM XIV Storage System GEN 3 Software V11</t>
  </si>
  <si>
    <t>5639-YYC</t>
  </si>
  <si>
    <t>YYC</t>
  </si>
  <si>
    <t>IBM XIV Cloud Storage for Service Providers V11.4.2</t>
  </si>
  <si>
    <t>5639-YYC IBM XIV Cloud Storage for Service Providers V11.4.2</t>
  </si>
  <si>
    <t>5639-YYE</t>
  </si>
  <si>
    <t>YYE</t>
  </si>
  <si>
    <t>5639-YYE IBM XIV Storage System GEN 3 Software</t>
  </si>
  <si>
    <t>5639-YYF</t>
  </si>
  <si>
    <t>YYF</t>
  </si>
  <si>
    <t>5639-YYF IBM XIV Storage System GEN 3 Software</t>
  </si>
  <si>
    <t>5639-YYG</t>
  </si>
  <si>
    <t>YYG</t>
  </si>
  <si>
    <t>5639-YYG IBM XIV Storage System GEN 3 Software</t>
  </si>
  <si>
    <t>5641-AC1</t>
  </si>
  <si>
    <t>IBM Spectrum Accelerate with 1 Year Software</t>
  </si>
  <si>
    <t>5641-AC1 IBM Spectrum Accelerate with 1 Year Software</t>
  </si>
  <si>
    <t>5641-AC2</t>
  </si>
  <si>
    <t>AC2</t>
  </si>
  <si>
    <t>IBM Spectrum Accelerate</t>
  </si>
  <si>
    <t>5641-AC2 IBM Spectrum Accelerate</t>
  </si>
  <si>
    <t>5641-AC3</t>
  </si>
  <si>
    <t>AC3</t>
  </si>
  <si>
    <t>IBM Spectrum Accelerate with 3 Year Software</t>
  </si>
  <si>
    <t>5641-AC3 IBM Spectrum Accelerate with 3 Year Software</t>
  </si>
  <si>
    <t>5641-AC4</t>
  </si>
  <si>
    <t>AC4</t>
  </si>
  <si>
    <t>IBM Spectrum Accelerate with 4 Year Software</t>
  </si>
  <si>
    <t>5641-AC4 IBM Spectrum Accelerate with 4 Year Software</t>
  </si>
  <si>
    <t>5641-AC5</t>
  </si>
  <si>
    <t>AC5</t>
  </si>
  <si>
    <t>IBM Spectrum Accelerate with 5 Year Software</t>
  </si>
  <si>
    <t>5641-AC5 IBM Spectrum Accelerate with 5 Year Software</t>
  </si>
  <si>
    <t>5641-B01</t>
  </si>
  <si>
    <t>B01</t>
  </si>
  <si>
    <t>IBM Spectrum Virtualize Software for SVC Encryption soft.</t>
  </si>
  <si>
    <t>5641-B01 IBM Spectrum Virtualize Software for SVC Encryption soft.</t>
  </si>
  <si>
    <t>5641-CP7</t>
  </si>
  <si>
    <t>IBM Spectrum Virtualize SVC Real Time Compression Software V7</t>
  </si>
  <si>
    <t>5641-CP7 IBM Spectrum Virtualize SVC Real Time Compression Software V7</t>
  </si>
  <si>
    <t>5641-CS1</t>
  </si>
  <si>
    <t>SAN Volume Controller Software Maintenance</t>
  </si>
  <si>
    <t>5641-CS1 SAN Volume Controller Software Maintenance</t>
  </si>
  <si>
    <t>5641-CS2</t>
  </si>
  <si>
    <t>5641-CS2 SAN Volume Controller Software Maintenance</t>
  </si>
  <si>
    <t>5641-CS3</t>
  </si>
  <si>
    <t>5641-CS3 SAN Volume Controller Software Maintenance</t>
  </si>
  <si>
    <t>5641-CS4</t>
  </si>
  <si>
    <t>5641-CS4 SAN Volume Controller Software Maintenance</t>
  </si>
  <si>
    <t>5641-CS5</t>
  </si>
  <si>
    <t>5641-CS5 SAN Volume Controller Software Maintenance</t>
  </si>
  <si>
    <t>5641-GPF</t>
  </si>
  <si>
    <t>GPF</t>
  </si>
  <si>
    <t>IBM Spectrum Scale</t>
  </si>
  <si>
    <t>5641-GPF IBM Spectrum Scale</t>
  </si>
  <si>
    <t>IBM Smart Cloud Storage Acces V1.2</t>
  </si>
  <si>
    <t>5641-SSA IBM Smart Cloud Storage Acces V1.2</t>
  </si>
  <si>
    <t>5641-VCA</t>
  </si>
  <si>
    <t>VCA</t>
  </si>
  <si>
    <t>IBM Storwize Software Family for SAN Volumen Controller V7</t>
  </si>
  <si>
    <t>5641-VCA IBM Storwize Software Family for SAN Volumen Controller V7</t>
  </si>
  <si>
    <t>5641-VCB</t>
  </si>
  <si>
    <t>VCB</t>
  </si>
  <si>
    <t>5641-VCB IBM Storwize Software Family for SAN Volumen Controller V7</t>
  </si>
  <si>
    <t>5641-VCC</t>
  </si>
  <si>
    <t>VCC</t>
  </si>
  <si>
    <t>5641-VCC IBM Storwize Software Family for SAN Volumen Controller V7</t>
  </si>
  <si>
    <t>5641-VCD</t>
  </si>
  <si>
    <t>VCD</t>
  </si>
  <si>
    <t>5641-VCD IBM Storwize Software Family for SAN Volumen Controller V7</t>
  </si>
  <si>
    <t>5641-VCE</t>
  </si>
  <si>
    <t>VCE</t>
  </si>
  <si>
    <t>5641-VCE IBM Storwize Software Family for SAN Volumen Controller V7</t>
  </si>
  <si>
    <t>5641-VC7</t>
  </si>
  <si>
    <t>VC7</t>
  </si>
  <si>
    <t>IBM Spectrum Virtualize Software for SVC V7</t>
  </si>
  <si>
    <t>5641-VC7 IBM Spectrum Virtualize Software for SVC V7</t>
  </si>
  <si>
    <t>9710-E01</t>
  </si>
  <si>
    <t>9710</t>
  </si>
  <si>
    <t>Cisco MDS 9710 Multilayer Director</t>
  </si>
  <si>
    <t>9710-E01 Cisco MDS 9710 Multilayer Director</t>
  </si>
  <si>
    <t>9710-E08</t>
  </si>
  <si>
    <t>Cisco MDS 9250i Multiservice Fabric Switch</t>
  </si>
  <si>
    <t>9710-E08 Cisco MDS 9250i Multiservice Fabric Switch</t>
  </si>
  <si>
    <t>9840-AE1</t>
  </si>
  <si>
    <t>9840</t>
  </si>
  <si>
    <t>FlashSystem 840</t>
  </si>
  <si>
    <t>9840-AE1 FlashSystem 840</t>
  </si>
  <si>
    <t>9840-AE2</t>
  </si>
  <si>
    <t>FlashSystem 900 1 yr warranty</t>
  </si>
  <si>
    <t>9840-AE2 FlashSystem 900 1 yr warranty</t>
  </si>
  <si>
    <t>9843-AE2</t>
  </si>
  <si>
    <t>9843</t>
  </si>
  <si>
    <t>FlashSystem 900 3 yrs warranty</t>
  </si>
  <si>
    <t>9843-AE2 FlashSystem 900 3 yrs warranty</t>
  </si>
  <si>
    <t>9846-AC2</t>
  </si>
  <si>
    <t>9846</t>
  </si>
  <si>
    <t>FlashSystem V9000 Control Enclosure (1 yr warranty)</t>
  </si>
  <si>
    <t>9846-AC2 FlashSystem V9000 Control Enclosure (1 yr warranty)</t>
  </si>
  <si>
    <t>9846-AE2</t>
  </si>
  <si>
    <t>FlashSystem V9000 1 yr warranty</t>
  </si>
  <si>
    <t>9846-AE2 FlashSystem V9000 1 yr warranty</t>
  </si>
  <si>
    <t>9848</t>
  </si>
  <si>
    <t>FlashSystem V9000 Control Enclosure (3 yrs warranty)</t>
  </si>
  <si>
    <t>9848-AC2 FlashSystem V9000 Control Enclosure (3 yrs warranty)</t>
  </si>
  <si>
    <t>9848-AE1</t>
  </si>
  <si>
    <t>Flashsystem V840</t>
  </si>
  <si>
    <t>9848-AE1 Flashsystem V840</t>
  </si>
  <si>
    <t>FlashSystem V9000 3 yrs warranty</t>
  </si>
  <si>
    <t>9848-AE2 FlashSystem V9000 3 yrs warranty</t>
  </si>
  <si>
    <t>Software Power</t>
  </si>
  <si>
    <t>5313</t>
  </si>
  <si>
    <t>5665</t>
  </si>
  <si>
    <t>5733-MAL</t>
  </si>
  <si>
    <t>MAL</t>
  </si>
  <si>
    <t>5771-ALC</t>
  </si>
  <si>
    <t>ALC</t>
  </si>
  <si>
    <t>5771-ALS</t>
  </si>
  <si>
    <t>ALS</t>
  </si>
  <si>
    <t>5771-ALZ</t>
  </si>
  <si>
    <t>ALZ</t>
  </si>
  <si>
    <t>5771-EA</t>
  </si>
  <si>
    <t>-EA</t>
  </si>
  <si>
    <t>5771-G91</t>
  </si>
  <si>
    <t>G91</t>
  </si>
  <si>
    <t>Actualizacion exhibit software Power</t>
  </si>
  <si>
    <t>C:\Users\adimare\Documents\Herramientas\Desarrollo\Exhibit software Power diciembre 2015.txt</t>
  </si>
  <si>
    <t>MAC_GenerarArchivoPedidoNuevo</t>
  </si>
  <si>
    <t>Tabla de compras (N)</t>
  </si>
  <si>
    <t>tabladecomprasN</t>
  </si>
  <si>
    <t>tablaservicios</t>
  </si>
  <si>
    <t>tablagarantias</t>
  </si>
  <si>
    <t>tablaespecificaciones</t>
  </si>
  <si>
    <t>Lista Precios actual</t>
  </si>
  <si>
    <t>LA Category</t>
  </si>
  <si>
    <t>Unit U$ Onshore</t>
  </si>
  <si>
    <t>ABCD</t>
  </si>
  <si>
    <t>Hojas</t>
  </si>
  <si>
    <t>Server Mid</t>
  </si>
  <si>
    <t>B</t>
  </si>
  <si>
    <t>A</t>
  </si>
  <si>
    <t>Server Entry</t>
  </si>
  <si>
    <t>C</t>
  </si>
  <si>
    <t>TopSeller x3250 M5, Xeon 4C E3-1231v3 80W 3.4GHz/1600MHz/8MB, 1x8GB, O/Bay HS 3.5in SAS/SATA, SR H1110, 300W p/s, Rack</t>
  </si>
  <si>
    <t>TopSeller x3550 M5, Xeon 6C E5-2609v3 85W 1.9GHz/1600MHz/15MB, 1x8GB, O/Bay SS 3.5in SATA/SAS, SR M1215, Multiburner, 550W p/s, Rack</t>
  </si>
  <si>
    <t>TopSeller x3550 M5, Xeon 6C E5-2609v3 85W 1.9GHz/1600MHz/15MB, 1x8GB, 2x300GB, HS 2.5in SAS, SR M5210, Multiburner, 2x550W p/s, Rack</t>
  </si>
  <si>
    <t>TopSeller x3550 M5, Xeon 6C E5-2620v3 85W 2.4GHz/1866MHz/15MB, 1X8GB, O/Bay SS 3.5in SATA/SAS, SR M5210, Multiburner, 2x550W p/s, Rack</t>
  </si>
  <si>
    <t>TopSeller x3550 M5, Xeon 8C E5-2640v3 90W 2.6GHz/1866MHz/20MB, 2x16GB, O/Bay HS 2.5in SATA/SAS, SR M5210, Multiburner, 2x550W p/s, Rack</t>
  </si>
  <si>
    <t>TopSeller x3550 M5, 2xXeon 12C E5-2680v3 120W 2.5GHz/2133MHz/30MB, 2x16GB, O/Bay HS 2.5in SATA/SAS, SR M5210, Multiburner, 2x750W p/s, Rack</t>
  </si>
  <si>
    <t>TopSeller x3550 M5, Xeon 6C E5-2609v3 85W 1.9GHz/1600MHz/15MB, 1x8GB, O/Bay SS 2.5in SATA/SAS, SR M1215, Multiburner, 550W p/s, Rack</t>
  </si>
  <si>
    <t>TopSeller x3550 M5, Xeon 6C E5-2620v3 85W 2.4GHz/1866MHz/15MB, 1x8GB, O/Bay SS 2.5in SATA/SAS, SR M5210, Multiburner, 2x550W p/s, Rack</t>
  </si>
  <si>
    <t>5463N2U</t>
  </si>
  <si>
    <t>x3550 M5, Xeon 14C E5-2697v3 145W 2.6GHz/2133MHz/35MB, 1x16GB, O/Bay HS 2.5in SATA/SAS, SR M5210, 750W p/s, Rack</t>
  </si>
  <si>
    <t>5463P2U</t>
  </si>
  <si>
    <t>x3550 M5, Xeon 10C E5-2660v3 105W 2.6GHz/2133MHz/25MB, 1x16GB, O/Bay HS 2.5in SATA/SAS, SR M5210, 750W p/s, Rack</t>
  </si>
  <si>
    <t>5463Q2U</t>
  </si>
  <si>
    <t>x3550 M5, Xeon 8C E5-2667v3 135W 3.2GHz/2133MHz/20MB, 1x16GB, O/Bay HS 2.5in SATA/SAS, SR M5210, 750W p/s, Rack</t>
  </si>
  <si>
    <t>TopSeller x3650 M4, Xeon 6C E5-2620v2 80W 2.1GHz/1600MHz/15MB, 1x16GB, 2x300GB, HS 2.5in SAS/SATA, SR M5110e, 2x550W p/s, Rack</t>
  </si>
  <si>
    <t>TopSeller x3650 M4, Xeon 8C E5-2640v2 95W 2.0GHz/1600MHz/20MB, 2x16GB, 2x300GB,  HS 2.5in SAS/SATA, SR M5110e, 2x550W p/s, Rack</t>
  </si>
  <si>
    <t>TopSeller x3650 M5, Xeon 6C E5-2609v3 85W 1.9GHz/1600MHz/15MB, 1x8GB, O/Bay HS 2.5in SATA/SAS, SR M5210, Multiburner, 550W p/s, Rack</t>
  </si>
  <si>
    <t>TopSeller x3650 M5, Xeon 6C E5-2620v3 85W 2.4GHz/1866MHz/15MB, 1x8GB, O/Bay HS 2.5in SATA/SAS, SR M5210, Multiburner, 550W p/s, Rack</t>
  </si>
  <si>
    <t>TopSeller x3650 M5, Xeon 6C E5-2620v3 85W 2.4GHz/1866MHz/15MB, 1x8GB, 2x300GB, HS 2.5in SAS, SR M5210, Multiburner, 2x550W p/s, Rack</t>
  </si>
  <si>
    <t>TopSeller x3650 M5, Xeon 8C E5-2630v3 85W 2.4GHz/1866MHz/20MB, 1x16GB, O/Bay HS 2.5in SATA/SAS, SR M5210, Multiburner, 550W p/s, Rack</t>
  </si>
  <si>
    <t>TopSeller x3650 M5, 2xXeon 10C E5-2650v3 105W 2.3GHz/2133MHz/25MB, 2x16GB, O/Bay HS 2.5in SATA/SAS, SR M5210, Multiburner, 2x750W p/s, Rack</t>
  </si>
  <si>
    <t>TopSeller x3650 M5, Xeon 12C E5-2670v3 120W 2.3GHz/2133MHz/30MB, 1x16GB, O/Bay HS 2.5in SATA/SAS, SR M5210, Multiburner, 750W p/s, Rack</t>
  </si>
  <si>
    <t>5462N2U</t>
  </si>
  <si>
    <t>x3650 M5, Xeon 10C E5-2660 v3 105W 2.6GHz/2133MHz/25MB, 1x16GB, O/Bay HS 2.5in SAS/SATA, SR M5210, 750W p/s, Rack</t>
  </si>
  <si>
    <t>5462P2U</t>
  </si>
  <si>
    <t>x3650 M5, Xeon 8C E5-2667 v3 135W 3.2GHz/2133MHz/20MB, 1x16GB, O/Bay HS 2.5in SAS/SATA, SR M5210, 900W p/s, Rack</t>
  </si>
  <si>
    <t>5462Q2U</t>
  </si>
  <si>
    <t>x3650 M5, Xeon 14C E5-2697 v3 145W 2.6GHz/2133MHz/35MB, 1x16GB, O/Bay HS 2.5in SAS/SATA, SR M5210, 900W p/s, Rack</t>
  </si>
  <si>
    <t>Server High</t>
  </si>
  <si>
    <t>6241D4U</t>
  </si>
  <si>
    <t>x3850 X6, 1x Compute Book Xeon 8C E7-4809v3 115W 2.0GHz/1600MHz/20MB, 2x8GB, O/Bay HS 2.5in SAS/SATA, 1x900W p/s, Rack</t>
  </si>
  <si>
    <t>6241D5U</t>
  </si>
  <si>
    <t>x3850 X6, 1x Compute Book Xeon 8C E7-4809v3 115W 2.0GHz/2133MHz/20MB, 2x8GB, O/Bay HS 2.5in SAS/SATA, 1x900W p/s, Rack</t>
  </si>
  <si>
    <t>6241F1U</t>
  </si>
  <si>
    <t>x3850 X6, 2x Compute Book Xeon 10C E7-4820v3 115W 1.9GHz/1600MHz/25MB, 4x16GB, O/Bay HS 2.5in SAS/SATA, SR M5210, 2x900W p/s, Rack</t>
  </si>
  <si>
    <t>6241F2U</t>
  </si>
  <si>
    <t>x3850 X6, 2x Compute Book Xeon 10C E7-4820v3 115W 1.9GHz/2133MHz/25MB, 4x16GB, O/Bay HS 2.5in SAS/SATA, SR M5210, 2x900W p/s, Rack</t>
  </si>
  <si>
    <t>6241F3U</t>
  </si>
  <si>
    <t>x3850 X6, 2x Compute Book Xeon 14C E7-4850v3 115W 2.2GHz/1600MHz/35MB, 4x16GB, O/Bay HS 2.5in SAS/SATA, SR M5210, 2x900W p/s, Rack</t>
  </si>
  <si>
    <t>6241F4U</t>
  </si>
  <si>
    <t>x3850 X6, 2x Compute Book Xeon 14C E7-4850v3 115W 2.2GHz/2133MHz/35MB, 4x16GB, O/Bay HS 2.5in SAS/SATA, SR M5210, 2x900W p/s, Rack</t>
  </si>
  <si>
    <t>6241G1U</t>
  </si>
  <si>
    <t>x3850 X6, 2x Compute Book Xeon 16C E7-8860v3 140W 2.2GHz/1600MHz/40MB, 4x16GB, O/Bay HS 2.5in SAS/SATA, SR M5210, 2x900W p/s, Rack</t>
  </si>
  <si>
    <t>6241G2U</t>
  </si>
  <si>
    <t>x3850 X6, 2x Compute Book Xeon 16C E7-8860v3 140W 2.2GHz/2133MHz/40MB, 4x16GB, O/Bay HS 2.5in SAS/SATA, SR M5210, 2x900W p/s, Rack</t>
  </si>
  <si>
    <t>6241G3U</t>
  </si>
  <si>
    <t>x3850 X6, 2x Compute Book Xeon 18C E7-8890v3 165W 2.5GHz/1600MHz/45MB, 4x16GB, O/Bay HS 2.5in SAS/SATA, SR M5210, 2x900W p/s, Rack</t>
  </si>
  <si>
    <t>6241G4U</t>
  </si>
  <si>
    <t>x3850 X6, 2x Compute Book Xeon 18C E7-8890v3 165W 2.5GHz/2133MHz/45MB, 4x16GB, O/Bay HS 2.5in SAS/SATA, SR M5210, 2x900W p/s, Rack</t>
  </si>
  <si>
    <t>6241HQU</t>
  </si>
  <si>
    <t>x3850 X6, 4x Compute Book Xeon 18C E7-8880v3 150W 2.3GHz/2133MHz/45MB, 32x32GB, 6x1.2TB HS 2.5in SAS, 2x400GB HS 2.5in SATA SSD, SR M5210, SR M5120, 4x1400W p/s, Rack</t>
  </si>
  <si>
    <t>6241HRU</t>
  </si>
  <si>
    <t>x3850 X6, 4x Compute Book Xeon 18C E7-8880v3 150W 2.3GHz/2133MHz/45MB, 32x16GB, 6x1.2TB HS 2.5in SAS, 2x400GB HS 2.5in SATA SSD, SR M5210, 4x1400W p/s, Rack</t>
  </si>
  <si>
    <t>6241HSU</t>
  </si>
  <si>
    <t>x3850 X6, 2x Compute Book Xeon 18C E7-8880v3 150W 2.3GHz/2133MHz/45MB, 16x32GB, 6x1.2TB HS 2.5in SAS, 2x400GB HS 2.5in SATA SSD, SR M5210, 4x1400W p/s, Rack</t>
  </si>
  <si>
    <t>6241HTU</t>
  </si>
  <si>
    <t>x3850 X6, 2x Compute Book Xeon 18C E7-8880v3 150W 2.3GHz/2133MHz/45MB, 16x16GB, 6x1.2TB HS 2.5in SAS, 2x400GB HS 2.5in SATA SSD, SR M5210, 4x1400W p/s, Rack</t>
  </si>
  <si>
    <t>6241HUU</t>
  </si>
  <si>
    <t>x3850 X6, 2x Compute Book Xeon 18C E7-8880v3 150W 2.3GHz/2133MHz/45MB, 16x8GB, 6x1.2TB HS 2.5in SAS, 2x400GB HS 2.5in SATA SSD, SR M5210, 4x1400W p/s, Rack</t>
  </si>
  <si>
    <t>6241HVU</t>
  </si>
  <si>
    <t>x3850 X6, 4x Compute Book Xeon 18C E7-8880v3 150W 2.3GHz/1600MHz/45MB, 32x32GB, 6x1.2TB HS 2.5in SAS, 2x400GB HS 2.5in SATA SSD, SR M5210, SR M5120, 4x1400W p/s, Rack</t>
  </si>
  <si>
    <t>6241HWU</t>
  </si>
  <si>
    <t>x3850 X6, 4x Compute Book Xeon 18C E7-8880v3 150W 2.3GHz/1600MHz/45MB, 32x16GB, 6x1.2TB HS 2.5in SAS, 2x400GB HS 2.5in SATA SSD, SR M5210, 4x1400W p/s, Rack</t>
  </si>
  <si>
    <t>6241HXU</t>
  </si>
  <si>
    <t>x3850 X6, 2x Compute Book Xeon 18C E7-8880v3 150W 2.3GHz/1600MHz/45MB, 16x32GB, 6x1.2TB HS 2.5in SAS, 2x400GB HS 2.5in SATA SSD, SR M5210, 4x1400W p/s, Rack</t>
  </si>
  <si>
    <t>6241HYU</t>
  </si>
  <si>
    <t>x3850 X6, 2x Compute Book Xeon 18C E7-8880v3 150W 2.3GHz/1600MHz/45MB, 16x16GB, 6x1.2TB HS 2.5in SAS, 2x400GB HS 2.5in SATA SSD, SR M5210, 4x1400W p/s, Rack</t>
  </si>
  <si>
    <t>6241HZU</t>
  </si>
  <si>
    <t>x3850 X6, 2x Compute Book Xeon 18C E7-8880v3 150W 2.3GHz/1600MHz/45MB, 16x8GB, 6x1.2TB HS 2.5in SAS, 2x400GB HS 2.5in SATA SSD, SR M5210, 4x1400W p/s, Rack</t>
  </si>
  <si>
    <t>x3950 x6</t>
  </si>
  <si>
    <t>6241DAU</t>
  </si>
  <si>
    <t>x3950 X6, 4x Compute Book Xeon 16C E7-8860v3 140W 2.2GHz/1600MHz/40MB, 8x16GB, O/Bay HS 2.5in SAS/SATA, SR M5210, 4x900W p/s, Rack</t>
  </si>
  <si>
    <t>6241FAU</t>
  </si>
  <si>
    <t>x3950 X6, 4x Compute Book Xeon 18C E7-8870v3 140W 2.1GHz/1600MHz/45MB, 8x16GB, O/Bay HS 2.5in SAS/SATA, SR M5210, 4x900W p/s, Rack</t>
  </si>
  <si>
    <t>6241FCU</t>
  </si>
  <si>
    <t>x3950 X6, 4x Compute Book Xeon 18C E7-8890v3 165W 2.5GHz/1600MHz/45MB, 8x16GB, O/Bay HS 2.5in SAS/SATA, SR M5210, 4x900W p/s, Rack</t>
  </si>
  <si>
    <t>6241GAU</t>
  </si>
  <si>
    <t>x3950 X6, 4x Compute Book Xeon 16C E7-8860v3 140W 2.2GHz/2133MHz/40MB, 8x16GB, O/Bay HS 2.5in SAS/SATA, SR M5210, 4x900W p/s, Rack</t>
  </si>
  <si>
    <t>6241HEU</t>
  </si>
  <si>
    <t>x3950 X6, 4x Compute Book Xeon 18C E7-8880v3 150W 2.3GHz/1600MHz/45MB, 32x16GB, 6x1.2TB HS 2.5in SAS, 2x400GB HS 2.5in SATA SSD, SR M5210, 8x1400W p/s, Rack</t>
  </si>
  <si>
    <t>6241HFU</t>
  </si>
  <si>
    <t>x3950 X6, 4x Compute Book Xeon 18C E7-8880v3 150W 2.3GHz/1600MHz/45MB, 32x32GB, 12x1.2TB HS 2.5in SAS, 4x400GB HS 2.5in SATA SSD, 2xSR M5210, 8x1400W p/s, Rack</t>
  </si>
  <si>
    <t>6241HGU</t>
  </si>
  <si>
    <t>x3950 X6, 8x Compute Book Xeon 18C E7-8880v3 150W 2.3GHz/1600MHz/45MB, 64x32GB, 12x1.2TB HS 2.5in SAS, 4x400GB HS 2.5in SATA SSD, 2xSR M5210, 8x1400W p/s, Rack</t>
  </si>
  <si>
    <t>6241HHU</t>
  </si>
  <si>
    <t>x3950 X6, 4x Compute Book Xeon 18C E7-8880v3 150W 2.3GHz/2133MHz/45MB, 32x16GB, 6x1.2TB HS 2.5in SAS, 2x400GB HS 2.5in SATA SSD, SR M5210, 8x1400W p/s, Rack</t>
  </si>
  <si>
    <t>6241HIU</t>
  </si>
  <si>
    <t>x3950 X6, 4x Compute Book Xeon 18C E7-8880v3 150W 2.3GHz/2133MHz/45MB, 32x32GB, 12x1.2TB HS 2.5in SAS, 4x400GB HS 2.5in SATA SSD, 2xSR M5210, 8x1400W p/s, Rack</t>
  </si>
  <si>
    <t>6241HJU</t>
  </si>
  <si>
    <t>x3950 X6, 8x Compute Book Xeon 18C E7-8880v3 150W 2.3GHz/2133MHz/45MB, 64x32GB, 12x1.2TB HS 2.5in SAS, 4x400GB HS 2.5in SATA SSD, 2xSR M5210, 8x1400W p/s, Rack</t>
  </si>
  <si>
    <t>6241JAU</t>
  </si>
  <si>
    <t>x3950 X6, 4x Compute Book Xeon 18C E7-8870v3 140W 2.1GHz/2133MHz/45MB, 8x16GB, O/Bay HS 2.5in SAS/SATA, SR M5210, 4x900W p/s, Rack</t>
  </si>
  <si>
    <t>6241JCU</t>
  </si>
  <si>
    <t>x3950 X6, 4x Compute Book Xeon 18C E7-8890v3 165W 2.5GHz/2133MHz/45MB, 8x16GB, O/Bay HS 2.5in SAS/SATA, SR M5210, 4x900W p/s, Rack</t>
  </si>
  <si>
    <t>BladeCenter Chassis</t>
  </si>
  <si>
    <t>BladeCenter S Chassis with C14 2x950/1450W PSU, Rackable</t>
  </si>
  <si>
    <t>Server Flex</t>
  </si>
  <si>
    <t>BladeCenter(tm) H Chassis with 2x2980W PSU, Rackable</t>
  </si>
  <si>
    <t>BladeCenter HT DC Power Model with 4x2535W PSU, Rackable</t>
  </si>
  <si>
    <t>BladeCenter HT AC Power Model with 4x3160W PSU, Rackable</t>
  </si>
  <si>
    <t>TopSeller HS23, 2xXeon 6C E5-2620v2 80W 2.1GHz/1600MHz/15MB, 2x8GB, O/Bay 2.5in SAS/SATA</t>
  </si>
  <si>
    <t>TopSeller HS23, 2xXeon 10C E5-2670v2 115W 2.5GHz/1866MHz/25MB, 8x8GB, O/Bay 2.5in SAS/SATA</t>
  </si>
  <si>
    <t>TopSeller HS23, 2xXeon 8C E5-2650v2 95W 2.6GHz/1866Hz/20MB, 8x8GB, O/Bay 2.5in SAS/SATA</t>
  </si>
  <si>
    <t>Flex Chassis</t>
  </si>
  <si>
    <t>8721ALU</t>
  </si>
  <si>
    <t>Lenovo Flex System Enterprise Chassis with 2 x 2500W AC PSU, Rackable</t>
  </si>
  <si>
    <t>8721DLU</t>
  </si>
  <si>
    <t>Lenovo Flex System Enterprise Chassis with 2 x -48V DC PSU, Rackable</t>
  </si>
  <si>
    <t>8721E3U</t>
  </si>
  <si>
    <t>TopSeller Lenovo Flex System Enterprise Chassis with 6 x 2500W PSU, 2 x SI4093 switches, Rackable</t>
  </si>
  <si>
    <t>8721E4U</t>
  </si>
  <si>
    <t>TopSeller Lenovo Flex System Enterprise Chassis with 6 x 2500W PSU, 2 x CI4093 switches, Rackable</t>
  </si>
  <si>
    <t>7385DCU</t>
  </si>
  <si>
    <t>Lenovo Flex System Carrier-Grade Chassis with 2x-48 DC 2500 W</t>
  </si>
  <si>
    <t>Flex System Manager Node with embedded 10Gb Virtual Fabric, Xeon 8C E5-2650 95W 2.0GHz/1600MHz/20MB, 8x4GB, 1TB HS 2.5in SATA, 2x200GB 1.8in SATA SSD</t>
  </si>
  <si>
    <t>Flex System x240 M5 Compute Node, Xeon 6C E5-2609v3 85W 1.9GHz/1600MHz/15MB, 1x16GB, O/Bay 2.5in SAS</t>
  </si>
  <si>
    <t>Flex System x240 M5 Compute Node, Xeon 6C E5-2620v3 85W 2.4GHz/1866MHz/15MB, 1x16GB, O/Bay 2.5in SAS</t>
  </si>
  <si>
    <t>Flex System x240 M5 Compute Node, Xeon 8C E5-2630v3 85W 2.4GHz /1866MHz/20MB, 1x16GB, O/Bay 2.5in SAS</t>
  </si>
  <si>
    <t>Flex System x240 M5 Compute Node, Xeon 8C E5-2640v3 90W 2.6GHz/1866MHz/20MB, 1x16GB, O/Bay 2.5in SAS</t>
  </si>
  <si>
    <t>Flex System x240 M5 Compute Node, Xeon 10C E5-2660v3 105W 2.6GHz/2133MHz/25MB, 1x16GB, O/Bay 2.5in SAS</t>
  </si>
  <si>
    <t>Flex System x240 M5 Compute Node, Xeon 12C E5-2670v3 120W 2.3GHz/2133MHz/30MB, 1x16GB, O/Bay 2.5in SAS</t>
  </si>
  <si>
    <t>Flex System x240 M5 Compute Node, Xeon 12C E5-2680v3 120W 2.5GHz/2133MHz/30MB, 1x16GB, O/Bay 2.5in SAS</t>
  </si>
  <si>
    <t>Flex System x240 M5 Compute Node, Xeon 12C E5-2690v3 135W 2.6GHz/2133MHz/30MB, 1x16GB, O/Bay 2.5in SAS</t>
  </si>
  <si>
    <t>Flex System x240 M5 Compute Node, Xeon 16C E5-2698v3 135W 2.3GHz/2133MHz/40MB, 1x16GB, O/Bay 2.5in SAS</t>
  </si>
  <si>
    <t>Flex System x240 M5 Compute Node, Xeon 12C E5-2650Lv3 65W 1.8GHz/2133MHz/30MB, 1x16GB, O/Bay 2.5in SAS</t>
  </si>
  <si>
    <t>Flex System x240 M5 Compute Node, Xeon 10C E5-2650v3 105W 2.3GHz/2133MHz/25MB, 1x16GB, O/Bay 2.5in SAS</t>
  </si>
  <si>
    <t>Flex System x240 M5 Compute Node, Xeon 14C E5-2697v3 145W 2.6GHz/2133MHz/35MB, 1x16GB, O/Bay 2.5in SAS</t>
  </si>
  <si>
    <t>TopSeller Flex System x240 M5 Compute Node, 2xXeon 6C E5-2620v3 85W 2.4GHz/1866MHz/15MB, 2x16GB, O/Bay 2.5in SAS</t>
  </si>
  <si>
    <t>TopSeller Flex System x240 M5 Compute Node, 2xXeon 8C E5-2640v3 90W 2.6GHz/1866MHz/20MB, 4x16GB, O/Bay 2.5in SAS</t>
  </si>
  <si>
    <t>TopSeller Flex System x240 M5 Compute Node, 2xXeon 10C E5-2650v3 105W 2.3GHz/2133MHz/25MB, 4x16GB, O/Bay 2.5in SAS</t>
  </si>
  <si>
    <t>TopSeller Flex System x240 M5 Compute Node, 2xXeon 12C E5-2670v3 120W 2.3GHz/2133MHz/30MB, 8x16GB, O/Bay 2.5in SAS</t>
  </si>
  <si>
    <t>TopSeller Flex System x240 M5 Compute Node, 2xXeon 12C E5-2690v3 135W 2.6GHz/2133MHz/30MB, 8x16GB, O/Bay 2.5in SAS</t>
  </si>
  <si>
    <t>9532RAU</t>
  </si>
  <si>
    <t>Flex System x240 M5 Compute Node, Xeon 6C E5-2608Lv3 52W 2.0GHz/1866MHz/15MB, 1x16GB, O/Bay 2.5in SAS</t>
  </si>
  <si>
    <t>9532RBU</t>
  </si>
  <si>
    <t>Flex System x240 M5 Compute Node, Xeon 8C E5-2618Lv3 75W 2.3GHz/1866MHz/20MB, 1x16GB, O/Bay 2.5in SAS</t>
  </si>
  <si>
    <t>9532RCU</t>
  </si>
  <si>
    <t>Flex System x240 M5 Compute Node, Xeon 10C E5-2628Lv3 75W 2.0GHz/1866MHz/25MB, 1x16GB, O/Bay 2.5in SAS</t>
  </si>
  <si>
    <t>9532RDU</t>
  </si>
  <si>
    <t>Flex System x240 M5 Compute Node, Xeon 12C E5-2648Lv3 75W 1.8GHz/2133MHz/30MB, 1x16GB, O/Bay 2.5in SAS</t>
  </si>
  <si>
    <t>9532REU</t>
  </si>
  <si>
    <t>Flex System x240 M5 Compute Node, Xeon 12C E5-2658v3 105W 2.2GHz/2133MHz/30MB, 1x16GB, O/Bay 2.5in SAS</t>
  </si>
  <si>
    <t>7196A5U</t>
  </si>
  <si>
    <t>Flex System x280 X6 Compute Node, 2x Xeon 12C E7-2850v2 105W 2.3GHz/1600MHz/24MB, 2x16GB, O/Bay 2.5in SAS</t>
  </si>
  <si>
    <t>7196B5U</t>
  </si>
  <si>
    <t>Flex System x280 X6 Compute Node, 2x Xeon 15C E7-2880v2 130W 2.5GHz/1600MHz/37.5MB, 2x16GB, O/Bay 2.5in SAS</t>
  </si>
  <si>
    <t>7196C5U</t>
  </si>
  <si>
    <t>Flex System x280 X6 Compute Node, 2x Xeon 15C E7-2890v2 155W 2.8GHz/1600MHz/37.5MB, 2x16GB, O/Bay 2.5in SAS</t>
  </si>
  <si>
    <t>Flex System x440 Compute Node, Xeon 6C Processor Model E5-4607 v2 95W 2.6GHz/1333MHz/15MB, 1x16GB, O/Bay 2.5in SAS</t>
  </si>
  <si>
    <t>Flex System x440 Compute Node, Xeon 8C Processor Model E5-4610 v2 95W 2.3GHz/1600MHz/16MB, 1x16GB, O/Bay 2.5in SAS</t>
  </si>
  <si>
    <t>Flex System x440 Compute Node, Xeon 8C Processor Model E5-4620 v2 95W 2.6GHz/1600MHz/20MB, 1x16GB, O/Bay 2.5in SAS</t>
  </si>
  <si>
    <t>Flex System x440 Compute Node, Xeon 10C Processor Model E5-4650 v2 95W 2.4GHz/1866MHz/25MB, 1x16GB, O/Bay 2.5in SAS</t>
  </si>
  <si>
    <t>Flex System x440 Compute Node, Xeon 12C Processor Model E5-4657L v2 115W 2.4GHz/1866MHz/30MB, 1x16GB, O/Bay 2.5in SAS</t>
  </si>
  <si>
    <t>x480 X6</t>
  </si>
  <si>
    <t>719615U</t>
  </si>
  <si>
    <t>Flex System x480 X6 Compute Node, 2x Xeon 8C E7-4809v3 115W 2.1GHz/1333MHz/20MB, 2x16GB, O/Bay 2.5in SAS</t>
  </si>
  <si>
    <t>719625U</t>
  </si>
  <si>
    <t>Flex System x480 X6 Compute Node, 2x Xeon 10C E7-4820v3 115W 1.9GHz/1333MHz/25MB, 2x16GB, O/Bay 2.5in SAS</t>
  </si>
  <si>
    <t>719633U</t>
  </si>
  <si>
    <t>Flex System x480 X6 Compute Node, 2x Xeon 12C E7-4830v3 115W 2.1GHz/1600MHz/30MB, 2x16GB, O/Bay 2.5in SAS</t>
  </si>
  <si>
    <t>719635U</t>
  </si>
  <si>
    <t>719645U</t>
  </si>
  <si>
    <t>Flex System x480 X6 Compute Node, 2x Xeon 14C E7-4850v3 115W 2.2GHz/1600MHz/35MB, 2x16GB, O/Bay 2.5in SAS</t>
  </si>
  <si>
    <t>x880 X6</t>
  </si>
  <si>
    <t>719653U</t>
  </si>
  <si>
    <t>Flex System x880 X6 Compute Node, 2x Xeon 16C E7-8860v3 140W 2.2GHz/1600MHz/40MB, 2x16GB, O/Bay 2.5in SAS</t>
  </si>
  <si>
    <t>719655U</t>
  </si>
  <si>
    <t>719665U</t>
  </si>
  <si>
    <t>Flex System x880 X6 Compute Node, 2x Xeon 18C E7-8870v3 140W 2.1GHz/1600MHz/45MB, 2x16GB, O/Bay 2.5in SAS</t>
  </si>
  <si>
    <t>719675U</t>
  </si>
  <si>
    <t>Flex System x880 X6 Compute Node, 2x Xeon 18C E7-8880v3 150W 2.3GHz/1600MHz/45MB, 2x16GB, O/Bay 2.5in SAS</t>
  </si>
  <si>
    <t>719685U</t>
  </si>
  <si>
    <t>Flex System x880 X6 Compute Node, 2x Xeon 18C E7-8890v3 165W 2.5GHz/1600MHz/45MB, 2x16GB, O/Bay 2.5in SAS</t>
  </si>
  <si>
    <t>NeXtScale Chassis</t>
  </si>
  <si>
    <t>5456B2U</t>
  </si>
  <si>
    <t>NeXtScale n1200 enclosure with 6x900W PSU, Rackable</t>
  </si>
  <si>
    <t>Server Dense</t>
  </si>
  <si>
    <t>5456B3U</t>
  </si>
  <si>
    <t>NeXtScale n1200 enclosure with 2x1300W PSU, Rackable</t>
  </si>
  <si>
    <t>5456B4U</t>
  </si>
  <si>
    <t>NeXtScale n1200 enclosure with 6x1300W PSU, Rackable</t>
  </si>
  <si>
    <t>NeXtScale nx360 M5, 2x Xeon 6C E5-2620v3 85W 2.4GHz/1866MHz/15MB, 2x8GB, O/Bay SS, 3.5in SAS/SATA</t>
  </si>
  <si>
    <t>NeXtScale nx360 M5, 2x Xeon 10C E5-2650v3 105W 2.3GHz/2133MHz/25MB, 2x8GB, O/Bay SS, 3.5in SAS/SATA</t>
  </si>
  <si>
    <t>NeXtScale nx360 M5, 2x Xeon 12C E5-2680v3 120W 2.5GHz/2133MHz/30MB, 2x16GB, O/Bay SS, 2.5in SAS/SATA</t>
  </si>
  <si>
    <t>BladeCenter Office Enablement Kit</t>
  </si>
  <si>
    <t>Option</t>
  </si>
  <si>
    <t>S2 25U Static Standard Rack Cabinet</t>
  </si>
  <si>
    <t>42U Enterprise Expansion Rack</t>
  </si>
  <si>
    <t>42U Enterprise Rack</t>
  </si>
  <si>
    <t>42U 1200mm Deep Dynamic Rack</t>
  </si>
  <si>
    <t>Option Flex</t>
  </si>
  <si>
    <t>42U 1200mm Deep Static Rack</t>
  </si>
  <si>
    <t>42U 1100mm Enterprise V2 Dynamic Expansion Rack</t>
  </si>
  <si>
    <t>42U 1100mm Enterprise V2 Dynamic Rack</t>
  </si>
  <si>
    <t>System x3100 Tower to Rack Conversion Kit for 5U Tower</t>
  </si>
  <si>
    <t>BladeCenter HT 4-Post Rack Mount Kit</t>
  </si>
  <si>
    <t>69Y5182</t>
  </si>
  <si>
    <t>Tower to rack kit for 4U tower</t>
  </si>
  <si>
    <t>Processor</t>
  </si>
  <si>
    <t>00MW030</t>
  </si>
  <si>
    <t>00MW031</t>
  </si>
  <si>
    <t>00MW032</t>
  </si>
  <si>
    <t>00MW028</t>
  </si>
  <si>
    <t>Intel Xeon Processor E5-2637 v3 4C 3.5GHz 15MB Cache 2133MHz 135W</t>
  </si>
  <si>
    <t>00MW029</t>
  </si>
  <si>
    <t>Intel Xeon Processor E5-2643 v3 6C 3.4GHz 20MB Cache 2133MHz 135W</t>
  </si>
  <si>
    <t>00MW033</t>
  </si>
  <si>
    <t>00MW034</t>
  </si>
  <si>
    <t>00MW026</t>
  </si>
  <si>
    <t>Intel Xeon Processor E5-2683 v3 14C 2.0GHz 35MB Cache 2133MHz 120W</t>
  </si>
  <si>
    <t>00MW027</t>
  </si>
  <si>
    <t>Intel Xeon Processor E5-2685 v3 12C 2.6GHz 30MB Cache 2133MHz 120W</t>
  </si>
  <si>
    <t>00MW025</t>
  </si>
  <si>
    <t>Intel Xeon Processor E5-2695 v3 14C 2.3GHZ 35MB Cache 2133MHz 120W</t>
  </si>
  <si>
    <t>00MW024</t>
  </si>
  <si>
    <t>Intel Xeon Processor E5-2698 v3 16C 2.3GHz 40MB Cache 2133MHz 135W</t>
  </si>
  <si>
    <t>Intel Xeon Processor E5-4603v2 4C 2.2GHz 10MB Cache 1333MHz 95W</t>
  </si>
  <si>
    <t>Intel Xeon Processor E5-4607v2 6C 2.6GHz 15MB Cache 1333MHz 95W</t>
  </si>
  <si>
    <t>Intel Xeon Processor E5-4610v2 8C 2.3GHz 16MB Cache 1600MHz 95W</t>
  </si>
  <si>
    <t>Intel Xeon Processor E5-4620v2 8C 2.6GHz 20MB Cache 1600MHz 95W</t>
  </si>
  <si>
    <t>Intel Xeon Processor E5-4627 v2 8C 3.3GHz 16MB 1866MHz 130W</t>
  </si>
  <si>
    <t>Intel Xeon Processor E5-4640 v2 10C 2.2GHz 20MB 1866MHz 95W</t>
  </si>
  <si>
    <t>Intel Xeon Processor E5-4650 v2 10C 2.4GHz 25MB 1866MHz 95W</t>
  </si>
  <si>
    <t>x3850 x6 &amp; x3950 X6</t>
  </si>
  <si>
    <t>X6 Compute Book Intel Xeon Processor E7-4850 v2 12C 2.3GHz 105W</t>
  </si>
  <si>
    <t>X6 Compute Book Intel Xeon Processor E7-4820 v2 8C 2.0GHz 105W</t>
  </si>
  <si>
    <t>00ML902</t>
  </si>
  <si>
    <t>X6 DDR3 Compute Book Intel Xeon Processor E7-4809 v3 8C 2.0GHz 115W</t>
  </si>
  <si>
    <t>00ML906</t>
  </si>
  <si>
    <t>X6 DDR3 Compute Book Intel Xeon Processor E7-4820 v3 10C 1.9GHz 115W</t>
  </si>
  <si>
    <t>00ML910</t>
  </si>
  <si>
    <t>X6 DDR3 Compute Book Intel Xeon Processor E7-4830 v3 12C 2.1GHz 115W</t>
  </si>
  <si>
    <t>00ML914</t>
  </si>
  <si>
    <t>X6 DDR3 Compute Book Intel Xeon Processor E7-4850 v3 14C 2.2GHz 115W</t>
  </si>
  <si>
    <t>00ML922</t>
  </si>
  <si>
    <t>X6 DDR3 Compute Book Intel Xeon Processor E7-8860 v3 16C 2.2GHz 140W</t>
  </si>
  <si>
    <t>00FP692</t>
  </si>
  <si>
    <t>X6 DDR3 Compute Book Intel Xeon Processor E7-8867 v3 16C 2.5GHz 165W</t>
  </si>
  <si>
    <t>00ML926</t>
  </si>
  <si>
    <t>X6 DDR3 Compute Book Intel Xeon Processor E7-8870 v3 18C 2.1GHz 140W</t>
  </si>
  <si>
    <t>00ML930</t>
  </si>
  <si>
    <t>X6 DDR3 Compute Book Intel Xeon Processor E7-8880 v3 18C 2.3GHz 150W</t>
  </si>
  <si>
    <t>00ML938</t>
  </si>
  <si>
    <t>X6 DDR3 Compute Book Intel Xeon Processor E7-8880Lv3 18C 2.0GHz 115W</t>
  </si>
  <si>
    <t>00ML934</t>
  </si>
  <si>
    <t>X6 DDR3 Compute Book Intel Xeon Processor E7-8890 v3 18C 2.5GHz 165W</t>
  </si>
  <si>
    <t>00ML942</t>
  </si>
  <si>
    <t>X6 DDR3 Compute Book Intel Xeon Processor E7-8891 v3 10C 2.8GHz 165W</t>
  </si>
  <si>
    <t>00ML946</t>
  </si>
  <si>
    <t>X6 DDR3 Compute Book Intel Xeon Processor E7-8893 v3 4C 3.2GHz 140W</t>
  </si>
  <si>
    <t>00ML950</t>
  </si>
  <si>
    <t>X6 DDR4 Compute Book Intel Xeon Processor E7-4809 v3 8C 2.0GHz 115W</t>
  </si>
  <si>
    <t>00ML954</t>
  </si>
  <si>
    <t>X6 DDR4 Compute Book Intel Xeon Processor E7-4820 v3 10C 1.9GHz 115W</t>
  </si>
  <si>
    <t>00ML958</t>
  </si>
  <si>
    <t>X6 DDR4 Compute Book Intel Xeon Processor E7-4830 v3 12C 2.1GHz 115W</t>
  </si>
  <si>
    <t>00ML962</t>
  </si>
  <si>
    <t>X6 DDR4 Compute Book Intel Xeon Processor E7-4850 v3 14C 2.2GHz 115W</t>
  </si>
  <si>
    <t>00ML970</t>
  </si>
  <si>
    <t>X6 DDR4 Compute Book Intel Xeon Processor E7-8860 v3 16C 2.2GHz 140W</t>
  </si>
  <si>
    <t>00FP696</t>
  </si>
  <si>
    <t>X6 DDR4 Compute Book Intel Xeon Processor E7-8867 v3 16C 2.5GHz 165W</t>
  </si>
  <si>
    <t>00ML974</t>
  </si>
  <si>
    <t>X6 DDR4 Compute Book Intel Xeon Processor E7-8870 v3 18C 2.1GHz 140W</t>
  </si>
  <si>
    <t>00ML978</t>
  </si>
  <si>
    <t>X6 DDR4 Compute Book Intel Xeon Processor E7-8880 v3 18C 2.3GHz 150W</t>
  </si>
  <si>
    <t>00ML986</t>
  </si>
  <si>
    <t>X6 DDR4 Compute Book Intel Xeon Processor E7-8880Lv3 18C 2.0GHz 115W</t>
  </si>
  <si>
    <t>00ML982</t>
  </si>
  <si>
    <t>X6 DDR4 Compute Book Intel Xeon Processor E7-8890 v3 18C 2.5GHz 165W</t>
  </si>
  <si>
    <t>00ML990</t>
  </si>
  <si>
    <t>X6 DDR4 Compute Book Intel Xeon Processor E7-8891 v3 10C 2.8GHz 165W</t>
  </si>
  <si>
    <t>00ML994</t>
  </si>
  <si>
    <t>X6 DDR4 Compute Book Intel Xeon Processor E7-8893 v3 4C 3.2GHz 140W</t>
  </si>
  <si>
    <t>Flex</t>
  </si>
  <si>
    <t>Intel Xeon Processor E5-2618L v2 6C 2.0GHz 15MB Cache 1333MHz 50W</t>
  </si>
  <si>
    <t>Intel Xeon Processor E5-2648L v2 10C 1.9GHz 25MB Cache 1866MHz 70W</t>
  </si>
  <si>
    <t>Intel Xeon Processor E5-2658 v2 10C 2.4GHz 25MB Cache 1866MHz 95W</t>
  </si>
  <si>
    <t>Intel Xeon Processor E5-2628L v2 8C 1.9GHz 20MB Cache 1600MHz 70W</t>
  </si>
  <si>
    <t>Intel Xeon Processor E5-2695 v2 12C 2.4GHz 30MB Cache 1866MHz 115W</t>
  </si>
  <si>
    <t>Intel Xeon Processor E5-2697 v2 12C 2.7GHz 30MB Cache 1866MHz 130W</t>
  </si>
  <si>
    <t>Intel Xeon Processor E5-2603 v2 4C 1.8GHz 10MB Cache 1333MHz 80W</t>
  </si>
  <si>
    <t>Intel Xeon Processor E5-2609 v2 4C 2.5GHz 10MB Cache 1333MHz 80W</t>
  </si>
  <si>
    <t>Intel Xeon Processor E5-2620 v2 6C 2.1GHz 15MB Cache 1600MHz 80W</t>
  </si>
  <si>
    <t>Intel Xeon Processor E5-2630 v2 6C 2.6GHz 15MB Cache 1600MHz 80W</t>
  </si>
  <si>
    <t>Intel Xeon Processor E5-2640 v2 8C 2.0GHz 20MB Cache 1600MHz 95W</t>
  </si>
  <si>
    <t>Intel Xeon Processor E5-2650 v2 8C 2.6GHz 20MB Cache 1866MHz 95W</t>
  </si>
  <si>
    <t>Intel Xeon Processor E5-2660 v2 10C 2.2GHz 25MB Cache 1866MHz 95W</t>
  </si>
  <si>
    <t>Intel Xeon Processor E5-2670 v2 10C 2.5GHz 25MB Cache 1866MHz 115W</t>
  </si>
  <si>
    <t>Intel Xeon Processor E5-2680 v2 10C 2.8GHz 25MB Cache 1866MHz 115W</t>
  </si>
  <si>
    <t>Intel Xeon Processor E5-2690 v2 10C 3.0GHz 25MB Cache 1866MHz 130W</t>
  </si>
  <si>
    <t>Intel Xeon Processor E5-2637 v2 4C 3.5GHz 15MB Cache 1866MHz 130W</t>
  </si>
  <si>
    <t>Intel Xeon Processor E5-2643 v2 6C 3.5GHz 25MB Cache 1866MHz 130W</t>
  </si>
  <si>
    <t>Intel Xeon Processor E5-2667 v2 8C 3.3GHz 25MB Cache 1866MHz 130W</t>
  </si>
  <si>
    <t>Intel Xeon Processor E5-2630L v2 6C 2.4GHz 15MB Cache 1600MHz 60W</t>
  </si>
  <si>
    <t>NextScale</t>
  </si>
  <si>
    <t xml:space="preserve">Additional Processors </t>
  </si>
  <si>
    <t>PC3L-10600 CL9 ECC DDR3 1333MHz</t>
  </si>
  <si>
    <t>PC3L-12800 CL11 ECC DDR3 1600MHz</t>
  </si>
  <si>
    <t>PC3-12800 CL11 ECC DDR3 1600MHz</t>
  </si>
  <si>
    <t>PC3-14900 CL13 ECC DDR3 1866MHz</t>
  </si>
  <si>
    <t>PC4-17000 CL15 2133MHz</t>
  </si>
  <si>
    <t>95Y4808</t>
  </si>
  <si>
    <t>32GB TruDDR4 Memory (2Rx4, 1.2V) PC4-17000 CL15 2133MHz LP RDIMM</t>
  </si>
  <si>
    <t>Other</t>
  </si>
  <si>
    <t>eXFlash 200GB DDR3 Storage DIMM</t>
  </si>
  <si>
    <t>D</t>
  </si>
  <si>
    <t>eXFlash 400GB DDR3 Storage DIMM</t>
  </si>
  <si>
    <t>x3750 M4 2-CPU socket, 24 DIMM Memory Expansion</t>
  </si>
  <si>
    <t>Additional Memory</t>
  </si>
  <si>
    <t>Disks</t>
  </si>
  <si>
    <t>00NA536</t>
  </si>
  <si>
    <t>500GB 7.2K 6Gbps NL SATA 2.5in SFF HS HDD</t>
  </si>
  <si>
    <t>500GB 7.2K 6Gbps NL SATA 2.5in G3HS HDD</t>
  </si>
  <si>
    <t>1TB 7.2K 6Gbps NL SATA 2.5in SFF HS HDD</t>
  </si>
  <si>
    <t>1TB 7.2K 6Gbps NL SATA 2.5in G3HS HDD</t>
  </si>
  <si>
    <t>00NA526</t>
  </si>
  <si>
    <t>500GB 7.2K 6Gbps NL SATA 3.5in G2SS HDD</t>
  </si>
  <si>
    <t>1TB 7.2K 6Gbps NL SATA 3.5in G2SS HDD</t>
  </si>
  <si>
    <t>500GB 7.2K 6Gbps NL SATA 3.5in G2HS HDD</t>
  </si>
  <si>
    <t>1TB 7.2K 6Gbps NL SATA 3.5in G2HS HDD</t>
  </si>
  <si>
    <t>2TB 7.2K 6Gbps NL SATA 3.5in G2HS 512e HDD</t>
  </si>
  <si>
    <t>2TB 7.2K 6Gbps NL SATA 3.5in G2HS HDD</t>
  </si>
  <si>
    <t>3TB 7.2K 6Gbps NL SATA 3.5in G2HS HDD</t>
  </si>
  <si>
    <t>4TB 7.2K 6Gbps NL SATA 3.5in G2HS 512e HDD</t>
  </si>
  <si>
    <t>4TB 7.2K 6Gbps NL SATA 3.5in G2HS HDD</t>
  </si>
  <si>
    <t>146GB 15K 6Gbps SAS 2.5in G3HS HDD</t>
  </si>
  <si>
    <t>146GB 15K 6Gbps SAS 2.5in SFF G2HS HDD</t>
  </si>
  <si>
    <t>300GB 10K 6Gbps SAS 2.5in G3HS HDD</t>
  </si>
  <si>
    <t>300GB 10K 6Gbps SAS 2.5in G3HS SED</t>
  </si>
  <si>
    <t>300GB 10K 6Gbps SAS 2.5in SFF G2HS HDD</t>
  </si>
  <si>
    <t>300GB 10K 6Gbps SAS 2.5in SFF G2HS SED</t>
  </si>
  <si>
    <t>00WG685</t>
  </si>
  <si>
    <t>300GB 10K 12Gbps SAS 2.5in G3HS HDD</t>
  </si>
  <si>
    <t>00WG705</t>
  </si>
  <si>
    <t>300GB 10K 12Gbps SAS 2.5in G3HS SED</t>
  </si>
  <si>
    <t>300GB 15K 12Gbps SAS 2.5in G3HS 512e HDD</t>
  </si>
  <si>
    <t>00WG660</t>
  </si>
  <si>
    <t>300GB 15K 12Gbps SAS 2.5in G3HS HDD</t>
  </si>
  <si>
    <t>300GB 15K 6Gbps SAS 2.5in G2HS HDD</t>
  </si>
  <si>
    <t>300GB 15K 6Gbps SAS 2.5in G3HS HDD</t>
  </si>
  <si>
    <t>500GB 7.2K 6Gbps NL SAS 2.5in G3HS HDD</t>
  </si>
  <si>
    <t>500GB 7.2K 6Gbps NL SAS 2.5in SFF G2HS HDD</t>
  </si>
  <si>
    <t>600GB 10K 12Gbps SAS 2.5in G3HS 512e HDD</t>
  </si>
  <si>
    <t>600GB 10K 12Gbps SAS 2.5in G3HS 512e SED</t>
  </si>
  <si>
    <t>600GB 10K 6Gbps SAS 2.5in G3HS HDD</t>
  </si>
  <si>
    <t>600GB 10K 6Gbps SAS 2.5in SFF G2HS HDD</t>
  </si>
  <si>
    <t>600GB 10K 6Gbps SAS 2.5in SFF G2HS SED</t>
  </si>
  <si>
    <t>00WG690</t>
  </si>
  <si>
    <t>600GB 10K 12Gbps SAS 2.5in G3HS HDD</t>
  </si>
  <si>
    <t>00WG710</t>
  </si>
  <si>
    <t>600GB 10K 12Gbps SAS 2.5in G3HS SED</t>
  </si>
  <si>
    <t>600GB 15K 6Gbps SAS 2.5in G2HS HDD</t>
  </si>
  <si>
    <t>600GB 15K 6Gbps SAS 2.5in G3HS HDD</t>
  </si>
  <si>
    <t>00WG665</t>
  </si>
  <si>
    <t>600GB 15K 12Gbps SAS 2.5in G3HS HDD</t>
  </si>
  <si>
    <t>600GB 15K 12Gbps SAS 2.5in G3HS 512e HDD</t>
  </si>
  <si>
    <t>900GB 10K 12Gbps SAS 2.5in G3HS 512e HDD</t>
  </si>
  <si>
    <t>900GB 10K 6Gbps SAS 2.5in G3HS HDD</t>
  </si>
  <si>
    <t>900GB 10K 6Gbps SAS 2.5in SFF HS HDD</t>
  </si>
  <si>
    <t>00WG695</t>
  </si>
  <si>
    <t>900GB 10K 12Gbps SAS 2.5in G3HS HDD</t>
  </si>
  <si>
    <t>00WG715</t>
  </si>
  <si>
    <t>900GB 10K 12Gbps SAS 2.5in G3HS SED</t>
  </si>
  <si>
    <t>1TB 7.2K 6Gbps NL SAS 2.5in G3HS HDD</t>
  </si>
  <si>
    <t>1TB 7.2K 6Gbps NL SAS 2.5in SFF HS HDD</t>
  </si>
  <si>
    <t>00NA491</t>
  </si>
  <si>
    <t>1TB 7.2K 12Gbps NL SAS 2.5in G3HS HDD</t>
  </si>
  <si>
    <t>1.2TB 10K 6Gbps SAS 2.5in G2HS HDD</t>
  </si>
  <si>
    <t>1.2TB 10K 6Gbps SAS 2.5in G2HS SED</t>
  </si>
  <si>
    <t>1.2TB 10K 6Gbps SAS 2.5in G3HS HDD</t>
  </si>
  <si>
    <t>00WG700</t>
  </si>
  <si>
    <t>1.2TB 10K 12Gbps SAS 2.5in G3HS HDD</t>
  </si>
  <si>
    <t>00WG720</t>
  </si>
  <si>
    <t>1.2TB 10K 12Gbps SAS 2.5in G3HS SED</t>
  </si>
  <si>
    <t>1.2TB 10K 12Gbps SAS 2.5in G3HS 512e HDD</t>
  </si>
  <si>
    <t>1.2TB 10K 12Gbps SAS 2.5in G3HS 512e SED</t>
  </si>
  <si>
    <t>1.8TB 10K 12Gbps SAS 2.5in G3HS 512e HDD</t>
  </si>
  <si>
    <t>1.8TB 10K 6Gbps SAS 2.5in G2HS 512e HDD</t>
  </si>
  <si>
    <t>00NA496</t>
  </si>
  <si>
    <t>00WG675</t>
  </si>
  <si>
    <t>300GB 15K 12Gbps SAS 3.5in G2HS HDD</t>
  </si>
  <si>
    <t>00WG680</t>
  </si>
  <si>
    <t>600GB 15K 12Gbps SAS 3.5in G2HS HDD</t>
  </si>
  <si>
    <t>1TB 7.2K 6Gbps NL SAS 3.5in G2HS HDD</t>
  </si>
  <si>
    <t>1TB 7.2K 6Gbps NL SAS 3.5in HS HDD</t>
  </si>
  <si>
    <t>2TB 7.2K 6Gbps NL SAS 3.5in G2HS HDD</t>
  </si>
  <si>
    <t>2TB 7.2K 6Gbps NL SAS 3.5in HS HDD</t>
  </si>
  <si>
    <t>2TB 7.2K 12Gbps NL SAS 3.5in G2HS 512e HDD</t>
  </si>
  <si>
    <t>3TB 7.2K 6Gbps NL SAS 3.5in G2HS HDD</t>
  </si>
  <si>
    <t>4TB 7.2K 6Gbps NL SAS 3.5in G2HS SED</t>
  </si>
  <si>
    <t>4TB 7.2K 6Gbps NL SAS 3.5in G2HS HDD</t>
  </si>
  <si>
    <t>4TB 7.2K 12Gbps NL SAS 3.5in G2HS 512e HDD</t>
  </si>
  <si>
    <t>6TB 7.2K 12Gbps NL SAS 3.5in G2HS 512e HDD</t>
  </si>
  <si>
    <t>120GB SATA 1.8in MLC Enterprise Value SSD</t>
  </si>
  <si>
    <t>240GB SATA 1.8in MLC Enterprise Value SSD</t>
  </si>
  <si>
    <t>480GB SATA 1.8in MLC Enterprise Value SSD</t>
  </si>
  <si>
    <t>800GB SATA 1.8in MLC Enterprise Value SSD</t>
  </si>
  <si>
    <t>S3700 200GB SATA 2.5in MLC G3HS Enterprise SSD</t>
  </si>
  <si>
    <t>S3700 400GB SATA 2.5in MLC G3HS Enterprise SSD</t>
  </si>
  <si>
    <t>120GB SATA 2.5in MLC HS Enterprise Value SSD</t>
  </si>
  <si>
    <t>120GB SATA 2.5in MLC G3HS Enterprise Value SSD</t>
  </si>
  <si>
    <t>00YC365</t>
  </si>
  <si>
    <t>120GB Enterprise Entry SATA HS 2.5in SSD</t>
  </si>
  <si>
    <t>00YC385</t>
  </si>
  <si>
    <t>120GB Enterprise Entry SATA G3HS 2.5in SSD</t>
  </si>
  <si>
    <t>240GB SATA 2.5in MLC HS Enterprise Value SSD</t>
  </si>
  <si>
    <t>240GB SATA 2.5in MLC G3HS Enterprise Value SSD</t>
  </si>
  <si>
    <t>240GB SATA 2.5" MLC G3HS Entry SSD</t>
  </si>
  <si>
    <t>00YC370</t>
  </si>
  <si>
    <t>240GB Enterprise Entry SATA HS 2.5in SSD</t>
  </si>
  <si>
    <t>00YC390</t>
  </si>
  <si>
    <t>240GB Enterprise Entry SATA G3HS 2.5in SSD</t>
  </si>
  <si>
    <t>480GB SATA 2.5in MLC HS Enterprise Value SSD</t>
  </si>
  <si>
    <t>480GB SATA 2.5in MLC G3HS Enterprise Value SSD</t>
  </si>
  <si>
    <t>00YC375</t>
  </si>
  <si>
    <t>480GB Enterprise Entry SATA HS 2.5in SSD</t>
  </si>
  <si>
    <t>00YC395</t>
  </si>
  <si>
    <t>480GB Enterprise Entry SATA G3HS 2.5in SSD</t>
  </si>
  <si>
    <t>800GB SATA 2.5in MLC HS Enterprise Value SSD</t>
  </si>
  <si>
    <t>800GB SATA 2.5in MLC G3HS Enterprise Value SSD</t>
  </si>
  <si>
    <t>00YC380</t>
  </si>
  <si>
    <t>960GB Enterprise Entry SATA HS 2.5in SSD</t>
  </si>
  <si>
    <t>00YC400</t>
  </si>
  <si>
    <t>960GB Enterprise Entry SATA G3HS 2.5in SSD</t>
  </si>
  <si>
    <t>S3500 120GB SATA 2.5in MLC HS Enterprise Value SSD</t>
  </si>
  <si>
    <t>S3500 240GB SATA 2.5in MLC HS Enterprise Value SSD</t>
  </si>
  <si>
    <t>S3500 480GB SATA 2.5in MLC HS Enterprise Value SSD</t>
  </si>
  <si>
    <t>S3500 800GB SATA 2.5in MLC HS Enterprise Value SSD</t>
  </si>
  <si>
    <t>00YC529</t>
  </si>
  <si>
    <t>120GB SATA 3.5in MLC HS Enterprise Value SSD</t>
  </si>
  <si>
    <t>00YC420</t>
  </si>
  <si>
    <t>200GB SAS 2.5in MLC HS Enterprise SSD</t>
  </si>
  <si>
    <t>200GB SAS 2.5in MLC G3HS Enterprise SSD</t>
  </si>
  <si>
    <t>200GB 12G SAS 2.5in MLC G3HS Enterprise SSD</t>
  </si>
  <si>
    <t>400GB SAS 2.5in MLC HS Enterprise SSD</t>
  </si>
  <si>
    <t>400GB SAS 2.5in MLC G3HS Enterprise SSD</t>
  </si>
  <si>
    <t>400GB 12G SAS 2.5in MLC G3HS Enterprise SSD</t>
  </si>
  <si>
    <t>800GB SAS 2.5in MLC HS Enterprise SSD</t>
  </si>
  <si>
    <t>800GB SAS 2.5in MLC G3HS Enterprise SSD</t>
  </si>
  <si>
    <t>800GB 12G SAS 2.5in MLC G3HS Enterprise SSD</t>
  </si>
  <si>
    <t>1.6TB SAS 2.5in MLC HS Enterprise SSD</t>
  </si>
  <si>
    <t>1.6TB 12G SAS 2.5in MLC G3HS Enterprise SSD</t>
  </si>
  <si>
    <t>00NA671</t>
  </si>
  <si>
    <t>120GB SATA 2.5in MLC Enterprise Value SSD for NeXtScale System</t>
  </si>
  <si>
    <t>00YC430</t>
  </si>
  <si>
    <t>240GB Enterprise Entry SATA 2.5in SSD for NeXtScale</t>
  </si>
  <si>
    <t>300GB 10K 6Gbps SAS 2.5in HDD for NeXtScale System</t>
  </si>
  <si>
    <t>300GB 15K 12Gbps SAS 2.5in 512e HDD for NeXtScale System</t>
  </si>
  <si>
    <t>00WG670</t>
  </si>
  <si>
    <t>300GB 15K 12Gbps SAS 2.5in HDD for NeXtScale System</t>
  </si>
  <si>
    <t>00WG725</t>
  </si>
  <si>
    <t>300GB 10K 12Gbps SAS 2.5in HDD for NeXtScale System</t>
  </si>
  <si>
    <t>500GB 7.2K 6Gbps SATA 2.5in HDD for NeXtScale System</t>
  </si>
  <si>
    <t>600GB 10K 6Gbps SAS 2.5in HDD for NeXtScale System</t>
  </si>
  <si>
    <t>600GB 15K 6Gbps SAS 2.5in HDD for NeXtScale System</t>
  </si>
  <si>
    <t>00WG730</t>
  </si>
  <si>
    <t>600GB 10K 12Gbps SAS 2.5in HDD for NeXtScale System</t>
  </si>
  <si>
    <t>900GB 10K 12Gbps SAS 2.5in 512e HDD for NeXtScale System</t>
  </si>
  <si>
    <t>00WG735</t>
  </si>
  <si>
    <t>900GB 10K 12Gbps SAS 2.5in HDD for NeXtScale System</t>
  </si>
  <si>
    <t>00YC440</t>
  </si>
  <si>
    <t>960GB Enterprise Entry SATA 2.5in SSD for NeXtScale</t>
  </si>
  <si>
    <t>1TB 7.2K 6Gbps SATA 2.5in HDD for NeXtScale System</t>
  </si>
  <si>
    <t>1TB 7.2K 6Gbps SATA 3.5in HDD for NeXtScale System</t>
  </si>
  <si>
    <t>1.2TB 10K 6Gbps SAS 2.5in HDD for NeXtScale System</t>
  </si>
  <si>
    <t>00WG740</t>
  </si>
  <si>
    <t>1.2TB 10K 12Gbps SAS 2.5in HDD for NeXtScale System</t>
  </si>
  <si>
    <t>1.8TB 10K 12Gbps SAS 2.5in 512e HDD for NeXtScale System</t>
  </si>
  <si>
    <t>00NA566</t>
  </si>
  <si>
    <t>2TB 7.2K 6Gbps NL SATA 2.5in 512e HDD for NeXtScale System</t>
  </si>
  <si>
    <t>2TB 7.2K 6Gbps NL SATA 3.5in 512e HDD for NextScale System</t>
  </si>
  <si>
    <t>4TB 7.2K 12Gbps NL SAS 3.5in 512e HDD for NextScale System</t>
  </si>
  <si>
    <t>4TB 7.2K 6Gbps SATA 3.5in HDD for NeXtScale System</t>
  </si>
  <si>
    <t>6TB 7.2K 6Gbps NL SATA 3.5in 512e HDD for NextScale System</t>
  </si>
  <si>
    <t>Additional HDD</t>
  </si>
  <si>
    <t>S3500 1.6TB SATA 2.5in MLC HS Enterprise Value SSD</t>
  </si>
  <si>
    <t>S3500 1.6TB SATA 2.5in MLC G3HS Enterprise Value SSD</t>
  </si>
  <si>
    <t>00AJ171</t>
  </si>
  <si>
    <t>S3500 120GB Enterprise Value SATA G3HS 2.5in SSD</t>
  </si>
  <si>
    <t>00AJ176</t>
  </si>
  <si>
    <t>S3500 240GB Enterprise Value SATA G3HS 2.5in SSD</t>
  </si>
  <si>
    <t>00AJ181</t>
  </si>
  <si>
    <t>S3500 480GB Enterprise Value SATA G3HS 2.5in SSD</t>
  </si>
  <si>
    <t>00AJ186</t>
  </si>
  <si>
    <t>S3500 800GB Enterprise Value SATA G3HS 2.5in SSD</t>
  </si>
  <si>
    <t>S3700 400GB SATA 3.5in MLC HS Enterprise SSD</t>
  </si>
  <si>
    <t>S3700 800GB SATA 3.5in MLC HS Enterprise SSD</t>
  </si>
  <si>
    <t>4x 2.5in HS SAS/SATA/SSD HDD Backplane</t>
  </si>
  <si>
    <t>6x 3.5in Hot-Swap SAS/SATA Upgrade Kit for 12 HDDs</t>
  </si>
  <si>
    <t>6x 3.5in Hot-Swap SAS/SATA Upgrade Kit for 22 HDDs (Inter mix)</t>
  </si>
  <si>
    <t>8x 2.5in Hot-Swap SAS/SATA Upgrade Kit for 16 or 24 HDDs</t>
  </si>
  <si>
    <t>8x 2.5in Hot-Swap SAS/SATA Upgrade Kit for 32 HDDs</t>
  </si>
  <si>
    <t>8x 2.5in HS SAS/SATA/SSD HDD Backplane</t>
  </si>
  <si>
    <t>8x 2.5in HS SAS/SATA/SSD HDD Backplane with controller expansion</t>
  </si>
  <si>
    <t>BladeCenter S 12-Disk Storage Module</t>
  </si>
  <si>
    <t>eXFlash 8x 1.8in HS SAS SSD Backplane</t>
  </si>
  <si>
    <t>Flex System x240 USB Enablement Kit</t>
  </si>
  <si>
    <t>NVMe Enterprise PCIe SSD Enablement Kit for Flex System x240 M5</t>
  </si>
  <si>
    <t>ServeRAID M1200 RAID 5 Enablement Kit for Flex System x240 M5</t>
  </si>
  <si>
    <t>44T1316</t>
  </si>
  <si>
    <t>ServeRAID M1200 Series Flex System Flash Kit for X6</t>
  </si>
  <si>
    <t>ServeRAID M5100 Series Enablement Kit for Flex System x440</t>
  </si>
  <si>
    <t>44T1178</t>
  </si>
  <si>
    <t>ServeRAID M5100 Series Flex System Flash Kit for X6</t>
  </si>
  <si>
    <t>00JX142</t>
  </si>
  <si>
    <t>ServeRAID M5215 with 2GB Flash Enablement - Flex System x240 M5</t>
  </si>
  <si>
    <t>44X4108</t>
  </si>
  <si>
    <t>System x 4 x 2.5in NVMe PCIe SSD Backplane</t>
  </si>
  <si>
    <t>System x3250 M5 Hot Swap HDD RAID 5 Upgrade Kit</t>
  </si>
  <si>
    <t>00FK677</t>
  </si>
  <si>
    <t>System x3650 M5 Plus 4x 2.5in NVMe PCIe SSD Upgrade Kit</t>
  </si>
  <si>
    <t>x3250 M5 HS 2.5in HDD 4 to 8 Upgrade Kit</t>
  </si>
  <si>
    <t>Emulex 10GbE Virtual Fabric Advanced Upgrade for BladeCenter</t>
  </si>
  <si>
    <t>Emulex 10GbE Virtual Fabric Adapter Advanced II - BladeCenter</t>
  </si>
  <si>
    <t>Emulex 10GbE Virtual Fabric Adapter II - BladeCenter</t>
  </si>
  <si>
    <t>System x3300 Simple-Swap SATA Kit 4x3.5in</t>
  </si>
  <si>
    <t>System x3300 3.5in HS Kit for HW/SW RAID</t>
  </si>
  <si>
    <t>System x3300 2nd 2.5in HS Upgrade Kit</t>
  </si>
  <si>
    <t>HH DVD-ROM</t>
  </si>
  <si>
    <t>HH Multiburner DVD</t>
  </si>
  <si>
    <t>UltraSlim Enhanced SATA DVD-ROM</t>
  </si>
  <si>
    <t>UltraSlim Enhanced SATA Multi-Burner</t>
  </si>
  <si>
    <t>Additional CD / DVD</t>
  </si>
  <si>
    <t>RAID</t>
  </si>
  <si>
    <t>ServeRAID H1110 SAS/SATA Controller</t>
  </si>
  <si>
    <t>ServeRAID M1100 Series Zero Cache/RAID 5 Upgrade</t>
  </si>
  <si>
    <t>ServeRAID M1115 SAS/SATA Controller</t>
  </si>
  <si>
    <t>ServeRAID M1200 Zero Cache/RAID 5 Upgrade FOD</t>
  </si>
  <si>
    <t>ServeRAID M1215 SAS/SATA Controller</t>
  </si>
  <si>
    <t>ServeRAID M5100 Series 2GB Flash/RAID 5 Upgrade</t>
  </si>
  <si>
    <t>ServeRAID M5100 Series 512MB Cache/RAID 5 Upgrade</t>
  </si>
  <si>
    <t>ServeRAID M5100 Series 512MB Flash/RAID 5 Upgrade</t>
  </si>
  <si>
    <t>ServeRAID M5100 Series Battery Kit</t>
  </si>
  <si>
    <t>ServeRAID M5100 Series Zero Cache/RAID 5 Upgrade</t>
  </si>
  <si>
    <t>ServeRAID M5100 Series RAID 6 Upgrade</t>
  </si>
  <si>
    <t>ServeRAID M5100 Series 1GB Flash/RAID 5 Upgrade</t>
  </si>
  <si>
    <t>ServeRAID M5100 Series SSD Performance Key</t>
  </si>
  <si>
    <t>ServeRAID M5100 Series SSD Caching Enabler</t>
  </si>
  <si>
    <t>ServeRAID M5110 SAS/SATA Controller</t>
  </si>
  <si>
    <t>ServeRAID M5115 SAS/SATA Controller for Flex System</t>
  </si>
  <si>
    <t>ServeRAID M5120 SAS/SATA Controller</t>
  </si>
  <si>
    <t>ServeRAID M5200 Series 1GB Cache/RAID 5 Upgrade</t>
  </si>
  <si>
    <t>ServeRAID M5200 Series 1GB Flash/RAID 5 Upgrade</t>
  </si>
  <si>
    <t>ServeRAID M5200 Series 2GB Flash/RAID 5 Upgrade</t>
  </si>
  <si>
    <t>ServeRAID M5200 Series 4GB Flash/RAID 5 Upgrade</t>
  </si>
  <si>
    <t>ServeRAID M5200 Series Performance Accelerator-FoD</t>
  </si>
  <si>
    <t>ServeRAID M5200 Series RAID 6 Upgrade-FoD</t>
  </si>
  <si>
    <t>ServeRAID M5200 Series SSD Caching Enabler-FoD</t>
  </si>
  <si>
    <t>ServeRAID M5200 Series Zero Cache/RAID 5 Upgrade-FoD</t>
  </si>
  <si>
    <t>ServeRAID M5210 SAS/SATA Controller</t>
  </si>
  <si>
    <t>ServeRAID M5225-2GB SAS/SATA Controller</t>
  </si>
  <si>
    <t>Emulex VFA III/IIIr FCoE/iSCSI License (FoD)</t>
  </si>
  <si>
    <t>HBA</t>
  </si>
  <si>
    <t>6Gb SAS HBA</t>
  </si>
  <si>
    <t>N2115 SAS/SATA HBA</t>
  </si>
  <si>
    <t>N2125 SAS/SATA HBA</t>
  </si>
  <si>
    <t>N2215 SAS/SATA HBA</t>
  </si>
  <si>
    <t>N2225 SAS/SATA HBA</t>
  </si>
  <si>
    <t>N2226 SAS/SATA HBA</t>
  </si>
  <si>
    <t>QLogic 8Gb FC Dual-port HBA</t>
  </si>
  <si>
    <t>QLogic 8Gb FC Single-port HBA</t>
  </si>
  <si>
    <t>QLogic 16Gb FC Dual-port HBA</t>
  </si>
  <si>
    <t>QLogic 16Gb FC Single-port HBA</t>
  </si>
  <si>
    <t>Emulex 8Gb FC Single-port HBA</t>
  </si>
  <si>
    <t>Emulex 8Gb FC Dual-port HBA</t>
  </si>
  <si>
    <t>Emulex 16Gb FC Single-port HBA</t>
  </si>
  <si>
    <t>Emulex 16Gb FC Dual-port HBA</t>
  </si>
  <si>
    <t>Flash Adapter</t>
  </si>
  <si>
    <t>1000GB Enterprise io3 Flash Adapter</t>
  </si>
  <si>
    <t>1250GB Enterprise Value io3 Flash Adapter</t>
  </si>
  <si>
    <t>1300GB Enterprise io3 Flash Adapter</t>
  </si>
  <si>
    <t>1600GB Enterprise Value io3 Flash Adapter</t>
  </si>
  <si>
    <t>2600GB Enterprise io3 Flash Adapter</t>
  </si>
  <si>
    <t>3200GB Enterprise Value io3 Flash Adapter</t>
  </si>
  <si>
    <t>6400GB Enterprise Value io3 Flash Adapter</t>
  </si>
  <si>
    <t>Virtual Fabric Adapter / iSCSI</t>
  </si>
  <si>
    <t>Emulex VFA5 ML2 FCoE/iSCSI License (FoD)</t>
  </si>
  <si>
    <t>Qlogic 8200 VFA FCoE/iSCSI License (FoD)</t>
  </si>
  <si>
    <t>Qlogic Embedded VFA FCoE/iSCSI License (FoD)</t>
  </si>
  <si>
    <t xml:space="preserve">Additional Controller Cards </t>
  </si>
  <si>
    <t>Broadcom</t>
  </si>
  <si>
    <t>Broadcom NetXtreme 2x10 GbE SFP+ Mezz Adapter</t>
  </si>
  <si>
    <t>Broadcom Dual Port 10GbE SFP+ Embedded Adapter with Interposer</t>
  </si>
  <si>
    <t>Broadcom NetXtreme 2x10GbE BaseT Adapter</t>
  </si>
  <si>
    <t>Broadcom NetXtreme 2xGbE BaseT Adapter</t>
  </si>
  <si>
    <t>Broadcom NetXtreme Dual Port 10GbE SFP+ Adapter</t>
  </si>
  <si>
    <t>Broadcom NetXtreme I Dual Port GbE Adapter</t>
  </si>
  <si>
    <t>Broadcom NetXtreme I Quad Port GbE Adapter</t>
  </si>
  <si>
    <t>Broadcom NetXtreme II ML2 Dual Port 10GbaseT</t>
  </si>
  <si>
    <t>Broadcom NetXtreme II ML2 Dual Port 10GbE SFP+</t>
  </si>
  <si>
    <t>Broadcom Single Port 10GbE SFP+ Embedded Adapter with Interposer</t>
  </si>
  <si>
    <t>Emulex Dual Port 10GbE SFP+ VFA IIIr</t>
  </si>
  <si>
    <t>Keyboard w/ Int. Pointing Device USB - LA Span 171 RoHS v2</t>
  </si>
  <si>
    <t>Mellanox</t>
  </si>
  <si>
    <t>Mellanox ConnectX-3 10 GbE Adapter</t>
  </si>
  <si>
    <t>Mellanox ConnectX-3 40GbE / FDR IB VPI Adapter</t>
  </si>
  <si>
    <t>Mellanox ConnectX-3 Pro ML2 2x40GbE/FDR VPI Adapter</t>
  </si>
  <si>
    <t>Emulex</t>
  </si>
  <si>
    <t>Emulex Dual Port 10GbE SFP+ Embedded VFA IIIr</t>
  </si>
  <si>
    <t>Emulex Mezz VFA III/IIIr FCoE/iSCSI License (FoD)</t>
  </si>
  <si>
    <t>Emulex VFA5 2x10 GbE SFP+ Adapter and FCoE/iSCSI SW</t>
  </si>
  <si>
    <t>Emulex VFA5 2x10 GbE SFP+ PCIe Adapter</t>
  </si>
  <si>
    <t>Emulex VFA5 FCoE/iSCSI SW for PCIe Adapter (FoD)</t>
  </si>
  <si>
    <t>Emulex VFA5 ML2 Dual Port 10GbE SFP+ Adapter</t>
  </si>
  <si>
    <t>Solarflare</t>
  </si>
  <si>
    <t>Solarflare SFN5162F 2x10GbE SFP+ Performant Adapter</t>
  </si>
  <si>
    <t>Solarflare SFN7122F 2x10GbE SFP+ Flareon Ultra</t>
  </si>
  <si>
    <t>Qlogic</t>
  </si>
  <si>
    <t>Qlogic 8200 Dual Port 10GbE SFP+ VFA</t>
  </si>
  <si>
    <t>Qlogic Dual Port 10GbE SFP+ Embedded VFA</t>
  </si>
  <si>
    <t>Intel</t>
  </si>
  <si>
    <t>Intel I350-F1 1xGbE Fiber Adapter</t>
  </si>
  <si>
    <t>Intel I350-T2 2xGbE BaseT Adapter</t>
  </si>
  <si>
    <t>Intel I350-T4 4xGbE BaseT Adapter</t>
  </si>
  <si>
    <t>Intel I350-T4 ML2 Quad Port GbE Adapter</t>
  </si>
  <si>
    <t>Intel x520 Dual Port 10GbE SFP+ Adapter</t>
  </si>
  <si>
    <t>Intel X520 Dual Port 10GbE SFP+ Embedded Adapter</t>
  </si>
  <si>
    <t>Intel X520 Dual Port 10GbE SFP+ Embedded Adapter with Interposer</t>
  </si>
  <si>
    <t>Intel X540 Dual Port 10GBase-T Embedded Adapter</t>
  </si>
  <si>
    <t>Intel X540 ML2 Dual Port 10GbaseT Adapter</t>
  </si>
  <si>
    <t>Intel X540-T2 Dual Port 10GBaseT Adapter</t>
  </si>
  <si>
    <t>Intel X710 2x10GbE SFP+ Adapter</t>
  </si>
  <si>
    <t>Intel X710 ML2 4x10GbE SFP+ Adapter</t>
  </si>
  <si>
    <t>Flex adapters</t>
  </si>
  <si>
    <t>Flex System CN4022 2-port 10Gb Converged Adapter</t>
  </si>
  <si>
    <t>Flex System CN4052 2-port 10Gb Virtual Fabric Adapter</t>
  </si>
  <si>
    <t>Flex System CN4052 Virtual Fabric Adapter SW Upgrade (FoD)</t>
  </si>
  <si>
    <t>Flex System CN4054R 10Gb Virtual Fabric Adapter</t>
  </si>
  <si>
    <t>Flex System CN4058S 8-port 10Gb Virtual Fabric Adapter</t>
  </si>
  <si>
    <t>Flex System CN4058S Virtual Fabric Adapter SW Upgrade (FoD)</t>
  </si>
  <si>
    <t>Flex System CN4054 Virtual Fabric Adapter (SW Upgrade)</t>
  </si>
  <si>
    <t>Flex System EN2024 4-port 1Gb Ethernet Adapter</t>
  </si>
  <si>
    <t>Flex System EN4132 2-port 10Gb Ethernet Adapter</t>
  </si>
  <si>
    <t>Flex System EN4172 2-port 10Gb Ethernet Adapter</t>
  </si>
  <si>
    <t>Flex System EN6132 2-port 40Gb Ethernet Adapter</t>
  </si>
  <si>
    <t>Flex System FC3052 2-port 8Gb FC Adapter</t>
  </si>
  <si>
    <t>Flex System FC3172 2-port 8Gb FC Adapter</t>
  </si>
  <si>
    <t>Flex System FC5052 2-port 16Gb FC Adapter</t>
  </si>
  <si>
    <t>Flex System FC5054 4-port 16Gb FC Adapter</t>
  </si>
  <si>
    <t>Flex System FC5172 2-port 16Gb FC Adapter</t>
  </si>
  <si>
    <t>Flex System IB6132 2-port FDR Infiniband Adapter</t>
  </si>
  <si>
    <t>00FM258</t>
  </si>
  <si>
    <t>Flex System X6 Embedded 10Gb Virtual Fabric Upgrade</t>
  </si>
  <si>
    <t>NextScale Riser</t>
  </si>
  <si>
    <t>Dual Port FDR10/QDR embedded adapter for nx360 M4</t>
  </si>
  <si>
    <t>PCIe</t>
  </si>
  <si>
    <t>x3750 M4 PCIe 1x16 and 1x8 riser</t>
  </si>
  <si>
    <t>x3750 M4 PCIe 3 x8 riser</t>
  </si>
  <si>
    <t>00ML997</t>
  </si>
  <si>
    <t>System x NVMe PCIe SSD Extender Adapter</t>
  </si>
  <si>
    <t>Flex System Enterprise Chassis Airborne Contaminant Filter</t>
  </si>
  <si>
    <t>Dual Port FDR Embedded Adapter</t>
  </si>
  <si>
    <t>Environmental Monitoring Probe</t>
  </si>
  <si>
    <t>LCD UPS Network Management Card</t>
  </si>
  <si>
    <t>LLM-SM Dual Port 10GbE SFP+ Adapter</t>
  </si>
  <si>
    <t>Addotional Network Cards</t>
  </si>
  <si>
    <t>00MM835</t>
  </si>
  <si>
    <t>16Gb FC 4 Port Adapter Pair for IBM Storwize V7000</t>
  </si>
  <si>
    <t>Integrated Management Module Advanced Upgrade</t>
  </si>
  <si>
    <t>32GB Enterprise Value USB Memory Key</t>
  </si>
  <si>
    <t>Blank SD Media</t>
  </si>
  <si>
    <t>SD Media Adapter with 2 Blank SD Media</t>
  </si>
  <si>
    <t>Blank USB Memory Key for VMWare ESXi Downloads</t>
  </si>
  <si>
    <t>USB Memory Key for VMWare ESXi 5.1 Update 1</t>
  </si>
  <si>
    <t>Intel I-350 Embedded Dual Port GbE Activation (FoD)</t>
  </si>
  <si>
    <t>Addotional</t>
  </si>
  <si>
    <t>OPTIONSERVER</t>
  </si>
  <si>
    <t>NVIDIA GRID K1 for Flex System PCIe Expansion Node</t>
  </si>
  <si>
    <t>NVIDIA GRID K2 for Flex System PCIe Expansion Node</t>
  </si>
  <si>
    <t>Intel Xeon Phi 5110P for Flex System PCIe Expansion Node</t>
  </si>
  <si>
    <t>NVIDIA Tesla K40 for Flex System PCIe Expansion Node</t>
  </si>
  <si>
    <t>00KG133</t>
  </si>
  <si>
    <t>nVidia Tesla K80</t>
  </si>
  <si>
    <t>Additional Video Adapters</t>
  </si>
  <si>
    <t>00Y8366</t>
  </si>
  <si>
    <t>KVM Dongle cable</t>
  </si>
  <si>
    <t>Flex System Management Serial Access Cable</t>
  </si>
  <si>
    <t>Flex System Chassis Management Module</t>
  </si>
  <si>
    <t>00FJ669</t>
  </si>
  <si>
    <t>Lenovo Flex System Redundant Chassis Management Module 2</t>
  </si>
  <si>
    <t>QLogic Enet and 8Gb FC Exp Card (CFFh) for BladeCenter</t>
  </si>
  <si>
    <t>BladeCenter S SAS RAID Controller Module Battery</t>
  </si>
  <si>
    <t>BladeCenter Advanced Management Module</t>
  </si>
  <si>
    <t>BladeCenter Layer 2/3 Copper Gb Ethernet Switch Module</t>
  </si>
  <si>
    <t>BladeCenter Layer 2/3 Fiber Gb Ethernet Switch Module</t>
  </si>
  <si>
    <t>USB to PS/2 Converter Cable</t>
  </si>
  <si>
    <t>BladeCenter SAS Connectivity Module</t>
  </si>
  <si>
    <t>Multi-Switch Interconnect Module for BladeCenter</t>
  </si>
  <si>
    <t>Server Connectivity Module for BladeCenter</t>
  </si>
  <si>
    <t>Brocade Enterprise 20-port 8Gb SAN Switch Module for BladeCenter</t>
  </si>
  <si>
    <t>BladeCenter HT Bezel (Incl Filter &amp; Cable Mgmt Collar)</t>
  </si>
  <si>
    <t>BladeCenter HT Interposer for Gb Switches and Bridge Bays</t>
  </si>
  <si>
    <t>BladeCenter HT Interposer for HS Switch Bay</t>
  </si>
  <si>
    <t>BladeCenter HT Redundant Media Tray Option</t>
  </si>
  <si>
    <t>BladeCenter HT Advanced Management Module Interposer</t>
  </si>
  <si>
    <t>BladeCenter S SAS RAID Controller Module</t>
  </si>
  <si>
    <t>SAS Connectivity Card (CIOv) for BladeCenter</t>
  </si>
  <si>
    <t>Brocade FCoE Switch Port Upgrade for BladeCenter</t>
  </si>
  <si>
    <t>Multi-Switch Interconnect Module for BladeCenter HT</t>
  </si>
  <si>
    <t>BladeCenter 1/10Gb Uplink Ethernet Switch Module</t>
  </si>
  <si>
    <t>Ethernet Expansion Card (CIOv) for BladeCenter</t>
  </si>
  <si>
    <t>2/4 Port Ethernet Expansion Card (CFFh) for BladeCenter</t>
  </si>
  <si>
    <t>Intelligent Copper Pass-thru Module for BladeCenter</t>
  </si>
  <si>
    <t>QLogic 8Gb Intelligent Pass-thru Module for BladeCenter</t>
  </si>
  <si>
    <t>Brocade 20-port 8Gb SAN Switch Module for BladeCenter</t>
  </si>
  <si>
    <t>Brocade 10-port 8Gb SAN Switch Module for BladeCenter</t>
  </si>
  <si>
    <t>Qlogic 8Gb Fibre Channel Expansion Card (CIOv) for BladeCenter</t>
  </si>
  <si>
    <t>Emulex 8Gb Fibre Channel Expansion Card (CIOv) for BladeCenter</t>
  </si>
  <si>
    <t>BladeCenter H enhanced cooling modules</t>
  </si>
  <si>
    <t>Emulex 10GbE VFA II for BladeCenter HS23</t>
  </si>
  <si>
    <t>Emulex 10GbE VFA Advanced II for BladeCenter HS23</t>
  </si>
  <si>
    <t>Virtual Fabric Advanced FOD Upgrade for BladeCenter HS23</t>
  </si>
  <si>
    <t>10Gb Interposer Card for BladeCenter HS23</t>
  </si>
  <si>
    <t>Lenovo Flex System Fabric CN4093 10Gb Converged Scalable Switch</t>
  </si>
  <si>
    <t>00D9865</t>
  </si>
  <si>
    <t>Lenovo 40GBASE-iSR4 QSFP+ Transceiver</t>
  </si>
  <si>
    <t>QSFP+ 40GBASE-eSR4 Optical Transceiver</t>
  </si>
  <si>
    <t>00FE327</t>
  </si>
  <si>
    <t>Lenovo Flex System SI4091 10Gb System Interconnect Module</t>
  </si>
  <si>
    <t>1m MTP-4xLC OM3 MMF Breakout Cable</t>
  </si>
  <si>
    <t>3m MTP-4xLC OM3 MMF Breakout Cable</t>
  </si>
  <si>
    <t>5m MTP-4xLC OM3 MMF Breakout Cable</t>
  </si>
  <si>
    <t>00FM510</t>
  </si>
  <si>
    <t>00FM514</t>
  </si>
  <si>
    <t>Lenovo Flex System Fabric EN4093R 10Gb Scalable Switch</t>
  </si>
  <si>
    <t>00FM518</t>
  </si>
  <si>
    <t>Lenovo Flex System Fabric SI4093 System Interconnect Module</t>
  </si>
  <si>
    <t>3m Mellanox Active IB FDR Optical Fiber Cable</t>
  </si>
  <si>
    <t>5m Mellanox Active IB FDR Optical Fiber Cable</t>
  </si>
  <si>
    <t>10m Mellanox Active IB FDR Optical Fiber Cable</t>
  </si>
  <si>
    <t>15m Mellanox Active IB FDR Optical Fiber Cable</t>
  </si>
  <si>
    <t>20m Mellanox Active IB FDR Optical Fiber Cable</t>
  </si>
  <si>
    <t>30m Mellanox Active IB FDR Optical Fiber Cable</t>
  </si>
  <si>
    <t>00W0069</t>
  </si>
  <si>
    <t>3m Mellanox QSFP Optical FDR14 InfiniBand Cable</t>
  </si>
  <si>
    <t>00W0073</t>
  </si>
  <si>
    <t>5m Mellanox QSFP Optical FDR14 InfiniBand Cable</t>
  </si>
  <si>
    <t>00W0077</t>
  </si>
  <si>
    <t>10m Mellanox QSFP Optical FDR14 InfiniBand Cable</t>
  </si>
  <si>
    <t>00W0081</t>
  </si>
  <si>
    <t>15m Mellanox QSFP Optical FDR14 InfiniBand Cable</t>
  </si>
  <si>
    <t>00W0085</t>
  </si>
  <si>
    <t>20m Mellanox QSFP Optical FDR14 InfiniBand Cable</t>
  </si>
  <si>
    <t>00W0089</t>
  </si>
  <si>
    <t>30m Mellanox QSFP Optical FDR14 InfiniBand Cable</t>
  </si>
  <si>
    <t>Lenovo Flex System EN4023 10Gb Scalable Switch</t>
  </si>
  <si>
    <t>Cisco Nexus B22 Fabric Extender for Flex System</t>
  </si>
  <si>
    <t>Cisco Nexus B22 Fabric Extender with FET bundle for Flex System</t>
  </si>
  <si>
    <t>RJ45 1Gbps Transceiver</t>
  </si>
  <si>
    <t>0.75m Mellanox QSFP Passive DAC Cable</t>
  </si>
  <si>
    <t>1m Mellanox QSFP Passive DAC Cable</t>
  </si>
  <si>
    <t>1.25m Mellanox QSFP Passive DAC Cable</t>
  </si>
  <si>
    <t>1.5m Mellanox QSFP Passive DAC Cable</t>
  </si>
  <si>
    <t>3m Mellanox QSFP Passive DAC Cable</t>
  </si>
  <si>
    <t>3m Mellanox QSFP Passive DAC Hybrid Cable</t>
  </si>
  <si>
    <t>00VX183</t>
  </si>
  <si>
    <t>Lenovo 10GBASE-SR SFP+ Transceiver (85° C)</t>
  </si>
  <si>
    <t>00VX003</t>
  </si>
  <si>
    <t>Lenovo 10m QSFP+ MTP-MTP OM3 MMF Cable</t>
  </si>
  <si>
    <t>00VX005</t>
  </si>
  <si>
    <t>Lenovo 30m QSFP+ MTP-MTP OM3 MMF Cable</t>
  </si>
  <si>
    <t>00VX111</t>
  </si>
  <si>
    <t>Lenovo 1m Active DAC SFP+ Cables</t>
  </si>
  <si>
    <t>00VX114</t>
  </si>
  <si>
    <t>Lenovo 3m Active DAC SFP+ Cables</t>
  </si>
  <si>
    <t>00VX117</t>
  </si>
  <si>
    <t>Lenovo 5m Active DAC SFP+ Cables</t>
  </si>
  <si>
    <t>0.5m Mellanox QSFP Passive DAC Cable</t>
  </si>
  <si>
    <t>750W High Efficiency Platinum AC Power Supply</t>
  </si>
  <si>
    <t>900W High Efficiency Platinum AC Power Supply</t>
  </si>
  <si>
    <t>Flex System Enterprise Chassis -48V DC 2500W Power Module</t>
  </si>
  <si>
    <t>550W Redundant PSU (Optional)</t>
  </si>
  <si>
    <t>900W High Efficiency Platinum AC Power Supply v2</t>
  </si>
  <si>
    <t>00KG685</t>
  </si>
  <si>
    <t>CFF -48V DC 900W Power Supply</t>
  </si>
  <si>
    <t>00MU774</t>
  </si>
  <si>
    <t>NeXtScale n1200 1300W Titanium Power Supply</t>
  </si>
  <si>
    <t>00MU775</t>
  </si>
  <si>
    <t>NeXtScale n1200 1500W Platinum Power Supply</t>
  </si>
  <si>
    <t>00MU909</t>
  </si>
  <si>
    <t>System x 1500W High Efficiency Platinum AC Power Supply</t>
  </si>
  <si>
    <t>00MU910</t>
  </si>
  <si>
    <t>System x 900W High Efficiency -48 V DC Power Supply</t>
  </si>
  <si>
    <t>00MU911</t>
  </si>
  <si>
    <t>System x 1300W High Efficiency Titanium AC Power Supply (200-240V)</t>
  </si>
  <si>
    <t>00MV211</t>
  </si>
  <si>
    <t>00MV212</t>
  </si>
  <si>
    <t>00MW035</t>
  </si>
  <si>
    <t>NeXtScale n1200 CFF 1300W Power Supply</t>
  </si>
  <si>
    <t>BladeCenter HT DC Power Supply Option</t>
  </si>
  <si>
    <t>BladeCenter HT AC Power Supply Option</t>
  </si>
  <si>
    <t>Flex System Enterprise Chassis 2500W Power Module</t>
  </si>
  <si>
    <t>900W Power Supply</t>
  </si>
  <si>
    <t>1400W HE Redundant Power Supply for altitudes &gt;5000 meters</t>
  </si>
  <si>
    <t>1400W HE Redundant Power Supply</t>
  </si>
  <si>
    <t>BladeCenter S C14 950W/1450W Auto-sensing Power Supplies 3 &amp; 4</t>
  </si>
  <si>
    <t>BladeCenter H 2980W AC Addl Power Module for Bays 3 or 4(Qty=1)</t>
  </si>
  <si>
    <t>675W Redundant -48V DC Power Supply</t>
  </si>
  <si>
    <t>675W High Efficiency Redundant AC Power Supply</t>
  </si>
  <si>
    <t>460W Redundant Power Supply Unit</t>
  </si>
  <si>
    <t>Power Interposer for Redundant Power Supply</t>
  </si>
  <si>
    <t>4S-750W High Efficiency -48 V DC Power Supply</t>
  </si>
  <si>
    <t>550W High Efficiency Platinum AC Power Supply</t>
  </si>
  <si>
    <t>460W Redundant Power Supply Unit with 80+ certified</t>
  </si>
  <si>
    <t>750W High Efficiency -48 V DC Power Supply</t>
  </si>
  <si>
    <t>Block Release Options</t>
  </si>
  <si>
    <t>00AG540</t>
  </si>
  <si>
    <t>Flex System CN4052R 2-port 10Gb Virtual Fabric Adapter</t>
  </si>
  <si>
    <t>00AG560</t>
  </si>
  <si>
    <t>Emulex VFA5.2 ML2 Dual Port 10GbE SFP+ Adapter</t>
  </si>
  <si>
    <t>00AG570</t>
  </si>
  <si>
    <t>Emulex VFA5.2 2x10 GbE SFP+ PCIe Adapter</t>
  </si>
  <si>
    <t>00AG580</t>
  </si>
  <si>
    <t>Emulex VFA5.2 2x10 GbE SFP+ Adapter and FCoE/iSCSI SW</t>
  </si>
  <si>
    <t>00AG590</t>
  </si>
  <si>
    <t>Flex System CN4054S 4-port 10Gb Virtual Fabric Adapter</t>
  </si>
  <si>
    <t>00AG594</t>
  </si>
  <si>
    <t>Flex System CN4054S 4-port 10Gb Virtual Fabric Adapter SW Upgrade</t>
  </si>
  <si>
    <t>00KH377</t>
  </si>
  <si>
    <t>NVIDIA Quadro M6000</t>
  </si>
  <si>
    <t>00MW239</t>
  </si>
  <si>
    <t>System x3650 M5 Custom Rail Kit</t>
  </si>
  <si>
    <t>00WG620</t>
  </si>
  <si>
    <t>S3510 120GB Enterprise Entry SATA G3HS 2.5" SSD</t>
  </si>
  <si>
    <t>00WG625</t>
  </si>
  <si>
    <t>S3510 240GB Enterprise Entry SATA G3HS 2.5" SSD</t>
  </si>
  <si>
    <t>00WG630</t>
  </si>
  <si>
    <t>S3510 480GB Enterprise Entry SATA G3HS 2.5" SSD</t>
  </si>
  <si>
    <t>00WG635</t>
  </si>
  <si>
    <t>S3510 800GB Enterprise Entry SATA G3HS 2.5" SSD</t>
  </si>
  <si>
    <t>00WG770</t>
  </si>
  <si>
    <t>S3510 120GB Enterprise Entry SATA HS 3.5" SSD</t>
  </si>
  <si>
    <t>00WG775</t>
  </si>
  <si>
    <t>S3510 240GB Enterprise Entry SATA HS 3.5" SSD</t>
  </si>
  <si>
    <t>00WG780</t>
  </si>
  <si>
    <t>S3510 480GB Enterprise Entry SATA HS 3.5" SSD</t>
  </si>
  <si>
    <t>00YA800</t>
  </si>
  <si>
    <t>io3 1.25TB Enterprise Mainstream Flash Adapter</t>
  </si>
  <si>
    <t>00YA803</t>
  </si>
  <si>
    <t>io3 1.6TB Enterprise Mainstream Flash Adapter</t>
  </si>
  <si>
    <t>00YA806</t>
  </si>
  <si>
    <t>io3 3.2TB Enterprise Mainstream Flash Adapter</t>
  </si>
  <si>
    <t>00YA809</t>
  </si>
  <si>
    <t>io3 6.4TB Enterprise Mainstream Flash Adapter</t>
  </si>
  <si>
    <t>00YA812</t>
  </si>
  <si>
    <t>P3700 1.6TB NVMe Enterprise Performance Flash Adapter</t>
  </si>
  <si>
    <t>00YA815</t>
  </si>
  <si>
    <t>P3700 2.0TB NVMe Enterprise Performance Flash Adapter</t>
  </si>
  <si>
    <t>00YA818</t>
  </si>
  <si>
    <t>P3700 400GB NVMe 2.5" G3HS Enterprise Performance PCIe SSD</t>
  </si>
  <si>
    <t>00YA821</t>
  </si>
  <si>
    <t>P3700 800GB NVMe 2.5" G3HS Enterprise Performance PCIe SSD</t>
  </si>
  <si>
    <t>00YA824</t>
  </si>
  <si>
    <t>P3700 1.6TB NVMe 2.5" G3HS Enterprise Performance PCIe SSD</t>
  </si>
  <si>
    <t>00YA827</t>
  </si>
  <si>
    <t>P3700 2.0TB NVMe 2.5" G3HS Enterprise Performance PCIe SSD</t>
  </si>
  <si>
    <t>00YC320</t>
  </si>
  <si>
    <t>S3710 200GB Enterprise Performance SATA G3HS 2.5" SSD</t>
  </si>
  <si>
    <t>00YC325</t>
  </si>
  <si>
    <t>S3710 400GB Enterprise Performance SATA G3HS 2.5" SSD</t>
  </si>
  <si>
    <t>00YC330</t>
  </si>
  <si>
    <t>S3710 800GB Enterprise Performance SATA G3HS 2.5" SSD</t>
  </si>
  <si>
    <t>00YC340</t>
  </si>
  <si>
    <t>S3710 400GB Enterprise Performance SATA HS 3.5" SSD</t>
  </si>
  <si>
    <t>00YC345</t>
  </si>
  <si>
    <t>S3710 800GB Enterprise Performance SATA HS 3.5" SSD</t>
  </si>
  <si>
    <t>00YC350</t>
  </si>
  <si>
    <t>S3710 200GB Enterprise Performance SATA 2.5" SSD for NeXtSca</t>
  </si>
  <si>
    <t>00YC355</t>
  </si>
  <si>
    <t>S3710 400GB Enterprise Performance SATA 2.5" SSD for NeXtSca</t>
  </si>
  <si>
    <t>00YE308</t>
  </si>
  <si>
    <t>1m (SFF-8088 to SFF-8088) 6Gbps External mini-SAS cable</t>
  </si>
  <si>
    <t>00YE309</t>
  </si>
  <si>
    <t>2m (SFF-8088 to SFF-8088) 6Gbps External mini-SAS cable</t>
  </si>
  <si>
    <t>00YE310</t>
  </si>
  <si>
    <t>4m (SFF-8088 to SFF-8088) 6Gbps External mini-SAS cable</t>
  </si>
  <si>
    <t>00YE311</t>
  </si>
  <si>
    <t>6m (SFF-8088 to SFF-8088) 6Gbps External mini-SAS cable</t>
  </si>
  <si>
    <t>00YE312</t>
  </si>
  <si>
    <t>0.5m (SFF-8644 to SFF-8088) 6Gbps External mini-SAS cable</t>
  </si>
  <si>
    <t>00YE313</t>
  </si>
  <si>
    <t>1m (SFF-8644 to SFF-8088) 6Gbps External mini-SAS cable</t>
  </si>
  <si>
    <t>00YE314</t>
  </si>
  <si>
    <t>2m (SFF-8644 to SFF-8088) 6Gbps External mini-SAS cable</t>
  </si>
  <si>
    <t>00YE315</t>
  </si>
  <si>
    <t>4m (SFF-8644 to SFF-8088) 6Gbps External mini-SAS cable</t>
  </si>
  <si>
    <t>00YE316</t>
  </si>
  <si>
    <t>6m (SFF-8644 to SFF-8088) 6Gbps External mini-SAS cable</t>
  </si>
  <si>
    <t>39Y8960</t>
  </si>
  <si>
    <t>DPI 30amp/125V Front-end PDU with NEMA L5-30P</t>
  </si>
  <si>
    <t>RT1.5kVA 2U Rack or Tower UPS (100-125VAC)</t>
  </si>
  <si>
    <t>RT1.5kVA 2U Rack or Tower UPS (200-240VAC)</t>
  </si>
  <si>
    <t>RT2.2kVA 2U Rack or Tower UPS (100-125VAC)</t>
  </si>
  <si>
    <t>1.5kVA/2.2kVA 2U Rack or Tower Extended Battery Module</t>
  </si>
  <si>
    <t>RT2.2kVA 2U Rack or Tower UPS (200-240VAC)</t>
  </si>
  <si>
    <t>RT3kVA 2U Rack or Tower UPS (100-125VAC)</t>
  </si>
  <si>
    <t>3kVA 2U Rack or Tower Extended Battery Module</t>
  </si>
  <si>
    <t>RT3kVA 2U Rack or Tower UPS (200-240VAC)</t>
  </si>
  <si>
    <t>RT5kVA 3U Rack or Tower UPS (200-240VAC)</t>
  </si>
  <si>
    <t>5kVA/6kVA 3U Rack or Tower Extended Battery Module</t>
  </si>
  <si>
    <t>RT6kVA 3U Rack or Tower UPS (200-240VAC)</t>
  </si>
  <si>
    <t>RT8kVA 6U Rack or Tower UPS (200-240VAC)</t>
  </si>
  <si>
    <t>RT8kVA 6U 3:1 Phase Rack or Tower UPS (380-415VAC)</t>
  </si>
  <si>
    <t>8kVA/11kVA 3U Rack or Tower Extended Battery Module</t>
  </si>
  <si>
    <t>RT11kVA 6U Rack or Tower UPS (200-240VAC)</t>
  </si>
  <si>
    <t>RT11kVA 6U 3:1 Phase Rack or Tower UPS (380-415VAC)</t>
  </si>
  <si>
    <t>T1kVA Tower UPS (100-125VAC)</t>
  </si>
  <si>
    <t>T1kVA Tower UPS (200-240VAC)</t>
  </si>
  <si>
    <t>T1.5kVA Tower UPS (100-125VAC)</t>
  </si>
  <si>
    <t>T1.5kVA Tower UPS (200-240VAC)</t>
  </si>
  <si>
    <t>DPI C13 PDU+</t>
  </si>
  <si>
    <t>39Y8934</t>
  </si>
  <si>
    <t>DPI 32amp/250V Front-end PDU with IEC 309 IEC 309 P+N+G</t>
  </si>
  <si>
    <t>39Y8935</t>
  </si>
  <si>
    <t>DPI 63amp/250V Front-end PDU with IEC 309 IEC 309 P+N+G</t>
  </si>
  <si>
    <t>Enterprise C13 PDU</t>
  </si>
  <si>
    <t>Enterprise C19 PDU</t>
  </si>
  <si>
    <t>39Y8962</t>
  </si>
  <si>
    <t>DPI Universal Rack PDU (Argentina)</t>
  </si>
  <si>
    <t>1U 9 C19/3 C13 Switched and Monitored DPI PDU</t>
  </si>
  <si>
    <t>1U 9 C19/3 C13 Switched and Monitored 60A 3 Phase PDU</t>
  </si>
  <si>
    <t>1U 12 C13 Switched and Monitored DPI PDU</t>
  </si>
  <si>
    <t>1U 12 C13 Switched and Monitored 60A 3 Phase PDU</t>
  </si>
  <si>
    <t>0U 24 C13 Switched and Monitored 30A PDU</t>
  </si>
  <si>
    <t>0U 24 C13 16A 3 Phase PDU</t>
  </si>
  <si>
    <t>0U 24 C13 30A 3 Phase PDU</t>
  </si>
  <si>
    <t>0U 24 C13 30A PDU</t>
  </si>
  <si>
    <t>0U 24 C13 32A PDU</t>
  </si>
  <si>
    <t>0U 12 C19/12 C13 Switched and Monitored 50A 3 Phase PDU</t>
  </si>
  <si>
    <t>0U 12 C19/12 C13 50A 3 Phase PDU</t>
  </si>
  <si>
    <t>0U 12 C19/12 C13 32A 3 Phase PDU</t>
  </si>
  <si>
    <t>Ultra Density Enterprise C19/C13 PDU Module</t>
  </si>
  <si>
    <t>Ultra Density Enterprise C19/C13 PDU 60A/208V/3ph</t>
  </si>
  <si>
    <t>1U 18.5in Standard Console</t>
  </si>
  <si>
    <t>Avocent Universal Management Gateway 6000</t>
  </si>
  <si>
    <t>Pref. Pro Keyboard USB - US English 103P RoHS v2</t>
  </si>
  <si>
    <t>00AM605</t>
  </si>
  <si>
    <t>Pref. Pro Keyboard USB - Brazil/Portuguese 275 RoHS v2</t>
  </si>
  <si>
    <t>Keyboard w/ Int. Pointing Device USB - US Eng 103P RoHS v2</t>
  </si>
  <si>
    <t>Pref. Pro Keyboard USB - LA Spanish 171 RoHS v2</t>
  </si>
  <si>
    <t>2 Button Optical Wheel Mouse - Black - USB</t>
  </si>
  <si>
    <t>00KH367</t>
  </si>
  <si>
    <t>Lenovo x3850 ITL Kit</t>
  </si>
  <si>
    <t>00KH368</t>
  </si>
  <si>
    <t>Lenovo x3950 ITL Kit</t>
  </si>
  <si>
    <t>00MU639</t>
  </si>
  <si>
    <t>Lenovo n1200 Enclosure Fan and Power Controller 2</t>
  </si>
  <si>
    <t>00MU908</t>
  </si>
  <si>
    <t>System x3650 M5 PCIe Thermal Solution Kit</t>
  </si>
  <si>
    <t>Flex System Enterprise Chassis 80mm Fan Module Pair</t>
  </si>
  <si>
    <t>x3650 M4 thermal solution kit</t>
  </si>
  <si>
    <t>Top of Rack Option</t>
  </si>
  <si>
    <t>Cable Management Bracket</t>
  </si>
  <si>
    <t>19in Fixed Shelf Option</t>
  </si>
  <si>
    <t>Rear Door Heat eXchanger V2</t>
  </si>
  <si>
    <t>Flex System Enterprise Chassis Contaminant Filter Pack</t>
  </si>
  <si>
    <t>BladeCenter Airborne Contaminant Filter</t>
  </si>
  <si>
    <t>BladeCenter Airborne Contaminant Replacement Filters (4-Pack)</t>
  </si>
  <si>
    <t>Gen-III Large Capacity CMA</t>
  </si>
  <si>
    <t>Universal Slides Kit</t>
  </si>
  <si>
    <t>CMA for Ball Bearing and Universal Slides</t>
  </si>
  <si>
    <t>2U Cable Management Arm</t>
  </si>
  <si>
    <t>Gen-III Slides Kit</t>
  </si>
  <si>
    <t>Gen-III CMA</t>
  </si>
  <si>
    <t>Local 1x8 Console Manager (LCM8)</t>
  </si>
  <si>
    <t>Local 2x16 Console Manager (LCM16)</t>
  </si>
  <si>
    <t>Global 2x2x16 Console Manager (GCM16)</t>
  </si>
  <si>
    <t>Global 4x2x32 Console Manager (GCM32)</t>
  </si>
  <si>
    <t>USB Conversion Option Pack</t>
  </si>
  <si>
    <t>Single Cable USB Conversion Option (UCO)</t>
  </si>
  <si>
    <t>Serial Conversion Option (SCO)</t>
  </si>
  <si>
    <t>Virtual Media Conversion Option Gen2 (VCO2)</t>
  </si>
  <si>
    <t>Flex System Console Breakout Cable</t>
  </si>
  <si>
    <t>39Y7916</t>
  </si>
  <si>
    <t>IEC 309 C19 to C20 intra rack cable</t>
  </si>
  <si>
    <t>39Y7917</t>
  </si>
  <si>
    <t>2.8m, 10A/230V, C13 to CEE7-VII (Europe)</t>
  </si>
  <si>
    <t>40K9611</t>
  </si>
  <si>
    <t>DPI 32a Cord (IEC 309 3P+N+G)</t>
  </si>
  <si>
    <t>40K9612</t>
  </si>
  <si>
    <t>4.3m, 32A/230V, EPDU to IEC 309 P+N+G (non-US) Line Cord</t>
  </si>
  <si>
    <t>40K9613</t>
  </si>
  <si>
    <t>DPI 63a Cord (IEC 309 P+N+G)</t>
  </si>
  <si>
    <t>69Y1988</t>
  </si>
  <si>
    <t>Brazil 10A/250V C13 to NBR 14136 2.8m line cord</t>
  </si>
  <si>
    <t>System x3650 M5 Advanced LCD Light Path Kit</t>
  </si>
  <si>
    <t>Advanced Lightpath Kit</t>
  </si>
  <si>
    <t>1754 LCM Digital Activation Key</t>
  </si>
  <si>
    <t>SW3PO</t>
  </si>
  <si>
    <t>Flex System Fabric CN4093 Converged Scalable Switch (Upgrade 1)</t>
  </si>
  <si>
    <t>Flex System Fabric CN4093 Converged Scalable Switch (Upgrade 2)</t>
  </si>
  <si>
    <t>Flex System FC5022 16Gb ISL/Trunking Upgrade</t>
  </si>
  <si>
    <t>Lenovo Flex System FC5022 24-port 16Gb SAN Scalable Switch</t>
  </si>
  <si>
    <t>00Y3868</t>
  </si>
  <si>
    <t>Flex System X6 2-Socket Performance Accelerator</t>
  </si>
  <si>
    <t>00MU758</t>
  </si>
  <si>
    <t>NeXtScale PCIe 2U Native Expansion Tray</t>
  </si>
  <si>
    <t>NeXtScale PCIe Native Expansion Tray</t>
  </si>
  <si>
    <t>BladeCenter Virtual Fabric 10Gb Switch Module</t>
  </si>
  <si>
    <t>10Gb Ethernet Pass-Thru Module for BladeCenter</t>
  </si>
  <si>
    <t>Flex System EN4023 10Gb Scalable Switch (FoD 3)</t>
  </si>
  <si>
    <t>Lenovo Flex System EN2092 1Gb Ethernet Scalable Switch</t>
  </si>
  <si>
    <t>Lenovo Flex System EN2092 1Gb Ethernet Scalable Switch (10Gb Uplinks)</t>
  </si>
  <si>
    <t>Flex System Fabric EN4093 10Gb Scalable Switch (Upgrade 1)</t>
  </si>
  <si>
    <t>BladeCenter PCI Express Gen 2 Expansion Blade II</t>
  </si>
  <si>
    <t>Flex System Storage Expansion Node</t>
  </si>
  <si>
    <t>Lenovo Flex System FC3171 8Gb SAN Pass-thru</t>
  </si>
  <si>
    <t>Flex System PCIe Expansion Node</t>
  </si>
  <si>
    <t>Flex System Fabric EN4093 10Gb Scalable Switch (Upgrade 2)</t>
  </si>
  <si>
    <t>Lenovo Flex System EN4091 10Gb Ethernet Pass-thru</t>
  </si>
  <si>
    <t>Lenovo Flex System FC5022 16Gb SAN Scalable Switch</t>
  </si>
  <si>
    <t>Flex System FC5022 16Gb SAN Scalable Switch (Upgrade 1)</t>
  </si>
  <si>
    <t>Flex System FC5022 16Gb SAN Scalable Switch (Upgrade 2)</t>
  </si>
  <si>
    <t>Flex System IB6131 Infiniband Switch</t>
  </si>
  <si>
    <t>Flex System IB6131 Infiniband Switch (FDR Upgrade)</t>
  </si>
  <si>
    <t>Flex System EN2092 1Gb Ethernet Scalable Switch (Upgrade 1)</t>
  </si>
  <si>
    <t>Virtual Fabric Advanced Software Upgrade (LOM)</t>
  </si>
  <si>
    <t>Lenovo Flex System EN6131 40Gb Ethernet Switch</t>
  </si>
  <si>
    <t>Lenovo Flex System FC5022 24-port 16Gb ESB SAN Scalable Switch</t>
  </si>
  <si>
    <t>Flex System EN4023 10Gb Scalable Switch (FoD 1)</t>
  </si>
  <si>
    <t>Flex System EN4023 10Gb Scalable Switch (FoD 2)</t>
  </si>
  <si>
    <t>Flex System Fabric SI4093 System Interconnect Module (Upgrade 1)</t>
  </si>
  <si>
    <t>Flex System Fabric SI4093 System Interconnect Module (Upgrade 2)</t>
  </si>
  <si>
    <t xml:space="preserve">New EOL </t>
  </si>
  <si>
    <t>750W Redundant PSU (Optional)</t>
  </si>
  <si>
    <t>HS SAS assembling kit for ServeRAID M1100/M5100 Series upgrade</t>
  </si>
  <si>
    <t>HS SAS assembling kit for SW RAID upgrade</t>
  </si>
  <si>
    <t>x3650 M4 HD Video and USB Breakout Cable</t>
  </si>
  <si>
    <t>S3700 200GB SATA 2.5in MLC HS Enterprise SSD</t>
  </si>
  <si>
    <t>S3700 400GB SATA 2.5in MLC HS Enterprise SSD</t>
  </si>
  <si>
    <t>S3700 800GB SATA 2.5in MLC HS Enterprise SSD</t>
  </si>
  <si>
    <t>675W Redundant Power Supply</t>
  </si>
  <si>
    <t>300GB 15K 6Gbps SAS 3.5in G2HS HDD</t>
  </si>
  <si>
    <t>600GB 15K 6Gbps SAS 3.5in G2HS HDD</t>
  </si>
  <si>
    <t>Tape Option</t>
  </si>
  <si>
    <t>250GB 7.2K 6Gbps NL SATA 2.5in SFF HS HDD</t>
  </si>
  <si>
    <t>00YG684</t>
  </si>
  <si>
    <t>Lenovo Storage Asynch Replication Maintenance 2 yr</t>
  </si>
  <si>
    <t>No definido</t>
  </si>
  <si>
    <t>00W0045</t>
  </si>
  <si>
    <t>50m Mellanox QSFP Optical FDR14 InfiniBand Cable</t>
  </si>
  <si>
    <t>072415X</t>
  </si>
  <si>
    <t>072416X</t>
  </si>
  <si>
    <t>41Y9222</t>
  </si>
  <si>
    <t>4.3m, 18A/125V, C19 to NEMA L5-20P (US) Line Cord</t>
  </si>
  <si>
    <t>Xclarity</t>
  </si>
  <si>
    <t>00JY343</t>
  </si>
  <si>
    <t>Lenovo XClarity Administrator, per Mngd Chassis w/1 Yr SW S&amp;S</t>
  </si>
  <si>
    <t>Lenovo SW</t>
  </si>
  <si>
    <t>00JY344</t>
  </si>
  <si>
    <t>Lenovo XClarity Administrator, per Mngd Chassis w/3 Yr SW S&amp;S</t>
  </si>
  <si>
    <t>00JY345</t>
  </si>
  <si>
    <t>Lenovo XClarity Administrator, per Mngd Chassis w/5 Yr SW S&amp;S</t>
  </si>
  <si>
    <t>00JY346</t>
  </si>
  <si>
    <t>Lenovo XClarity Administrator, per Mngd Server w/1 Yr SW S&amp;S</t>
  </si>
  <si>
    <t>00JY347</t>
  </si>
  <si>
    <t>Lenovo XClarity Administrator, per Mngd Server w/3 Yr SW S&amp;S</t>
  </si>
  <si>
    <t>00JY348</t>
  </si>
  <si>
    <t>Lenovo XClarity Administrator, per Mngd Server w/5 Yr SW S&amp;S</t>
  </si>
  <si>
    <t>00MT204</t>
  </si>
  <si>
    <t>Lenovo XClarity Pro, per Managed Chassis w/1 Yr SW S&amp;S</t>
  </si>
  <si>
    <t>00MT205</t>
  </si>
  <si>
    <t>Lenovo XClarity Pro, per Managed Chassis w/3 Yr SW S&amp;S</t>
  </si>
  <si>
    <t>00MT206</t>
  </si>
  <si>
    <t>Lenovo XClarity Pro, per Managed Chassis w/5 Yr SW S&amp;S</t>
  </si>
  <si>
    <t>00MT207</t>
  </si>
  <si>
    <t>Lenovo XClarity Pro, per Managed Server w/1 Yr SW S&amp;S</t>
  </si>
  <si>
    <t>00MT208</t>
  </si>
  <si>
    <t>Lenovo XClarity Pro, per Managed Server w/3 Yr SW S&amp;S</t>
  </si>
  <si>
    <t>00MT209</t>
  </si>
  <si>
    <t>Lenovo XClarity Pro, per Managed Server w/5 Yr SW S&amp;S</t>
  </si>
  <si>
    <t>00MT287</t>
  </si>
  <si>
    <t>Lenovo XClarity Integrator for MSSC, Per Mgd Srv w/1Yr S&amp;S</t>
  </si>
  <si>
    <t>00MT288</t>
  </si>
  <si>
    <t>Lenovo XClarity Integrator for MSSC, Per Mgd Srv w/3Yr S&amp;S</t>
  </si>
  <si>
    <t>00MT289</t>
  </si>
  <si>
    <t>Lenovo XClarity Integrator for MSSC, Per Mgd Srv w/5Yr S&amp;S</t>
  </si>
  <si>
    <t>00MT290</t>
  </si>
  <si>
    <t>Lenovo XClarity Integrator for MSSC w/IMMv2Adv, Per Mgd Srv w/1YrS&amp;S</t>
  </si>
  <si>
    <t>00MT291</t>
  </si>
  <si>
    <t>Lenovo XClarity Integrator for MSSC w/IMMv2Adv, Per Mgd Srv w/3YrS&amp;S</t>
  </si>
  <si>
    <t>00MT292</t>
  </si>
  <si>
    <t>Lenovo XClarity Integrator for MSSC w/IMMv2Adv, Per Mgd Srv w/5YrS&amp;S</t>
  </si>
  <si>
    <t>00MT293</t>
  </si>
  <si>
    <t>Lenovo XClarity Integrator for VMware vCenter, Per Mgd Srv w/1Yr S&amp;S</t>
  </si>
  <si>
    <t>00MT294</t>
  </si>
  <si>
    <t>Lenovo XClarity Integrator for VMware vCenter, Per Mgd Srv w/3Yr S&amp;S</t>
  </si>
  <si>
    <t>00MT295</t>
  </si>
  <si>
    <t>Lenovo XClarity Integrator for VMware vCenter, Per Mgd Srv w/5Yr S&amp;S</t>
  </si>
  <si>
    <t>00MT296</t>
  </si>
  <si>
    <t>Lenovo XClarity Integrator f/VMw vCtr w/IMMv2Adv, PerMgdSrv w/1YrS&amp;S</t>
  </si>
  <si>
    <t>00MT297</t>
  </si>
  <si>
    <t>Lenovo XClarity Integrator f/VMw vCtr w/IMMv2Adv, PerMgdSrv w/3YrS&amp;S</t>
  </si>
  <si>
    <t>00MT298</t>
  </si>
  <si>
    <t>Lenovo XClarity Integrator f/VMw vCtr w/IMMv2Adv, PerMgdSrv w/5YrS&amp;S</t>
  </si>
  <si>
    <t xml:space="preserve">Lenovo Switch Center </t>
  </si>
  <si>
    <t>00KH185</t>
  </si>
  <si>
    <t>Lenovo Swtch Ctr v8.x for 20 Switches, Per Install w/1 Yr SW S&amp;S</t>
  </si>
  <si>
    <t>00KH186</t>
  </si>
  <si>
    <t>Lenovo Swtch Ctr v8.x for 50 Switches, Per Install w/1 Yr SW S&amp;S</t>
  </si>
  <si>
    <t>00KH187</t>
  </si>
  <si>
    <t>Lenovo Swtch Ctr v8.x for 100 Switches, Per Install w/1 Yr SW S&amp;S</t>
  </si>
  <si>
    <t>00KH188</t>
  </si>
  <si>
    <t>Lenovo Swtch Ctr v8.x for 250 Switches, Per Install w/1 Yr SW S&amp;S</t>
  </si>
  <si>
    <t>00KH189</t>
  </si>
  <si>
    <t>Lenovo Swtch Ctr v8.x for 500 Switches, Per Install w/1 Yr SW S&amp;S</t>
  </si>
  <si>
    <t>00KH190</t>
  </si>
  <si>
    <t>Lenovo Swtch Ctr v8.x for 1000 Switches, Per Install w/1 Yr SW S&amp;S</t>
  </si>
  <si>
    <t>00KH191</t>
  </si>
  <si>
    <t>Lenovo Swtch Ctr v8.x for 20 Switches, Per Install w/3 Yr SW S&amp;S</t>
  </si>
  <si>
    <t>00KH192</t>
  </si>
  <si>
    <t>Lenovo Swtch Ctr v8.x for 50 Switches, Per Install w/3 Yr SW S&amp;S</t>
  </si>
  <si>
    <t>00KH193</t>
  </si>
  <si>
    <t>Lenovo Swtch Ctr v8.x for 100 Switches, Per Install w/3 Yr SW S&amp;S</t>
  </si>
  <si>
    <t>00KH194</t>
  </si>
  <si>
    <t>Lenovo Swtch Ctr v8.x for 250 Switches, Per Install w/3 Yr SW S&amp;S</t>
  </si>
  <si>
    <t>00KH195</t>
  </si>
  <si>
    <t>Lenovo Swtch Ctr v8.x for 500 Switches, Per Install w/3 Yr SW S&amp;S</t>
  </si>
  <si>
    <t>00KH196</t>
  </si>
  <si>
    <t>Lenovo Swtch Ctr v8.x for 1000 Switches, Per Install w/3 Yr SW S&amp;S</t>
  </si>
  <si>
    <t>00KH197</t>
  </si>
  <si>
    <t>Lenovo Swtch Ctr v8.x for 20 Switches, Per Install w/5 Yr SW S&amp;S</t>
  </si>
  <si>
    <t>00KH198</t>
  </si>
  <si>
    <t>Lenovo Swtch Ctr v8.x for 50 Switches, Per Install w/5 Yr SW S&amp;S</t>
  </si>
  <si>
    <t>00KH199</t>
  </si>
  <si>
    <t>Lenovo Swtch Ctr v8.x for 100 Switches, Per Install w/5 Yr SW S&amp;S</t>
  </si>
  <si>
    <t>00KH200</t>
  </si>
  <si>
    <t>Lenovo Swtch Ctr v8.x for 250 Switches, Per Install w/5 Yr SW S&amp;S</t>
  </si>
  <si>
    <t>00KH201</t>
  </si>
  <si>
    <t>Lenovo Swtch Ctr v8.x for 500 Switches, Per Install w/5 Yr SW S&amp;S</t>
  </si>
  <si>
    <t>00KH202</t>
  </si>
  <si>
    <t>Lenovo Swtch Ctr v8.x for 1000 Switches, Per Install w/5 Yr SW S&amp;S</t>
  </si>
  <si>
    <t>Lenovo Networking Bundle for VMware vRealize</t>
  </si>
  <si>
    <t>00YC226</t>
  </si>
  <si>
    <t>Lenovo Ntwk Bdl for VMware vRealize V1, per Mgd Switch w/1 Yr S&amp;S</t>
  </si>
  <si>
    <t>00YC227</t>
  </si>
  <si>
    <t>Lenovo Ntwk Bdl for VMware vRealize V1, per 250 Mgd Swths w/1 Yr S&amp;S</t>
  </si>
  <si>
    <t>00YC228</t>
  </si>
  <si>
    <t>Lenovo Ntwk Bdl for VMware vRealize V1, per Mgd Switch w/3 Yr S&amp;S</t>
  </si>
  <si>
    <t>00YC229</t>
  </si>
  <si>
    <t>Lenovo Ntwk Bdl for VMware vRealize V1, per 250 Mgd Swths w/3 Yr S&amp;S</t>
  </si>
  <si>
    <t>00YC230</t>
  </si>
  <si>
    <t>Lenovo Ntwk Bdl for VMware vRealize V1, per Mgd Switch w/5 Yr S&amp;S</t>
  </si>
  <si>
    <t>00YC231</t>
  </si>
  <si>
    <t>Lenovo Ntwk Bdl for VMware vRealize V1, per 250 Mgd Swths w/5 Yr S&amp;S</t>
  </si>
  <si>
    <t>Atlantis</t>
  </si>
  <si>
    <t>Brocade</t>
  </si>
  <si>
    <t>IBM Cloud Manager OpenStack</t>
  </si>
  <si>
    <t>IBM Fabric Manager</t>
  </si>
  <si>
    <t>IBM General Parallel File System</t>
  </si>
  <si>
    <t>00KH110</t>
  </si>
  <si>
    <t>GPFS on x86 Sgl Sv Int Ofr v4.x,Per Socket w/3Yr SW S&amp;S</t>
  </si>
  <si>
    <t>00KH137</t>
  </si>
  <si>
    <t>IBM GPFS for x86 V3.x Server per 10 PVU with 4 Year SW S&amp;S</t>
  </si>
  <si>
    <t>00KH138</t>
  </si>
  <si>
    <t>IBM GPFS for x86 V3.x Server per 250, 10 PVU with 4 Yr SW S&amp;S</t>
  </si>
  <si>
    <t>00KH139</t>
  </si>
  <si>
    <t>IBM GPFS for x86 V3.x Client per 10 PVU with 4 Year SW S&amp;S</t>
  </si>
  <si>
    <t>00KH140</t>
  </si>
  <si>
    <t>IBM GPFS for x86 V3.x Client per 250, 10 PVU with 4 Yr SW S&amp;S</t>
  </si>
  <si>
    <t>00KH141</t>
  </si>
  <si>
    <t>IBM GPFS for x86 V3.x FPO per 10 PVU with 4 Year SW S&amp;S</t>
  </si>
  <si>
    <t>00KH142</t>
  </si>
  <si>
    <t>IBM GPFS for x86 V3.x FPO per 250, 10 PVU with 4 Year SW S&amp;S</t>
  </si>
  <si>
    <t>00KH143</t>
  </si>
  <si>
    <t>IBM GPFS x86 Express Ed V4.x Server per socket with 4 Year SW S&amp;S</t>
  </si>
  <si>
    <t>00KH144</t>
  </si>
  <si>
    <t>IBM GPFS x86 Express Ed V4.x Server per 250 socket w/ 4 Yr SW S&amp;S</t>
  </si>
  <si>
    <t>00KH145</t>
  </si>
  <si>
    <t>IBM GPFS x86 Express Ed V4.x Client per socket with 4 Year SW S&amp;S</t>
  </si>
  <si>
    <t>00KH146</t>
  </si>
  <si>
    <t>IBM GPFS x86 Express Ed V4.x Client per 250 socket w/ 4 Yr SW S&amp;S</t>
  </si>
  <si>
    <t>00KH147</t>
  </si>
  <si>
    <t>IBM GPFS x86 Express Ed V4.x FPO per socket with 4 Year SW S&amp;S</t>
  </si>
  <si>
    <t>00KH148</t>
  </si>
  <si>
    <t>IBM GPFS x86 Express Ed V4.x FPO per 250 socket with 4 Yr SW S&amp;S</t>
  </si>
  <si>
    <t>00KH149</t>
  </si>
  <si>
    <t>IBM GPFS x86 Standard Ed V4.x Server per socket with 4 Year SW S&amp;S</t>
  </si>
  <si>
    <t>00KH150</t>
  </si>
  <si>
    <t>IBM GPFS x86 Standard Ed V4.x Server per 250 socket w/ 4 Yr SW S&amp;S</t>
  </si>
  <si>
    <t>00KH151</t>
  </si>
  <si>
    <t>IBM GPFS x86 Standard Ed V4.x Client per socket with 4 Year SW S&amp;S</t>
  </si>
  <si>
    <t>00KH152</t>
  </si>
  <si>
    <t>IBM GPFS x86 Standard Ed V4.x Client per 250 socket w/ 4 Yr SW S&amp;S</t>
  </si>
  <si>
    <t>00KH153</t>
  </si>
  <si>
    <t>IBM GPFS x86 Standard Ed V4.x FPO per socket with 4 Year SW S&amp;S</t>
  </si>
  <si>
    <t>00KH154</t>
  </si>
  <si>
    <t>IBM GPFS x86 Standard Ed V4.x FPO per 250 socket with 4 Yr SW S&amp;S</t>
  </si>
  <si>
    <t>00KH155</t>
  </si>
  <si>
    <t>IBM GPFS x86 Advanced Ed V4.x Server per socket with 4 Year SW S&amp;S</t>
  </si>
  <si>
    <t>00KH156</t>
  </si>
  <si>
    <t>IBM GPFS x86 Advanced Ed V4.x Server per 250 socket w/ 4 Yr SW S&amp;S</t>
  </si>
  <si>
    <t>00KH157</t>
  </si>
  <si>
    <t>IBM GPFS x86 Advanced Ed V4.x Client per socket with 4 Year SW S&amp;S</t>
  </si>
  <si>
    <t>00KH158</t>
  </si>
  <si>
    <t>IBM GPFS x86 Advanced Ed V4.x Client per 250 socket w/ 4 Yr SW S&amp;S</t>
  </si>
  <si>
    <t>00KH159</t>
  </si>
  <si>
    <t>IBM GPFS x86 Advanced Ed V4.x FPO per socket with 4 Year SW S&amp;S</t>
  </si>
  <si>
    <t>00KH160</t>
  </si>
  <si>
    <t>IBM GPFS x86 Advanced Ed V4.x FPO per 250 socket with 4 Yr SW S&amp;S</t>
  </si>
  <si>
    <t>00KH161</t>
  </si>
  <si>
    <t>GPFS on x86 Sgl Sv Int Ofr v4.x,Per Socket w/4Yr SW S&amp;S</t>
  </si>
  <si>
    <t>00KH162</t>
  </si>
  <si>
    <t>GPFS on x86 Sgl Sv Int Ofr v4.x,Per Socket w/5Yr SW S&amp;S</t>
  </si>
  <si>
    <t>IBM Platform</t>
  </si>
  <si>
    <t>IBM Security Key Lifecycle Manager</t>
  </si>
  <si>
    <t>IBM System Director</t>
  </si>
  <si>
    <t xml:space="preserve">NEW PN </t>
  </si>
  <si>
    <t>00YH597</t>
  </si>
  <si>
    <t>RHEL Server Physical or Virtual Node, 2 Skt Std RH Sup 1Yr</t>
  </si>
  <si>
    <t>00YH598</t>
  </si>
  <si>
    <t>RHEL Server Physical or Virtual Node, 2 Skt Std RH Sup 3Yr</t>
  </si>
  <si>
    <t>00YH599</t>
  </si>
  <si>
    <t>RHEL Server Physical or Virtual Node, 2 Skt Prem RH Sup 1Yr</t>
  </si>
  <si>
    <t>00YH600</t>
  </si>
  <si>
    <t>RHEL Server Physical or Virtual Node, 2 Skt Prem RH Sup 3Yr</t>
  </si>
  <si>
    <t>00YH601</t>
  </si>
  <si>
    <t>RHEL Server Physical or Virtual Node, 2 Skt Std Subs 1Yr</t>
  </si>
  <si>
    <t>00YH602</t>
  </si>
  <si>
    <t>RHEL Server Physical or Virtual Node, 2 Skt Std Subs 3Yr</t>
  </si>
  <si>
    <t>00YH603</t>
  </si>
  <si>
    <t>RHEL Server Physical or Virtual Node, 2 Skt Std Subs 5Yr</t>
  </si>
  <si>
    <t>00YH604</t>
  </si>
  <si>
    <t>RHEL Server Physical or Virtual Node, 2 Skt Prem Subs 1Yr</t>
  </si>
  <si>
    <t>00YH605</t>
  </si>
  <si>
    <t>RHEL Server Physical or Virtual Node, 2 Skt Prem Subs 3Yr</t>
  </si>
  <si>
    <t>00YH606</t>
  </si>
  <si>
    <t>RHEL Server Physical or Virtual Node, 2 Skt Prem Subs 5Yr</t>
  </si>
  <si>
    <t>00YH607</t>
  </si>
  <si>
    <t>RHEL Server Physical w/up to 1 Virtual Node, 2 Skt Std Subs 1Yr</t>
  </si>
  <si>
    <t>00YH608</t>
  </si>
  <si>
    <t>RHEL Server Physical w/up to 1 Virtual Node, 2 Skt Std Subs 3Yr</t>
  </si>
  <si>
    <t>00YH609</t>
  </si>
  <si>
    <t>RHEL Server Physical w/up to 1 Virtual Node, 2 Skt Std Subs 5Yr</t>
  </si>
  <si>
    <t>00YH610</t>
  </si>
  <si>
    <t>RHEL Server Physical w/up to 1 Virtual Node, 2 Skt Prem Subs 1Yr</t>
  </si>
  <si>
    <t>00YH611</t>
  </si>
  <si>
    <t>RHEL Server Physical w/up to 1 Virtual Node, 2 Skt Prem Subs 3Yr</t>
  </si>
  <si>
    <t>00YH612</t>
  </si>
  <si>
    <t>RHEL Server Physical w/up to 1 Virtual Node, 2 Skt Prem Subs 5Yr</t>
  </si>
  <si>
    <t>00YH613</t>
  </si>
  <si>
    <t>RHEL Server Physical w/up to 4 Virtual Nodes, 2 Skt Std Subs 1Yr</t>
  </si>
  <si>
    <t>00YH614</t>
  </si>
  <si>
    <t>RHEL Server Physical w/up to 4 Virtual Nodes, 2 Skt Std Subs 3Yr</t>
  </si>
  <si>
    <t>00YH615</t>
  </si>
  <si>
    <t>RHEL Server Physical w/up to 4 Virtual Nodes, 2 Skt Std Subs 5Yr</t>
  </si>
  <si>
    <t>00YH616</t>
  </si>
  <si>
    <t>RHEL Server Physical w/up to 4 Virtual Nodes, 2 Skt Prem Subs 1Yr</t>
  </si>
  <si>
    <t>00YH617</t>
  </si>
  <si>
    <t>RHEL Server Physical w/up to 4 Virtual Nodes, 2 Skt Prem Subs 3Yr</t>
  </si>
  <si>
    <t>00YH618</t>
  </si>
  <si>
    <t>RHEL Server Physical w/up to 4 Virtual Nodes, 2 Skt Prem Subs 5Yr</t>
  </si>
  <si>
    <t>00YH619</t>
  </si>
  <si>
    <t>RHEL for Virtual Datacenters, 2 Skt Std RH Sup 1Yr</t>
  </si>
  <si>
    <t>00YH620</t>
  </si>
  <si>
    <t>RHEL for Virtual Datacenters, 2 Skt Std RH Sup 3Yr</t>
  </si>
  <si>
    <t>00YH621</t>
  </si>
  <si>
    <t>RHEL for Virtual Datacenters, 2 Skt Prem RH Sup 1Yr</t>
  </si>
  <si>
    <t>00YH622</t>
  </si>
  <si>
    <t>RHEL for Virtual Datacenters, 2 Skt Prem RH Sup 3Yr</t>
  </si>
  <si>
    <t>00YH623</t>
  </si>
  <si>
    <t>RHEL for Virtual Datacenters, 2 Skt Std Subs 1Yr</t>
  </si>
  <si>
    <t>00YH624</t>
  </si>
  <si>
    <t>RHEL for Virtual Datacenters, 2 Skt Std Subs 3Yr</t>
  </si>
  <si>
    <t>00YH625</t>
  </si>
  <si>
    <t>RHEL for Virtual Datacenters, 2 Skt Std Subs 5Yr</t>
  </si>
  <si>
    <t>00YH626</t>
  </si>
  <si>
    <t>RHEL for Virtual Datacenters, 2 Skt Prem Subs 1Yr</t>
  </si>
  <si>
    <t>00YH627</t>
  </si>
  <si>
    <t>RHEL for Virtual Datacenters, 2 Skt Prem Subs 3Yr</t>
  </si>
  <si>
    <t>00YH628</t>
  </si>
  <si>
    <t>RHEL for Virtual Datacenters, 2 Skt Prem Subs 5Yr</t>
  </si>
  <si>
    <t>00YH629</t>
  </si>
  <si>
    <t>RHEL Server for HPC Head Node, 2 Skt Std RH Sup 1Yr</t>
  </si>
  <si>
    <t>00YH630</t>
  </si>
  <si>
    <t>RHEL Server for HPC Head Node, 2 Skt Std RH Sup 3Yr</t>
  </si>
  <si>
    <t>00YH631</t>
  </si>
  <si>
    <t>RHEL Server for HPC Head Node, 2 Skt Prem RH Sup 1Yr</t>
  </si>
  <si>
    <t>00YH632</t>
  </si>
  <si>
    <t>RHEL Server for HPC Head Node, 2 Skt Prem RH Sup 3Yr</t>
  </si>
  <si>
    <t>00YH633</t>
  </si>
  <si>
    <t>RHEL Server for HPC Head Node, 4 Skt Std RH Sup 1Yr</t>
  </si>
  <si>
    <t>00YH634</t>
  </si>
  <si>
    <t>RHEL Server for HPC Head Node, 4 Skt Std RH Sup 3Yr</t>
  </si>
  <si>
    <t>00YH635</t>
  </si>
  <si>
    <t>RHEL Server for HPC Head Node, 4 Skt Prem RH Sup 1Yr</t>
  </si>
  <si>
    <t>00YH636</t>
  </si>
  <si>
    <t>RHEL Server for HPC Head Node, 4 Skt Prem RH Sup 3Yr</t>
  </si>
  <si>
    <t>00YH637</t>
  </si>
  <si>
    <t>RHEL Server for HPC Head Node, 8 Skt Std RH Sup 1Yr</t>
  </si>
  <si>
    <t>00YH638</t>
  </si>
  <si>
    <t>RHEL Server for HPC Head Node, 8 Skt Std RH Sup 3Yr</t>
  </si>
  <si>
    <t>00YH639</t>
  </si>
  <si>
    <t>RHEL Server for HPC Head Node, 8 Skt Prem RH Sup 1Yr</t>
  </si>
  <si>
    <t>00YH640</t>
  </si>
  <si>
    <t>RHEL Server for HPC Head Node, 8 Skt Prem RH Sup 3Yr</t>
  </si>
  <si>
    <t>00YH641</t>
  </si>
  <si>
    <t>RHEL Server for HPC Head Node, 2 Skt Std Subs 1Yr</t>
  </si>
  <si>
    <t>00YH642</t>
  </si>
  <si>
    <t>RHEL Server for HPC Head Node, 2 Skt Std Subs 3Yr</t>
  </si>
  <si>
    <t>00YH643</t>
  </si>
  <si>
    <t>RHEL Server for HPC Head Node, 2 Skt Std Subs 5Yr</t>
  </si>
  <si>
    <t>00YH644</t>
  </si>
  <si>
    <t>RHEL Server for HPC Head Node, 2 Skt Prem Subs 1Yr</t>
  </si>
  <si>
    <t>00YH645</t>
  </si>
  <si>
    <t>RHEL Server for HPC Head Node, 2 Skt Prem Subs 3Yr</t>
  </si>
  <si>
    <t>00YH646</t>
  </si>
  <si>
    <t>RHEL Server for HPC Head Node, 2 Skt Prem Subs 5Yr</t>
  </si>
  <si>
    <t>00YH647</t>
  </si>
  <si>
    <t>RHEL Server for HPC Head Node, 4 Skt Std Subs 1Yr</t>
  </si>
  <si>
    <t>00YH648</t>
  </si>
  <si>
    <t>RHEL Server for HPC Head Node, 4 Skt Std Subs 3Yr</t>
  </si>
  <si>
    <t>00YH649</t>
  </si>
  <si>
    <t>RHEL Server for HPC Head Node, 4 Skt Std Subs 5Yr</t>
  </si>
  <si>
    <t>00YH650</t>
  </si>
  <si>
    <t>RHEL Server for HPC Head Node, 4 Skt Prem Subs 1Yr</t>
  </si>
  <si>
    <t>00YH651</t>
  </si>
  <si>
    <t>RHEL Server for HPC Head Node, 4 Skt Prem Subs 3Yr</t>
  </si>
  <si>
    <t>00YH652</t>
  </si>
  <si>
    <t>RHEL Server for HPC Head Node, 4 Skt Prem Subs 5Yr</t>
  </si>
  <si>
    <t>00YH653</t>
  </si>
  <si>
    <t>RHEL Server for HPC Head Node, 8 Skt Std Subs 1Yr</t>
  </si>
  <si>
    <t>00YH654</t>
  </si>
  <si>
    <t>RHEL Server for HPC Head Node, 8 Skt Std Subs 3Yr</t>
  </si>
  <si>
    <t>00YH655</t>
  </si>
  <si>
    <t>RHEL Server for HPC Head Node, 8 Skt Std Subs 5Yr</t>
  </si>
  <si>
    <t>00YH656</t>
  </si>
  <si>
    <t>RHEL Server for HPC Head Node, 8 Skt Prem Subs 1Yr</t>
  </si>
  <si>
    <t>00YH657</t>
  </si>
  <si>
    <t>RHEL Server for HPC Head Node, 8 Skt Prem Subs 3Yr</t>
  </si>
  <si>
    <t>00YH658</t>
  </si>
  <si>
    <t>RHEL Server for HPC Head Node, 8 Skt Prem Subs 5Yr</t>
  </si>
  <si>
    <t>00YH659</t>
  </si>
  <si>
    <t>RHEL Server for HPC Compute Node, 2 Skt with RH Self Support 1Yr</t>
  </si>
  <si>
    <t>00YH660</t>
  </si>
  <si>
    <t>RHEL Server for HPC Compute Node, 2 Skt with RH Self Support 3Yr</t>
  </si>
  <si>
    <t>00YH661</t>
  </si>
  <si>
    <t>RHEL Server for HPC Compute Node, 4 Skt with RH Self Support 1Yr</t>
  </si>
  <si>
    <t>00YH662</t>
  </si>
  <si>
    <t>RHEL Server for HPC Compute Node, 4 Skt with RH Self Support 3Yr</t>
  </si>
  <si>
    <t>00YH663</t>
  </si>
  <si>
    <t>RHEL Server for HPC Compute Node, 8 Skt with RH Self Support 1Yr</t>
  </si>
  <si>
    <t>00YH664</t>
  </si>
  <si>
    <t>RHEL Server for HPC Compute Node, 8 Skt with RH Self Support 3Yr</t>
  </si>
  <si>
    <t>00YH665</t>
  </si>
  <si>
    <t>RHEL Server for HPC Compute Node, 2 Skt Subscription 1Yr</t>
  </si>
  <si>
    <t>00YH666</t>
  </si>
  <si>
    <t>RHEL Server for HPC Compute Node, 2 Skt Subscription 3Yr</t>
  </si>
  <si>
    <t>00YH667</t>
  </si>
  <si>
    <t>RHEL Server for HPC Compute Node, 2 Skt Subscription 5Yr</t>
  </si>
  <si>
    <t>00YH668</t>
  </si>
  <si>
    <t>RHEL Server for HPC Compute Node, 4 Skt Subscription 1Yr</t>
  </si>
  <si>
    <t>00YH669</t>
  </si>
  <si>
    <t>RHEL Server for HPC Compute Node, 4 Skt Subscription 3Yr</t>
  </si>
  <si>
    <t>00YH670</t>
  </si>
  <si>
    <t>RHEL Server for HPC Compute Node, 4 Skt Subscription 5Yr</t>
  </si>
  <si>
    <t>00YH671</t>
  </si>
  <si>
    <t>RHEL Server for HPC Compute Node, 8 Skt Subscription 1Yr</t>
  </si>
  <si>
    <t>00YH672</t>
  </si>
  <si>
    <t>RHEL Server for HPC Compute Node, 8 Skt Subscription 3Yr</t>
  </si>
  <si>
    <t>00YH673</t>
  </si>
  <si>
    <t>RHEL Server for HPC Compute Node, 8 Skt Subscription 5Yr</t>
  </si>
  <si>
    <t>00YH674</t>
  </si>
  <si>
    <t>RHEL Server for HPC Compute Node, 2 Skt with EUS RH Self Support 1Yr</t>
  </si>
  <si>
    <t>00YH675</t>
  </si>
  <si>
    <t>RHEL Server for HPC Compute Node, 2 Skt with EUS RH Self Support 3Yr</t>
  </si>
  <si>
    <t>00YH676</t>
  </si>
  <si>
    <t>RHEL Server for HPC Compute Node, 4 Skt with EUS RH Self Support 1Yr</t>
  </si>
  <si>
    <t>00YH677</t>
  </si>
  <si>
    <t>RHEL Server for HPC Compute Node, 4 Skt with EUS RH Self Support 3Yr</t>
  </si>
  <si>
    <t>00YH678</t>
  </si>
  <si>
    <t>RHEL Server for HPC Compute Node, 8 Skt with EUS RH Self Support 1Yr</t>
  </si>
  <si>
    <t>00YH679</t>
  </si>
  <si>
    <t>RHEL Server for HPC Compute Node, 8 Skt with EUS RH Self Support 3Yr</t>
  </si>
  <si>
    <t>00YH680</t>
  </si>
  <si>
    <t>RHEL Server for HPC Compute Node, 2 Skt with EUS Subscription 1Yr</t>
  </si>
  <si>
    <t>00YH681</t>
  </si>
  <si>
    <t>RHEL Server for HPC Compute Node, 2 Skt with EUS Subscription 3Yr</t>
  </si>
  <si>
    <t>00YH682</t>
  </si>
  <si>
    <t>RHEL Server for HPC Compute Node, 2 Skt with EUS Subscription 5Yr</t>
  </si>
  <si>
    <t>00YH683</t>
  </si>
  <si>
    <t>RHEL Server for HPC Compute Node, 4 Skt with EUS Subscription 1Yr</t>
  </si>
  <si>
    <t>00YH684</t>
  </si>
  <si>
    <t>RHEL Server for HPC Compute Node, 4 Skt with EUS Subscription 3Yr</t>
  </si>
  <si>
    <t>00YH685</t>
  </si>
  <si>
    <t>RHEL Server for HPC Compute Node, 4 Skt with EUS Subscription 5Yr</t>
  </si>
  <si>
    <t>00YH686</t>
  </si>
  <si>
    <t>RHEL Server for HPC Compute Node, 8 Skt with EUS Subscription 1Yr</t>
  </si>
  <si>
    <t>00YH687</t>
  </si>
  <si>
    <t>RHEL Server for HPC Compute Node, 8 Skt with EUS Subscription 3Yr</t>
  </si>
  <si>
    <t>00YH688</t>
  </si>
  <si>
    <t>RHEL Server for HPC Compute Node, 8 Skt with EUS Subscription 5Yr</t>
  </si>
  <si>
    <t>00YH689</t>
  </si>
  <si>
    <t>RHEL SAP HANA, 2 Skt Std RH Sup NonProduction 1Yr</t>
  </si>
  <si>
    <t>00YH690</t>
  </si>
  <si>
    <t>RHEL SAP HANA, 2 Skt Std RH Sup NonProduction 3Yr</t>
  </si>
  <si>
    <t>00YH691</t>
  </si>
  <si>
    <t>RHEL SAP HANA, 2 Skt Prem RH Sup Production 1Yr</t>
  </si>
  <si>
    <t>00YH692</t>
  </si>
  <si>
    <t>RHEL SAP HANA, 2 Skt Prem RH Sup Production 3Yr</t>
  </si>
  <si>
    <t>00YH693</t>
  </si>
  <si>
    <t>RHEL SAP HANA Smart Management, 2 Skt Std RH Sup NonProduction 1Yr</t>
  </si>
  <si>
    <t>00YH694</t>
  </si>
  <si>
    <t>RHEL SAP HANA Smart Management, 2 Skt Std RH Sup NonProduction 3Yr</t>
  </si>
  <si>
    <t>00YH695</t>
  </si>
  <si>
    <t>RHEL SAP HANA Smart Management, 2 Skt Prem RH Sup Production 1Yr</t>
  </si>
  <si>
    <t>00YH696</t>
  </si>
  <si>
    <t>RHEL SAP HANA Smart Management, 2 Skt Prem RH Sup Production 3Yr</t>
  </si>
  <si>
    <t>00YH697</t>
  </si>
  <si>
    <t>RHEL SAP HANA SmartMgmt+HighAvail, 2 Skt Std RHSup NonProduction 1Yr</t>
  </si>
  <si>
    <t>00YH698</t>
  </si>
  <si>
    <t>RHEL SAP HANA SmartMgmt+HighAvail, 2 Skt Std RHSup NonProduction 3Yr</t>
  </si>
  <si>
    <t>00YH699</t>
  </si>
  <si>
    <t>RHEL SAP HANA SmartMgmt+HighAvail, 2 Skt Prem RH Sup Production 1Yr</t>
  </si>
  <si>
    <t>00YH700</t>
  </si>
  <si>
    <t>RHEL SAP HANA SmartMgmt+HighAvail, 2 Skt Prem RH Sup Production 3Yr</t>
  </si>
  <si>
    <t>00YH701</t>
  </si>
  <si>
    <t>RHEL SAP Apps, 2 Skt Std RH Sup NonProduction 1Yr</t>
  </si>
  <si>
    <t>00YH702</t>
  </si>
  <si>
    <t>RHEL SAP Apps, 2 Skt Std RH Sup NonProduction 3Yr</t>
  </si>
  <si>
    <t>00YH703</t>
  </si>
  <si>
    <t>RHEL SAP Apps, 2 Skt Prem RH Sup Production 1Yr</t>
  </si>
  <si>
    <t>00YH704</t>
  </si>
  <si>
    <t>RHEL SAP Apps, 2 Skt Prem RH Sup Production 3Yr</t>
  </si>
  <si>
    <t>00YH705</t>
  </si>
  <si>
    <t>RHEL SAP Apps Smart Management, 2 Skt Std RH Sup NonProduction 1Yr</t>
  </si>
  <si>
    <t>00YH706</t>
  </si>
  <si>
    <t>RHEL SAP Apps Smart Management, 2 Skt Std RH Sup NonProduction 3Yr</t>
  </si>
  <si>
    <t>00YH707</t>
  </si>
  <si>
    <t>RHEL SAP Apps Smart Management, 2 Skt Prem RH Sup Production 1Yr</t>
  </si>
  <si>
    <t>00YH708</t>
  </si>
  <si>
    <t>RHEL SAP Apps Smart Management, 2 Skt Prem RH Sup Production 3Yr</t>
  </si>
  <si>
    <t>00YH709</t>
  </si>
  <si>
    <t>RHEL SAP Apps Virt Datactr, 2 Skt Std RH Sup NonProduction 1Yr</t>
  </si>
  <si>
    <t>00YH710</t>
  </si>
  <si>
    <t>RHEL SAP Apps Virt Datactr, 2 Skt Std RH Sup NonProduction 3Yr</t>
  </si>
  <si>
    <t>00YH711</t>
  </si>
  <si>
    <t>RHEL SAP Apps Virt Datactr, 2 Skt Prem RH Sup Production 1Yr</t>
  </si>
  <si>
    <t>00YH712</t>
  </si>
  <si>
    <t>RHEL SAP Apps Virt Datactr, 2 Skt Prem RH Sup Production 3Yr</t>
  </si>
  <si>
    <t>00YH713</t>
  </si>
  <si>
    <t>RHEL SAPApps VirtDatactr SmartMgmt, 2Skt Std RHSup NonProduction 1Yr</t>
  </si>
  <si>
    <t>00YH714</t>
  </si>
  <si>
    <t>RHEL SAPApps VirtDatactr SmartMgmt, 2Skt Std RHSup NonProduction 3Yr</t>
  </si>
  <si>
    <t>00YH715</t>
  </si>
  <si>
    <t>RHEL SAPApps VirtDatactr SmartMgmt, 2Skt Prem RH Sup Production 1Yr</t>
  </si>
  <si>
    <t>00YH716</t>
  </si>
  <si>
    <t>RHEL SAPApps VirtDatactr SmartMgmt, 2Skt Prem RH Sup Production 3Yr</t>
  </si>
  <si>
    <t>00YH717</t>
  </si>
  <si>
    <t>Red Hat Enterprise Virtualization, 2 Skt Std RH Sup 1Yr</t>
  </si>
  <si>
    <t>00YH718</t>
  </si>
  <si>
    <t>Red Hat Enterprise Virtualization, 2 Skt Std RH Sup 3Yr</t>
  </si>
  <si>
    <t>00YH719</t>
  </si>
  <si>
    <t>Red Hat Enterprise Virtualization, 2 Skt Prem RH Sup 1Yr</t>
  </si>
  <si>
    <t>00YH720</t>
  </si>
  <si>
    <t>Red Hat Enterprise Virtualization, 2 Skt Prem RH Sup 3Yr</t>
  </si>
  <si>
    <t>00YH721</t>
  </si>
  <si>
    <t>Red Hat Enterprise Virtualization, 2 Skt Std Subs 1Yr</t>
  </si>
  <si>
    <t>00YH722</t>
  </si>
  <si>
    <t>Red Hat Enterprise Virtualization, 2 Skt Std Subs 3Yr</t>
  </si>
  <si>
    <t>00YH723</t>
  </si>
  <si>
    <t>Red Hat Enterprise Virtualization, 2 Skt Std Subs 5Yr</t>
  </si>
  <si>
    <t>00YH724</t>
  </si>
  <si>
    <t>Red Hat Enterprise Virtualization, 2 Skt Prem Subs 1Yr</t>
  </si>
  <si>
    <t>00YH725</t>
  </si>
  <si>
    <t>Red Hat Enterprise Virtualization, 2 Skt Prem Subs 3Yr</t>
  </si>
  <si>
    <t>00YH726</t>
  </si>
  <si>
    <t>Red Hat Enterprise Virtualization, 2 Skt Prem Subs 5Yr</t>
  </si>
  <si>
    <t>00YH727</t>
  </si>
  <si>
    <t>RHEL High Availability, 2 Skt RH Sup 1Yr</t>
  </si>
  <si>
    <t>00YH728</t>
  </si>
  <si>
    <t>RHEL High Availability, 2 Skt RH Sup 3Yr</t>
  </si>
  <si>
    <t>00YH729</t>
  </si>
  <si>
    <t>RHEL High Availability, 2 Skt Subs 1Yr</t>
  </si>
  <si>
    <t>00YH730</t>
  </si>
  <si>
    <t>RHEL High Availability, 2 Skt Subs 3Yr</t>
  </si>
  <si>
    <t>00YH731</t>
  </si>
  <si>
    <t>RHEL High Availability, 2 Skt Subs 5Yr</t>
  </si>
  <si>
    <t>00YH732</t>
  </si>
  <si>
    <t>RHEL High Availability Unlim Guests, 2 Skt RH Sup 1Yr</t>
  </si>
  <si>
    <t>00YH733</t>
  </si>
  <si>
    <t>RHEL High Availability Unlim Guests, 2 Skt RH Sup 3Yr</t>
  </si>
  <si>
    <t>00YH734</t>
  </si>
  <si>
    <t>RHEL High Availability Unlim Guests, 2 Skt Subs 1Yr</t>
  </si>
  <si>
    <t>00YH735</t>
  </si>
  <si>
    <t>RHEL High Availability Unlim Guests, 2 Skt Subs 3Yr</t>
  </si>
  <si>
    <t>00YH736</t>
  </si>
  <si>
    <t>RHEL High Availability Unlim Guests, 2 Skt Subs 5Yr</t>
  </si>
  <si>
    <t>00YH737</t>
  </si>
  <si>
    <t>RHEL Load Balancer, 2 Skt RH Sup 1Yr</t>
  </si>
  <si>
    <t>00YH738</t>
  </si>
  <si>
    <t>RHEL Load Balancer, 2 Skt RH Sup 3Yr</t>
  </si>
  <si>
    <t>00YH739</t>
  </si>
  <si>
    <t>RHEL Load Balancer, 2 Skt Subs 1Yr</t>
  </si>
  <si>
    <t>00YH740</t>
  </si>
  <si>
    <t>RHEL Load Balancer, 2 Skt Subs 3Yr</t>
  </si>
  <si>
    <t>00YH741</t>
  </si>
  <si>
    <t>RHEL Load Balancer, 2 Skt Subs 5Yr</t>
  </si>
  <si>
    <t>00YH742</t>
  </si>
  <si>
    <t>RHEL Resilient Storage, 2 Skt RH Sup 1Yr</t>
  </si>
  <si>
    <t>00YH743</t>
  </si>
  <si>
    <t>RHEL Resilient Storage, 2 Skt RH Sup 3Yr</t>
  </si>
  <si>
    <t>00YH744</t>
  </si>
  <si>
    <t>RHEL Resilient Storage, 2 Skt Subs 1Yr</t>
  </si>
  <si>
    <t>00YH745</t>
  </si>
  <si>
    <t>RHEL Resilient Storage, 2 Skt Subs 3Yr</t>
  </si>
  <si>
    <t>00YH746</t>
  </si>
  <si>
    <t>RHEL Resilient Storage, 2 Skt Subs 5Yr</t>
  </si>
  <si>
    <t>00YH747</t>
  </si>
  <si>
    <t>RHEL Resilient Storage Unlim Guests, 2 Skt RH Sup 1Yr</t>
  </si>
  <si>
    <t>00YH748</t>
  </si>
  <si>
    <t>RHEL Resilient Storage Unlim Guests, 2 Skt RH Sup 3Yr</t>
  </si>
  <si>
    <t>00YH749</t>
  </si>
  <si>
    <t>RHEL Resilient Storage Unlim Guests, 2 Skt Subs 1Yr</t>
  </si>
  <si>
    <t>00YH750</t>
  </si>
  <si>
    <t>RHEL Resilient Storage Unlim Guests, 2 Skt Subs 3Yr</t>
  </si>
  <si>
    <t>00YH751</t>
  </si>
  <si>
    <t>RHEL Resilient Storage Unlim Guests, 2 Skt Subs 5Yr</t>
  </si>
  <si>
    <t>00YH752</t>
  </si>
  <si>
    <t>RHEL Scalable File System, 2 Skt RH Sup 1Yr</t>
  </si>
  <si>
    <t>00YH753</t>
  </si>
  <si>
    <t>RHEL Scalable File System, 2 Skt RH Sup 3Yr</t>
  </si>
  <si>
    <t>00YH754</t>
  </si>
  <si>
    <t>RHEL Scalable File System, 2 Skt Subs 1Yr</t>
  </si>
  <si>
    <t>00YH755</t>
  </si>
  <si>
    <t>RHEL Scalable File System, 2 Skt Subs 3Yr</t>
  </si>
  <si>
    <t>00YH756</t>
  </si>
  <si>
    <t>RHEL Scalable File System, 2 Skt Subs 5Yr</t>
  </si>
  <si>
    <t>00YH757</t>
  </si>
  <si>
    <t>RHEL Extended Update Support, 2 Skt RH Sup 1Yr</t>
  </si>
  <si>
    <t>00YH758</t>
  </si>
  <si>
    <t>RHEL Extended Update Support, 2 Skt RH Sup 3Yr</t>
  </si>
  <si>
    <t>00YH759</t>
  </si>
  <si>
    <t>RHEL Extended Update Support, 2 Skt Subs 1Yr</t>
  </si>
  <si>
    <t>00YH760</t>
  </si>
  <si>
    <t>RHEL Extended Update Support, 2 Skt Subs 3Yr</t>
  </si>
  <si>
    <t>00YH761</t>
  </si>
  <si>
    <t>RHEL Extended Update Support, 2 Skt Subs 5Yr</t>
  </si>
  <si>
    <t>00YH762</t>
  </si>
  <si>
    <t>RHEL Extended Update Support Unlim Guests, 2 Skt RH Sup 1Yr</t>
  </si>
  <si>
    <t>00YH763</t>
  </si>
  <si>
    <t>RHEL Extended Update Support Unlim Guests, 2 Skt RH Sup 3Yr</t>
  </si>
  <si>
    <t>00YH764</t>
  </si>
  <si>
    <t>RHEL Extended Update Support Unlim Guests, 2 Skt Subs 1Yr</t>
  </si>
  <si>
    <t>00YH765</t>
  </si>
  <si>
    <t>RHEL Extended Update Support Unlim Guests, 2 Skt Subs 3Yr</t>
  </si>
  <si>
    <t>00YH766</t>
  </si>
  <si>
    <t>RHEL Extended Update Support Unlim Guests, 2 Skt Subs 5Yr</t>
  </si>
  <si>
    <t>00YH767</t>
  </si>
  <si>
    <t>RHEL Smart Management, 2 Skt RH Sup 1Yr</t>
  </si>
  <si>
    <t>00YH768</t>
  </si>
  <si>
    <t>RHEL Smart Management, 2 Skt RH Sup 3Yr</t>
  </si>
  <si>
    <t>00YH769</t>
  </si>
  <si>
    <t>RHEL Smart Management, 2 Skt Subs 1Yr</t>
  </si>
  <si>
    <t>00YH770</t>
  </si>
  <si>
    <t>RHEL Smart Management, 2 Skt Subs 3Yr</t>
  </si>
  <si>
    <t>00YH771</t>
  </si>
  <si>
    <t>RHEL Smart Management, 2 Skt Subs 5Yr</t>
  </si>
  <si>
    <t>00YH772</t>
  </si>
  <si>
    <t>RHEL Smart Management Unlim Guests, 2 Skt RH Sup 1Yr</t>
  </si>
  <si>
    <t>00YH773</t>
  </si>
  <si>
    <t>RHEL Smart Management Unlim Guests, 2 Skt RH Sup 3Yr</t>
  </si>
  <si>
    <t>00YH774</t>
  </si>
  <si>
    <t>RHEL Smart Management Unlim Guests, 2 Skt Subs 1Yr</t>
  </si>
  <si>
    <t>00YH775</t>
  </si>
  <si>
    <t>RHEL Smart Management Unlim Guests, 2 Skt Subs 3Yr</t>
  </si>
  <si>
    <t>00YH776</t>
  </si>
  <si>
    <t>RHEL Smart Management Unlim Guests, 2 Skt Subs 5Yr</t>
  </si>
  <si>
    <t>00YH777</t>
  </si>
  <si>
    <t>RHEL Monitoring, 2 Skt RH Sup 1Yr</t>
  </si>
  <si>
    <t>00YH778</t>
  </si>
  <si>
    <t>RHEL Monitoring, 2 Skt RH Sup 3Yr</t>
  </si>
  <si>
    <t>00YH779</t>
  </si>
  <si>
    <t>RHEL Monitoring Unlim Guests, 2 Skt RH Sup 1Yr</t>
  </si>
  <si>
    <t>00YH780</t>
  </si>
  <si>
    <t>RHEL Monitoring Unlim Guests, 2 Skt RH Sup 3Yr</t>
  </si>
  <si>
    <t>00YH781</t>
  </si>
  <si>
    <t>RHEL Smart Management with Monitoring, 2 Skt RH Sup 1Yr</t>
  </si>
  <si>
    <t>00YH782</t>
  </si>
  <si>
    <t>RHEL Smart Management with Monitoring, 2 Skt RH Sup 3Yr</t>
  </si>
  <si>
    <t>00YH783</t>
  </si>
  <si>
    <t>RHEL Smart Management with Monitoring Unlim Guests, 2 Skt RH Sup 1Yr</t>
  </si>
  <si>
    <t>00YH784</t>
  </si>
  <si>
    <t>RHEL Smart Management with Monitoring Unlim Guests, 2 Skt RH Sup 3Yr</t>
  </si>
  <si>
    <t>00YH785</t>
  </si>
  <si>
    <t>Red Hat Satellite, 2 Skt Subs 1Yr</t>
  </si>
  <si>
    <t>00YH786</t>
  </si>
  <si>
    <t>Red Hat Satellite, 2 Skt Subs 3Yr</t>
  </si>
  <si>
    <t>00YH787</t>
  </si>
  <si>
    <t>Red Hat Satellite, 2 Skt Subs 5Yr</t>
  </si>
  <si>
    <t>00YH788</t>
  </si>
  <si>
    <t>Red Hat Enterprise Linux 6 for Servers Media</t>
  </si>
  <si>
    <t>00YH789</t>
  </si>
  <si>
    <t>Red Hat Enterprise Linux 7 for Servers Media</t>
  </si>
  <si>
    <t>00YH790</t>
  </si>
  <si>
    <t>Red Hat Enterprise Linux 6 for HPC Media</t>
  </si>
  <si>
    <t>00YH791</t>
  </si>
  <si>
    <t>Red Hat Enterprise Linux 7 for HPC Media</t>
  </si>
  <si>
    <t>00YH792</t>
  </si>
  <si>
    <t>Red Hat Enterprise Linux 6 for SAP HANA Media</t>
  </si>
  <si>
    <t>RED HAT Cloud RFA</t>
  </si>
  <si>
    <t>00YH852</t>
  </si>
  <si>
    <t>Red Hat CloudForms 2 Skt Std RH Sup 1Yr</t>
  </si>
  <si>
    <t>00YH853</t>
  </si>
  <si>
    <t>Red Hat CloudForms 2 Skt Std RH Sup 3Yr</t>
  </si>
  <si>
    <t>00YH854</t>
  </si>
  <si>
    <t>Red Hat CloudForms 2 Skt Prem RH Sup 1Yr</t>
  </si>
  <si>
    <t>00YH855</t>
  </si>
  <si>
    <t>Red Hat CloudForms 2 Skt Prem RH Sup 3Yr</t>
  </si>
  <si>
    <t>00YH856</t>
  </si>
  <si>
    <t>Red Hat Cloud Infrastructure, 2 Skt Std RH Sup 1Yr</t>
  </si>
  <si>
    <t>00YH857</t>
  </si>
  <si>
    <t>Red Hat Cloud Infrastructure, 2 Skt Std RH Sup 3Yr</t>
  </si>
  <si>
    <t>00YH858</t>
  </si>
  <si>
    <t>Red Hat Cloud Infrastructure, 2 Skt Prem RH Sup 1Yr</t>
  </si>
  <si>
    <t>00YH859</t>
  </si>
  <si>
    <t>Red Hat Cloud Infrastructure, 2 Skt Prem RH Sup 3Yr</t>
  </si>
  <si>
    <t>00YH860</t>
  </si>
  <si>
    <t>Red Hat Cloud Infrastructure without guest OS, 2 Skt Std RH Sup 1Yr</t>
  </si>
  <si>
    <t>00YH861</t>
  </si>
  <si>
    <t>Red Hat Cloud Infrastructure without guest OS, 2 Skt Std RH Sup 3Yr</t>
  </si>
  <si>
    <t>00YH862</t>
  </si>
  <si>
    <t>Red Hat Cloud Infrastructure without guest OS, 2 Skt Prem RH Sup 1Yr</t>
  </si>
  <si>
    <t>00YH863</t>
  </si>
  <si>
    <t>Red Hat Cloud Infrastructure without guest OS, 2 Skt Prem RH Sup 3Yr</t>
  </si>
  <si>
    <t>00YH864</t>
  </si>
  <si>
    <t>RHEL OpenStack Platform, 2 Skt Std RH Sup 1Yr</t>
  </si>
  <si>
    <t>00YH865</t>
  </si>
  <si>
    <t>RHEL OpenStack Platform, 2 Skt Std RH Sup 3Yr</t>
  </si>
  <si>
    <t>00YH866</t>
  </si>
  <si>
    <t>RHEL OpenStack Platform, 2 Skt Prem RH Sup 1Yr</t>
  </si>
  <si>
    <t>00YH867</t>
  </si>
  <si>
    <t>RHEL OpenStack Platform, 2 Skt Prem RH Sup 3Yr</t>
  </si>
  <si>
    <t>00YH868</t>
  </si>
  <si>
    <t>RHEL OpenStack Plat Controller Nodes, no guests, 2Skt Std RHSup 1Yr</t>
  </si>
  <si>
    <t>00YH869</t>
  </si>
  <si>
    <t>RHEL OpenStack Plat Controller Nodes, no guests, 2Skt Std RHSup 3Yr</t>
  </si>
  <si>
    <t>00YH870</t>
  </si>
  <si>
    <t>RHEL OpenStack Plat Controller Nodes, no guests, 2Skt Prem RHSup 1Yr</t>
  </si>
  <si>
    <t>00YH871</t>
  </si>
  <si>
    <t>RHEL OpenStack Plat Controller Nodes, no guests, 2Skt Prem RHSup 3Yr</t>
  </si>
  <si>
    <t>00YH872</t>
  </si>
  <si>
    <t>Red Hat Gluster Storage, 1 Node, Std RH Sup 1Yr</t>
  </si>
  <si>
    <t>00YH873</t>
  </si>
  <si>
    <t>Red Hat Gluster Storage, 1 Node, Std RH Sup 3Yr</t>
  </si>
  <si>
    <t>00YH874</t>
  </si>
  <si>
    <t>Red Hat Gluster Storage, 1 Node, Prem RH Sup 1Yr</t>
  </si>
  <si>
    <t>00YH875</t>
  </si>
  <si>
    <t>Red Hat Gluster Storage, 1 Node, Prem RH Sup 3Yr</t>
  </si>
  <si>
    <t>00YH876</t>
  </si>
  <si>
    <t>Red Hat Gluster Storage, 3 Nodes, Std RH Sup 1Yr</t>
  </si>
  <si>
    <t>00YH877</t>
  </si>
  <si>
    <t>Red Hat Gluster Storage, 3 Nodes, Std RH Sup 3Yr</t>
  </si>
  <si>
    <t>00YH878</t>
  </si>
  <si>
    <t>Red Hat Gluster Storage, 3 Nodes, Prem RH Sup 1Yr</t>
  </si>
  <si>
    <t>00YH879</t>
  </si>
  <si>
    <t>Red Hat Gluster Storage, 3 Nodes, Prem RH Sup 3Yr</t>
  </si>
  <si>
    <t>00YH880</t>
  </si>
  <si>
    <t>Red Hat Ceph Storage, 12 Physical Nodes up to 256TB, Prem RH Sup 1Yr</t>
  </si>
  <si>
    <t>00YH881</t>
  </si>
  <si>
    <t>Red Hat Ceph Storage, 12 Physical Nodes up to 256TB, Prem RH Sup 3Yr</t>
  </si>
  <si>
    <t>00YH882</t>
  </si>
  <si>
    <t>Red Hat Ceph Storage, 25 Physical Nodes up to 512TB, Prem RH Sup 1Yr</t>
  </si>
  <si>
    <t>00YH883</t>
  </si>
  <si>
    <t>Red Hat Ceph Storage, 25 Physical Nodes up to 512TB, Prem RH Sup 3Yr</t>
  </si>
  <si>
    <t>SuSe</t>
  </si>
  <si>
    <t>00YC110</t>
  </si>
  <si>
    <t>SLES X86 2 Socket Pri Subs Only 1Yr</t>
  </si>
  <si>
    <t>00YC111</t>
  </si>
  <si>
    <t>SLES X86 2 Socket Pri Subs Only 3Yr</t>
  </si>
  <si>
    <t>00YC112</t>
  </si>
  <si>
    <t>SLES X86 2 Socket Pri Subs Only 5Yr</t>
  </si>
  <si>
    <t>00KH273</t>
  </si>
  <si>
    <t>SLES 11 x86 Media</t>
  </si>
  <si>
    <t>00KH274</t>
  </si>
  <si>
    <t>SLES 12 x86 Media</t>
  </si>
  <si>
    <t>00YC113</t>
  </si>
  <si>
    <t>SLES X86 2 Socket Virt Unlimited Pri Subs Only 1Yr</t>
  </si>
  <si>
    <t>00YC114</t>
  </si>
  <si>
    <t>SLES X86 2 Socket Virt Unlimited Pri Subs Only 3Yr</t>
  </si>
  <si>
    <t>00YC115</t>
  </si>
  <si>
    <t>SLES X86 2 Socket Virt Unlimited Pri Subs Only 5Yr</t>
  </si>
  <si>
    <t>00YC116</t>
  </si>
  <si>
    <t>SLES X86 2 Socket Pri SUSE Support 1Yr</t>
  </si>
  <si>
    <t>00YC117</t>
  </si>
  <si>
    <t>SLES X86 2 Socket Pri SUSE Support 3Yr</t>
  </si>
  <si>
    <t>00YC118</t>
  </si>
  <si>
    <t>SLES X86 2 Socket Pri SUSE Support 5Yr</t>
  </si>
  <si>
    <t>00YC119</t>
  </si>
  <si>
    <t>SLES X86 2 Socket Virt Unlimited Pri SUSE Support 1Yr</t>
  </si>
  <si>
    <t>00YC120</t>
  </si>
  <si>
    <t>SLES X86 2 Socket Virt Unlimited Pri SUSE Support 3Yr</t>
  </si>
  <si>
    <t>00YC121</t>
  </si>
  <si>
    <t>SLES X86 2 Socket Virt Unlimited Pri SUSE Support 5Yr</t>
  </si>
  <si>
    <t>00YC122</t>
  </si>
  <si>
    <t>SLES X86 2 Socket Std Subs Only 1Yr</t>
  </si>
  <si>
    <t>00YC123</t>
  </si>
  <si>
    <t>SLES X86 2 Socket Std Subs Only 3Yr</t>
  </si>
  <si>
    <t>00YC124</t>
  </si>
  <si>
    <t>SLES X86 2 Socket Std Subs Only 5Yr</t>
  </si>
  <si>
    <t>00YC125</t>
  </si>
  <si>
    <t>SLES X86 2 Socket Virt Unlimited Std Subs Only 1Yr</t>
  </si>
  <si>
    <t>00YC126</t>
  </si>
  <si>
    <t>SLES X86 2 Socket Virt Unlimited Std Subs Only 3Yr</t>
  </si>
  <si>
    <t>00YC127</t>
  </si>
  <si>
    <t>SLES X86 2 Socket Virt Unlimited Std Subs Only 5Yr</t>
  </si>
  <si>
    <t>00YC128</t>
  </si>
  <si>
    <t>00YC129</t>
  </si>
  <si>
    <t>00YC130</t>
  </si>
  <si>
    <t>00YC131</t>
  </si>
  <si>
    <t>00YC132</t>
  </si>
  <si>
    <t>00YC133</t>
  </si>
  <si>
    <t>00YC134</t>
  </si>
  <si>
    <t>SLES for SAP Applications 2 Socket Pri Subs Only 1Yr</t>
  </si>
  <si>
    <t>00YC135</t>
  </si>
  <si>
    <t>SLES for SAP Applications 2 Socket Pri Subs Only 3Yr</t>
  </si>
  <si>
    <t>00YC136</t>
  </si>
  <si>
    <t>SLES for SAP Applications 2 Socket Pri Subs Only 5Yr</t>
  </si>
  <si>
    <t>00KH275</t>
  </si>
  <si>
    <t>SLES for SAP Applications 11 x86 Media</t>
  </si>
  <si>
    <t>00KH276</t>
  </si>
  <si>
    <t>SLES for SAP Applications 12 x86 Media</t>
  </si>
  <si>
    <t>00YC137</t>
  </si>
  <si>
    <t>SLES for SAP Applications 2 Socket Virt Unlimited Pri Subs Only 1Yr</t>
  </si>
  <si>
    <t>00YC138</t>
  </si>
  <si>
    <t>SLES for SAP Applications 2 Socket Virt Unlimited Pri Subs Only 3Yr</t>
  </si>
  <si>
    <t>00YC139</t>
  </si>
  <si>
    <t>SLES for SAP Applications 2 Socket Virt Unlimited Pri Subs Only 5Yr</t>
  </si>
  <si>
    <t>00YC140</t>
  </si>
  <si>
    <t>SLES for SAP Applications 2 Socket Pri SUSE Support 1Yr</t>
  </si>
  <si>
    <t>00YC141</t>
  </si>
  <si>
    <t>SLES for SAP Applications 2 Socket Pri SUSE Support 3Yr</t>
  </si>
  <si>
    <t>00YC142</t>
  </si>
  <si>
    <t>SLES for SAP Applications 2 Socket Pri SUSE Support 5Yr</t>
  </si>
  <si>
    <t>00YC143</t>
  </si>
  <si>
    <t>SLES for SAP Applications 2 Socket Virt Unlimited Pri SUSE Supp 1Yr</t>
  </si>
  <si>
    <t>00YC144</t>
  </si>
  <si>
    <t>SLES for SAP Applications 2 Socket Virt Unlimited Pri SUSE Supp 3Yr</t>
  </si>
  <si>
    <t>00YC145</t>
  </si>
  <si>
    <t>SLES for SAP Applications 2 Socket Virt Unlimited Pri SUSE Supp 5Yr</t>
  </si>
  <si>
    <t>00YC146</t>
  </si>
  <si>
    <t>SUSE Linux Enterprise HPC Basic SUSE Support 1Yr</t>
  </si>
  <si>
    <t>00YC147</t>
  </si>
  <si>
    <t>SUSE Linux Enterprise HPC Basic SUSE Support 3Yr</t>
  </si>
  <si>
    <t>00YC148</t>
  </si>
  <si>
    <t>SUSE Linux Enterprise HPC Basic SUSE Support 5Yr</t>
  </si>
  <si>
    <t>00YC149</t>
  </si>
  <si>
    <t>SUSE Linux Enterprise HPC Standard SUSE Support 1Yr</t>
  </si>
  <si>
    <t>00YC150</t>
  </si>
  <si>
    <t>SUSE Linux Enterprise HPC Standard SUSE Support 3Yr</t>
  </si>
  <si>
    <t>00YC151</t>
  </si>
  <si>
    <t>SUSE Linux Enterprise HPC Standard SUSE Support 5Yr</t>
  </si>
  <si>
    <t>00YC152</t>
  </si>
  <si>
    <t>SUSE Linux Enterprise HPC Priority SUSE Support 1Yr</t>
  </si>
  <si>
    <t>00YC153</t>
  </si>
  <si>
    <t>SUSE Linux Enterprise HPC Priority SUSE Support 3Yr</t>
  </si>
  <si>
    <t>00YC154</t>
  </si>
  <si>
    <t>SUSE Linux Enterprise HPC Priority SUSE Support 5Yr</t>
  </si>
  <si>
    <t>00YC155</t>
  </si>
  <si>
    <t>00YC156</t>
  </si>
  <si>
    <t>00YC157</t>
  </si>
  <si>
    <t>00YC158</t>
  </si>
  <si>
    <t>00YC159</t>
  </si>
  <si>
    <t>00YC160</t>
  </si>
  <si>
    <t>00YC161</t>
  </si>
  <si>
    <t>SUSE Manager Server Pri Subs Only 1Yr</t>
  </si>
  <si>
    <t>00YC162</t>
  </si>
  <si>
    <t>SUSE Manager Server Pri Subs Only 3Yr</t>
  </si>
  <si>
    <t>00YC163</t>
  </si>
  <si>
    <t>SUSE Manager Server 50 Managed Instances Pri Subs Only 1Yr</t>
  </si>
  <si>
    <t>00YC164</t>
  </si>
  <si>
    <t>SUSE Manager Server 50 Managed Instances Pri Subs Only 3Yr</t>
  </si>
  <si>
    <t>00YC165</t>
  </si>
  <si>
    <t>SUSE Manager Proxy Server Pri Subs Only 1Yr</t>
  </si>
  <si>
    <t>00YC166</t>
  </si>
  <si>
    <t>SUSE Manager Proxy Server Pri Subs Only 3Yr</t>
  </si>
  <si>
    <t>00YC167</t>
  </si>
  <si>
    <t>SUSE Manager Lifecycle Management 2 skt/2 VM Pri Subs Only 1Yr</t>
  </si>
  <si>
    <t>00YC168</t>
  </si>
  <si>
    <t>SUSE Manager Lifecycle Management 2 skt/2 VM Pri Subs Only 3Yr</t>
  </si>
  <si>
    <t>00YC169</t>
  </si>
  <si>
    <t>SUSE Manager Lifecycle Mgmt Unlimited VMs Pri Subs Only 1Yr</t>
  </si>
  <si>
    <t>00YC170</t>
  </si>
  <si>
    <t>SUSE Manager Lifecycle Mgmt Unlimited VMs Pri Subs Only 3Yr</t>
  </si>
  <si>
    <t>00YC171</t>
  </si>
  <si>
    <t>SUSE Manager Monitoring 2 socket/2 VM Pri Subs Only 1Yr</t>
  </si>
  <si>
    <t>00YC172</t>
  </si>
  <si>
    <t>SUSE Manager Monitoring 2 socket/2 VM Pri Subs Only 3Yr</t>
  </si>
  <si>
    <t>00YC173</t>
  </si>
  <si>
    <t>SUSE Manager Monitoring Unlimited VMs Pri Subs Only 1Yr</t>
  </si>
  <si>
    <t>00YC174</t>
  </si>
  <si>
    <t>SUSE Manager Monitoring Unlimited VMs Pri Subs Only 3Yr</t>
  </si>
  <si>
    <t>00YC175</t>
  </si>
  <si>
    <t>SUSE Manager Server Pri SUSE Support 1Yr</t>
  </si>
  <si>
    <t>00YC176</t>
  </si>
  <si>
    <t>SUSE Manager Server Pri SUSE Support 3Yr</t>
  </si>
  <si>
    <t>00YC177</t>
  </si>
  <si>
    <t>SUSE Manager Server 50 Managed Instances Pri SUSE Support 1Yr</t>
  </si>
  <si>
    <t>00YC178</t>
  </si>
  <si>
    <t>SUSE Manager Server 50 Managed Instances Pri SUSE Support 3Yr</t>
  </si>
  <si>
    <t>00YC179</t>
  </si>
  <si>
    <t>SUSE Manager Proxy Server Pri SUSE Support 1Yr</t>
  </si>
  <si>
    <t>00YC180</t>
  </si>
  <si>
    <t>SUSE Manager Proxy Server Pri SUSE Support 3Yr</t>
  </si>
  <si>
    <t>00YC181</t>
  </si>
  <si>
    <t>SUSE Manager Lifecycle Management 2 skt/2 VM Pri SUSE Support 1Yr</t>
  </si>
  <si>
    <t>00YC182</t>
  </si>
  <si>
    <t>SUSE Manager Lifecycle Management 2 skt/2 VM Pri SUSE Support 3Yr</t>
  </si>
  <si>
    <t>00YC183</t>
  </si>
  <si>
    <t>SUSE Manager Lifecycle Mgmt Unlimited VMs Pri SUSE Support 1Yr</t>
  </si>
  <si>
    <t>00YC184</t>
  </si>
  <si>
    <t>SUSE Manager Lifecycle Mgmt Unlimited VMs Pri SUSE Support 3Yr</t>
  </si>
  <si>
    <t>00YC185</t>
  </si>
  <si>
    <t>SUSE Manager Monitoring 2 socket/2 VM Pri SUSE Support 1Yr</t>
  </si>
  <si>
    <t>00YC186</t>
  </si>
  <si>
    <t>SUSE Manager Monitoring 2 socket/2 VM Pri SUSE Support 3Yr</t>
  </si>
  <si>
    <t>00YC187</t>
  </si>
  <si>
    <t>SUSE Manager Monitoring Unlimited VMs Pri SUSE Support 1Yr</t>
  </si>
  <si>
    <t>00YC188</t>
  </si>
  <si>
    <t>SUSE Manager Monitoring Unlimited VMs Pri SUSE Support 3Yr</t>
  </si>
  <si>
    <t>00YC189</t>
  </si>
  <si>
    <t>SUSE Mgr Mgmt for Microsoft Sys Ctr SCOM Instance Std SUSE Supp 1Yr</t>
  </si>
  <si>
    <t>00YC190</t>
  </si>
  <si>
    <t>SUSE Cloud Control Node Pri Subs Only 1Yr</t>
  </si>
  <si>
    <t>00YC191</t>
  </si>
  <si>
    <t>SUSE Cloud Control Node Pri Subs Only 3Yr</t>
  </si>
  <si>
    <t>00YC192</t>
  </si>
  <si>
    <t>SUSE Cloud Control Node plus Admin Server Pri Subs Only 1Yr</t>
  </si>
  <si>
    <t>00YC193</t>
  </si>
  <si>
    <t>SUSE Cloud Control Node plus Admin Server Pri Subs Only 3Yr</t>
  </si>
  <si>
    <t>00YC194</t>
  </si>
  <si>
    <t>SUSE Cloud Compute Node 2 Socket Pri Subs Only 1Yr</t>
  </si>
  <si>
    <t>00YC195</t>
  </si>
  <si>
    <t>SUSE Cloud Compute Node 2 Socket Pri Subs Only 3Yr</t>
  </si>
  <si>
    <t>00YC198</t>
  </si>
  <si>
    <t>SUSE Cloud Control Node Pri SUSE Support 1Yr</t>
  </si>
  <si>
    <t>00YC199</t>
  </si>
  <si>
    <t>SUSE Cloud Control Node Pri SUSE Support 3Yr</t>
  </si>
  <si>
    <t>00YC200</t>
  </si>
  <si>
    <t>SUSE Cloud Control Node plus Admin Server Pri SUSE Support 1Yr</t>
  </si>
  <si>
    <t>00YC201</t>
  </si>
  <si>
    <t>SUSE Cloud Control Node plus Admin Server Pri SUSE Support 3Yr</t>
  </si>
  <si>
    <t>00YC202</t>
  </si>
  <si>
    <t>SUSE Cloud Compute Node 2 Socket Pri SUSE Support 1Yr</t>
  </si>
  <si>
    <t>00YC203</t>
  </si>
  <si>
    <t>SUSE Cloud Compute Node 2 Socket Pri SUSE Support 3Yr</t>
  </si>
  <si>
    <t>00YC204</t>
  </si>
  <si>
    <t>SUSE OpenStack Cloud Compute Node Microsoft Hyper-V Pri SubsOnly 1Yr</t>
  </si>
  <si>
    <t>00YC205</t>
  </si>
  <si>
    <t>SUSE OpenStack Cloud Compute Node Microsoft Hyper-V Pri SubsOnly 3Yr</t>
  </si>
  <si>
    <t>00YC206</t>
  </si>
  <si>
    <t>SUSE OpenStack Cloud Swift Storage Node Pri Subs Only 1Yr</t>
  </si>
  <si>
    <t>00YC207</t>
  </si>
  <si>
    <t>SUSE OpenStack Cloud Swift Storage Node Pri Subs Only 3Yr</t>
  </si>
  <si>
    <t>00YC208</t>
  </si>
  <si>
    <t>SUSE OpenStack Cloud Compute Node Microsoft Hyper-V Pri SUSE Sup 1Yr</t>
  </si>
  <si>
    <t>00YC209</t>
  </si>
  <si>
    <t>SUSE OpenStack Cloud Compute Node Microsoft Hyper-V Pri SUSE Sup 3Yr</t>
  </si>
  <si>
    <t>00YC210</t>
  </si>
  <si>
    <t>SUSE OpenStack Cloud Swift Storage Pri SUSE Support 1Yr</t>
  </si>
  <si>
    <t>00YC211</t>
  </si>
  <si>
    <t>SUSE OpenStack Cloud Swift Storage Pri SUSE Support 3Yr</t>
  </si>
  <si>
    <t>00YC212</t>
  </si>
  <si>
    <t>SUSE Enterprise Storage Base Configuration Pri Subs Only 1Yr</t>
  </si>
  <si>
    <t>00YC213</t>
  </si>
  <si>
    <t>SUSE Enterprise Storage Base Configuration Pri Subs Only 3Yr</t>
  </si>
  <si>
    <t>00YC214</t>
  </si>
  <si>
    <t>SUSE Enterprise Storage Expansion Node Pri Subs Only 1Yr</t>
  </si>
  <si>
    <t>00YC215</t>
  </si>
  <si>
    <t>SUSE Enterprise Storage Expansion Node Pri Subs Only 3Yr</t>
  </si>
  <si>
    <t>00YC216</t>
  </si>
  <si>
    <t>SUSE Enterprise Storage Base Configuration Pri SUSE Support 1Yr</t>
  </si>
  <si>
    <t>00YC217</t>
  </si>
  <si>
    <t>SUSE Enterprise Storage Base Configuration Pri SUSE Support 3Yr</t>
  </si>
  <si>
    <t>00YC218</t>
  </si>
  <si>
    <t>SUSE Enterprise Storage Expansion Node Pri SUSE Support 1Yr</t>
  </si>
  <si>
    <t>00YC219</t>
  </si>
  <si>
    <t>SUSE Enterprise Storage Expansion Node Pri SUSE Support 3Yr</t>
  </si>
  <si>
    <t>VMware</t>
  </si>
  <si>
    <t>00WD955</t>
  </si>
  <si>
    <t>VMware vSphere 6 Essentials Kit for 3 hosts Lic&amp;1Yr S&amp;S</t>
  </si>
  <si>
    <t>00WD959</t>
  </si>
  <si>
    <t>VMware vSphere 6 Essentials Kit for 3 hosts Lic&amp;3Yr S&amp;S</t>
  </si>
  <si>
    <t>00WD195</t>
  </si>
  <si>
    <t>VMware vSphere 6 Essentials Plus Kit for 3 hosts Lic&amp;1Yr S&amp;S</t>
  </si>
  <si>
    <t>00WD258</t>
  </si>
  <si>
    <t>VMware vSphere 6 Essentials Plus Kit for 3 hosts Lic&amp;3Yr S&amp;S</t>
  </si>
  <si>
    <t>00WD189</t>
  </si>
  <si>
    <t>VMware vSphere 6 Standard for 1 processor Lic&amp;1Yr S&amp;S</t>
  </si>
  <si>
    <t>00WD252</t>
  </si>
  <si>
    <t>VMware vSphere 6 Standard for 1 processor Lic&amp;3Yr S&amp;S</t>
  </si>
  <si>
    <t>00WD190</t>
  </si>
  <si>
    <t>VMware vSphere 6 Enterprise for 1 processor Lic&amp;1Yr S&amp;S</t>
  </si>
  <si>
    <t>00WD253</t>
  </si>
  <si>
    <t>VMware vSphere 6 Enterprise for 1 processor Lic&amp;3Yr S&amp;S</t>
  </si>
  <si>
    <t>00WD191</t>
  </si>
  <si>
    <t>VMware vSphere 6 Enterprise Plus for 1 processor Lic&amp;1Yr S&amp;S</t>
  </si>
  <si>
    <t>00WD254</t>
  </si>
  <si>
    <t>VMware vSphere 6 Enterprise Plus for 1 processor Lic&amp;3Yr S&amp;S</t>
  </si>
  <si>
    <t>00WD198</t>
  </si>
  <si>
    <t>VMware vSph 6 w/Operations Mgmt Standard for 1 proc Lic&amp;1Yr S&amp;S</t>
  </si>
  <si>
    <t>00WD261</t>
  </si>
  <si>
    <t>VMware vSph 6 w/Operations Mgmt Standard for 1 proc Lic&amp;3Yr S&amp;S</t>
  </si>
  <si>
    <t>00WD201</t>
  </si>
  <si>
    <t>VMware vSph6 w/Operations Mgmt Std Acc Kit for 6 procs Lic&amp;1Yr S&amp;S</t>
  </si>
  <si>
    <t>00WD264</t>
  </si>
  <si>
    <t>VMware vSph6 w/Operations Mgmt Std Acc Kit for 6 procs Lic&amp;3Yr S&amp;S</t>
  </si>
  <si>
    <t>00WD199</t>
  </si>
  <si>
    <t>VMware vSph 6 w/Operations Mgmt Enterprise for 1 proc Lic&amp;1Yr S&amp;S</t>
  </si>
  <si>
    <t>00WD262</t>
  </si>
  <si>
    <t>VMware vSph 6 w/Operations Mgmt Enterprise for 1 proc Lic&amp;3Yr S&amp;S</t>
  </si>
  <si>
    <t>00WD200</t>
  </si>
  <si>
    <t>VMware vSph 6 w/Operations Mgmt Ent Plus for 1 proc Lic&amp;1Yr S&amp;S</t>
  </si>
  <si>
    <t>00WD263</t>
  </si>
  <si>
    <t>VMware vSph 6 w/Operations Mgmt Ent Plus for 1 proc Lic&amp;3Yr S&amp;S</t>
  </si>
  <si>
    <t>00WD202</t>
  </si>
  <si>
    <t>VMware vSph6 w/Operations Mgmt Ent Acc Kit for 6 procs Lic&amp;1Yr S&amp;S</t>
  </si>
  <si>
    <t>00WD265</t>
  </si>
  <si>
    <t>VMware vSph6 w/Operations Mgmt Ent Acc Kit for 6 procs Lic&amp;3Yr S&amp;S</t>
  </si>
  <si>
    <t>00WD203</t>
  </si>
  <si>
    <t>VMware vSph6 w/Operations Mgmt Ent Pl Acc Kit for 6 procs Lic&amp;1Yr S&amp;S</t>
  </si>
  <si>
    <t>00WD266</t>
  </si>
  <si>
    <t>VMware vSph6 w/Operations Mgmt Ent Pl Acc Kit for 6 procs Lic&amp;3Yr S&amp;S</t>
  </si>
  <si>
    <t>00WD192</t>
  </si>
  <si>
    <t>VMware vSphere 6 for Desktop (100 VM Pack) Lic&amp;1Yr S&amp;S</t>
  </si>
  <si>
    <t>00WD255</t>
  </si>
  <si>
    <t>VMware vSphere 6 for Desktop (100 VM Pack) Lic&amp;3Yr S&amp;S</t>
  </si>
  <si>
    <t>00WD193</t>
  </si>
  <si>
    <t>VMware vSphere 6 Remote Off Branch Off Std (25 VM Pk) Lic&amp;1Yr S&amp;S</t>
  </si>
  <si>
    <t>00WD256</t>
  </si>
  <si>
    <t>VMware vSphere 6 Remote Off Branch Off Std (25 VM Pk) Lic&amp;3Yr S&amp;S</t>
  </si>
  <si>
    <t>00WD194</t>
  </si>
  <si>
    <t>VMware vSphere 6 Remote Off Branch Off Adv (25 VM Pk) Lic&amp;1Yr S&amp;S</t>
  </si>
  <si>
    <t>00WD257</t>
  </si>
  <si>
    <t>VMware vSphere 6 Remote Off Branch Off Adv (25 VM Pk) Lic&amp;3Yr S&amp;S</t>
  </si>
  <si>
    <t>00WD247</t>
  </si>
  <si>
    <t>VMware Horizon FLEX 10 pack (Per Device) Lic&amp;1Yr S&amp;S</t>
  </si>
  <si>
    <t>00WD310</t>
  </si>
  <si>
    <t>VMware Horizon FLEX 10 pack (Per Device) Lic&amp;3Yr S&amp;S</t>
  </si>
  <si>
    <t>00WD235</t>
  </si>
  <si>
    <t>VMware Horizon View Standard Edition: 10 Conc User Pk Lic&amp;1Yr S&amp;S</t>
  </si>
  <si>
    <t>00WD298</t>
  </si>
  <si>
    <t>VMware Horizon View Standard Edition: 10 Conc User Pk Lic&amp;3Yr S&amp;S</t>
  </si>
  <si>
    <t>00WD236</t>
  </si>
  <si>
    <t>VMware Horizon View Standard Edition: 100 Conc User Pk Lic&amp;1Yr S&amp;S</t>
  </si>
  <si>
    <t>00WD299</t>
  </si>
  <si>
    <t>VMware Horizon View Standard Edition: 100 Conc User Pk Lic&amp;3Yr S&amp;S</t>
  </si>
  <si>
    <t>00WD237</t>
  </si>
  <si>
    <t>VMware Horizon View Standard Add-On: 10 Conc User Pk Lic&amp;1Yr S&amp;S</t>
  </si>
  <si>
    <t>00WD300</t>
  </si>
  <si>
    <t>VMware Horizon View Standard Add-On: 10 Conc User Pk Lic&amp;3Yr S&amp;S</t>
  </si>
  <si>
    <t>00WD238</t>
  </si>
  <si>
    <t>VMware Horizon View Standard Add-On: 100 Conc User Pk Lic&amp;1Yr S&amp;S</t>
  </si>
  <si>
    <t>00WD301</t>
  </si>
  <si>
    <t>VMware Horizon View Standard Add-On: 100 Conc User Pk Lic&amp;3Yr S&amp;S</t>
  </si>
  <si>
    <t>00WD239</t>
  </si>
  <si>
    <t>VMware Horizon Advanced Edition: 10 Conc User Pack Lic&amp;1Yr S&amp;S</t>
  </si>
  <si>
    <t>00WD302</t>
  </si>
  <si>
    <t>VMware Horizon Advanced Edition: 10 Conc User Pack Lic&amp;3Yr S&amp;S</t>
  </si>
  <si>
    <t>00WD240</t>
  </si>
  <si>
    <t>VMware Horizon Advanced Edition: 100 Conc User Pack Lic&amp;1Yr S&amp;S</t>
  </si>
  <si>
    <t>00WD303</t>
  </si>
  <si>
    <t>VMware Horizon Advanced Edition: 100 Conc User Pack Lic&amp;3Yr S&amp;S</t>
  </si>
  <si>
    <t>00WD241</t>
  </si>
  <si>
    <t>VMware Horizon Advanced Edition: 10 Named User Pack Lic&amp;1Yr S&amp;S</t>
  </si>
  <si>
    <t>00WD304</t>
  </si>
  <si>
    <t>VMware Horizon Advanced Edition: 10 Named User Pack Lic&amp;3Yr S&amp;S</t>
  </si>
  <si>
    <t>00WD242</t>
  </si>
  <si>
    <t>VMware Horizon Advanced Edition: 100 Named User Pack Lic&amp;1Yr S&amp;S</t>
  </si>
  <si>
    <t>00WD305</t>
  </si>
  <si>
    <t>VMware Horizon Advanced Edition: 100 Named User Pack Lic&amp;3Yr S&amp;S</t>
  </si>
  <si>
    <t>00WD243</t>
  </si>
  <si>
    <t>VMware Horizon Enterprise Edition: 10 Conc User Pack Lic&amp;1Yr S&amp;S</t>
  </si>
  <si>
    <t>00WD306</t>
  </si>
  <si>
    <t>VMware Horizon Enterprise Edition: 10 Conc User Pack Lic&amp;3Yr S&amp;S</t>
  </si>
  <si>
    <t>00WD244</t>
  </si>
  <si>
    <t>VMware Horizon Enterprise Edition: 100 Conc User Pack Lic&amp;1Yr S&amp;S</t>
  </si>
  <si>
    <t>00WD307</t>
  </si>
  <si>
    <t>VMware Horizon Enterprise Edition: 100 Conc User Pack Lic&amp;3Yr S&amp;S</t>
  </si>
  <si>
    <t>00WD245</t>
  </si>
  <si>
    <t>VMware Horizon Enterprise Edition: 10 Named User Pk Lic&amp;1Yr S&amp;S</t>
  </si>
  <si>
    <t>00WD308</t>
  </si>
  <si>
    <t>VMware Horizon Enterprise Edition: 10 Named User Pk Lic&amp;3Yr S&amp;S</t>
  </si>
  <si>
    <t>00WD246</t>
  </si>
  <si>
    <t>VMware Horizon Enterprise Edition: 100 Named User Pk Lic&amp;1Yr S&amp;S</t>
  </si>
  <si>
    <t>00WD309</t>
  </si>
  <si>
    <t>VMware Horizon Enterprise Edition: 100 Named User Pk Lic&amp;3Yr S&amp;S</t>
  </si>
  <si>
    <t>00WD248</t>
  </si>
  <si>
    <t>VMware Mirage for Physical: 10 NamedUser or Device Pack Lic&amp;1Yr S&amp;S</t>
  </si>
  <si>
    <t>00WD311</t>
  </si>
  <si>
    <t>VMware Mirage for Physical: 10 NamedUser or Device Pack Lic&amp;3Yr S&amp;S</t>
  </si>
  <si>
    <t>00WD249</t>
  </si>
  <si>
    <t>VMware Mirage for Physical: 100 NamedUser or Device Pack Lic&amp;1Yr S&amp;S</t>
  </si>
  <si>
    <t>00WD312</t>
  </si>
  <si>
    <t>VMware Mirage for Physical: 100 NamedUser or Device Pack Lic&amp;3Yr S&amp;S</t>
  </si>
  <si>
    <t>00WD206</t>
  </si>
  <si>
    <t>VMware vCenter Site Rec Mgr 6 Standard (25 VM Pack) Lic&amp;1Yr S&amp;S</t>
  </si>
  <si>
    <t>00WD269</t>
  </si>
  <si>
    <t>VMware vCenter Site Rec Mgr 6 Standard (25 VM Pack) Lic&amp;3Yr S&amp;S</t>
  </si>
  <si>
    <t>00WD207</t>
  </si>
  <si>
    <t>VMware vCenter Site Rec Mgr 6 Enterprise (25 VM Pack) Lic&amp;1Yr S&amp;S</t>
  </si>
  <si>
    <t>00WD270</t>
  </si>
  <si>
    <t>VMware vCenter Site Rec Mgr 6 Enterprise (25 VM Pack) Lic&amp;3Yr S&amp;S</t>
  </si>
  <si>
    <t>00WD205</t>
  </si>
  <si>
    <t>VMware vCenter Srv 6 Fdn for vSphere 6 (Per Instance) Lic&amp;1Yr S&amp;S</t>
  </si>
  <si>
    <t>00WD268</t>
  </si>
  <si>
    <t>VMware vCenter Srv 6 Fdn for vSphere 6 (Per Instance) Lic&amp;3Yr S&amp;S</t>
  </si>
  <si>
    <t>00WD204</t>
  </si>
  <si>
    <t>VMware vCenter Srv 6 Std for vSphere 6 (Per Instance) Lic&amp;1Yr S&amp;S</t>
  </si>
  <si>
    <t>00WD267</t>
  </si>
  <si>
    <t>VMware vCenter Srv 6 Std for vSphere 6 (Per Instance) Lic&amp;3Yr S&amp;S</t>
  </si>
  <si>
    <t>00WD228</t>
  </si>
  <si>
    <t>VMware vCloud Suite 6 Standard Lic&amp;1Yr S&amp;S</t>
  </si>
  <si>
    <t>00WD291</t>
  </si>
  <si>
    <t>VMware vCloud Suite 6 Standard Lic&amp;3Yr S&amp;S</t>
  </si>
  <si>
    <t>00WD229</t>
  </si>
  <si>
    <t>VMware vCloud Suite 6 Advanced Lic&amp;1Yr S&amp;S</t>
  </si>
  <si>
    <t>00WD292</t>
  </si>
  <si>
    <t>VMware vCloud Suite 6 Advanced Lic&amp;3Yr S&amp;S</t>
  </si>
  <si>
    <t>00WD230</t>
  </si>
  <si>
    <t>VMware vCloud Suite 6 Enterprise Lic&amp;1Yr S&amp;S</t>
  </si>
  <si>
    <t>00WD293</t>
  </si>
  <si>
    <t>VMware vCloud Suite 6 Enterprise Lic&amp;3Yr S&amp;S</t>
  </si>
  <si>
    <t>00WD231</t>
  </si>
  <si>
    <t>VMware Virtual SAN 6 for 1 processor Lic&amp;1Yr S&amp;S</t>
  </si>
  <si>
    <t>00WD294</t>
  </si>
  <si>
    <t>VMware Virtual SAN 6 for 1 processor Lic&amp;3Yr S&amp;S</t>
  </si>
  <si>
    <t>00WD957</t>
  </si>
  <si>
    <t>VMware Virtual SAN 6 for Desktop 10 Conc User Pack Lic&amp;1Yr S&amp;S</t>
  </si>
  <si>
    <t>00WD961</t>
  </si>
  <si>
    <t>VMware Virtual SAN 6 for Desktop 10 Conc User Pack Lic&amp;3Yr S&amp;S</t>
  </si>
  <si>
    <t>00WD232</t>
  </si>
  <si>
    <t>VMware Virtual SAN 6 for Desktop 100 Conc User Pack Lic&amp;1Yr S&amp;S</t>
  </si>
  <si>
    <t>00WD295</t>
  </si>
  <si>
    <t>VMware Virtual SAN 6 for Desktop 100 Conc User Pack Lic&amp;3Yr S&amp;S</t>
  </si>
  <si>
    <t>00WD956</t>
  </si>
  <si>
    <t>VMware Virt SAN 6 All Flash Add-On for 1 Processor Lic&amp;1Yr S&amp;S</t>
  </si>
  <si>
    <t>00WD960</t>
  </si>
  <si>
    <t>VMware Virt SAN 6 All Flash Add-On for 1 Processor Lic&amp;3Yr S&amp;S</t>
  </si>
  <si>
    <t>00WD233</t>
  </si>
  <si>
    <t>VMware Virt SAN 6 All Flash for Dsktp Add-On 10 CCU Pk Lic&amp;1Yr S&amp;S</t>
  </si>
  <si>
    <t>00WD296</t>
  </si>
  <si>
    <t>VMware Virt SAN 6 All Flash for Dsktp Add-On 10 CCU Pk Lic&amp;3Yr S&amp;S</t>
  </si>
  <si>
    <t>00WD234</t>
  </si>
  <si>
    <t>VMware Virt SAN 6 All Flash for Dsktp Add-On 100 CCU Pk Lic&amp;1Yr S&amp;S</t>
  </si>
  <si>
    <t>00WD297</t>
  </si>
  <si>
    <t>VMware Virt SAN 6 All Flash for Dsktp Add-On 100 CCU Pk Lic&amp;3Yr S&amp;S</t>
  </si>
  <si>
    <t>00WD223</t>
  </si>
  <si>
    <t>VMware vRealize Automation 6 Advanced (25 OSI Pack) Lic&amp;1Yr S&amp;S</t>
  </si>
  <si>
    <t>00WD286</t>
  </si>
  <si>
    <t>VMware vRealize Automation 6 Advanced (25 OSI Pack) Lic&amp;3Yr S&amp;S</t>
  </si>
  <si>
    <t>00WD224</t>
  </si>
  <si>
    <t>VMware vRealize Automation 6 Enterprise (25 OSI Pack) Lic&amp;1Yr S&amp;S</t>
  </si>
  <si>
    <t>00WD287</t>
  </si>
  <si>
    <t>VMware vRealize Automation 6 Enterprise (25 OSI Pack) Lic&amp;3Yr S&amp;S</t>
  </si>
  <si>
    <t>00WD225</t>
  </si>
  <si>
    <t>VMware vRealize Automation Adv Public Cld Ext (25OSIPk) Lic&amp;1Yr S&amp;S</t>
  </si>
  <si>
    <t>00WD288</t>
  </si>
  <si>
    <t>VMware vRealize Automation Adv Public Cld Ext (25OSIPk) Lic&amp;3Yr S&amp;S</t>
  </si>
  <si>
    <t>00WD227</t>
  </si>
  <si>
    <t>VMware vRealize Automation Desktop (25 Pack) Lic&amp;1Yr S&amp;S</t>
  </si>
  <si>
    <t>00WD290</t>
  </si>
  <si>
    <t>VMware vRealize Automation Desktop (25 Pack) Lic&amp;3Yr S&amp;S</t>
  </si>
  <si>
    <t>00WD226</t>
  </si>
  <si>
    <t>VMware vRealize Automation Ent Public Cld Ext (25OSIPk) Lic&amp;1Yr S&amp;S</t>
  </si>
  <si>
    <t>00WD289</t>
  </si>
  <si>
    <t>VMware vRealize Automation Ent Public Cld Ext (25OSIPk) Lic&amp;3Yr S&amp;S</t>
  </si>
  <si>
    <t>00WD219</t>
  </si>
  <si>
    <t>VMware vRealize Business 6 Standard (25 OSI Pack) Lic&amp;1Yr S&amp;S</t>
  </si>
  <si>
    <t>00WD282</t>
  </si>
  <si>
    <t>VMware vRealize Business 6 Standard (25 OSI Pack) Lic&amp;3Yr S&amp;S</t>
  </si>
  <si>
    <t>00WD220</t>
  </si>
  <si>
    <t>VMware vRealize Business 6 Standard (Per CPU) Lic&amp;1Yr S&amp;S</t>
  </si>
  <si>
    <t>00WD283</t>
  </si>
  <si>
    <t>VMware vRealize Business 6 Standard (Per CPU) Lic&amp;3Yr S&amp;S</t>
  </si>
  <si>
    <t>00WD221</t>
  </si>
  <si>
    <t>VMware vRealize Business 8 Advanced (Per CPU) Lic&amp;1Yr S&amp;S</t>
  </si>
  <si>
    <t>00WD284</t>
  </si>
  <si>
    <t>VMware vRealize Business 8 Advanced (Per CPU) Lic&amp;3Yr S&amp;S</t>
  </si>
  <si>
    <t>00WD222</t>
  </si>
  <si>
    <t>VMware vRealize Business 8 Enterprise (Per CPU) Lic&amp;1Yr S&amp;S</t>
  </si>
  <si>
    <t>00WD285</t>
  </si>
  <si>
    <t>VMware vRealize Business 8 Enterprise (Per CPU) Lic&amp;3Yr S&amp;S</t>
  </si>
  <si>
    <t>00WD216</t>
  </si>
  <si>
    <t>VMware vRealize Log Insight Per CPU Lic&amp;1Yr S&amp;S</t>
  </si>
  <si>
    <t>00WD279</t>
  </si>
  <si>
    <t>VMware vRealize Log Insight Per CPU Lic&amp;3Yr S&amp;S</t>
  </si>
  <si>
    <t>00WD208</t>
  </si>
  <si>
    <t>VMware vRealize Operations 6 Standard (25 VM Pack) Lic&amp;1Yr S&amp;S</t>
  </si>
  <si>
    <t>00WD271</t>
  </si>
  <si>
    <t>VMware vRealize Operations 6 Standard (25 VM Pack) Lic&amp;3Yr S&amp;S</t>
  </si>
  <si>
    <t>00WD209</t>
  </si>
  <si>
    <t>VMware vRealize Operations 6 Advanced (25 OSI Pack) Lic&amp;1Yr S&amp;S</t>
  </si>
  <si>
    <t>00WD272</t>
  </si>
  <si>
    <t>VMware vRealize Operations 6 Advanced (25 OSI Pack) Lic&amp;3Yr S&amp;S</t>
  </si>
  <si>
    <t>00WD210</t>
  </si>
  <si>
    <t>VMware vRealize Operations 6 Enterprise (25 OSI Pack) Lic&amp;1Yr S&amp;S</t>
  </si>
  <si>
    <t>00WD273</t>
  </si>
  <si>
    <t>VMware vRealize Operations 6 Enterprise (25 OSI Pack) Lic&amp;3Yr S&amp;S</t>
  </si>
  <si>
    <t>00WD212</t>
  </si>
  <si>
    <t>VMware vRealize Operations for Horizon: 10 Conc User Pk Lic&amp;1Yr S&amp;S</t>
  </si>
  <si>
    <t>00WD275</t>
  </si>
  <si>
    <t>VMware vRealize Operations for Horizon: 10 Conc User Pk Lic&amp;3Yr S&amp;S</t>
  </si>
  <si>
    <t>00WD213</t>
  </si>
  <si>
    <t>VMware vRealize Operations for Horizon: 100 Conc User Pk Lic&amp;1Yr S&amp;S</t>
  </si>
  <si>
    <t>00WD276</t>
  </si>
  <si>
    <t>VMware vRealize Operations for Horizon: 100 Conc User Pk Lic&amp;3Yr S&amp;S</t>
  </si>
  <si>
    <t>00WD211</t>
  </si>
  <si>
    <t>VMware vRealize Operations Insight 6 per CPU Lic&amp;1Yr S&amp;S</t>
  </si>
  <si>
    <t>00WD274</t>
  </si>
  <si>
    <t>VMware vRealize Operations Insight 6 per CPU Lic&amp;3Yr S&amp;S</t>
  </si>
  <si>
    <t>00WD214</t>
  </si>
  <si>
    <t>VMware vRealize Ops 6 Public Cld Ext Adv (25 OSI Pk) Lic&amp;1Yr S&amp;S</t>
  </si>
  <si>
    <t>00WD277</t>
  </si>
  <si>
    <t>VMware vRealize Ops 6 Public Cld Ext Adv (25 OSI Pk) Lic&amp;3Yr S&amp;S</t>
  </si>
  <si>
    <t>00WD215</t>
  </si>
  <si>
    <t>VMware vRealize Ops 6 Public Cld Ext Ent (25 OSI Pk) Lic&amp;1Yr S&amp;S</t>
  </si>
  <si>
    <t>00WD278</t>
  </si>
  <si>
    <t>VMware vRealize Ops 6 Public Cld Ext Ent (25 OSI Pk) Lic&amp;3Yr S&amp;S</t>
  </si>
  <si>
    <t>00WD217</t>
  </si>
  <si>
    <t>VMware vRealize Suite 6 Advanced (25 OSI Pack) Lic&amp;1Yr S&amp;S</t>
  </si>
  <si>
    <t>00WD280</t>
  </si>
  <si>
    <t>VMware vRealize Suite 6 Advanced (25 OSI Pack) Lic&amp;3Yr S&amp;S</t>
  </si>
  <si>
    <t>00WD218</t>
  </si>
  <si>
    <t>VMware vRealize Suite 6 Enterprise (25 OSI Pack) Lic&amp;1Yr S&amp;S</t>
  </si>
  <si>
    <t>00WD281</t>
  </si>
  <si>
    <t>VMware vRealize Suite 6 Enterprise (25 OSI Pack) Lic&amp;3Yr S&amp;S</t>
  </si>
  <si>
    <t>00WD250</t>
  </si>
  <si>
    <t>VMware Workspace Portal: 10 Named User Pack Lic&amp;1Yr S&amp;S</t>
  </si>
  <si>
    <t>00WD313</t>
  </si>
  <si>
    <t>VMware Workspace Portal: 10 Named User Pack Lic&amp;3Yr S&amp;S</t>
  </si>
  <si>
    <t>00WD251</t>
  </si>
  <si>
    <t>VMware Workspace Portal: 100 Named User Pack Lic&amp;1Yr S&amp;S</t>
  </si>
  <si>
    <t>00WD314</t>
  </si>
  <si>
    <t>VMware Workspace Portal: 100 Named User Pack Lic&amp;3Yr S&amp;S</t>
  </si>
  <si>
    <t>00WD727</t>
  </si>
  <si>
    <t>Upg: VMw Enterprise Add-on to Horizon View Std Ed (10 CCU) w/1Yr S&amp;S</t>
  </si>
  <si>
    <t>00WD731</t>
  </si>
  <si>
    <t>Upg: VMw Enterprise Add-on to Horizon View Std Ed (100CCU) w/1Yr S&amp;S</t>
  </si>
  <si>
    <t>00WD699</t>
  </si>
  <si>
    <t>Upg: VMw IT Bus Mgmt Ste1Std to vRealizeSte6Ent (25 OSIPk) w/1Yr S&amp;S</t>
  </si>
  <si>
    <t>00WD793</t>
  </si>
  <si>
    <t>Upg: VMw IT Bus Mgmt Ste1Std to vRealizeSte6Ent (25 OSIPk) w/3Yr S&amp;S</t>
  </si>
  <si>
    <t>00WD694</t>
  </si>
  <si>
    <t>Upg: VMw vCAC 6 Adv Ste to vRealize Ste 6 Ent (25 OSI Pk) w/1Yr S&amp;S</t>
  </si>
  <si>
    <t>00WD687</t>
  </si>
  <si>
    <t>Upg: VMw vCAC6AdvSuite to vRealizeSuite6Adv (25 OSI Pack) w/1Yr S&amp;S</t>
  </si>
  <si>
    <t>00WD697</t>
  </si>
  <si>
    <t>Upg: VMw vCtrOps5.6MgtSteAdv to vRealizeSte6Ent (25 OSIPk) w/1Yr S&amp;S</t>
  </si>
  <si>
    <t>00WD791</t>
  </si>
  <si>
    <t>Upg: VMw vCtrOps5.6MgtSteAdv to vRealizeSte6Ent (25 OSIPk) w/3Yr S&amp;S</t>
  </si>
  <si>
    <t>00WD698</t>
  </si>
  <si>
    <t>Upg: VMw vCtrOps5.6MgtSteEnt to vRealizeSte6Ent (25 OSIPk) w/1Yr S&amp;S</t>
  </si>
  <si>
    <t>00WD696</t>
  </si>
  <si>
    <t>Upg: VMw vCtrOps5.6MgtSteStd to vRealizeSte6Ent (25 OSIPk) w/1Yr S&amp;S</t>
  </si>
  <si>
    <t>00WD790</t>
  </si>
  <si>
    <t>Upg: VMw vCtrOps5.6MgtSteStd to vRealizeSte6Ent (25 OSIPk) w/3Yr S&amp;S</t>
  </si>
  <si>
    <t>00WD700</t>
  </si>
  <si>
    <t>Upg: VMw vRealize Ste 6 Advanced to Enterprise (25 OSI Pk) w/1Yr S&amp;S</t>
  </si>
  <si>
    <t>00WD703</t>
  </si>
  <si>
    <t>Upg: VMw vRealizeAutomation Adv PCE to Ent PCE (25 OSI Pk) w/1Yr S&amp;S</t>
  </si>
  <si>
    <t>00WD701</t>
  </si>
  <si>
    <t>Upg: VMw vRealizeBusiness8Advanced to Enterprise (Per CPU) w/1Yr S&amp;S</t>
  </si>
  <si>
    <t>00WD686</t>
  </si>
  <si>
    <t>Upg: VMw vRealizeOps6PublicCloudExt Adv to Ent (25 OSIPk) w/1Yr S&amp;S</t>
  </si>
  <si>
    <t>00WD693</t>
  </si>
  <si>
    <t>Upg: VMw vRlzLogInsight to vRealize Suite 6 Ent (25 OSIPk) w/1Yr S&amp;S</t>
  </si>
  <si>
    <t>00WD787</t>
  </si>
  <si>
    <t>Upg: VMw vRlzLogInsight to vRealize Suite 6 Ent (25 OSIPk) w/3Yr S&amp;S</t>
  </si>
  <si>
    <t>00WD723</t>
  </si>
  <si>
    <t>Upg: VMw vSph 6 w/OpsMgmt Ent to vCloud Ste 6 Enterprise w/1Yr S&amp;S</t>
  </si>
  <si>
    <t>00WD715</t>
  </si>
  <si>
    <t>Upg: VMw vSph 6 w/OpsMgmt Ent to vCloud Suite 6 Advanced w/1Yr S&amp;S</t>
  </si>
  <si>
    <t>00WD708</t>
  </si>
  <si>
    <t>Upg: VMw vSph 6 w/OpsMgmt Ent to vCloud Suite 6 Standard w/1Yr S&amp;S</t>
  </si>
  <si>
    <t>00WD724</t>
  </si>
  <si>
    <t>Upg: VMw vSph 6 w/OpsMgmt EntPl to vCloud Ste 6 Enterprise w/1Yr S&amp;S</t>
  </si>
  <si>
    <t>00WD716</t>
  </si>
  <si>
    <t>Upg: VMw vSph 6 w/OpsMgmt EntPl to vCloud Suite 6 Advanced w/1Yr S&amp;S</t>
  </si>
  <si>
    <t>00WD722</t>
  </si>
  <si>
    <t>Upg: VMw vSph 6 w/OpsMgmt Std to vCloud Ste 6 Enterprise w/1Yr S&amp;S</t>
  </si>
  <si>
    <t>00WD816</t>
  </si>
  <si>
    <t>Upg: VMw vSph 6 w/OpsMgmt Std to vCloud Ste 6 Enterprise w/3Yr S&amp;S</t>
  </si>
  <si>
    <t>00WD714</t>
  </si>
  <si>
    <t>Upg: VMw vSph 6 w/OpsMgmt Std to vCloud Suite 6 Advanced w/1Yr S&amp;S</t>
  </si>
  <si>
    <t>00WD808</t>
  </si>
  <si>
    <t>Upg: VMw vSph 6 w/OpsMgmt Std to vCloud Suite 6 Advanced w/3Yr S&amp;S</t>
  </si>
  <si>
    <t>00WD707</t>
  </si>
  <si>
    <t>Upg: VMw vSph 6 w/OpsMgmt Std to vCloud Suite 6 Standard w/1Yr S&amp;S</t>
  </si>
  <si>
    <t>00WD676</t>
  </si>
  <si>
    <t>Upg: VMw vSph6EssKit to vSph w/OpsMgmtEnt AccKit 6Procs w/1Yr S&amp;S</t>
  </si>
  <si>
    <t>00WD678</t>
  </si>
  <si>
    <t>Upg: VMw vSph6EssKit to vSph w/OpsMgmtEntPl AccKit 6Procs w/1Yr S&amp;S</t>
  </si>
  <si>
    <t>00WD674</t>
  </si>
  <si>
    <t>Upg: VMw vSph6EssKit to vSph w/OpsMgmtStd AccKit 6Procs w/1Yr S&amp;S</t>
  </si>
  <si>
    <t>00WD677</t>
  </si>
  <si>
    <t>Upg: VMw vSph6EssPlKit to vSph w/OpsMgmtEnt AccKit 6Procs w/1Yr S&amp;S</t>
  </si>
  <si>
    <t>00WD679</t>
  </si>
  <si>
    <t>Upg: VMw vSph6EssPlKit to vSph w/OpsMgmtEntPlAccKit 6Procs w/1Yr S&amp;S</t>
  </si>
  <si>
    <t>00WD675</t>
  </si>
  <si>
    <t>Upg: VMw vSph6EssPlKit to vSph w/OpsMgmtStd AccKit 6Procs w/1Yr S&amp;S</t>
  </si>
  <si>
    <t>00WD732</t>
  </si>
  <si>
    <t>Upg: VMware Horizon View Std Ed to Horizon Adv Ed (10 CCU) w/1Yr S&amp;S</t>
  </si>
  <si>
    <t>00WD736</t>
  </si>
  <si>
    <t>Upg: VMware Horizon View Std Ed to Horizon Adv Ed (100CCU) w/1Yr S&amp;S</t>
  </si>
  <si>
    <t>00WD746</t>
  </si>
  <si>
    <t>Upg: VMware Horizon View Std Ed to Horizon Ent Ed (10 CCU) w/1Yr S&amp;S</t>
  </si>
  <si>
    <t>00WD749</t>
  </si>
  <si>
    <t>Upg: VMware Horizon View Std Ed to Horizon Ent Ed (100CCU) w/1Yr S&amp;S</t>
  </si>
  <si>
    <t>00WD733</t>
  </si>
  <si>
    <t>Upg: VMware Mirage 5 to Horizon Advanced Edition (10 CCU) w/1Yr S&amp;S</t>
  </si>
  <si>
    <t>00WD740</t>
  </si>
  <si>
    <t>Upg: VMware Mirage 5 to Horizon Advanced Edition (10 NU) w/1Yr S&amp;S</t>
  </si>
  <si>
    <t>00WD737</t>
  </si>
  <si>
    <t>Upg: VMware Mirage 5 to Horizon Advanced Edition (100 CCU) w/1Yr S&amp;S</t>
  </si>
  <si>
    <t>00WD743</t>
  </si>
  <si>
    <t>Upg: VMware Mirage 5 to Horizon Advanced Edition (100 NU) w/1Yr S&amp;S</t>
  </si>
  <si>
    <t>00WD734</t>
  </si>
  <si>
    <t>Upg: VMware Mirage for Physical to Horizon Adv Ed (10 CCU) w/1Yr S&amp;S</t>
  </si>
  <si>
    <t>00WD742</t>
  </si>
  <si>
    <t>Upg: VMware Mirage for Physical to Horizon Adv Ed (10 NU) w/1Yr S&amp;S</t>
  </si>
  <si>
    <t>00WD745</t>
  </si>
  <si>
    <t>Upg: VMware Mirage for Physical to Horizon Adv Ed (100 NU) w/1Yr S&amp;S</t>
  </si>
  <si>
    <t>00WD738</t>
  </si>
  <si>
    <t>Upg: VMware Mirage for Physical to Horizon Adv Ed (100CCU) w/1Yr S&amp;S</t>
  </si>
  <si>
    <t>00WD954</t>
  </si>
  <si>
    <t>Upg: VMware vCenter Site Rec Mgr 6 Std to Ent (25 VM Pack) w/1Yr S&amp;S</t>
  </si>
  <si>
    <t>00WD718</t>
  </si>
  <si>
    <t>Upg: VMware vCloud Suite 6 Advanced to Enterprise w/1Yr S&amp;S</t>
  </si>
  <si>
    <t>00WD710</t>
  </si>
  <si>
    <t>Upg: VMware vCloud Suite 6 Standard to Advanced w/1Yr S&amp;S</t>
  </si>
  <si>
    <t>00WD717</t>
  </si>
  <si>
    <t>Upg: VMware vCloud Suite 6 Standard to Enterprise w/1Yr S&amp;S</t>
  </si>
  <si>
    <t>00WD680</t>
  </si>
  <si>
    <t>Upg: VMware vCntr Server 6 Fnd to vCntr Server 6 Std w/1Yr S&amp;S</t>
  </si>
  <si>
    <t>00WD774</t>
  </si>
  <si>
    <t>Upg: VMware vCntr Server 6 Fnd to vCntr Server 6 Std w/3Yr S&amp;S</t>
  </si>
  <si>
    <t>00WD725</t>
  </si>
  <si>
    <t>Upg: VMware View 5 Ent to Horizon View Std Ed (10 CCU) w/1Yr S&amp;S</t>
  </si>
  <si>
    <t>00WD728</t>
  </si>
  <si>
    <t>Upg: VMware View 5 Ent to Horizon View Std Ed (100 CCU) w/1Yr S&amp;S</t>
  </si>
  <si>
    <t>00WD748</t>
  </si>
  <si>
    <t>Upg: VMware View Add-on to Horizon Enterprise Ed (10 CCU) w/1Yr S&amp;S</t>
  </si>
  <si>
    <t>00WD751</t>
  </si>
  <si>
    <t>Upg: VMware View Add-on to Horizon Enterprise Ed (100 CCU) w/1Yr S&amp;S</t>
  </si>
  <si>
    <t>00WD702</t>
  </si>
  <si>
    <t>Upg: VMware vRealize Automation 6 Adv to Ent (25 OSI Pk) w/1Yr S&amp;S</t>
  </si>
  <si>
    <t>00WD683</t>
  </si>
  <si>
    <t>Upg: VMware vRealize Operations 6 Adv to Ent (25 OSI Pack) w/1Yr S&amp;S</t>
  </si>
  <si>
    <t>00WD681</t>
  </si>
  <si>
    <t>Upg: VMware vRealize Operations 6 Std to Adv (25 OSI Pack) w/1Yr S&amp;S</t>
  </si>
  <si>
    <t>00WD682</t>
  </si>
  <si>
    <t>Upg: VMware vRealize Operations 6 Std to Ent (25 OSI Pack) w/1Yr S&amp;S</t>
  </si>
  <si>
    <t>00WD776</t>
  </si>
  <si>
    <t>Upg: VMware vRealize Operations 6 Std to Ent (25 OSI Pack) w/3Yr S&amp;S</t>
  </si>
  <si>
    <t>00WD670</t>
  </si>
  <si>
    <t>Upg: VMware vSph 6 Ent to vSph 6 w/Ops Mgmt EntPl 1 Proc w/1Yr S&amp;S</t>
  </si>
  <si>
    <t>00WD663</t>
  </si>
  <si>
    <t>Upg: VMware vSph 6 RemOff BranchOff Std to Adv (25 VM Pk) w/1Yr S&amp;S</t>
  </si>
  <si>
    <t>00WD660</t>
  </si>
  <si>
    <t>Upg: VMware vSph 6 Std to vSph 6 Ent for 1 Proc w/1Yr S&amp;S</t>
  </si>
  <si>
    <t>00WD661</t>
  </si>
  <si>
    <t>Upg: VMware vSph 6 Std to vSph 6 Ent Plus for 1 Proc w/1Yr S&amp;S</t>
  </si>
  <si>
    <t>00WD755</t>
  </si>
  <si>
    <t>Upg: VMware vSph 6 Std to vSph 6 Ent Plus for 1 Proc w/3Yr S&amp;S</t>
  </si>
  <si>
    <t>00WD666</t>
  </si>
  <si>
    <t>Upg: VMware vSph 6 Std to vSph 6 w/Ops Mgmt Ent 1 Proc w/1Yr S&amp;S</t>
  </si>
  <si>
    <t>00WD760</t>
  </si>
  <si>
    <t>Upg: VMware vSph 6 Std to vSph 6 w/Ops Mgmt Ent 1 Proc w/3Yr S&amp;S</t>
  </si>
  <si>
    <t>00WD669</t>
  </si>
  <si>
    <t>Upg: VMware vSph 6 Std to vSph 6 w/Ops Mgmt EntPl 1 Proc w/1Yr S&amp;S</t>
  </si>
  <si>
    <t>00WD763</t>
  </si>
  <si>
    <t>Upg: VMware vSph 6 Std to vSph 6 w/Ops Mgmt EntPl 1 Proc w/3Yr S&amp;S</t>
  </si>
  <si>
    <t>00WD665</t>
  </si>
  <si>
    <t>Upg: VMware vSph 6 Std to vSph 6 w/Ops Mgmt Std 1 Proc w/1Yr S&amp;S</t>
  </si>
  <si>
    <t>00WD668</t>
  </si>
  <si>
    <t>Upg: VMware vSph 6 w/Ops Mgmt Std to Ent 1 Proc w/1Yr S&amp;S</t>
  </si>
  <si>
    <t>00WD672</t>
  </si>
  <si>
    <t>Upg: VMware vSph 6 w/Ops Mgmt Std to EntPl 1 Proc w/1Yr S&amp;S</t>
  </si>
  <si>
    <t>00WD664</t>
  </si>
  <si>
    <t>Upg: VMware vSph6 Ess to vSph6 Ess Plus Kit for 3 Hosts w/1Yr S&amp;S</t>
  </si>
  <si>
    <t>00WD758</t>
  </si>
  <si>
    <t>Upg: VMware vSph6 Ess to vSph6 Ess Plus Kit for 3 Hosts w/3Yr S&amp;S</t>
  </si>
  <si>
    <t>00WD712</t>
  </si>
  <si>
    <t>Upg: VMware vSphere 6 Ent to vCloud Suite 6 Advanced w/1Yr S&amp;S</t>
  </si>
  <si>
    <t>00WD720</t>
  </si>
  <si>
    <t>Upg: VMware vSphere 6 Ent to vCloud Suite 6 Enterprise w/1Yr S&amp;S</t>
  </si>
  <si>
    <t>00WD814</t>
  </si>
  <si>
    <t>Upg: VMware vSphere 6 Ent to vCloud Suite 6 Enterprise w/3Yr S&amp;S</t>
  </si>
  <si>
    <t>00WD705</t>
  </si>
  <si>
    <t>Upg: VMware vSphere 6 Ent to vCloud Suite 6 Standard w/1Yr S&amp;S</t>
  </si>
  <si>
    <t>00WD713</t>
  </si>
  <si>
    <t>Upg: VMware vSphere 6 EntPlus to vCloud Suite 6 Advanced w/1Yr S&amp;S</t>
  </si>
  <si>
    <t>00WD721</t>
  </si>
  <si>
    <t>Upg: VMware vSphere 6 EntPlus to vCloud Suite 6 Enterprise w/1Yr S&amp;S</t>
  </si>
  <si>
    <t>00WD706</t>
  </si>
  <si>
    <t>Upg: VMware vSphere 6 EntPlus to vCloud Suite 6 Standard w/1Yr S&amp;S</t>
  </si>
  <si>
    <t>00WD711</t>
  </si>
  <si>
    <t>Upg: VMware vSphere 6 Std to vCloud Suite 6 Advanced w/1Yr S&amp;S</t>
  </si>
  <si>
    <t>00WD805</t>
  </si>
  <si>
    <t>Upg: VMware vSphere 6 Std to vCloud Suite 6 Advanced w/3Yr S&amp;S</t>
  </si>
  <si>
    <t>00WD719</t>
  </si>
  <si>
    <t>Upg: VMware vSphere 6 Std to vCloud Suite 6 Enterprise w/1Yr S&amp;S</t>
  </si>
  <si>
    <t>00WD813</t>
  </si>
  <si>
    <t>Upg: VMware vSphere 6 Std to vCloud Suite 6 Enterprise w/3Yr S&amp;S</t>
  </si>
  <si>
    <t>00WD704</t>
  </si>
  <si>
    <t>Upg: VMware vSphere 6 Std to vCloud Suite 6 Standard w/1Yr S&amp;S</t>
  </si>
  <si>
    <t>00WD798</t>
  </si>
  <si>
    <t>Upg: VMware vSphere 6 Std to vCloud Suite 6 Standard w/3Yr S&amp;S</t>
  </si>
  <si>
    <t>00WD741</t>
  </si>
  <si>
    <t>Upg: VMware Workspace to Horizon Advanced Edition (10 NU) w/1Yr S&amp;S</t>
  </si>
  <si>
    <t>00WD744</t>
  </si>
  <si>
    <t>Upg: VMware Workspace to Horizon Advanced Edition (100 NU) w/1Yr S&amp;S</t>
  </si>
  <si>
    <t>00WD729</t>
  </si>
  <si>
    <t>Upg: VMwareView4PremAOPromo50Pk to HrznViewStdEd (100 CCU) w/1Yr S&amp;S</t>
  </si>
  <si>
    <t>00WD735</t>
  </si>
  <si>
    <t>Upg: VMwareViewAdd-on to Horizon Advanced Edition (10 CCU) w/1Yr S&amp;S</t>
  </si>
  <si>
    <t>00WD739</t>
  </si>
  <si>
    <t>Upg: VMwareViewAdd-on to Horizon Advanced Edition (100CCU) w/1Yr S&amp;S</t>
  </si>
  <si>
    <t>00WD690</t>
  </si>
  <si>
    <t>Upg: VMwITBusnessMgmtSte1Std to vRealizeSte6Adv (25 OSIPk) w/1Yr S&amp;S</t>
  </si>
  <si>
    <t>00WD784</t>
  </si>
  <si>
    <t>Upg: VMwITBusnessMgmtSte1Std to vRealizeSte6Adv (25 OSIPk) w/3Yr S&amp;S</t>
  </si>
  <si>
    <t>00WD689</t>
  </si>
  <si>
    <t>Upg: VMwvCtrOps5.6MgmtSteAdv to vRealizeSte6Adv (25 OSIPk) w/1Yr S&amp;S</t>
  </si>
  <si>
    <t>00WD688</t>
  </si>
  <si>
    <t>Upg: VMwvCtrOps5.6MgmtSteStd to vRealizeSte6Adv (25 OSIPk) w/1Yr S&amp;S</t>
  </si>
  <si>
    <t>00WD782</t>
  </si>
  <si>
    <t>Upg: VMwvCtrOps5.6MgmtSteStd to vRealizeSte6Adv (25 OSIPk) w/3Yr S&amp;S</t>
  </si>
  <si>
    <t>00WD692</t>
  </si>
  <si>
    <t>Upg: VMwvRealizeBus6Std to vRealize Suite 6 Adv (25 OSIPk) w/1Yr S&amp;S</t>
  </si>
  <si>
    <t>00WD786</t>
  </si>
  <si>
    <t>Upg: VMwvRealizeBus6Std to vRealize Suite 6 Adv (25 OSIPk) w/3Yr S&amp;S</t>
  </si>
  <si>
    <t>00WD691</t>
  </si>
  <si>
    <t>Upg: VMwvRealizeOps6Adv to vRealize Suite 6 Adv (25 OSIPk) w/1Yr S&amp;S</t>
  </si>
  <si>
    <t>New VMWARE PN RFA</t>
  </si>
  <si>
    <t>01DA028</t>
  </si>
  <si>
    <t>Upg: VMwvRlzLogInsight3 to vRealize Ops Insight 6 Per CPU w/1Yr S&amp;S</t>
  </si>
  <si>
    <t>01DA029</t>
  </si>
  <si>
    <t>Upg: VMwvRlzLogInsight3 to vRealize Suite 6 Adv (25 OSIPk) w/1Yr S&amp;S</t>
  </si>
  <si>
    <t>01DA030</t>
  </si>
  <si>
    <t>Upg: VMwvRlzLogInsight3 to vRealize Suite 6 Ent (25 OSIPk) w/1Yr S&amp;S</t>
  </si>
  <si>
    <t>01DA031</t>
  </si>
  <si>
    <t>VMware vRealize Log Insight 3 Per CPU Lic&amp;1Yr S&amp;S</t>
  </si>
  <si>
    <t>01DA032</t>
  </si>
  <si>
    <t>VMware vRealize Log Insight 3 Per 25 OSI Pack Lic&amp;1Yr S&amp;S</t>
  </si>
  <si>
    <t>01DA033</t>
  </si>
  <si>
    <t>VMware Virtual SAN 6 Advanced for 1 processor Lic&amp;1Yr S&amp;S</t>
  </si>
  <si>
    <t>01DA034</t>
  </si>
  <si>
    <t>Upg: VMware Virtual SAN 6 Std to Adv for 1 processor Lic&amp;1Yr S&amp;S</t>
  </si>
  <si>
    <t>01DA035</t>
  </si>
  <si>
    <t>VMware Virtual SAN 6 Advanced for 1 processor Promo Lic&amp;1Yr S&amp;S</t>
  </si>
  <si>
    <t>01DA036</t>
  </si>
  <si>
    <t>Upg: VMware Virtual SAN 6 Std to Adv for 1 proc Promo Lic&amp;1Yr S&amp;S</t>
  </si>
  <si>
    <t>01DA037</t>
  </si>
  <si>
    <t>VMware Virtual SAN 6 Advanced for Desktop 10 ConcUserPk Lic&amp;1Yr S&amp;S</t>
  </si>
  <si>
    <t>01DA038</t>
  </si>
  <si>
    <t>Upg: VMware Virtual SAN 6 Std to Adv for Dsktp 10 CCU Lic&amp;1Yr S&amp;S</t>
  </si>
  <si>
    <t>01DA039</t>
  </si>
  <si>
    <t>VMware Virtual SAN 6 Advanced for Desktop 100 ConcUserPk Lic&amp;1Yr S&amp;S</t>
  </si>
  <si>
    <t>01DA040</t>
  </si>
  <si>
    <t>Upg: VMware Virtual SAN 6 Std to Adv for Dsktp 100 CCU Lic&amp;1Yr S&amp;S</t>
  </si>
  <si>
    <t>01DA041</t>
  </si>
  <si>
    <t>VMware Virtual SAN 6 for Remote Off Branch Off 25 VM Pk Lic&amp;1Yr S&amp;S</t>
  </si>
  <si>
    <t>01DA042</t>
  </si>
  <si>
    <t>Upg: VMwvRlzLogInsight3 to vRealize Ops Insight 6 Per CPU w/3Yr S&amp;S</t>
  </si>
  <si>
    <t>01DA043</t>
  </si>
  <si>
    <t>Upg: VMwvRlzLogInsight3 to vRealize Suite 6 Adv (25 OSIPk) w/3Yr S&amp;S</t>
  </si>
  <si>
    <t>01DA044</t>
  </si>
  <si>
    <t>Upg: VMwvRlzLogInsight3 to vRealize Suite 6 Ent (25 OSIPk) w/3Yr S&amp;S</t>
  </si>
  <si>
    <t>01DA045</t>
  </si>
  <si>
    <t>VMware vRealize Log Insight 3 Per CPU Lic&amp;3Yr S&amp;S</t>
  </si>
  <si>
    <t>01DA046</t>
  </si>
  <si>
    <t>VMware vRealize Log Insight 3 Per 25 OSI Pack Lic&amp;3Yr S&amp;S</t>
  </si>
  <si>
    <t>01DA047</t>
  </si>
  <si>
    <t>VMware Virtual SAN 6 Advanced for 1 processor Lic&amp;3Yr S&amp;S</t>
  </si>
  <si>
    <t>01DA048</t>
  </si>
  <si>
    <t>Upg: VMware Virtual SAN 6 Std to Adv for 1 processor Lic&amp;3Yr S&amp;S</t>
  </si>
  <si>
    <t>01DA049</t>
  </si>
  <si>
    <t>VMware Virtual SAN 6 Advanced for 1 processor Promo Lic&amp;3Yr S&amp;S</t>
  </si>
  <si>
    <t>01DA050</t>
  </si>
  <si>
    <t>Upg: VMware Virtual SAN 6 Std to Adv for 1 proc Promo Lic&amp;3Yr S&amp;S</t>
  </si>
  <si>
    <t>01DA051</t>
  </si>
  <si>
    <t>VMware Virtual SAN 6 Advanced for Desktop 10 ConcUserPk Lic&amp;3Yr S&amp;S</t>
  </si>
  <si>
    <t>01DA052</t>
  </si>
  <si>
    <t>Upg: VMware Virtual SAN 6 Std to Adv for Dsktp 10 CCU Lic&amp;3Yr S&amp;S</t>
  </si>
  <si>
    <t>01DA053</t>
  </si>
  <si>
    <t>VMware Virtual SAN 6 Advanced for Desktop 100 ConcUserPk Lic&amp;3Yr S&amp;S</t>
  </si>
  <si>
    <t>01DA054</t>
  </si>
  <si>
    <t>Upg: VMware Virtual SAN 6 Std to Adv for Dsktp 100 CCU Lic&amp;3Yr S&amp;S</t>
  </si>
  <si>
    <t>01DA055</t>
  </si>
  <si>
    <t>VMware Virtual SAN 6 for Remote Off Branch Off 25 VM Pk Lic&amp;3Yr S&amp;S</t>
  </si>
  <si>
    <t xml:space="preserve">Microsoft SQL ROK </t>
  </si>
  <si>
    <t>01DA056</t>
  </si>
  <si>
    <t>MS SQL Svr 2014 Stnd w/ WinSvr2012R2Stnd ROK (2CPU/2VMs) - English</t>
  </si>
  <si>
    <t>01DA066</t>
  </si>
  <si>
    <t>MS SQL Svr 2014 Stnd w/ WinSvr2012R2Dtcntr ROK (2 CPU) - English</t>
  </si>
  <si>
    <t>01DA082</t>
  </si>
  <si>
    <t>Microsoft SQL Server 2014 Client Access License (1 User) - Multilanguage</t>
  </si>
  <si>
    <t>01DA083</t>
  </si>
  <si>
    <t>Microsoft SQL Server 2014 Client Access License (5 User) - Multilanguage</t>
  </si>
  <si>
    <t>01DA084</t>
  </si>
  <si>
    <t>Microsoft SQL Server 2014 Client Access License (10 User) - Multilanguage</t>
  </si>
  <si>
    <t>01DA085</t>
  </si>
  <si>
    <t>Microsoft SQL Server 2014 Client Access License (1 Device) - Multilanguage</t>
  </si>
  <si>
    <t>01DA086</t>
  </si>
  <si>
    <t>Microsoft SQL Server 2014 Client Access License (5 Device) - Multilanguage</t>
  </si>
  <si>
    <t>01DA087</t>
  </si>
  <si>
    <t>Microsoft SQL Server 2014 Client Access License (10 Device) - Multilanguage</t>
  </si>
  <si>
    <t>01DA089</t>
  </si>
  <si>
    <t>Windows Server Standard 2012 2CPU/2VM Additional License-Multilang</t>
  </si>
  <si>
    <t>01DA057</t>
  </si>
  <si>
    <t>01DA064</t>
  </si>
  <si>
    <t>MS SQL Svr 2014 Stnd w/ WinSvr2012R2Stnd ROK (2CPU/2VMs) - Spanish</t>
  </si>
  <si>
    <t>01DA067</t>
  </si>
  <si>
    <t>01DA074</t>
  </si>
  <si>
    <t>MS SQL Svr 2014 Stnd w/ WinSvr2012R2Dtcntr ROK (2 CPU) - Spanish</t>
  </si>
  <si>
    <t>Zenoss</t>
  </si>
  <si>
    <t>Lenovo XClarity Integrator for Zenoss, Per Mngd Server w/1 Yr SW S&amp;S</t>
  </si>
  <si>
    <t>00YC240</t>
  </si>
  <si>
    <t>Zenoss Resource Manager for 1000 Physical Srvs w/1 Year SnS</t>
  </si>
  <si>
    <t>00YC241</t>
  </si>
  <si>
    <t>Zenoss Service Dynamics for 1 Virtualized Srv w/1 Year SnS</t>
  </si>
  <si>
    <t>00YC242</t>
  </si>
  <si>
    <t>Zenoss Service Dynamics for 10 Virtualized Srvs w/1 Year SnS</t>
  </si>
  <si>
    <t>00YC243</t>
  </si>
  <si>
    <t>Zenoss Service Dynamics for 100 Virtualized Srvs w/1 Year SnS</t>
  </si>
  <si>
    <t>00YC244</t>
  </si>
  <si>
    <t>Zenoss Service Dynamics for 1 Physical Srv w/1 Year SnS</t>
  </si>
  <si>
    <t>00YC245</t>
  </si>
  <si>
    <t>Zenoss Service Dynamics for 10 Physical Srvs w/1 Year SnS</t>
  </si>
  <si>
    <t>00YC246</t>
  </si>
  <si>
    <t>Zenoss Service Dynamics for 100 Physical Srvs w/1 Year SnS</t>
  </si>
  <si>
    <t>00YC247</t>
  </si>
  <si>
    <t>Zenoss Service Dynamics for 1000 Physical Srvs w/1 Year SnS</t>
  </si>
  <si>
    <t>Moab Adaptive</t>
  </si>
  <si>
    <t>00Y3490</t>
  </si>
  <si>
    <t>One Day System x Premium ServiceUnit - Mexico</t>
  </si>
  <si>
    <t>Services</t>
  </si>
  <si>
    <t>00Y3532</t>
  </si>
  <si>
    <t>One Day System x Remote / Local ServiceUnit - Mexico</t>
  </si>
  <si>
    <t>95Y4054</t>
  </si>
  <si>
    <t>SYSTEM X LAB SERVICES ServiceUnit - Mexico</t>
  </si>
  <si>
    <t>Expansion Enclosures</t>
  </si>
  <si>
    <t>Storwize V3700 2.5-inch DC Storage Expansion Unit</t>
  </si>
  <si>
    <t>V3700 System</t>
  </si>
  <si>
    <t>Storwize V3700 2.5-inch Storage Expansion Unit</t>
  </si>
  <si>
    <t>Storwize V3700 3.5-inch Storage Expansion Unit</t>
  </si>
  <si>
    <t xml:space="preserve">Lenovo SAN Systems </t>
  </si>
  <si>
    <t>64111B1</t>
  </si>
  <si>
    <t>LS E1012 LFF Disk EXP Single SAS IO Module, rail kit, 9x5NBD</t>
  </si>
  <si>
    <t>Sx200 System</t>
  </si>
  <si>
    <t>64111B3</t>
  </si>
  <si>
    <t>LS E1024 SFF Disk EXP Single SAS IO Module, rail kit, 9x5NBD</t>
  </si>
  <si>
    <t>64112B1</t>
  </si>
  <si>
    <t>LS S2200 LFF Chassis SAS Single Controller, Rkit, 9x5NBD</t>
  </si>
  <si>
    <t>64112B2</t>
  </si>
  <si>
    <t>Lenovo Storage S2200 LFF Chassis Dual SAS Controller</t>
  </si>
  <si>
    <t>64112B3</t>
  </si>
  <si>
    <t>LS S2200 SFF Chassis SAS Single Controller, Rkit, 9x5NBD</t>
  </si>
  <si>
    <t>64112B4</t>
  </si>
  <si>
    <t>Lenovo Storage S2200 SFF Chassis Dual SAS Controller</t>
  </si>
  <si>
    <t>64113B1</t>
  </si>
  <si>
    <t>LS S3200 LFF Chassis SAS Single Controller, Rkit, 9x5NBD</t>
  </si>
  <si>
    <t>64113B2</t>
  </si>
  <si>
    <t>Lenovo Storage S3200 LFF Chassis Dual SAS Controller</t>
  </si>
  <si>
    <t>64113B3</t>
  </si>
  <si>
    <t>LS S3200 SFF Chassis SAS Single Controller, Rkit, 9x5NBD</t>
  </si>
  <si>
    <t>64113B4</t>
  </si>
  <si>
    <t>Lenovo Storage S3200 SFF Chassis Dual SAS Controller</t>
  </si>
  <si>
    <t>64114B1</t>
  </si>
  <si>
    <t>LS S2200 LFF Chassis FC/iSCSI Single Controller, Rkit, 9x5NB</t>
  </si>
  <si>
    <t>Lenovo Storage S2200 LFF Chassis Dual FC/iSCSI Controller</t>
  </si>
  <si>
    <t>64114B3</t>
  </si>
  <si>
    <t>LS S2200 SFF Chassis FC/iSCSI Single Controller, RKit,9x5NBD</t>
  </si>
  <si>
    <t>Lenovo Storage S2200 SFF Chassis Dual FC/iSCSI Controller</t>
  </si>
  <si>
    <t>64116B1</t>
  </si>
  <si>
    <t>LS S3200 LFF Chassis FC/iSCSI Single Controller, Rkit, 9x5NB</t>
  </si>
  <si>
    <t>Lenovo Storage S3200 LFF Chassis Dual FC/iSCSI Controller</t>
  </si>
  <si>
    <t>64116B3</t>
  </si>
  <si>
    <t>LS S3200 SFF Chassis FC/iSCSI Single Controller, Rkit, 9x5NB</t>
  </si>
  <si>
    <t>Lenovo Storage S3200 SFF Chassis Dual FC/iSCSI Controller</t>
  </si>
  <si>
    <t>6411E1D</t>
  </si>
  <si>
    <t>LS S2200 LFF Dual FC/iSCSI CNTL/8GbFC/8x2TB7.2K /RKit/Base W</t>
  </si>
  <si>
    <t>6411E2D</t>
  </si>
  <si>
    <t>LS S3200 SFF Dual FC/iSCSI CNTL/8GbFC/8x900GB10K/4x400GB SSD</t>
  </si>
  <si>
    <t>6411FT1</t>
  </si>
  <si>
    <t>Lenovo Storage S2200 LFF Chassis</t>
  </si>
  <si>
    <t>6411FT2</t>
  </si>
  <si>
    <t>Lenovo Storage S2200 SFF Chassis</t>
  </si>
  <si>
    <t>6411FT3</t>
  </si>
  <si>
    <t>Lenovo Storage S3200 LFF Chasis</t>
  </si>
  <si>
    <t>6411FT4</t>
  </si>
  <si>
    <t>Lenovo Storage S3200 SFF Chasis</t>
  </si>
  <si>
    <t>6411FT5</t>
  </si>
  <si>
    <t>Lenovo Storage E1012 LFF Disk Expansion</t>
  </si>
  <si>
    <t>6411FT6</t>
  </si>
  <si>
    <t>Lenovo Storage E1024 SFF Disk Expansion</t>
  </si>
  <si>
    <t>6411FT7</t>
  </si>
  <si>
    <t>Lenovo Storage D1024 SFF Disk Expansion for SAP HANA</t>
  </si>
  <si>
    <t>6411H28</t>
  </si>
  <si>
    <t>Lenovo Storage D1024 Sgl IO Module / 2X400GB SSD / 18X1.2TB 10KHDD</t>
  </si>
  <si>
    <t>6411H29</t>
  </si>
  <si>
    <t>Lenovo Storage D1024 Sgl IO Module / 2X400GB SSD / 9X1.2TB 10K HDD</t>
  </si>
  <si>
    <t>6411H48</t>
  </si>
  <si>
    <t>Lenovo Storage D1024 Sgl IO Module / 4X400GB SSD / 18X1.2TB 10KHDD</t>
  </si>
  <si>
    <t>6411H49</t>
  </si>
  <si>
    <t>Lenovo Storage D1024 Sgl IO Module / 4X400GB SSD / 9X1.2TB 10K HDD</t>
  </si>
  <si>
    <t>6411HB8</t>
  </si>
  <si>
    <t>Lenovo Storage D1024 Sgl IO Module / 0X400GB SSD / 18X1.2TB 10KHDD</t>
  </si>
  <si>
    <t>6411HB9</t>
  </si>
  <si>
    <t>Lenovo Storage D1024 Sgl IO Module / 0X400GB SSD / 9X1.2TB 10K HDD</t>
  </si>
  <si>
    <t>6411HBB</t>
  </si>
  <si>
    <t>Lenovo Storage D1024 Single IO Module</t>
  </si>
  <si>
    <t>LS S2200 LFF Dual SAS CNTL/6Gb SAS/RKit/Base WTY</t>
  </si>
  <si>
    <t>LS S2200 LFF Dual SAS CNTL/6Gb SAS/8 x6TB 7.2K NL-SAS HDD</t>
  </si>
  <si>
    <t>LS S2200 LFF Dual FC/iSCSI CNTL/4x1Gb RJ45 iSCSI/RKit/Base W</t>
  </si>
  <si>
    <t>LS S2200 LFF Dual FC/iSCSI CNTL/8GbFC/8x4TB7.2K/RKit/Base WT</t>
  </si>
  <si>
    <t>LS S2200 SFF Dual SAS CNTL/6Gb/RKit/Base WTY</t>
  </si>
  <si>
    <t>LS S2200 SFF Dual FC/iSCSI CNTL/1GB 4x1GB RJ45/RKit/Base WTY</t>
  </si>
  <si>
    <t>LS S2200 SFF DualFC/iSCSI CNTL/8GbFC/8x600GB10K/RKit/Base WT</t>
  </si>
  <si>
    <t>LS S2200 SFF Dual FC/iSCSI CNTL/8GbFC /8x900GB10K /RKit/Base</t>
  </si>
  <si>
    <t>LS S2200 SFF DualFC CNTL/8GbFC/4x400GBSSD/10x600GB10K Tierin</t>
  </si>
  <si>
    <t>LS S2200 SFF Dual FC/iSCSI CNTL/8Gb FC SFP/12 x600GB10KSAS</t>
  </si>
  <si>
    <t>LS S2200 SFF DualFC/iSCSI CNTL/1Gb RJ45/4x600GB10K HDD/RKit/</t>
  </si>
  <si>
    <t>LS S3200 LFF  Dual FC/iSCSI CNTL/8Gb FC/RKit/Base WTY</t>
  </si>
  <si>
    <t>LS S3200 SFF Dual SAS CNTL/4 x400GB SSD/10 x 600GB10K Base W</t>
  </si>
  <si>
    <t>LS S3200 SFF DualFC/iSCSI CNTL/8GbFC 5x300GB15K/RKT/Base WTY</t>
  </si>
  <si>
    <t>LS S3200 SFF DualFC/iSCSI CNTL/8GbFC 5x600GB10K/RKT/Base WTY</t>
  </si>
  <si>
    <t>LS S3200 SFF DualFC/iSCSI CNTL/8GbFC 5x900GB10K/RKT/Base WTY</t>
  </si>
  <si>
    <t>LS S3200 SFF Dual FC/iSCSI CNTL/8Gb FC/RKit/Base WTY</t>
  </si>
  <si>
    <t>LS S3200 SFF Dual FC/iSCSI CNTL/8GbFC/8x900GB10K/RKit/Base W</t>
  </si>
  <si>
    <t>LS S3200 SFF Dual FC CNTL/8GbFC/8x600GB10K/RKit/Base WTY</t>
  </si>
  <si>
    <t>LS S3200SFF DualFC CNTL/16GbSFP/4x400GBSSD/10x600GB10K Tieri</t>
  </si>
  <si>
    <t>LS S3200 SFF Dual FC/iSCSI CNTL/16Gb FC SFP/12 x 600GB 10K S</t>
  </si>
  <si>
    <t>LS S3200 SFF Dual FC/iSCSI CNTL/8Gb FC/6x600GB 10K RKit/Base</t>
  </si>
  <si>
    <t>N3310</t>
  </si>
  <si>
    <t>70FX0013LD</t>
  </si>
  <si>
    <t>Lenovo Storage N3310, Intel Xeon E52603V3 1.60GHZ, 8GB 1RX4 PC4 17000R RDIMM, Quad Intel Gigabit Ethernet, Raid 110i 0, 1, 5, 10, 4 x 3TB SATA 6.0GS 7200R 3.5" Hot-Swap, Power 2 x 550W Hot-Swap, Power Cord C13/14, Bahías 4 x 3.5" Hot-Swap, Chassis intrusion cable, Remote present HW key, DVD RW, Windows Storage Server Estandar 2012 R2 , Garantía 3 años en sitio</t>
  </si>
  <si>
    <t>Lenovo NAS System</t>
  </si>
  <si>
    <t>70FX001NLD</t>
  </si>
  <si>
    <t>Lenovo Storage N3310, Intel Xeon E52603V3 1.60GHZ, 8GB 1RX4 PC4 17000R RDIMM, Raid 110i 0, 1, 5, 10, 4 x 2TB SATA 6.0GS 7200R 3.5" Hot-Swap, Power 2 x 750W TIT Hot-Swap, Power Cord C13/14, Bahías 4 x 3.5" Hot-Swap, Chassis intrusion cable, Remote present HW key, DVD RW, Windows Storage Server Estandar 2012 R2 , Garantía 3 años en sitio</t>
  </si>
  <si>
    <t>70FX001PLD</t>
  </si>
  <si>
    <t>Lenovo Storage N3310, Intel Xeon E52603V3 1.60GHZ, 8GB 1RX4 PC4 17000R RDIMM, Raid 110i 0, 1, 5, 10, 4 x 3TB SATA 6.0GS 7200R 3.5" Hot-Swap, Power 2 x 750W TIT Hot-Swap, Power Cord C13/14, Bahías 4 x 3.5" Hot-Swap, Chassis intrusion cable, Remote present HW key, DVD RW, Windows Storage Server Estandar 2012 R2 , Garantía 3 años en sitio</t>
  </si>
  <si>
    <t>70FX0017LD</t>
  </si>
  <si>
    <t>Lenovo Storage N3310, Intel Xeon E52603V3 1.60GHZ, 8GB 1RX4 PC4 17000R RDIMM, Quad Intel Gigabit Ethernet, Raid 110i 0, 1, 5, 10, 4 x 2TB SATA 6.0GS 7200R 3.5" Hot-Swap, Power 2 x 750W TIT Hot-Swap, Power Cord C13/14, Bahías 4 x 3.5" Hot-Swap, Chassis intrusion cable, Remote present HW key, DVD RW, Windows Storage Server Estandar 2012 R2 , Garantía 3 años en sitio</t>
  </si>
  <si>
    <t>70FX000WLD</t>
  </si>
  <si>
    <t>Lenovo Storage N3310, Intel Xeon E52603V3 1.60GHZ, 8GB 1RX4 PC4 17000R RDIMM, Raid 110i 0, 1, 5, 10, 4 x 2TB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</si>
  <si>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70FX000YLD</t>
  </si>
  <si>
    <t>Lenovo Storage N3310, Intel Xeon E52603V3 1.60GHZ, 8GB 1RX4 PC4 17000R RDIMM, Raid 110i 0, 1, 5, 10, 4 x 4TB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</si>
  <si>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70FX001KLD</t>
  </si>
  <si>
    <t>Lenovo Storage N3310, Intel Xeon E52603V3 1.60GHZ, 8GB 1RX4 PC4 17000R RDIMM, Dual Intel 10Gbps Ethernet X540-T2 Ethernet, Raid 110i 0, 1, 5, 10, 4 x 4TB SATA 6.0GS 7200R 3.5" Hot-Swap, Power 2 x 750W TIT Hot-Swap, Power Cord C13/14, Bahías 4 x 3.5" Hot-Swap, Chassis intrusion cable, Remote present HW key, DVD RW, Windows Storage Server Estandar 2012 R2 , Garantía 3 años en sitio</t>
  </si>
  <si>
    <t>70FX000XLD</t>
  </si>
  <si>
    <t>Lenovo Storage N3310, Intel Xeon E52603V3 1.60GHZ, 8GB 1RX4 PC4 17000R RDIMM, Raid 110i 0, 1, 5, 10, 4 x 3TB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</si>
  <si>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70FX001LLD</t>
  </si>
  <si>
    <t>Lenovo Storage N3310, 2 x Intel Xeon E52603V3 1.60GHZ, 2 x 8GB 1RX4 PC4 17000R RDIMM, Dual Intel 10Gbps Ethernet X540-T2 Ethernet, Raid 710 0, 1, 10, 5, 6, 4 x 4TB SAS 6.0GS 7200R 3.5" Hot-Swap, Power 2 x 750W TIT Hot-Swap, Power Cord C13/14, Bahías 4 x 3.5" Hot-Swap, Chassis intrusion cable, Remote present HW key, DVD RW, Windows Storage Server Estandar 2012 R2 , Garantía 3 años en sitio</t>
  </si>
  <si>
    <t>70FX0015LD</t>
  </si>
  <si>
    <t>Lenovo Storage N3310, Intel Xeon E52603V3 1.60GHZ, 8GB 1RX4 PC4 17000R RDIMM, Raid 710 0, 1, 10, 5, 6, 4 x 4TB SAS 6.0GS 7200R 3.5" Hot-Swap, Power 2 x 550W Hot-Swap, Power Cord C13/14, Bahías 4 x 3.5" Hot-Swap, Chassis intrusion cable, Remote present HW key, DVD RW, Windows Storage Server Estandar 2012 R2 , Garantía 3 años en sitio</t>
  </si>
  <si>
    <t>70FX001FLD</t>
  </si>
  <si>
    <t>Lenovo Storage N3310, 2 x Intel Xeon E52603V3 1.60GHZ, 2 x 8GB 1RX4 PC4 17000R RDIMM, Raid 710 w/Flash SC 1GB 0, 1, 10, 5, 6, 4 x 4TB SAS 6.0GS 7200R 3.5" Hot-Swap, Power 2 x 750W TIT Hot-Swap, Power Cord C13/14, Bahías 4 x 3.5" Hot-Swap, Chassis intrusion cable, Remote present HW key, DVD RW, Windows Storage Server Estandar 2012 R2 , Garantía 3 años en sitio</t>
  </si>
  <si>
    <t>70FX0010LD</t>
  </si>
  <si>
    <t>Lenovo Storage N3310, Intel Xeon E52603V3 1.60GHZ, 8GB 1RX4 PC4 17000R RDIMM, Raid 710 0, 1, 10, 5, 6, 4 x 4TB SAS 6.0GS 7200R 3.5" Hot-Swap, Power 2 x 750W TIT Hot-Swap, Power Cord C13/14, Bahías 4 x 3.5" Hot-Swap, Chassis intrusion cable, Remote present HW key, DVD RW, Windows Storage Server Estandar 2012 R2 , Garantía 3 años en sitio</t>
  </si>
  <si>
    <t>70FX000JLD</t>
  </si>
  <si>
    <t>Lenovo Storage N3310, Intel Xeon E52603V3 1.60GHZ, 8GB 1RX4 PC4 17000R RDIMM, Raid 110i 0, 1, 5, 10, 4 x 1TB SATA 6.0GS 7200R 3.5" Hot-Swap, Power 2 x 750W TIT Hot-Swap, Power Cord C13/14, Bahías 4 x 3.5" Hot-Swap, Chassis intrusion cable, Remote present HW key, DVD RW, Windows Storage Server Estandar 2012 R2 , Garantía 3 años en sitio</t>
  </si>
  <si>
    <t>70FX0018LD</t>
  </si>
  <si>
    <t>Lenovo Storage N3310, Intel Xeon E52603V3 1.60GHZ, 8GB 1RX4 PC4 17000R RDIMM, Quad Intel Gigabit Ethernet, Raid 110i 0, 1, 5, 10, 4 x 3TB SATA 6.0GS 7200R 3.5" Hot-Swap, Power 2 x 750W TIT Hot-Swap, Power Cord C13/14, Bahías 4 x 3.5" Hot-Swap, Chassis intrusion cable, Remote present HW key, DVD RW, Windows Storage Server Estandar 2012 R2 , Garantía 3 años en sitio</t>
  </si>
  <si>
    <t>70FX001HLD</t>
  </si>
  <si>
    <t>Lenovo Storage N3310, Intel Xeon E52603V3 1.60GHZ, 8GB 1RX4 PC4 17000R RDIMM, Dual Intel 10Gbps Ethernet X540-T2 Ethernet, Raid 110i 0, 1, 5, 10, 4 x 2TB SATA 6.0GS 7200R 3.5" Hot-Swap, Power 2 x 750W TIT Hot-Swap, Power Cord C13/14, Bahías 4 x 3.5" Hot-Swap, Chassis intrusion cable, Remote present HW key, DVD RW, Windows Storage Server Estandar 2012 R2 , Garantía 3 años en sitio</t>
  </si>
  <si>
    <t>70FX001QLD</t>
  </si>
  <si>
    <t>Lenovo Storage N3310, Intel Xeon E52603V3 1.60GHZ, 8GB 1RX4 PC4 17000R RDIMM, Quad Intel Gigabit Ethernet, Raid 110i 0, 1, 5, 10, 4 x 4TB SATA 6.0GS 7200R 3.5" Hot-Swap, Power 2 x 750W TIT Hot-Swap, Power Cord C13/14, Bahías 4 x 3.5" Hot-Swap, Chassis intrusion cable, Remote present HW key, DVD RW, Windows Storage Server Estandar 2012 R2 , Garantía 3 años en sitio</t>
  </si>
  <si>
    <t>70FX000ULD</t>
  </si>
  <si>
    <t>Lenovo Storage N3310, Intel Xeon E52603V3 1.60GHZ, 8GB 1RX4 PC4 17000R RDIMM, Raid 710 w/Flash SC 1GB 0, 1, 10, 5, 6, 4 x 4TB SAS 6.0GS 7200R 3.5" Hot-Swap, Power 2 x 750W TIT Hot-Swap, Power Cord C13/14, Bahías 4 x 3.5" Hot-Swap, Chassis intrusion cable, Remote present HW key, DVD RW, Windows Storage Server Estandar 2012 R2 , Garantía 3 años en sitio</t>
  </si>
  <si>
    <t>70FX000HLD</t>
  </si>
  <si>
    <t>Lenovo Storage N3310, 2 x Intel Xeon E52603V3 1.60GHZ, 2 x 8GB 1RX4 PC4 17000R RDIMM, Dual Intel 10Gbps Ethernet X540-T2 Ethernet, Raid 710 w/Flash SC 1GB 0, 1, 10, 5, 6, 4 x 4TB SAS 6.0GS 7200R 3.5" Hot-Swap, Power 2 x 750W TIT Hot-Swap, Power Cord C13/14, Bahías 4 x 3.5" Hot-Swap, Chassis intrusion cable, Remote present HW key, DVD RW, Windows Storage Server Estandar 2012 R2 , Garantía 3 años en sitio</t>
  </si>
  <si>
    <t>70FX001DLD</t>
  </si>
  <si>
    <t>Lenovo Storage N3310, Intel Xeon E52603V3 1.60GHZ, 8GB 1RX4 PC4 17000R RDIMM, Raid 110i 0, 1, 10, 4 x 3TB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</si>
  <si>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70FX000RLD</t>
  </si>
  <si>
    <t>Lenovo Storage N3310, Intel Xeon E52603V3 1.60GHZ, 8GB 1RX4 PC4 17000R RDIMM, Raid 710 w/Flash SC 1GB 0, 1, 10, 5, 6, 4 x 2TB SATA 6.0GS 7200R 3.5" Hot-Swap, Power 2 x 750W TIT Hot-Swap, Power Cord C13/14, Bahías 4 x 3.5" Hot-Swap, Chassis intrusion cable, Remote present HW key, DVD RW, Windows Storage Server Estandar 2012 R2 , Garantía 3 años en sitio</t>
  </si>
  <si>
    <t>70FX0019LD</t>
  </si>
  <si>
    <t>70FX0014LD</t>
  </si>
  <si>
    <t>Lenovo Storage N3310, Intel Xeon E52603V3 1.60GHZ, 8GB 1RX4 PC4 17000R RDIMM, Quad Intel Gigabit Ethernet, Raid 110i 0, 1, 5, 10, 4 x 4TB SATA 6.0GS 7200R 3.5" Hot-Swap, Power 2 x 550W Hot-Swap, Power Cord C13/14, Bahías 4 x 3.5" Hot-Swap, Chassis intrusion cable, Remote present HW key, DVD RW, Windows Storage Server Estandar 2012 R2 , Garantía 3 años en sitio</t>
  </si>
  <si>
    <t>70FX000SLD</t>
  </si>
  <si>
    <t>Lenovo Storage N3310, Intel Xeon E52603V3 1.60GHZ, 8GB 1RX4 PC4 17000R RDIMM, Raid 710 w/Flash SC 1GB 0, 1, 10, 5, 6, 4 x 3TB SATA 6.0GS 7200R 3.5" Hot-Swap, Power 2 x 750W TIT Hot-Swap, Power Cord C13/14, Bahías 4 x 3.5" Hot-Swap, Chassis intrusion cable, Remote present HW key, DVD RW, Windows Storage Server Estandar 2012 R2 , Garantía 3 años en sitio</t>
  </si>
  <si>
    <t>70FX000TLD</t>
  </si>
  <si>
    <t>Lenovo Storage N3310, Intel Xeon E52603V3 1.60GHZ, 8GB 1RX4 PC4 17000R RDIMM, Raid 710 w/Flash SC 1GB 0, 1, 10, 5, 6, 4 x 4TB SATA 6.0GS 7200R 3.5" Hot-Swap, Power 2 x 750W TIT Hot-Swap, Power Cord C13/14, Bahías 4 x 3.5" Hot-Swap, Chassis intrusion cable, Remote present HW key, DVD RW, Windows Storage Server Estandar 2012 R2 , Garantía 3 años en sitio</t>
  </si>
  <si>
    <t>70FX000QLD</t>
  </si>
  <si>
    <t>Lenovo Storage N3310, Intel Xeon E52603V3 1.60GHZ, 8GB 1RX4 PC4 17000R RDIMM, Raid 710 w/Flash SC 1GB 0, 1, 10, 5, 6, 4 x 1TB SATA 6.0GS 7200R 3.5" Hot-Swap, Power 2 x 750W TIT Hot-Swap, Power Cord C13/14, Bahías 4 x 3.5" Hot-Swap, Chassis intrusion cable, Remote present HW key, DVD RW, Windows Storage Server Estandar 2012 R2 , Garantía 3 años en sitio</t>
  </si>
  <si>
    <t>70FX0011LD</t>
  </si>
  <si>
    <t>Lenovo Storage N3310, Intel Xeon E52603V3 1.60GHZ, 8GB 1RX4 PC4 17000R RDIMM, Quad Intel Gigabit Ethernet, Raid 110i 0, 1, 5, 10, 4 x 1TB SATA 6.0GS 7200R 3.5" Hot-Swap, Power 2 x 550W Hot-Swap, Power Cord C13/14, Bahías 4 x 3.5" Hot-Swap, Chassis intrusion cable, Remote present HW key, DVD RW, Windows Storage Server Estandar 2012 R2 , Garantía 3 años en sitio</t>
  </si>
  <si>
    <t>70FX001CLD</t>
  </si>
  <si>
    <t>Lenovo Storage N3310, Intel Xeon E52603V3 1.60GHZ, 8GB 1RX4 PC4 17000R RDIMM, Raid 110i 0, 1, 10, 4 x 2TB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</si>
  <si>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70FX001MLD</t>
  </si>
  <si>
    <t>Lenovo Storage N3310, Intel Xeon E52603V3 1.60GHZ, 8GB 1RX4 PC4 17000R RDIMM, Raid 110i 0, 1, 10, 4 x 1TB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</si>
  <si>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70FX001JLD</t>
  </si>
  <si>
    <t>Lenovo Storage N3310, Intel Xeon E52603V3 1.60GHZ, 8GB 1RX4 PC4 17000R RDIMM, Dual Intel 10Gbps Ethernet X540-T2 Ethernet, Raid 110i 0, 1, 5, 10, 4 x 3TB SATA 6.0GS 7200R 3.5" Hot-Swap, Power 2 x 750W TIT Hot-Swap, Power Cord C13/14, Bahías 4 x 3.5" Hot-Swap, Chassis intrusion cable, Remote present HW key, DVD RW, Windows Storage Server Estandar 2012 R2 , Garantía 3 años en sitio</t>
  </si>
  <si>
    <t>70FX001ALD</t>
  </si>
  <si>
    <t>Lenovo Storage N3310, 2 x Intel Xeon E52603V3 1.60GHZ, 2 x 8GB 1RX4 PC4 17000R RDIMM, Raid 710 0, 1, 10, 5, 6, 4 x 4TB SAS 6.0GS 7200R 3.5" Hot-Swap, Power 2 x 750W TIT Hot-Swap, Power Cord C13/14, Bahías 4 x 3.5" Hot-Swap, Chassis intrusion cable, Remote present HW key, DVD RW, Windows Storage Server Estandar 2012 R2 , Garantía 3 años en sitio</t>
  </si>
  <si>
    <t>70FX000KLD</t>
  </si>
  <si>
    <t>Lenovo Storage N3310, Intel Xeon E52603V3 1.60GHZ, 8GB 1RX4 PC4 17000R RDIMM, Raid 110i 0, 1, 5, 10, 4 x 1TB SATA 6.0GS 7200R 3.5" Hot-Swap, Power 2 x 550W Hot-Swap, Power Cord C13/14, Bahías 4 x 3.5" Hot-Swap, Chassis intrusion cable, Remote present HW key, DVD RW, Windows Storage Server Estandar 2012 R2 , Garantía 3 años en sitio</t>
  </si>
  <si>
    <t>70FX000NLD</t>
  </si>
  <si>
    <t>Lenovo Storage N3310, Intel Xeon E52603V3 1.60GHZ, 8GB 1RX4 PC4 17000R RDIMM, Raid 110i 0, 1, 5, 10, 4 x 4TB SATA 6.0GS 7200R 3.5" Hot-Swap, Power 2 x 550W Hot-Swap, Power Cord C13/14, Bahías 4 x 3.5" Hot-Swap, Chassis intrusion cable, Remote present HW key, DVD RW, Windows Storage Server Estandar 2012 R2 , Garantía 3 años en sitio</t>
  </si>
  <si>
    <t>70FX001GLD</t>
  </si>
  <si>
    <t>Lenovo Storage N3310, Intel Xeon E52603V3 1.60GHZ, 8GB 1RX4 PC4 17000R RDIMM, Dual Intel 10Gbps Ethernet X540-T2 Ethernet, Raid 110i 0, 1, 5, 10, 4 x 1TB SATA 6.0GS 7200R 3.5" Hot-Swap, Power 2 x 750W TIT Hot-Swap, Power Cord C13/14, Bahías 4 x 3.5" Hot-Swap, Chassis intrusion cable, Remote present HW key, DVD RW, Windows Storage Server Estandar 2012 R2 , Garantía 3 años en sitio</t>
  </si>
  <si>
    <t>70FX001ELD</t>
  </si>
  <si>
    <t>Lenovo Storage N3310, Intel Xeon E52603V3 1.60GHZ, 8GB 1RX4 PC4 17000R RDIMM, Raid 110i 0, 1, 10, 4 x 4TB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</si>
  <si>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70FX0012LD</t>
  </si>
  <si>
    <t>Lenovo Storage N3310, Intel Xeon E52603V3 1.60GHZ, 8GB 1RX4 PC4 17000R RDIMM, Quad Intel Gigabit Ethernet, Raid 110i 0, 1, 5, 10, 4 x 2TB SATA 6.0GS 7200R 3.5" Hot-Swap, Power 2 x 550W Hot-Swap, Power Cord C13/14, Bahías 4 x 3.5" Hot-Swap, Chassis intrusion cable, Remote present HW key, DVD RW, Windows Storage Server Estandar 2012 R2 , Garantía 3 años en sitio</t>
  </si>
  <si>
    <t>70FX000VLD</t>
  </si>
  <si>
    <t>Lenovo Storage N3310, Intel Xeon E52603V3 1.60GHZ, 8GB 1RX4 PC4 17000R RDIMM, Raid 110i 0, 1, 5, 10, 4 x 1TB SATA 6.0GS 7200R 3.5" Hot-Swap, Power 2 x 750W TIT Hot-Swap, Power Cord C13/14, Bahías 4 x 3.5" Hot-Swap, HBA LSI 9286 8E w/super cap, Chassis intrusion cable, Remote present HW key, DVD RW, Windows Storage Server Estandar 2012 R2 , Garantía 3 años en sitio</t>
  </si>
  <si>
    <t>70FX000PLD</t>
  </si>
  <si>
    <t>Lenovo Storage N3310, Intel Xeon E52603V3 1.60GHZ, 8GB 1RX4 PC4 17000R RDIMM, Raid 710 w/Flash SC 1GB 0, 1, 10, 5, 6, 4 x 4TB SAS 6.0GS 7200R 3.5" Hot-Swap, Power 2 x 550W Hot-Swap, Power Cord C13/14, Bahías 4 x 3.5" Hot-Swap, Chassis intrusion cable, Remote present HW key, DVD RW, Windows Storage Server Estandar 2012 R2 , Garantía 3 años en sitio</t>
  </si>
  <si>
    <t>70FX000MLD</t>
  </si>
  <si>
    <t>Lenovo Storage N3310, Intel Xeon E52603V3 1.60GHZ, 8GB 1RX4 PC4 17000R RDIMM, Raid 110i 0, 1, 5, 10, 4 x 3TB SATA 6.0GS 7200R 3.5" Hot-Swap, Power 2 x 550W Hot-Swap, Power Cord C13/14, Bahías 4 x 3.5" Hot-Swap, Chassis intrusion cable, Remote present HW key, DVD RW, Windows Storage Server Estandar 2012 R2 , Garantía 3 años en sitio</t>
  </si>
  <si>
    <t>70FX0016LD</t>
  </si>
  <si>
    <t>Lenovo Storage N3310, Intel Xeon E52603V3 1.60GHZ, 8GB 1RX4 PC4 17000R RDIMM, Quad Intel Gigabit Ethernet, Raid 110i 0, 1, 5, 10, 4 x 1TB SATA 6.0GS 7200R 3.5" Hot-Swap, Power 2 x 750W TIT Hot-Swap, Power Cord C13/14, Bahías 4 x 3.5" Hot-Swap, Chassis intrusion cable, Remote present HW key, DVD RW, Windows Storage Server Estandar 2012 R2 , Garantía 3 años en sitio</t>
  </si>
  <si>
    <t>Lenovo Storage N3310, Intel Xeon E52603V3 1.60GHZ, 8GB 1RX4 PC4 17000R RDIMM, Raid 110i 0, 1, 5, 10, 4 x 2TB SATA 6.0GS 7200R 3.5" Hot-Swap, Power 2 x 550W Hot-Swap, Power Cord C13/14, Bahías 4 x 3.5" Hot-Swap, Chassis intrusion cable, Remote present HW key, DVD RW, Windows Storage Server Estandar 2012 R2 , Garantía 3 años en sitio</t>
  </si>
  <si>
    <t>N4610</t>
  </si>
  <si>
    <t>70G00009LD</t>
  </si>
  <si>
    <t>Lenovo Storage N4610, Intel Xeon E52603V3 1.60GHZ, 8GB 1RX4 PC4 17000R RDIMM, Quad 1G Ethernet, Raid 720ix 0, 1, 10, 5, 50, 6, 60 w/1GB, 4 x 1TB SAS6.0GS 7200R 3.5 Hot-Swap, Power 2 x 750W PLA Hot-Swap, Bahías 12 x 3.5" Hot-Swap, Windows Storage Server Estandar 2012 R2 , Garantía 3 años en sitio</t>
  </si>
  <si>
    <t>70G0000ALD</t>
  </si>
  <si>
    <t>Lenovo Storage N4610, Intel Xeon E52603V3 1.60GHZ, 8GB 1RX4 PC4 17000R RDIMM, Quad 1G Ethernet, Raid 720ix 0, 1, 10, 5, 50, 6, 60 w/1GB, 4 x 2TB SAS6.0GS 7200R 3.5 Hot-Swap, Power 2 x 750W PLA Hot-Swap, Bahías 12 x 3.5" Hot-Swap, Windows Storage Server Estandar 2012 R2 , Garantía 3 años en sitio</t>
  </si>
  <si>
    <t>70G0000ELD</t>
  </si>
  <si>
    <t>Lenovo Storage N4610, Intel Xeon E52603V3 1.60GHZ, 8GB 1RX4 PC4 17000R RDIMM, Quad 1G Ethernet, Raid 720ix 0, 1, 10, 5, 50, 6, 60 w/1GB, 12 x 2TB SAS6.0GS 7200R 3.5 Hot-Swap, Power 2 x 750W PLA Hot-Swap, Bahías 12 x 3.5" Hot-Swap, Windows Storage Server Estandar 2012 R2 , Garantía 3 años en sitio</t>
  </si>
  <si>
    <t>Lenovo Storage N4610, Intel Xeon E52603V3 1.60GHZ, 8GB 1RX4 PC4 17000R RDIMM, Quad 1G Ethernet, Raid 720ix 0, 1, 10, 5, 50, 6, 60 w/1GB, 4 x 3TB SAS6.0GS 7200R 3.5 Hot-Swap, Power 2 x 750W PLA Hot-Swap, Bahías 12 x 3.5" Hot-Swap, Windows Storage Server Estandar 2012 R2 , Garantía 3 años en sitio</t>
  </si>
  <si>
    <t>70G0000FLD</t>
  </si>
  <si>
    <t>Lenovo Storage N4610, Intel Xeon E52603V3 1.60GHZ, 8GB 1RX4 PC4 17000R RDIMM, Quad 1G Ethernet, Raid 720ix 0, 1, 10, 5, 50, 6, 60 w/1GB, 12 x 4TB SAS6.0GS 7200R 3.5 Hot-Swap, Power 2 x 750W PLA Hot-Swap, Bahías 12 x 3.5" Hot-Swap, Windows Storage Server Estandar 2012 R2 , Garantía 3 años en sitio</t>
  </si>
  <si>
    <t>70G00006LD</t>
  </si>
  <si>
    <t>Lenovo Storage N4610, Intel Xeon E52603V3 1.60GHZ, 8GB 1RX4 PC4 17000R RDIMM, Quad 1G Ethernet, Raid 720ix 0, 1, 10, 5, 50, 6, 60 w/1GB, 12 x 4TB SATA6.0GS 7200R 3.5, Power 2 x 750W PLA Hot-Swap, Bahías 12 x 3.5" Hot-Swap, Windows Storage Server Estandar 2012 R2 , Garantía 3 años en sitio</t>
  </si>
  <si>
    <t>70G0000CLD</t>
  </si>
  <si>
    <t>Lenovo Storage N4610, Intel Xeon E52603V3 1.60GHZ, 8GB 1RX4 PC4 17000R RDIMM, Quad 1G Ethernet, Raid 720ix 0, 1, 10, 5, 50, 6, 60 w/1GB, 4 x 4TB SAS6.0GS 7200R 3.5 Hot-Swap, Power 2 x 750W PLA Hot-Swap, Bahías 12 x 3.5" Hot-Swap, Windows Storage Server Estandar 2012 R2 , Garantía 3 años en sitio</t>
  </si>
  <si>
    <t>Lenovo Storage N4610, Intel Xeon E52603V3 1.60GHZ, 8GB 1RX4 PC4 17000R RDIMM, Quad 1G Ethernet, Raid 720ix 0, 1, 10, 5, 50, 6, 60 w/1GB, 8 x 4TB SATA6.0GS 7200R 3.5 Hot-Swap, Power 2 x 750W PLA Hot-Swap, Bahías 12 x 3.5" Hot-Swap, Windows Storage Server Estandar 2012 R2 , Garantía 3 años en sitio</t>
  </si>
  <si>
    <t>70G00012LD</t>
  </si>
  <si>
    <t>Lenovo Storage N4610, Intel Xeon E52603V3 1.60GHZ, 8GB 1RX4 PC4 17000R RDIMM, Quad 1G Ethernet, Raid 720ix 0, 1, 10, 5, 50, 6, 60 w/1GB, 8 x 5TB SATA6.0GS 7200R 3.5 Hot-Swap, Power 2 x 750W PLA Hot-Swap, Bahías 12 x 3.5" Hot-Swap, Windows Storage Server Estandar 2012 R2 , Garantía 3 años en sitio</t>
  </si>
  <si>
    <t>70G00007LD</t>
  </si>
  <si>
    <t>Lenovo Storage N4610, Intel Xeon E52603V3 1.60GHZ, 8GB 1RX4 PC4 17000R RDIMM, Quad 1G Ethernet, Raid 720ix 0, 1, 10, 5, 50, 6, 60 w/1GB, 12 x 5TB SATA6.0GS 7200R 3.5 Hot-Swap, Power 2 x 750W PLA Hot-Swap, Bahías 12 x 3.5" Hot-Swap, Windows Storage Server Estandar 2012 R2 , Garantía 3 años en sitio</t>
  </si>
  <si>
    <t>70G0000GLD</t>
  </si>
  <si>
    <t>Lenovo Storage N4610, Intel Xeon E52603V3 1.60GHZ, 8GB 1RX4 PC4 17000R RDIMM, Quad 1G Ethernet, Raid 720ix 0, 1, 10, 5, 50, 6, 60 w/1GB, 12 x 6TB SAS12.0GS 7200R 3.5 Hot-Swap, Power 2 x 750W PLA Hot-Swap, Bahías 12 x 3.5" Hot-Swap, Windows Storage Server Estandar 2012 R2 , Garantía 3 años en sitio</t>
  </si>
  <si>
    <t>70G00008LD</t>
  </si>
  <si>
    <t>Lenovo Storage N4610, Intel Xeon E52603V3 1.60GHZ, 8GB 1RX4 PC4 17000R RDIMM, Quad 1G Ethernet, Raid 720ix 0, 1, 10, 5, 50, 6, 60 w/1GB, 12 x 6TB SATA6.0GS 7200R 3.5 Hot-Swap, Power 2 x 750W PLA Hot-Swap, Bahías 12 x 3.5" Hot-Swap, Windows Storage Server Estandar 2012 R2 , Garantía 3 años en sitio</t>
  </si>
  <si>
    <t>70G0000DLD</t>
  </si>
  <si>
    <t>Lenovo Storage N4610, Intel Xeon E52603V3 1.60GHZ, 8GB 1RX4 PC4 17000R RDIMM, Quad 1G Ethernet, Raid 720ix 0, 1, 10, 5, 50, 6, 60 w/1GB, 4 x 6TB SAS12.0GS 7200R 3.5 Hot-Swap, Power 2 x 750W PLA Hot-Swap, Bahías 12 x 3.5" Hot-Swap, Windows Storage Server Estandar 2012 R2 , Garantía 3 años en sitio</t>
  </si>
  <si>
    <t>70G10003LD</t>
  </si>
  <si>
    <t>Lenovo Storage N4610, Intel Xeon E52603V3 1.60GHZ, 8GB 1RX4 PC4 17000R RDIMM, Quad 1G Ethernet, Raid 720ix 0, 1, 10, 5, 50, 6, 60 w/1GB (Raid 6), 12 x 2TB SAS6.0GS 7200R 3.5 Hot-Swap, Power 2 x 750W PLA Hot-Swap, Bahías 12 x 3.5" Hot-Swap, Windows Storage Server Estandar 2012 R2 , Garantía 3 años en sitio</t>
  </si>
  <si>
    <t>70G10008LD</t>
  </si>
  <si>
    <t>Lenovo Storage N4610, Intel Xeon E52603V3 1.60GHZ, 8GB 1RX4 PC4 17000R RDIMM, Quad 1G Ethernet, Raid 720ix 0, 1, 10, 5, 50, 6, 60 w/1GB (Raid 6), 12 x 6TB SATA6.0GS 7200R 3.5 Hot-Swap, Power 2 x 750W PLA Hot-Swap, Bahías 12 x 3.5" Hot-Swap, Windows Storage Server Estandar 2012 R2 , Garantía 3 años en sitio</t>
  </si>
  <si>
    <t>70G1000ALD</t>
  </si>
  <si>
    <t>Lenovo Storage N4610, Intel Xeon E52603V3 1.60GHZ, 8GB 1RX4 PC4 17000R RDIMM, Quad 1G Ethernet, Raid 720ix 0, 1, 10, 5, 50, 6, 60 w/1GB (Raid 6), 12 x 4TB SAS6.0GS 7200R 3.5 Hot-Swap, Power 2 x 750W PLA Hot-Swap, Bahías 12 x 3.5" Hot-Swap, Windows Storage Server Estandar 2012 R2 , Garantía 3 años en sitio</t>
  </si>
  <si>
    <t>70G1000BLD</t>
  </si>
  <si>
    <t>Lenovo Storage N4610, Intel Xeon E52603V3 1.60GHZ, 8GB 1RX4 PC4 17000R RDIMM, Quad 1G Ethernet, Raid 720ix 0, 1, 10, 5, 50, 6, 60 w/1GB (Raid 6), 12 x 6TB SAS12.0GS 7200R 3.5 Hot-Swap, Power 2 x 750W PLA Hot-Swap, Bahías 12 x 3.5" Hot-Swap, Windows Storage Server Estandar 2012 R2 , Garantía 3 años en sitio</t>
  </si>
  <si>
    <t>70G1000CLD</t>
  </si>
  <si>
    <t>Lenovo Storage N4610, Intel Xeon E52603V3 1.60GHZ, 8GB 1RX4 PC4 17000R RDIMM, Quad 1G Ethernet, Raid 720ix 0, 1, 10, 5, 50, 6, 60 w/1GB (Raid 6), 12 x 2TB SATA6.0GS 7200R 3.5 Hot-Swap, Power 2 x 750W PLA Hot-Swap, Bahías 12 x 3.5" Hot-Swap, Windows Storage Server Estandar 2012 R2 , Garantía 3 años en sitio</t>
  </si>
  <si>
    <t>70G1000DLD</t>
  </si>
  <si>
    <t>Lenovo Storage N4610, Intel Xeon E52603V3 1.60GHZ, 8GB 1RX4 PC4 17000R RDIMM, Quad 1G Ethernet, Raid 720ix 0, 1, 10, 5, 50, 6, 60 w/1GB (Raid 6), 12 x 4TB SATA6.0GS 7200R 3.5, Power 2 x 750W PLA Hot-Swap, Bahías 12 x 3.5" Hot-Swap, Windows Storage Server Estandar 2012 R2 , Garantía 3 años en sitio</t>
  </si>
  <si>
    <t>70G00004LD</t>
  </si>
  <si>
    <t>Lenovo Storage N4610, Intel Xeon E52603V3 1.60GHZ, 8GB 1RX4 PC4 17000R RDIMM, Quad 1G Ethernet, Raid 720ix 0, 1, 10, 5, 50, 6, 60 w/1GB, 8 x 4TB SATA 6.0GS 7200R 3.5 Hot-Swap, Power 2 x 750W PLA Hot-Swap, Bahías 12 x 3.5" Hot-Swap, Windows Storage Server Estandar 2012 R2 , Garantía 3 años en sitio</t>
  </si>
  <si>
    <t>Lenovo Storage N4610, Intel Xeon E52603V3 1.60GHZ, 8GB 1RX4 PC4 17000R RDIMM, Quad 1G Ethernet, Raid 720ix 0, 1, 10, 5, 50, 6, 60 w/1GB, 8 x 5TB SATA 6.0GS 7200R 3.5 Hot-Swap, Power 2 x 750W PLA Hot-Swap, Bahías 12 x 3.5" Hot-Swap, Windows Storage Server Estandar 2012 R2 , Garantía 3 años en sitio</t>
  </si>
  <si>
    <t>70G00013LD</t>
  </si>
  <si>
    <t>Lenovo Storage N4610, Intel Xeon E52603V3 1.60GHZ, 8GB 1RX4 PC4 17000R RDIMM, Quad 1G Ethernet, Raid 720ix 0, 1, 10, 5, 50, 6, 60 w/1GB, 12 x 4TB SATA 6.0GS 7200R 3.5 Hot-Swap, Power 2 x 750W PLA Hot-Swap, Bahías 12 x 3.5" Hot-Swap, Windows Storage Server Estandar 2012 R2 , Garantía 3 años en sitio</t>
  </si>
  <si>
    <t>70G00014LD</t>
  </si>
  <si>
    <t>Lenovo Storage N4610, Intel Xeon E52603V3 1.60GHZ, 8GB 1RX4 PC4 17000R RDIMM, Quad 1G Ethernet, Raid 720ix 0, 1, 10, 5, 50, 6, 60 w/1GB, 12 x 5TB SATA 6.0GS 7200R 3.5 Hot-Swap, Power 2 x 750W PLA Hot-Swap, Bahías 12 x 3.5" Hot-Swap, Windows Storage Server Estandar 2012 R2 , Garantía 3 años en sitio</t>
  </si>
  <si>
    <t>70G00015LD</t>
  </si>
  <si>
    <t>Lenovo Storage N4610, Intel Xeon E52603V3 1.60GHZ, 8GB 1RX4 PC4 17000R RDIMM, Quad 1G Ethernet, Raid 720ix 0, 1, 10, 5, 50, 6, 60 w/1GB, 12 x 6TB SATA 6.0GS 7200R 3.5 Hot-Swap, Power 2 x 750W PLA Hot-Swap, Bahías 12 x 3.5" Hot-Swap, Windows Storage Server Estandar 2012 R2 , Garantía 3 años en sitio</t>
  </si>
  <si>
    <t>70G00016LD</t>
  </si>
  <si>
    <t>Lenovo Storage N4610, Intel Xeon E52603V3 1.60GHZ, 8GB 1RX4 PC4 17000R RDIMM, Quad 1G Ethernet, Raid 720ix 0, 1, 10, 5, 50, 6, 60 w/1GB, 4 x 1TB SATA 6.0GS 7200R 3.5 Hot-Swap, Power 2 x 750W PLA Hot-Swap, Bahías 12 x 3.5" Hot-Swap, Windows Storage Server Estandar 2012 R2 , Garantía 3 años en sitio</t>
  </si>
  <si>
    <t>70G00017LD</t>
  </si>
  <si>
    <t>Lenovo Storage N4610, Intel Xeon E52603V3 1.60GHZ, 8GB 1RX4 PC4 17000R RDIMM, Quad 1G Ethernet, Raid 720ix 0, 1, 10, 5, 50, 6, 60 w/1GB, 4 x 2TB SATA 6.0GS 7200R 3.5 Hot-Swap, Power 2 x 750W PLA Hot-Swap, Bahías 12 x 3.5" Hot-Swap, Windows Storage Server Estandar 2012 R2 , Garantía 3 años en sitio</t>
  </si>
  <si>
    <t>70G00018LD</t>
  </si>
  <si>
    <t>Lenovo Storage N4610, Intel Xeon E52603V3 1.60GHZ, 8GB 1RX4 PC4 17000R RDIMM, Quad 1G Ethernet, Raid 720ix 0, 1, 10, 5, 50, 6, 60 w/1GB, 4 x 3TB SATA 6.0GS 7200R 3.5 Hot-Swap, Power 2 x 750W PLA Hot-Swap, Bahías 12 x 3.5" Hot-Swap, Windows Storage Server Estandar 2012 R2 , Garantía 3 años en sitio</t>
  </si>
  <si>
    <t>70G00019LD</t>
  </si>
  <si>
    <t>Lenovo Storage N4610, Intel Xeon E52603V3 1.60GHZ, 8GB 1RX4 PC4 17000R RDIMM, Quad 1G Ethernet, Raid 720ix 0, 1, 10, 5, 50, 6, 60 w/1GB, 4 x 4TB SATA 6.0GS 7200R 3.5 Hot-Swap, Power 2 x 750W PLA Hot-Swap, Bahías 12 x 3.5" Hot-Swap, Windows Storage Server Estandar 2012 R2 , Garantía 3 años en sitio</t>
  </si>
  <si>
    <t>70G0001ALD</t>
  </si>
  <si>
    <t>Lenovo Storage N4610, Intel Xeon E52603V3 1.60GHZ, 8GB 1RX4 PC4 17000R RDIMM, Quad 1G Ethernet, Raid 720ix 0, 1, 10, 5, 50, 6, 60 w/1GB, 4 x 6TB SATA 6.0GS 7200R 3.5 Hot-Swap, Power 2 x 750W PLA Hot-Swap, Bahías 12 x 3.5" Hot-Swap, Windows Storage Server Estandar 2012 R2 , Garantía 3 años en sitio, Ethernet</t>
  </si>
  <si>
    <t>70G0001BLD</t>
  </si>
  <si>
    <t>Lenovo Storage N4610, Intel Xeon E52603V3 1.60GHZ, 8GB 1RX4 PC4 17000R RDIMM, Quad 1G Ethernet, Raid 720ix 0, 1, 10, 5, 50, 6, 60 w/1GB, 12 x 2TB SATA 6.0GS 7200R 3.5 Hot-Swap, Power 2 x 750W PLA Hot-Swap, Bahías 12 x 3.5" Hot-Swap, Windows Storage Server Estandar 2012 R2 , Garantía 3 años en sitio</t>
  </si>
  <si>
    <t>70G0001CLD</t>
  </si>
  <si>
    <t>70G0001DLD</t>
  </si>
  <si>
    <t>70G0001ELD</t>
  </si>
  <si>
    <t>70G0001FLD</t>
  </si>
  <si>
    <t>70G0001GLD</t>
  </si>
  <si>
    <t>70G10000LD</t>
  </si>
  <si>
    <t>70G10001LD</t>
  </si>
  <si>
    <t>Lenovo Storage N4610, Intel Xeon E52603V3 1.60GHZ, 8GB 1RX4 PC4 17000R RDIMM, Quad 1G Ethernet, Raid 720ix 0, 1, 10, 5, 50, 6, 60 w/1GB, 12 x 8TB SATA 6.0GS 7200R 3.5 Hot-Swap, Power 2 x 750W PLA Hot-Swap, Bahías 12 x 3.5" Hot-Swap, Windows Storage Server Estandar 2012 R2 , Garantía 3 años en sitio</t>
  </si>
  <si>
    <t>70G10002LD</t>
  </si>
  <si>
    <t>70G10004LD</t>
  </si>
  <si>
    <t>70G10005LD</t>
  </si>
  <si>
    <t>70G10009LD</t>
  </si>
  <si>
    <t>V3700 Option</t>
  </si>
  <si>
    <t>IBM Storage HE</t>
  </si>
  <si>
    <t>V3700 License</t>
  </si>
  <si>
    <t>SAN Option</t>
  </si>
  <si>
    <t>00WC085</t>
  </si>
  <si>
    <t>Lenovo Storage Expansion SAS IO Module</t>
  </si>
  <si>
    <t>Sx200 Option</t>
  </si>
  <si>
    <t>V3700 HDD</t>
  </si>
  <si>
    <t>00WC014</t>
  </si>
  <si>
    <t>1.6TB 12Gbs SAS 2.5-Inch Flash Drive</t>
  </si>
  <si>
    <t>00WC015</t>
  </si>
  <si>
    <t>00WC016</t>
  </si>
  <si>
    <t>EXP2500</t>
  </si>
  <si>
    <t>00WC011</t>
  </si>
  <si>
    <t>2TB 7,200 rpm 12 Gb SAS NL 2.5-Inch Hard Drive</t>
  </si>
  <si>
    <t>00WC012</t>
  </si>
  <si>
    <t>00WC013</t>
  </si>
  <si>
    <t>00WC008</t>
  </si>
  <si>
    <t>8TB 7,200 rpm 12 Gb SAS NL 3.5-Inch Hard Drive</t>
  </si>
  <si>
    <t>00WC009</t>
  </si>
  <si>
    <t>00WC010</t>
  </si>
  <si>
    <t>Lenovo Storage 2.5in 1.2TB 10k SAS HDD</t>
  </si>
  <si>
    <t>Sx200 Disk</t>
  </si>
  <si>
    <t>00MM740</t>
  </si>
  <si>
    <t>Lenovo Storage 2.5in 1.2TB 10k SAS HDD (SED)</t>
  </si>
  <si>
    <t>00MM710</t>
  </si>
  <si>
    <t>Lenovo Storage 2.5in 1.6TB SSD (SAS)</t>
  </si>
  <si>
    <t>Lenovo Storage 2.5in 1TB 7.2k NL- SAS HDD</t>
  </si>
  <si>
    <t>Lenovo Storage 2.5in 300GB 15k SAS HDD</t>
  </si>
  <si>
    <t>00MM720</t>
  </si>
  <si>
    <t>Lenovo Storage 2.5in 400GB SSD (SAS)</t>
  </si>
  <si>
    <t>Lenovo Storage 2.5in 600GB 10k SAS HDD</t>
  </si>
  <si>
    <t>00WC020</t>
  </si>
  <si>
    <t>Lenovo Storage 2.5in 600GB 10k SAS HDD (SED)</t>
  </si>
  <si>
    <t>00MM680</t>
  </si>
  <si>
    <t>Lenovo Storage 2.5in 600GB 15k SAS HDD</t>
  </si>
  <si>
    <t>00MM715</t>
  </si>
  <si>
    <t>Lenovo Storage 2.5in 800GB SSD (SAS)</t>
  </si>
  <si>
    <t>Lenovo Storage 2.5in 900GB 10k SAS HDD</t>
  </si>
  <si>
    <t>00MM745</t>
  </si>
  <si>
    <t>Lenovo Storage 2.5in 900GB 10k SAS HDD (SED)</t>
  </si>
  <si>
    <t>Lenovo Storage 3.5in 2TB 7.2k NL-SAS HDD</t>
  </si>
  <si>
    <t>00WC030</t>
  </si>
  <si>
    <t>Lenovo Storage 3.5in 400GB SSD SAS (2.5inin 3.5in)</t>
  </si>
  <si>
    <t>Lenovo Storage 3.5in 4TB 7.2k NL-SAS HDD</t>
  </si>
  <si>
    <t>00WC025</t>
  </si>
  <si>
    <t>Lenovo Storage 3.5in 4TB 7.2k NL-SAS HDD (SED)</t>
  </si>
  <si>
    <t>Lenovo Storage 3.5in 600GB 10K SAS HDD (2.5inin 3.5in)</t>
  </si>
  <si>
    <t>00MM725</t>
  </si>
  <si>
    <t>Lenovo Storage 3.5in 6TB 7.2k NL-SAS HDD</t>
  </si>
  <si>
    <t>00WE790</t>
  </si>
  <si>
    <t>Lenovo Storage 3.5in 8TB 7.2k NL-SAS HDD</t>
  </si>
  <si>
    <t>Lenovo Storage 3.5in 900GB 10K SAS HDD (2.5inin 3.5in)</t>
  </si>
  <si>
    <t>RDX 1TB Cartridge</t>
  </si>
  <si>
    <t>RDX 2TB Cartridge</t>
  </si>
  <si>
    <t>46C5367</t>
  </si>
  <si>
    <t>RDX 320GB Cartridge</t>
  </si>
  <si>
    <t>RDX 500GB Cartridge</t>
  </si>
  <si>
    <t>RDX External USB 3.0 Dock with 1TB Cartridge</t>
  </si>
  <si>
    <t>RDX External USB 3.0 Dock with 500GB Cartridge</t>
  </si>
  <si>
    <t>RDX Internal USB 3.0 Dock with 1TB Cartridge</t>
  </si>
  <si>
    <t>RDX Internal USB 3.0 Dock with 500GB Cartridge</t>
  </si>
  <si>
    <t>Half High LTO Gen 5 Internal SAS Tape Drive</t>
  </si>
  <si>
    <t>Half High LTO Ultrium Gen 6 Internal SAS Tape Drive</t>
  </si>
  <si>
    <t>TS2250 Tape Drive Model H5S</t>
  </si>
  <si>
    <t>TS2260 Tape Drive Model H6S</t>
  </si>
  <si>
    <t>Tape System</t>
  </si>
  <si>
    <t>TS2360 Tape Drive Model S63</t>
  </si>
  <si>
    <t>TS2900 Tape Autoloader w/LT04 HH SAS</t>
  </si>
  <si>
    <t>TS2900 Tape Autoloader w/LT05 HH SAS</t>
  </si>
  <si>
    <t>TS2900 Tape Autoloader w/LT06 HH SAS</t>
  </si>
  <si>
    <t>Multimedia Backup Enclosure</t>
  </si>
  <si>
    <t>Tape Options LTO7</t>
  </si>
  <si>
    <t>00WF765</t>
  </si>
  <si>
    <t>LTO Ultrium 7 Fibre Channel Drive</t>
  </si>
  <si>
    <t>00WF767</t>
  </si>
  <si>
    <t>LTO Ultrium 7 Half High SAS Drive Sled</t>
  </si>
  <si>
    <t>00WF769</t>
  </si>
  <si>
    <t>LTO Ultrium 7 Half High Fibre Drive Sled</t>
  </si>
  <si>
    <t>00WF771</t>
  </si>
  <si>
    <t>Ultrium 7 Data Cartridges 5-Pack</t>
  </si>
  <si>
    <t>6160S7E</t>
  </si>
  <si>
    <t>IBM TS2270 Tape Drive Model H7S</t>
  </si>
  <si>
    <t>6171S7R</t>
  </si>
  <si>
    <t>IBM TS2900 Tape Autoloader w/LT07 HH SAS</t>
  </si>
  <si>
    <t>Fibre Channle SAN Options</t>
  </si>
  <si>
    <t>00YH944</t>
  </si>
  <si>
    <t>300 FC SAN FW Renewal,1yr</t>
  </si>
  <si>
    <t>00YH945</t>
  </si>
  <si>
    <t>300 FC SAN FW Renewal,2yr</t>
  </si>
  <si>
    <t>00YH952</t>
  </si>
  <si>
    <t>6505 FC SAN FW Renewal,1yr</t>
  </si>
  <si>
    <t>00YH953</t>
  </si>
  <si>
    <t>6505 FC SAN FW Renewal,2yr</t>
  </si>
  <si>
    <t>00YH960</t>
  </si>
  <si>
    <t>6510 FC SAN FW Renewal,1yr</t>
  </si>
  <si>
    <t>00YH961</t>
  </si>
  <si>
    <t>6510 FC SAN FW Renewal,2yr</t>
  </si>
  <si>
    <t xml:space="preserve">SAN Option </t>
  </si>
  <si>
    <t>Lenovo Storage S2200/S3200 16G Fibre Channel SFP+ Module 1 pack</t>
  </si>
  <si>
    <t>SAN System</t>
  </si>
  <si>
    <t>Storwize V3700 3.5-inch Storage Controller Unit</t>
  </si>
  <si>
    <t>Storwize V3700 2.5-inch Storage Controller Unit</t>
  </si>
  <si>
    <t>Storwize V3700 2.5-inch DC Storage Controller Unit</t>
  </si>
  <si>
    <t>Storwize V5000 LFF Control Enclosure (Software V5000 Controller v7.3 Base Per Storage + Maint (Reg) 3 Yr Base)</t>
  </si>
  <si>
    <t>Storwize V5000 LFF Expansion Enclosure (Software V5000 Expansion v7.3 Base Per Storage + Maint (Reg) 3 Yr Base)</t>
  </si>
  <si>
    <t>Storwize V5000 SFF Control Enclosure (Software V5000 Controller v7.3 Base Per Storage + Maint (Reg) 3 Yr Base)</t>
  </si>
  <si>
    <t>Storwize V5000 SFF Expansion Enclosure (Software V5000 Expansion v7.3 Base Per Storage + Maint (Reg) 3 Yr Base)</t>
  </si>
  <si>
    <t>Storwize V7000 3.5-inch Storage Expansion Unit (Software V7000 Expansion v7.3 Base Per Storage + Maint (Reg) 3 Yr Base)</t>
  </si>
  <si>
    <t>Storwize V7000 2.5-inch Storage Controller Unit (Software V7000 Controller v7.3 Base Per Storage + Maint (Reg) 3 Yr Base)</t>
  </si>
  <si>
    <t>Storwize V7000 2.5-inch Storage Expansion Unit (Software V7000 Expansion v7.3 Base Per Storage + Maint (Reg) 3 Yr Base)</t>
  </si>
  <si>
    <t>00D5224</t>
  </si>
  <si>
    <t>1.5m HD-miniSAS to miniSAS SAS Cable</t>
  </si>
  <si>
    <t>00D5226</t>
  </si>
  <si>
    <t>3m HD-miniSAS to miniSAS SAS Cable</t>
  </si>
  <si>
    <t>00WC017</t>
  </si>
  <si>
    <t>1m SAS Cable</t>
  </si>
  <si>
    <t>00WC018</t>
  </si>
  <si>
    <t>3m SAS Cable</t>
  </si>
  <si>
    <t>00WE746</t>
  </si>
  <si>
    <t>Lenovo USB A Male-to-Mini-B 1.5m cable</t>
  </si>
  <si>
    <t>00WE747</t>
  </si>
  <si>
    <t>Lenovo Ethernet CAT5E shielded 6m cable</t>
  </si>
  <si>
    <t>00WE748</t>
  </si>
  <si>
    <t>External MiniSAS HD 8644/MiniSAS HD 8644 1m cable</t>
  </si>
  <si>
    <t>00WE749</t>
  </si>
  <si>
    <t>External MiniSAS HD 8644/MiniSAS HD 8644 2m cable</t>
  </si>
  <si>
    <t>Storage Controller</t>
  </si>
  <si>
    <t>00WC083</t>
  </si>
  <si>
    <t>Lenovo Storage S3200 FC and iSCSI Controller</t>
  </si>
  <si>
    <t>00WC084</t>
  </si>
  <si>
    <t>Lenovo Storage S3200 SAS Controller</t>
  </si>
  <si>
    <t>00WC081</t>
  </si>
  <si>
    <t>Lenovo Storage S2200 FC and iSCSI Controller</t>
  </si>
  <si>
    <t>00WC082</t>
  </si>
  <si>
    <t>Lenovo Storage S2200 SAS Controller</t>
  </si>
  <si>
    <t>00MJ240</t>
  </si>
  <si>
    <t>2.8m, 10A/220V, C13 to IRAM 2073 (Argentina) Line Cord</t>
  </si>
  <si>
    <t>00NA047</t>
  </si>
  <si>
    <t>00MJ244</t>
  </si>
  <si>
    <t>2.8m, 10A/220V, C13 to NBR 6147 (Brazil) Line Cord</t>
  </si>
  <si>
    <t>00NA061</t>
  </si>
  <si>
    <t>00MJ234</t>
  </si>
  <si>
    <t>2.8m, 10A/230V, C13 to CEE7-VII (Europe) Line Cord</t>
  </si>
  <si>
    <t>00NA029</t>
  </si>
  <si>
    <t>00WH545</t>
  </si>
  <si>
    <t>2.8m, 13A/120V, C13 to NEMA 5-15P (US) Line Cord</t>
  </si>
  <si>
    <t>00KH166</t>
  </si>
  <si>
    <t>IBM Storwize Family for Strwz V5000 ExtVirt V7-Base w/3Yr S&amp;S</t>
  </si>
  <si>
    <t>Snapshot</t>
  </si>
  <si>
    <t>Sx200 License</t>
  </si>
  <si>
    <t>00WF817</t>
  </si>
  <si>
    <t>Lenovo Storage 256 Snapshot Upgrade Maintenance 1 yr</t>
  </si>
  <si>
    <t>00WF821</t>
  </si>
  <si>
    <t>Lenovo Storage 256 Snapshot Upgrade Maintenance 2 yr</t>
  </si>
  <si>
    <t>00WF825</t>
  </si>
  <si>
    <t>Lenovo Storage 512 Snapshot Upgrade Maintenance 1 yr</t>
  </si>
  <si>
    <t>00WF829</t>
  </si>
  <si>
    <t>Lenovo Storage 512 Snapshot Upgrade Maintenance 2 yr</t>
  </si>
  <si>
    <t>00WF841</t>
  </si>
  <si>
    <t>Lenovo Storage SSD Data Tiering Maintenance 1 yr</t>
  </si>
  <si>
    <t>00WF845</t>
  </si>
  <si>
    <t>Lenovo Storage SSD Data Tiering Maintenance 2 yr</t>
  </si>
  <si>
    <t>00WE787</t>
  </si>
  <si>
    <t>Lenovo Storage S3200 1024 Snapshot Upgrade</t>
  </si>
  <si>
    <t>00WF833</t>
  </si>
  <si>
    <t>Lenovo Storage 1024 Snapshot Upgrade Maintenance 1 yr</t>
  </si>
  <si>
    <t>00WF837</t>
  </si>
  <si>
    <t>Lenovo Storage 1024 Snapshot Upgrade Maintenance 2 yr</t>
  </si>
  <si>
    <t>00YG676</t>
  </si>
  <si>
    <t>Lenovo Storage S2200/S3200 Asynchronous Replication Upgrade</t>
  </si>
  <si>
    <t>00YG680</t>
  </si>
  <si>
    <t>Lenovo Storage Asynch Replication Maintenance 1 yr</t>
  </si>
  <si>
    <t>00YG626</t>
  </si>
  <si>
    <t>OPTION: 6411 SFF Drive Blank</t>
  </si>
  <si>
    <t>00YG628</t>
  </si>
  <si>
    <t>OPTION: 6411 LFF Drive Blank</t>
  </si>
  <si>
    <t>SAN License</t>
  </si>
  <si>
    <t>Top Of Rack Ethernet Switches</t>
  </si>
  <si>
    <t>7159BAX</t>
  </si>
  <si>
    <t>RackSwitch G7028 (Rear to Front)</t>
  </si>
  <si>
    <t>Top of Rack System</t>
  </si>
  <si>
    <t>7159CAX</t>
  </si>
  <si>
    <t>RackSwitch G7052 (Rear to Front)</t>
  </si>
  <si>
    <t>715952F</t>
  </si>
  <si>
    <t>RackSwitch G8052 (Front to Rear)</t>
  </si>
  <si>
    <t>7159G52</t>
  </si>
  <si>
    <t>RackSwitch G8052 (Rear to Front)</t>
  </si>
  <si>
    <t>7159BF7</t>
  </si>
  <si>
    <t>RackSwitch G8124E (Front to Rear)</t>
  </si>
  <si>
    <t>7159BR6</t>
  </si>
  <si>
    <t>RackSwitch G8124E (Rear to Front)</t>
  </si>
  <si>
    <t>715964F</t>
  </si>
  <si>
    <t>RackSwitch G8264 (Front to Rear)</t>
  </si>
  <si>
    <t>7159G64</t>
  </si>
  <si>
    <t>RackSwitch G8264 (Rear to Front)</t>
  </si>
  <si>
    <t>7159DFX</t>
  </si>
  <si>
    <t>RackSwitch G8264CS (Front to Rear)</t>
  </si>
  <si>
    <t>7159DRX</t>
  </si>
  <si>
    <t>RackSwitch G8264CS (Rear to Front)</t>
  </si>
  <si>
    <t>7159CFV</t>
  </si>
  <si>
    <t>RackSwitch G8272 (Front to Rear)</t>
  </si>
  <si>
    <t>7159CRW</t>
  </si>
  <si>
    <t>RackSwitch G8272 (Rear to Front)</t>
  </si>
  <si>
    <t>7159GF5</t>
  </si>
  <si>
    <t>RackSwitch G8296 (Front to Rear)</t>
  </si>
  <si>
    <t>7159GR6</t>
  </si>
  <si>
    <t>RackSwitch G8296 (Rear to Front)</t>
  </si>
  <si>
    <t>7159BFX</t>
  </si>
  <si>
    <t>RackSwitch G8332 (Front to Rear)</t>
  </si>
  <si>
    <t>7159BRX</t>
  </si>
  <si>
    <t>RackSwitch G8332 (Rear to Front)</t>
  </si>
  <si>
    <t>5m QSFP+ to QSFP+ Cable</t>
  </si>
  <si>
    <t>7m QSFP+ to QSFP+ Cable</t>
  </si>
  <si>
    <t>7m Passive DAC SFP+ Cable</t>
  </si>
  <si>
    <t>QSFP+ 40GBASE-LR4 Transceiver</t>
  </si>
  <si>
    <t>0.5m Passive DAC SFP+ Cable</t>
  </si>
  <si>
    <t>Mellanox QSFP to SFP+ adapter</t>
  </si>
  <si>
    <t>8Gb SFP+ LW Optical Transceiver</t>
  </si>
  <si>
    <t>8Gb SFP+ SW Optical Transceiver</t>
  </si>
  <si>
    <t>iFlow Director</t>
  </si>
  <si>
    <t>iFlow Director - Level-1</t>
  </si>
  <si>
    <t>iFlow Director - Level-2</t>
  </si>
  <si>
    <t>iFlow Director - Level-1 to Level-2 upgrade</t>
  </si>
  <si>
    <t>iFlow Director MC - Base</t>
  </si>
  <si>
    <t>iFlow Director MC - 14 server add on</t>
  </si>
  <si>
    <t>iFlow Director - Level-1 to iFlow MC-Base upgrade</t>
  </si>
  <si>
    <t>iFlow Director - Level-2 to iFlow MC-Base upgrade</t>
  </si>
  <si>
    <t>QSFP+ 40GBASE-SR4 Transceiver</t>
  </si>
  <si>
    <t>SFP SX Transceiver</t>
  </si>
  <si>
    <t>SFP+ LR Transceiver</t>
  </si>
  <si>
    <t>SFP+ ER Transceiver</t>
  </si>
  <si>
    <t>1m Passive DAC SFP+ Cable</t>
  </si>
  <si>
    <t>3m Passive DAC SFP+ Cable</t>
  </si>
  <si>
    <t>5m Passive DAC SFP+ Cable</t>
  </si>
  <si>
    <t>1.5m Passive DAC SFP+ Cable</t>
  </si>
  <si>
    <t>2m Passive DAC SFP+ Cable</t>
  </si>
  <si>
    <t>SFP 1000Base-T (RJ-45) Transceiver</t>
  </si>
  <si>
    <t>SFP+ SR Transceiver</t>
  </si>
  <si>
    <t>1m QSFP+ DAC Break Out Cable</t>
  </si>
  <si>
    <t>3m QSFP+ DAC Break Out Cable</t>
  </si>
  <si>
    <t>5m QSFP+ DAC Break Out Cable</t>
  </si>
  <si>
    <t>1m QSFP+-to-QSFP+ cable</t>
  </si>
  <si>
    <t>3m QSFP+-to-QSFP+ cable</t>
  </si>
  <si>
    <t>SFP LX Transceiver</t>
  </si>
  <si>
    <t>RackSwitch G7000 Redundant Power Supply</t>
  </si>
  <si>
    <t>00FM507</t>
  </si>
  <si>
    <t>Air Inlet Duct for 487 mm RackSwitch</t>
  </si>
  <si>
    <t>00MY160</t>
  </si>
  <si>
    <t>Air Inlet Duct for 2U 483MM RackSwitch</t>
  </si>
  <si>
    <t>00AY180</t>
  </si>
  <si>
    <t>Lenovo RackSwitch Hot-swap, 80mm Front-to-Rear Fan Assembly</t>
  </si>
  <si>
    <t>00AY184</t>
  </si>
  <si>
    <t>Lenovo RackSwitch Hot-swap, 80mm Rear-to-Front Fan Assembly</t>
  </si>
  <si>
    <t>00FM440</t>
  </si>
  <si>
    <t>Lenovo RackSwitch Hot-swap, Front-to-Rear Fan Assembly</t>
  </si>
  <si>
    <t>00FM441</t>
  </si>
  <si>
    <t>Lenovo RackSwitch Hot-swap, Rear-to-Front Fan Assembly</t>
  </si>
  <si>
    <t>Recessed 19in 4 Post Rail Kit</t>
  </si>
  <si>
    <t>Adjustable 19in 4 Post Rail Kit</t>
  </si>
  <si>
    <t>00MY163</t>
  </si>
  <si>
    <t>Lenovo Rackswitch Adjustable+Recessed 19in 2U 4-Post Rail Kit</t>
  </si>
  <si>
    <t>RackSwitch G7000 1.8m DC to DC RPS Power Cable</t>
  </si>
  <si>
    <t>00FM442</t>
  </si>
  <si>
    <t>Lenovo RackSwitch Hot-Swap, Front-to-Rear 460W Power Supply</t>
  </si>
  <si>
    <t>00FM443</t>
  </si>
  <si>
    <t>Lenovo RackSwitch Hot-Swap, Rear-to-Front 460W Power Supply</t>
  </si>
  <si>
    <t>00MY174</t>
  </si>
  <si>
    <t>9:3112</t>
  </si>
  <si>
    <t>Actualizacion lista de precios System x</t>
  </si>
  <si>
    <t>2016_Lista Standard Canales Directos EBG - CO - Q4FY16.xlsx</t>
  </si>
  <si>
    <t>Servidores Veeam / BackupExec - 2do. Nivel</t>
  </si>
  <si>
    <t>Power / Server / Cuchilla / Nodo</t>
  </si>
  <si>
    <t>9843+02 IBM FlashSystem 900</t>
  </si>
  <si>
    <t>100-240 V ac,  50-60 Hz</t>
  </si>
  <si>
    <t>vSphere / Hyper-v / KVM - 2do. Nivel</t>
  </si>
  <si>
    <t>40Y5998-CO</t>
  </si>
  <si>
    <t>Mejora al Servicio de garantia 3 años 5x9 a 3 años</t>
  </si>
  <si>
    <t>00WX533-CO</t>
  </si>
  <si>
    <t>00WX531-CO</t>
  </si>
  <si>
    <t>00WX532-CO</t>
  </si>
  <si>
    <t>00WX530-CO</t>
  </si>
  <si>
    <t>40Y5992-CO</t>
  </si>
  <si>
    <t>00WX528-CO</t>
  </si>
  <si>
    <t>00WX529-CO</t>
  </si>
  <si>
    <t>00WX539-CO</t>
  </si>
  <si>
    <t>00WX537-CO</t>
  </si>
  <si>
    <t>00WX538-CO</t>
  </si>
  <si>
    <t>40Y5995-CO</t>
  </si>
  <si>
    <t>00WX519-CO</t>
  </si>
  <si>
    <t>40Y5993-CO</t>
  </si>
  <si>
    <t>00WX517-CO</t>
  </si>
  <si>
    <t>00WX518-CO</t>
  </si>
  <si>
    <t>00WX536-CO</t>
  </si>
  <si>
    <t>40Y5994-CO</t>
  </si>
  <si>
    <t>00WX534-CO</t>
  </si>
  <si>
    <t>00WX535-CO</t>
  </si>
  <si>
    <t>00WX527-CO</t>
  </si>
  <si>
    <t>00WX524-CO</t>
  </si>
  <si>
    <t>00WX525-CO</t>
  </si>
  <si>
    <t>00WX526-CO</t>
  </si>
  <si>
    <t>00WX840-CO</t>
  </si>
  <si>
    <t>00WX841-CO</t>
  </si>
  <si>
    <t>00WX842-CO</t>
  </si>
  <si>
    <t>00WX843-CO</t>
  </si>
  <si>
    <t>00WX523-CO</t>
  </si>
  <si>
    <t>00WX520-CO</t>
  </si>
  <si>
    <t>00WX521-CO</t>
  </si>
  <si>
    <t>00WX522-CO</t>
  </si>
  <si>
    <t>NB1</t>
  </si>
  <si>
    <t>01EG137-CO</t>
  </si>
  <si>
    <t>01EG138-CO</t>
  </si>
  <si>
    <t>01EG139-CO</t>
  </si>
  <si>
    <t>01EG140-CO</t>
  </si>
  <si>
    <t>01EG141-CO</t>
  </si>
  <si>
    <t>01EG142-CO</t>
  </si>
  <si>
    <t>01EG143-CO</t>
  </si>
  <si>
    <t>01EG144-CO</t>
  </si>
  <si>
    <t>01EG145-CO</t>
  </si>
  <si>
    <t>01EG146-CO</t>
  </si>
  <si>
    <t>01EG147-CO</t>
  </si>
  <si>
    <t>01EG148-CO</t>
  </si>
  <si>
    <t>01EG149-CO</t>
  </si>
  <si>
    <t>01EG150-CO</t>
  </si>
  <si>
    <t>01EG151-CO</t>
  </si>
  <si>
    <t>01EG152-CO</t>
  </si>
  <si>
    <t>01EG153-CO</t>
  </si>
  <si>
    <t>01EG154-CO</t>
  </si>
  <si>
    <t>01EG155-CO</t>
  </si>
  <si>
    <t>01EG156-CO</t>
  </si>
  <si>
    <t>01EG157-CO</t>
  </si>
  <si>
    <t>01EG158-CO</t>
  </si>
  <si>
    <t>01EG159-CO</t>
  </si>
  <si>
    <t>01EG160-CO</t>
  </si>
  <si>
    <t>Mejora al Servicio de garantia 3 años 5x9 a 5 años</t>
  </si>
  <si>
    <t>Mejora al Servicio de garantia 1 año 5x9 a 5 años</t>
  </si>
  <si>
    <t>Mejora al Servicio de garantia 3 años 5x9 a 4 años</t>
  </si>
  <si>
    <t>Mejora al Servicio de garantia 1 año 5x9 a 4 años</t>
  </si>
  <si>
    <t>Mejora al Servicio de garantia 1 año 5x9 a 3 años</t>
  </si>
  <si>
    <t>6171;6171;6171;6171;6171;6171</t>
  </si>
  <si>
    <t>S6R</t>
  </si>
  <si>
    <t>Actualizacion lista de Service Packs Lenovo</t>
  </si>
  <si>
    <t>2TB 7.2K 12Gbps NL SAS 2.5in G3HS HDD SAS 3.5" (Hot Swap)</t>
  </si>
  <si>
    <t>6TB 7.2K 6Gbps NL SAS 3.5in G2HS 512e HDD Solid State SATA 1.8"</t>
  </si>
  <si>
    <t>S3700 800GB SATA 2.5in MLC G3HS Enterprise SSD Solid State SATA 2.5" (Hot-Swap)</t>
  </si>
  <si>
    <t>2TB 7.2K 6Gbps NL SATA 2.5in G3SS 512e HDD SATA 2.5" (Hot Swap)</t>
  </si>
  <si>
    <t>2TB 7.2K 6Gbps NL SATA 2.5in G3HS 512e HDD SATA 3.5" (Simple Swap)</t>
  </si>
  <si>
    <t>2TB 7.2K 6Gbps NL SATA 3.5in G2SS HDD SATA 3.5" (Hot Swap)</t>
  </si>
  <si>
    <t>6TB 7.2K 6Gbps NL SATA 3.5in G2HS 512e HDD SAS 2.5" (Hot Swap)</t>
  </si>
  <si>
    <t>Disk Drives SATA 2.5" (Simple Swap)</t>
  </si>
  <si>
    <t>M500DC 480GB Enterprise Mainstream Plus SATA G3HS 2.5in SSD Solid State SATA 3.5" (Hot-Swap)</t>
  </si>
  <si>
    <t>960GB Enterprise Entry SATA HS 3.5in SSD Solid State SAS 2.5" (Hot-Swap)</t>
  </si>
  <si>
    <t>3.84TB 6Gb SAS Enterprise Capacity G3HS MLC SSD Solid State NVMe 2.5" PCIe G3 (Hot-Swap)</t>
  </si>
  <si>
    <t>P3600 2.0TB NVMe 2.5in G3HS Enterprise Value PCIe SSD for System x Hard Disk Drive for NeXtScale</t>
  </si>
  <si>
    <t>8.11</t>
  </si>
  <si>
    <t>P. Unitario</t>
  </si>
  <si>
    <t>POS</t>
  </si>
  <si>
    <t>RF1485POS-D66</t>
  </si>
  <si>
    <t>D66 Haswell i3-4330 3.5GHz CPU, 4G RAM, 500G HDD, 15" True Flat Resistive touch, with stand, w/o OS</t>
  </si>
  <si>
    <t>Upgrade to 15" P-CAP touch</t>
  </si>
  <si>
    <t>Upgrade from 4G RAM to 8G RAM</t>
  </si>
  <si>
    <t>Garantía depot 1 año Bogotá</t>
  </si>
  <si>
    <t>Redsis Corp</t>
  </si>
  <si>
    <t xml:space="preserve">Redsis  </t>
  </si>
  <si>
    <t>P.U:</t>
  </si>
  <si>
    <t>Cash drawers CK-410: RJ11,12V with 4bill / 8coin and open cash drawer status (micro switch)</t>
  </si>
  <si>
    <t xml:space="preserve">RM3410CKD-A01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</si>
</sst>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_-* #,##0_-;\-* #,##0_-;_-* &quot;-&quot;_-;_-@_-"/>
    <numFmt numFmtId="165" formatCode="_-&quot;$&quot;* #,##0.00_-;\-&quot;$&quot;* #,##0.00_-;_-&quot;$&quot;* &quot;-&quot;??_-;_-@_-"/>
    <numFmt numFmtId="166" formatCode="\$#,##0_);[Red]&quot;($&quot;#,##0\)"/>
    <numFmt numFmtId="167" formatCode="_(\$* #,##0_);_(\$* \(#,##0\);_(\$* \-_);_(@_)"/>
    <numFmt numFmtId="168" formatCode="General;\-General"/>
    <numFmt numFmtId="169" formatCode="0.00%;\-0.00%"/>
    <numFmt numFmtId="170" formatCode="[$$]#,##0.00;\-[$$]#,##0.00"/>
    <numFmt numFmtId="171" formatCode="0.000"/>
    <numFmt numFmtId="172" formatCode="&quot;$&quot;\ #,##0.00"/>
    <numFmt numFmtId="173" formatCode="\$#,##0.000_);[Red]&quot;($&quot;#,##0.000\)"/>
    <numFmt numFmtId="174" formatCode="_(&quot;Bs&quot;\ * #,##0.00_);_(&quot;Bs&quot;\ * \(#,##0.00\);_(&quot;Bs&quot;\ * &quot;-&quot;??_);_(@_)"/>
    <numFmt numFmtId="175" formatCode="_(* #,##0_);_(* \(#,##0\);_(* &quot;-&quot;??_);_(@_)"/>
    <numFmt numFmtId="176" formatCode="_(* #,##0_);_(* \(#,##0\);_(* &quot;-&quot;?_);_(@_)"/>
    <numFmt numFmtId="177" formatCode="_(* #,##0.0_);_(* \(#,##0.0\);_(* &quot;-&quot;??_);_(@_)"/>
    <numFmt numFmtId="178" formatCode="0.0"/>
  </numFmts>
  <fonts count="5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Verdana"/>
      <family val="2"/>
    </font>
    <font>
      <b/>
      <sz val="8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color indexed="8"/>
      <name val="Calibri"/>
      <family val="2"/>
    </font>
    <font>
      <b/>
      <sz val="12"/>
      <color indexed="8"/>
      <name val="Arial"/>
      <family val="2"/>
    </font>
    <font>
      <sz val="9"/>
      <color indexed="8"/>
      <name val="Arial"/>
      <family val="2"/>
    </font>
    <font>
      <b/>
      <sz val="9"/>
      <color indexed="12"/>
      <name val="Arial"/>
      <family val="2"/>
    </font>
    <font>
      <b/>
      <i/>
      <sz val="14"/>
      <color indexed="8"/>
      <name val="Arial"/>
      <family val="2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name val="Arial"/>
      <family val="2"/>
    </font>
    <font>
      <sz val="12"/>
      <color indexed="6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sz val="12"/>
      <name val="Arial"/>
      <family val="2"/>
    </font>
    <font>
      <sz val="10"/>
      <name val="Helv"/>
      <family val="2"/>
    </font>
    <font>
      <sz val="12"/>
      <color indexed="8"/>
      <name val="Arial"/>
      <family val="2"/>
    </font>
    <font>
      <sz val="9"/>
      <color indexed="9"/>
      <name val="Arial"/>
      <family val="2"/>
    </font>
    <font>
      <b/>
      <i/>
      <sz val="12"/>
      <color indexed="8"/>
      <name val="Arial"/>
      <family val="2"/>
    </font>
    <font>
      <sz val="9"/>
      <name val="Arial Black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0"/>
      <color theme="1"/>
      <name val="Calibri"/>
      <family val="2"/>
      <scheme val="minor"/>
    </font>
    <font>
      <sz val="8"/>
      <color theme="0"/>
      <name val="Arial"/>
      <family val="2"/>
    </font>
    <font>
      <b/>
      <sz val="10"/>
      <color theme="1"/>
      <name val="Calibri"/>
      <family val="2"/>
      <scheme val="minor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rgb="FFFFFF0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Arial Narrow"/>
      <family val="2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indexed="8"/>
      <name val="Calibri"/>
      <family val="2"/>
    </font>
    <font>
      <sz val="8"/>
      <color rgb="FF000000"/>
      <name val="Calibri"/>
      <family val="2"/>
    </font>
    <font>
      <b/>
      <sz val="18"/>
      <color indexed="8"/>
      <name val="Calibri"/>
      <family val="2"/>
    </font>
    <font>
      <u/>
      <sz val="8.25"/>
      <color indexed="12"/>
      <name val="Calibri"/>
      <family val="2"/>
    </font>
    <font>
      <u/>
      <sz val="8"/>
      <color indexed="12"/>
      <name val="Calibri"/>
      <family val="2"/>
      <scheme val="minor"/>
    </font>
    <font>
      <sz val="10"/>
      <color indexed="8"/>
      <name val="Calibri"/>
      <family val="2"/>
    </font>
    <font>
      <b/>
      <sz val="10"/>
      <color theme="0"/>
      <name val="Calibri"/>
      <family val="2"/>
      <scheme val="minor"/>
    </font>
    <font>
      <sz val="11"/>
      <name val="ＭＳ Ｐゴシック"/>
      <family val="3"/>
      <charset val="128"/>
    </font>
    <font>
      <b/>
      <sz val="11"/>
      <color theme="0"/>
      <name val="Calibri"/>
      <family val="2"/>
      <scheme val="minor"/>
    </font>
    <font>
      <sz val="8"/>
      <color theme="1"/>
      <name val="Lucida Console"/>
      <family val="2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3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rgb="FFFFFF00"/>
        <bgColor indexed="34"/>
      </patternFill>
    </fill>
  </fills>
  <borders count="98">
    <border>
      <left/>
      <right/>
      <top/>
      <bottom/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 style="thin">
        <color indexed="8"/>
      </bottom>
      <diagonal/>
    </border>
    <border>
      <left/>
      <right/>
      <top style="medium">
        <color auto="1"/>
      </top>
      <bottom style="thin">
        <color indexed="8"/>
      </bottom>
      <diagonal/>
    </border>
    <border>
      <left/>
      <right style="medium">
        <color auto="1"/>
      </right>
      <top style="medium">
        <color auto="1"/>
      </top>
      <bottom style="thin">
        <color indexed="8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medium">
        <color auto="1"/>
      </right>
      <top style="thin">
        <color indexed="8"/>
      </top>
      <bottom style="medium">
        <color auto="1"/>
      </bottom>
      <diagonal/>
    </border>
    <border>
      <left style="medium">
        <color indexed="8"/>
      </left>
      <right/>
      <top style="thin">
        <color indexed="8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indexed="8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/>
      <top style="medium">
        <color auto="1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/>
      <top style="medium">
        <color auto="1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/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/>
      <right style="medium">
        <color indexed="8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8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medium">
        <color indexed="8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medium">
        <color indexed="8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indexed="8"/>
      </right>
      <top style="medium">
        <color auto="1"/>
      </top>
      <bottom style="thin">
        <color auto="1"/>
      </bottom>
      <diagonal/>
    </border>
    <border>
      <left/>
      <right style="medium">
        <color indexed="8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indexed="8"/>
      </right>
      <top style="medium">
        <color indexed="8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thin">
        <color indexed="8"/>
      </bottom>
      <diagonal/>
    </border>
    <border>
      <left style="medium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medium">
        <color indexed="8"/>
      </right>
      <top style="thin">
        <color indexed="8"/>
      </top>
      <bottom style="medium">
        <color auto="1"/>
      </bottom>
      <diagonal/>
    </border>
    <border>
      <left style="medium">
        <color indexed="8"/>
      </left>
      <right style="medium">
        <color auto="1"/>
      </right>
      <top style="thin">
        <color indexed="8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</borders>
  <cellStyleXfs count="20">
    <xf numFmtId="0" fontId="0" fillId="0" borderId="0"/>
    <xf numFmtId="0" fontId="26" fillId="0" borderId="0"/>
    <xf numFmtId="0" fontId="16" fillId="0" borderId="0"/>
    <xf numFmtId="174" fontId="16" fillId="0" borderId="0" applyFont="0" applyFill="0" applyBorder="0" applyAlignment="0" applyProtection="0"/>
    <xf numFmtId="0" fontId="21" fillId="0" borderId="0"/>
    <xf numFmtId="43" fontId="28" fillId="0" borderId="0" applyFont="0" applyFill="0" applyBorder="0" applyAlignment="0" applyProtection="0"/>
    <xf numFmtId="167" fontId="1" fillId="0" borderId="0" applyFill="0" applyBorder="0" applyAlignment="0" applyProtection="0"/>
    <xf numFmtId="0" fontId="16" fillId="0" borderId="0"/>
    <xf numFmtId="0" fontId="2" fillId="0" borderId="0"/>
    <xf numFmtId="0" fontId="18" fillId="0" borderId="0"/>
    <xf numFmtId="9" fontId="28" fillId="0" borderId="0" applyFont="0" applyFill="0" applyBorder="0" applyAlignment="0" applyProtection="0"/>
    <xf numFmtId="0" fontId="21" fillId="0" borderId="0"/>
    <xf numFmtId="165" fontId="16" fillId="0" borderId="0" applyFont="0" applyFill="0" applyBorder="0" applyAlignment="0" applyProtection="0"/>
    <xf numFmtId="0" fontId="52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56" fillId="0" borderId="0"/>
    <xf numFmtId="174" fontId="16" fillId="0" borderId="0" applyFont="0" applyFill="0" applyBorder="0" applyAlignment="0" applyProtection="0"/>
    <xf numFmtId="44" fontId="28" fillId="0" borderId="0" applyFont="0" applyFill="0" applyBorder="0" applyAlignment="0" applyProtection="0"/>
    <xf numFmtId="0" fontId="58" fillId="0" borderId="0"/>
    <xf numFmtId="164" fontId="28" fillId="0" borderId="0" applyFont="0" applyFill="0" applyBorder="0" applyAlignment="0" applyProtection="0"/>
  </cellStyleXfs>
  <cellXfs count="371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9" fontId="28" fillId="0" borderId="0" xfId="10" applyFill="1" applyBorder="1" applyAlignment="1">
      <alignment horizontal="right" vertical="center" wrapText="1"/>
    </xf>
    <xf numFmtId="9" fontId="0" fillId="0" borderId="0" xfId="0" applyNumberFormat="1" applyAlignment="1">
      <alignment vertical="center" wrapText="1"/>
    </xf>
    <xf numFmtId="0" fontId="4" fillId="0" borderId="3" xfId="8" applyFont="1" applyFill="1" applyBorder="1" applyAlignment="1">
      <alignment horizontal="center" vertical="center" wrapText="1"/>
    </xf>
    <xf numFmtId="0" fontId="4" fillId="0" borderId="4" xfId="8" applyFont="1" applyFill="1" applyBorder="1" applyAlignment="1">
      <alignment horizontal="left" vertical="center" wrapText="1"/>
    </xf>
    <xf numFmtId="0" fontId="4" fillId="0" borderId="4" xfId="8" applyFont="1" applyFill="1" applyBorder="1" applyAlignment="1">
      <alignment horizontal="center" vertical="center" wrapText="1"/>
    </xf>
    <xf numFmtId="166" fontId="4" fillId="0" borderId="5" xfId="8" applyNumberFormat="1" applyFont="1" applyFill="1" applyBorder="1" applyAlignment="1">
      <alignment horizontal="right" vertical="center" wrapText="1"/>
    </xf>
    <xf numFmtId="166" fontId="4" fillId="0" borderId="5" xfId="6" applyNumberFormat="1" applyFont="1" applyFill="1" applyBorder="1" applyAlignment="1" applyProtection="1">
      <alignment horizontal="right" vertical="center" wrapText="1"/>
    </xf>
    <xf numFmtId="166" fontId="3" fillId="2" borderId="7" xfId="8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left" vertical="center" wrapText="1"/>
    </xf>
    <xf numFmtId="0" fontId="0" fillId="0" borderId="0" xfId="0" quotePrefix="1"/>
    <xf numFmtId="9" fontId="0" fillId="0" borderId="0" xfId="0" applyNumberFormat="1"/>
    <xf numFmtId="0" fontId="7" fillId="0" borderId="0" xfId="0" applyFont="1"/>
    <xf numFmtId="0" fontId="7" fillId="0" borderId="0" xfId="0" applyFont="1" applyAlignment="1">
      <alignment wrapText="1"/>
    </xf>
    <xf numFmtId="0" fontId="0" fillId="0" borderId="0" xfId="0" applyAlignment="1">
      <alignment wrapText="1"/>
    </xf>
    <xf numFmtId="0" fontId="8" fillId="3" borderId="0" xfId="0" applyNumberFormat="1" applyFont="1" applyFill="1"/>
    <xf numFmtId="168" fontId="9" fillId="3" borderId="0" xfId="0" applyNumberFormat="1" applyFont="1" applyFill="1"/>
    <xf numFmtId="0" fontId="10" fillId="4" borderId="6" xfId="0" applyNumberFormat="1" applyFont="1" applyFill="1" applyBorder="1" applyAlignment="1">
      <alignment horizontal="center" wrapText="1"/>
    </xf>
    <xf numFmtId="0" fontId="11" fillId="3" borderId="0" xfId="0" applyNumberFormat="1" applyFont="1" applyFill="1"/>
    <xf numFmtId="169" fontId="9" fillId="3" borderId="0" xfId="0" applyNumberFormat="1" applyFont="1" applyFill="1"/>
    <xf numFmtId="169" fontId="12" fillId="3" borderId="6" xfId="0" applyNumberFormat="1" applyFont="1" applyFill="1" applyBorder="1" applyAlignment="1">
      <alignment horizontal="center"/>
    </xf>
    <xf numFmtId="169" fontId="12" fillId="3" borderId="2" xfId="0" applyNumberFormat="1" applyFont="1" applyFill="1" applyBorder="1" applyAlignment="1">
      <alignment horizontal="center"/>
    </xf>
    <xf numFmtId="169" fontId="13" fillId="3" borderId="6" xfId="0" applyNumberFormat="1" applyFont="1" applyFill="1" applyBorder="1" applyAlignment="1">
      <alignment horizontal="center" vertical="center" wrapText="1"/>
    </xf>
    <xf numFmtId="169" fontId="13" fillId="3" borderId="2" xfId="0" applyNumberFormat="1" applyFont="1" applyFill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 wrapText="1"/>
    </xf>
    <xf numFmtId="0" fontId="13" fillId="3" borderId="2" xfId="0" applyNumberFormat="1" applyFont="1" applyFill="1" applyBorder="1" applyAlignment="1">
      <alignment horizontal="center" vertical="center" wrapText="1"/>
    </xf>
    <xf numFmtId="0" fontId="9" fillId="3" borderId="2" xfId="0" applyNumberFormat="1" applyFont="1" applyFill="1" applyBorder="1" applyAlignment="1">
      <alignment horizontal="center" vertical="center" wrapText="1"/>
    </xf>
    <xf numFmtId="170" fontId="13" fillId="3" borderId="2" xfId="0" applyNumberFormat="1" applyFont="1" applyFill="1" applyBorder="1" applyAlignment="1">
      <alignment horizontal="center" vertical="center"/>
    </xf>
    <xf numFmtId="166" fontId="5" fillId="0" borderId="9" xfId="8" applyNumberFormat="1" applyFont="1" applyFill="1" applyBorder="1" applyAlignment="1">
      <alignment horizontal="right" vertical="center" wrapText="1"/>
    </xf>
    <xf numFmtId="166" fontId="5" fillId="0" borderId="10" xfId="8" applyNumberFormat="1" applyFont="1" applyFill="1" applyBorder="1" applyAlignment="1">
      <alignment horizontal="right" vertical="center" wrapText="1"/>
    </xf>
    <xf numFmtId="0" fontId="3" fillId="2" borderId="11" xfId="8" applyFont="1" applyFill="1" applyBorder="1" applyAlignment="1">
      <alignment horizontal="center" vertical="center" wrapText="1"/>
    </xf>
    <xf numFmtId="166" fontId="30" fillId="0" borderId="12" xfId="0" applyNumberFormat="1" applyFont="1" applyBorder="1" applyAlignment="1">
      <alignment vertical="center" wrapText="1"/>
    </xf>
    <xf numFmtId="9" fontId="4" fillId="0" borderId="5" xfId="10" applyFont="1" applyFill="1" applyBorder="1" applyAlignment="1">
      <alignment horizontal="right" vertical="center" wrapText="1"/>
    </xf>
    <xf numFmtId="166" fontId="30" fillId="0" borderId="13" xfId="0" applyNumberFormat="1" applyFont="1" applyBorder="1" applyAlignment="1">
      <alignment vertical="center" wrapText="1"/>
    </xf>
    <xf numFmtId="166" fontId="4" fillId="0" borderId="4" xfId="8" applyNumberFormat="1" applyFont="1" applyFill="1" applyBorder="1" applyAlignment="1">
      <alignment horizontal="right" vertical="center" wrapText="1"/>
    </xf>
    <xf numFmtId="166" fontId="30" fillId="0" borderId="14" xfId="0" applyNumberFormat="1" applyFont="1" applyBorder="1" applyAlignment="1">
      <alignment vertical="center" wrapText="1"/>
    </xf>
    <xf numFmtId="10" fontId="6" fillId="0" borderId="15" xfId="8" applyNumberFormat="1" applyFont="1" applyFill="1" applyBorder="1" applyAlignment="1">
      <alignment horizontal="right" vertical="center" wrapText="1"/>
    </xf>
    <xf numFmtId="166" fontId="5" fillId="0" borderId="16" xfId="8" applyNumberFormat="1" applyFont="1" applyFill="1" applyBorder="1" applyAlignment="1">
      <alignment horizontal="right" vertical="center" wrapText="1"/>
    </xf>
    <xf numFmtId="10" fontId="6" fillId="0" borderId="17" xfId="8" applyNumberFormat="1" applyFont="1" applyFill="1" applyBorder="1" applyAlignment="1">
      <alignment horizontal="right" vertical="center" wrapText="1"/>
    </xf>
    <xf numFmtId="166" fontId="4" fillId="0" borderId="4" xfId="6" applyNumberFormat="1" applyFont="1" applyFill="1" applyBorder="1" applyAlignment="1" applyProtection="1">
      <alignment horizontal="right" vertical="center" wrapText="1"/>
    </xf>
    <xf numFmtId="166" fontId="4" fillId="10" borderId="4" xfId="6" applyNumberFormat="1" applyFont="1" applyFill="1" applyBorder="1" applyAlignment="1" applyProtection="1">
      <alignment horizontal="right" vertical="center" wrapText="1"/>
    </xf>
    <xf numFmtId="166" fontId="5" fillId="0" borderId="18" xfId="8" applyNumberFormat="1" applyFont="1" applyFill="1" applyBorder="1" applyAlignment="1">
      <alignment horizontal="right" vertical="center" wrapText="1"/>
    </xf>
    <xf numFmtId="0" fontId="0" fillId="0" borderId="19" xfId="0" applyBorder="1" applyAlignment="1">
      <alignment vertical="center" wrapText="1"/>
    </xf>
    <xf numFmtId="0" fontId="29" fillId="0" borderId="0" xfId="0" applyFont="1"/>
    <xf numFmtId="166" fontId="30" fillId="0" borderId="20" xfId="0" applyNumberFormat="1" applyFont="1" applyBorder="1" applyAlignment="1">
      <alignment vertical="center" wrapText="1"/>
    </xf>
    <xf numFmtId="166" fontId="5" fillId="0" borderId="21" xfId="8" applyNumberFormat="1" applyFont="1" applyFill="1" applyBorder="1" applyAlignment="1">
      <alignment horizontal="right" vertical="center" wrapText="1"/>
    </xf>
    <xf numFmtId="0" fontId="29" fillId="0" borderId="0" xfId="0" applyFont="1" applyAlignment="1">
      <alignment vertical="center" wrapText="1"/>
    </xf>
    <xf numFmtId="0" fontId="0" fillId="0" borderId="22" xfId="0" applyBorder="1"/>
    <xf numFmtId="0" fontId="0" fillId="0" borderId="23" xfId="0" applyBorder="1"/>
    <xf numFmtId="0" fontId="31" fillId="0" borderId="24" xfId="0" applyFont="1" applyBorder="1" applyAlignment="1">
      <alignment vertical="center" wrapText="1"/>
    </xf>
    <xf numFmtId="0" fontId="3" fillId="2" borderId="25" xfId="8" applyFont="1" applyFill="1" applyBorder="1" applyAlignment="1">
      <alignment horizontal="center" vertical="center" wrapText="1"/>
    </xf>
    <xf numFmtId="0" fontId="3" fillId="2" borderId="26" xfId="8" applyFont="1" applyFill="1" applyBorder="1" applyAlignment="1">
      <alignment horizontal="center" vertical="center" wrapText="1"/>
    </xf>
    <xf numFmtId="166" fontId="3" fillId="2" borderId="26" xfId="8" applyNumberFormat="1" applyFont="1" applyFill="1" applyBorder="1" applyAlignment="1">
      <alignment horizontal="center" vertical="center" wrapText="1"/>
    </xf>
    <xf numFmtId="10" fontId="3" fillId="2" borderId="26" xfId="8" applyNumberFormat="1" applyFont="1" applyFill="1" applyBorder="1" applyAlignment="1">
      <alignment horizontal="center" vertical="center" wrapText="1"/>
    </xf>
    <xf numFmtId="166" fontId="3" fillId="2" borderId="27" xfId="8" applyNumberFormat="1" applyFont="1" applyFill="1" applyBorder="1" applyAlignment="1">
      <alignment horizontal="center" vertical="center" wrapText="1"/>
    </xf>
    <xf numFmtId="166" fontId="4" fillId="0" borderId="28" xfId="6" applyNumberFormat="1" applyFont="1" applyFill="1" applyBorder="1" applyAlignment="1" applyProtection="1">
      <alignment horizontal="right" vertical="center" wrapText="1"/>
    </xf>
    <xf numFmtId="0" fontId="4" fillId="0" borderId="28" xfId="8" applyFont="1" applyFill="1" applyBorder="1" applyAlignment="1">
      <alignment horizontal="center" vertical="center" wrapText="1"/>
    </xf>
    <xf numFmtId="0" fontId="4" fillId="0" borderId="28" xfId="8" applyFont="1" applyFill="1" applyBorder="1" applyAlignment="1">
      <alignment horizontal="left" vertical="center" wrapText="1"/>
    </xf>
    <xf numFmtId="0" fontId="3" fillId="2" borderId="29" xfId="8" applyFont="1" applyFill="1" applyBorder="1" applyAlignment="1">
      <alignment horizontal="center" vertical="center" wrapText="1"/>
    </xf>
    <xf numFmtId="0" fontId="3" fillId="2" borderId="30" xfId="8" applyFont="1" applyFill="1" applyBorder="1" applyAlignment="1">
      <alignment horizontal="center" vertical="center" wrapText="1"/>
    </xf>
    <xf numFmtId="166" fontId="3" fillId="2" borderId="30" xfId="8" applyNumberFormat="1" applyFont="1" applyFill="1" applyBorder="1" applyAlignment="1">
      <alignment horizontal="center" vertical="center" wrapText="1"/>
    </xf>
    <xf numFmtId="0" fontId="3" fillId="2" borderId="31" xfId="8" applyFont="1" applyFill="1" applyBorder="1" applyAlignment="1">
      <alignment horizontal="center" vertical="center" wrapText="1"/>
    </xf>
    <xf numFmtId="0" fontId="4" fillId="0" borderId="32" xfId="8" applyFont="1" applyFill="1" applyBorder="1" applyAlignment="1">
      <alignment horizontal="center" vertical="center" wrapText="1"/>
    </xf>
    <xf numFmtId="0" fontId="4" fillId="0" borderId="33" xfId="8" applyFont="1" applyFill="1" applyBorder="1" applyAlignment="1">
      <alignment horizontal="center" vertical="center" wrapText="1"/>
    </xf>
    <xf numFmtId="0" fontId="4" fillId="0" borderId="34" xfId="8" applyFont="1" applyFill="1" applyBorder="1" applyAlignment="1">
      <alignment horizontal="left" vertical="center" wrapText="1"/>
    </xf>
    <xf numFmtId="0" fontId="4" fillId="0" borderId="34" xfId="8" applyFont="1" applyFill="1" applyBorder="1" applyAlignment="1">
      <alignment horizontal="center" vertical="center" wrapText="1"/>
    </xf>
    <xf numFmtId="166" fontId="4" fillId="0" borderId="34" xfId="6" applyNumberFormat="1" applyFont="1" applyFill="1" applyBorder="1" applyAlignment="1" applyProtection="1">
      <alignment horizontal="right" vertical="center" wrapText="1"/>
    </xf>
    <xf numFmtId="0" fontId="5" fillId="0" borderId="35" xfId="8" applyFont="1" applyFill="1" applyBorder="1" applyAlignment="1">
      <alignment vertical="center" wrapText="1"/>
    </xf>
    <xf numFmtId="166" fontId="30" fillId="0" borderId="35" xfId="0" applyNumberFormat="1" applyFont="1" applyBorder="1" applyAlignment="1">
      <alignment vertical="center" wrapText="1"/>
    </xf>
    <xf numFmtId="0" fontId="0" fillId="0" borderId="36" xfId="0" applyBorder="1" applyAlignment="1">
      <alignment vertical="center" wrapText="1"/>
    </xf>
    <xf numFmtId="166" fontId="30" fillId="0" borderId="37" xfId="0" applyNumberFormat="1" applyFont="1" applyBorder="1" applyAlignment="1">
      <alignment vertical="center" wrapText="1"/>
    </xf>
    <xf numFmtId="0" fontId="5" fillId="0" borderId="38" xfId="8" applyFont="1" applyFill="1" applyBorder="1" applyAlignment="1">
      <alignment vertical="center" wrapText="1"/>
    </xf>
    <xf numFmtId="9" fontId="30" fillId="0" borderId="28" xfId="10" applyFont="1" applyBorder="1" applyAlignment="1">
      <alignment vertical="center" wrapText="1"/>
    </xf>
    <xf numFmtId="166" fontId="30" fillId="0" borderId="36" xfId="0" applyNumberFormat="1" applyFont="1" applyBorder="1" applyAlignment="1">
      <alignment vertical="center" wrapText="1"/>
    </xf>
    <xf numFmtId="166" fontId="5" fillId="0" borderId="39" xfId="8" applyNumberFormat="1" applyFont="1" applyFill="1" applyBorder="1" applyAlignment="1">
      <alignment horizontal="right" vertical="center" wrapText="1"/>
    </xf>
    <xf numFmtId="166" fontId="5" fillId="0" borderId="40" xfId="8" applyNumberFormat="1" applyFont="1" applyFill="1" applyBorder="1" applyAlignment="1">
      <alignment horizontal="right" vertical="center" wrapText="1"/>
    </xf>
    <xf numFmtId="0" fontId="0" fillId="0" borderId="41" xfId="0" applyBorder="1" applyAlignment="1">
      <alignment vertical="center" wrapText="1"/>
    </xf>
    <xf numFmtId="166" fontId="5" fillId="0" borderId="35" xfId="8" applyNumberFormat="1" applyFont="1" applyFill="1" applyBorder="1" applyAlignment="1">
      <alignment horizontal="right" vertical="center" wrapText="1"/>
    </xf>
    <xf numFmtId="166" fontId="5" fillId="0" borderId="36" xfId="8" applyNumberFormat="1" applyFont="1" applyFill="1" applyBorder="1" applyAlignment="1">
      <alignment horizontal="right" vertical="center" wrapText="1"/>
    </xf>
    <xf numFmtId="166" fontId="5" fillId="0" borderId="42" xfId="8" applyNumberFormat="1" applyFont="1" applyFill="1" applyBorder="1" applyAlignment="1">
      <alignment horizontal="right" vertical="center" wrapText="1"/>
    </xf>
    <xf numFmtId="0" fontId="4" fillId="0" borderId="43" xfId="8" applyFont="1" applyFill="1" applyBorder="1" applyAlignment="1">
      <alignment horizontal="center" vertical="center" wrapText="1"/>
    </xf>
    <xf numFmtId="0" fontId="4" fillId="0" borderId="44" xfId="8" applyFont="1" applyFill="1" applyBorder="1" applyAlignment="1">
      <alignment horizontal="left" vertical="center" wrapText="1"/>
    </xf>
    <xf numFmtId="9" fontId="4" fillId="0" borderId="4" xfId="10" applyFont="1" applyFill="1" applyBorder="1" applyAlignment="1">
      <alignment horizontal="right" vertical="center" wrapText="1"/>
    </xf>
    <xf numFmtId="9" fontId="14" fillId="5" borderId="4" xfId="10" applyFont="1" applyFill="1" applyBorder="1" applyAlignment="1" applyProtection="1">
      <alignment horizontal="right" vertical="center" wrapText="1"/>
    </xf>
    <xf numFmtId="166" fontId="4" fillId="0" borderId="4" xfId="6" applyNumberFormat="1" applyFont="1" applyFill="1" applyBorder="1" applyAlignment="1" applyProtection="1">
      <alignment horizontal="left" vertical="center" wrapText="1"/>
    </xf>
    <xf numFmtId="9" fontId="4" fillId="0" borderId="28" xfId="10" applyFont="1" applyFill="1" applyBorder="1" applyAlignment="1" applyProtection="1">
      <alignment horizontal="right" vertical="center" wrapText="1"/>
    </xf>
    <xf numFmtId="9" fontId="30" fillId="0" borderId="45" xfId="10" applyFont="1" applyBorder="1" applyAlignment="1">
      <alignment vertical="center" wrapText="1"/>
    </xf>
    <xf numFmtId="166" fontId="30" fillId="0" borderId="42" xfId="0" applyNumberFormat="1" applyFont="1" applyBorder="1" applyAlignment="1">
      <alignment vertical="center" wrapText="1"/>
    </xf>
    <xf numFmtId="9" fontId="30" fillId="0" borderId="35" xfId="10" applyFont="1" applyBorder="1" applyAlignment="1">
      <alignment vertical="center" wrapText="1"/>
    </xf>
    <xf numFmtId="166" fontId="4" fillId="0" borderId="45" xfId="6" applyNumberFormat="1" applyFont="1" applyFill="1" applyBorder="1" applyAlignment="1" applyProtection="1">
      <alignment horizontal="right" vertical="center" wrapText="1"/>
    </xf>
    <xf numFmtId="0" fontId="0" fillId="0" borderId="0" xfId="0" applyAlignment="1"/>
    <xf numFmtId="0" fontId="31" fillId="0" borderId="20" xfId="0" applyFont="1" applyBorder="1" applyAlignment="1">
      <alignment vertical="center" wrapText="1"/>
    </xf>
    <xf numFmtId="166" fontId="3" fillId="0" borderId="46" xfId="8" applyNumberFormat="1" applyFont="1" applyFill="1" applyBorder="1" applyAlignment="1">
      <alignment horizontal="right" vertical="center" wrapText="1"/>
    </xf>
    <xf numFmtId="166" fontId="3" fillId="0" borderId="47" xfId="8" applyNumberFormat="1" applyFont="1" applyFill="1" applyBorder="1" applyAlignment="1">
      <alignment horizontal="right" vertical="center" wrapText="1"/>
    </xf>
    <xf numFmtId="0" fontId="31" fillId="0" borderId="22" xfId="0" applyFont="1" applyBorder="1"/>
    <xf numFmtId="166" fontId="3" fillId="0" borderId="48" xfId="8" applyNumberFormat="1" applyFont="1" applyFill="1" applyBorder="1" applyAlignment="1">
      <alignment horizontal="right" vertical="center" wrapText="1"/>
    </xf>
    <xf numFmtId="0" fontId="31" fillId="0" borderId="21" xfId="0" applyFont="1" applyBorder="1" applyAlignment="1">
      <alignment vertical="center" wrapText="1"/>
    </xf>
    <xf numFmtId="166" fontId="3" fillId="0" borderId="49" xfId="8" applyNumberFormat="1" applyFont="1" applyFill="1" applyBorder="1" applyAlignment="1">
      <alignment horizontal="right" vertical="center" wrapText="1"/>
    </xf>
    <xf numFmtId="9" fontId="31" fillId="0" borderId="16" xfId="10" applyFont="1" applyFill="1" applyBorder="1" applyAlignment="1" applyProtection="1">
      <alignment horizontal="right" vertical="center" wrapText="1"/>
    </xf>
    <xf numFmtId="0" fontId="31" fillId="0" borderId="49" xfId="0" applyFont="1" applyBorder="1" applyAlignment="1">
      <alignment vertical="center" wrapText="1"/>
    </xf>
    <xf numFmtId="9" fontId="15" fillId="0" borderId="50" xfId="10" applyFont="1" applyFill="1" applyBorder="1" applyAlignment="1">
      <alignment horizontal="right" vertical="center" wrapText="1"/>
    </xf>
    <xf numFmtId="0" fontId="31" fillId="0" borderId="23" xfId="0" applyFont="1" applyBorder="1"/>
    <xf numFmtId="0" fontId="17" fillId="0" borderId="0" xfId="0" applyNumberFormat="1" applyFont="1" applyAlignment="1"/>
    <xf numFmtId="0" fontId="20" fillId="0" borderId="0" xfId="0" applyNumberFormat="1" applyFont="1" applyAlignment="1"/>
    <xf numFmtId="0" fontId="20" fillId="0" borderId="0" xfId="0" applyFont="1"/>
    <xf numFmtId="0" fontId="20" fillId="0" borderId="0" xfId="9" applyFont="1" applyProtection="1">
      <protection locked="0"/>
    </xf>
    <xf numFmtId="0" fontId="20" fillId="0" borderId="0" xfId="0" applyNumberFormat="1" applyFont="1" applyAlignment="1">
      <alignment horizontal="left"/>
    </xf>
    <xf numFmtId="0" fontId="20" fillId="0" borderId="0" xfId="0" quotePrefix="1" applyFont="1"/>
    <xf numFmtId="0" fontId="0" fillId="0" borderId="0" xfId="0" applyBorder="1"/>
    <xf numFmtId="0" fontId="20" fillId="0" borderId="0" xfId="9" applyFont="1" applyFill="1" applyAlignment="1">
      <alignment horizontal="left"/>
    </xf>
    <xf numFmtId="49" fontId="20" fillId="0" borderId="0" xfId="2" applyNumberFormat="1" applyFont="1" applyAlignment="1" applyProtection="1">
      <alignment horizontal="left"/>
    </xf>
    <xf numFmtId="49" fontId="20" fillId="0" borderId="0" xfId="2" applyNumberFormat="1" applyFont="1" applyFill="1" applyAlignment="1" applyProtection="1">
      <alignment horizontal="left"/>
    </xf>
    <xf numFmtId="0" fontId="23" fillId="6" borderId="0" xfId="0" applyFont="1" applyFill="1" applyAlignment="1">
      <alignment horizontal="center" vertical="center" wrapText="1"/>
    </xf>
    <xf numFmtId="0" fontId="23" fillId="6" borderId="0" xfId="0" applyFont="1" applyFill="1" applyAlignment="1">
      <alignment horizontal="center" wrapText="1"/>
    </xf>
    <xf numFmtId="0" fontId="6" fillId="0" borderId="0" xfId="0" applyFont="1" applyFill="1" applyAlignment="1">
      <alignment horizontal="center"/>
    </xf>
    <xf numFmtId="9" fontId="6" fillId="0" borderId="0" xfId="0" applyNumberFormat="1" applyFont="1" applyFill="1" applyAlignment="1">
      <alignment horizontal="center"/>
    </xf>
    <xf numFmtId="10" fontId="6" fillId="0" borderId="0" xfId="0" applyNumberFormat="1" applyFont="1" applyFill="1" applyAlignment="1">
      <alignment horizontal="center"/>
    </xf>
    <xf numFmtId="0" fontId="22" fillId="0" borderId="0" xfId="0" applyFont="1"/>
    <xf numFmtId="0" fontId="20" fillId="0" borderId="0" xfId="0" applyNumberFormat="1" applyFont="1" applyProtection="1">
      <protection locked="0"/>
    </xf>
    <xf numFmtId="0" fontId="17" fillId="0" borderId="0" xfId="0" applyFont="1"/>
    <xf numFmtId="0" fontId="20" fillId="0" borderId="0" xfId="0" applyFont="1" applyFill="1"/>
    <xf numFmtId="0" fontId="20" fillId="0" borderId="0" xfId="0" applyNumberFormat="1" applyFont="1" applyAlignment="1" applyProtection="1">
      <protection locked="0"/>
    </xf>
    <xf numFmtId="14" fontId="20" fillId="0" borderId="0" xfId="0" applyNumberFormat="1" applyFont="1"/>
    <xf numFmtId="0" fontId="20" fillId="0" borderId="0" xfId="0" quotePrefix="1" applyNumberFormat="1" applyFont="1" applyAlignment="1"/>
    <xf numFmtId="0" fontId="19" fillId="0" borderId="0" xfId="0" applyNumberFormat="1" applyFont="1" applyAlignment="1"/>
    <xf numFmtId="11" fontId="20" fillId="0" borderId="0" xfId="0" applyNumberFormat="1" applyFont="1"/>
    <xf numFmtId="0" fontId="24" fillId="3" borderId="0" xfId="0" applyNumberFormat="1" applyFont="1" applyFill="1"/>
    <xf numFmtId="168" fontId="9" fillId="3" borderId="0" xfId="0" applyNumberFormat="1" applyFont="1" applyFill="1" applyAlignment="1">
      <alignment vertical="center"/>
    </xf>
    <xf numFmtId="168" fontId="9" fillId="3" borderId="0" xfId="0" applyNumberFormat="1" applyFont="1" applyFill="1" applyAlignment="1">
      <alignment horizontal="center" vertical="center"/>
    </xf>
    <xf numFmtId="9" fontId="32" fillId="0" borderId="14" xfId="10" applyNumberFormat="1" applyFont="1" applyFill="1" applyBorder="1" applyAlignment="1" applyProtection="1">
      <alignment horizontal="right" vertical="center" wrapText="1"/>
    </xf>
    <xf numFmtId="0" fontId="9" fillId="3" borderId="0" xfId="0" applyNumberFormat="1" applyFont="1" applyFill="1" applyAlignment="1">
      <alignment vertical="center"/>
    </xf>
    <xf numFmtId="0" fontId="9" fillId="3" borderId="0" xfId="0" applyNumberFormat="1" applyFont="1" applyFill="1"/>
    <xf numFmtId="0" fontId="10" fillId="4" borderId="6" xfId="0" applyNumberFormat="1" applyFont="1" applyFill="1" applyBorder="1" applyAlignment="1">
      <alignment horizontal="center" vertical="center" wrapText="1"/>
    </xf>
    <xf numFmtId="0" fontId="4" fillId="0" borderId="51" xfId="8" applyFont="1" applyFill="1" applyBorder="1" applyAlignment="1">
      <alignment horizontal="center" vertical="center" wrapText="1"/>
    </xf>
    <xf numFmtId="9" fontId="14" fillId="0" borderId="4" xfId="10" applyFont="1" applyFill="1" applyBorder="1" applyAlignment="1">
      <alignment horizontal="right" vertical="center" wrapText="1"/>
    </xf>
    <xf numFmtId="166" fontId="4" fillId="0" borderId="51" xfId="6" applyNumberFormat="1" applyFont="1" applyFill="1" applyBorder="1" applyAlignment="1" applyProtection="1">
      <alignment horizontal="right" vertical="center" wrapText="1"/>
    </xf>
    <xf numFmtId="166" fontId="3" fillId="0" borderId="52" xfId="8" applyNumberFormat="1" applyFont="1" applyFill="1" applyBorder="1" applyAlignment="1">
      <alignment horizontal="right" vertical="center" wrapText="1"/>
    </xf>
    <xf numFmtId="0" fontId="29" fillId="0" borderId="22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2" xfId="0" applyBorder="1" applyAlignment="1">
      <alignment horizontal="center"/>
    </xf>
    <xf numFmtId="0" fontId="29" fillId="0" borderId="54" xfId="0" applyFont="1" applyBorder="1" applyAlignment="1">
      <alignment horizontal="center"/>
    </xf>
    <xf numFmtId="0" fontId="29" fillId="0" borderId="55" xfId="0" applyFont="1" applyBorder="1"/>
    <xf numFmtId="0" fontId="29" fillId="0" borderId="56" xfId="0" applyFont="1" applyBorder="1"/>
    <xf numFmtId="0" fontId="0" fillId="0" borderId="57" xfId="0" applyBorder="1"/>
    <xf numFmtId="0" fontId="0" fillId="0" borderId="58" xfId="0" applyBorder="1"/>
    <xf numFmtId="0" fontId="29" fillId="0" borderId="53" xfId="0" applyFont="1" applyBorder="1" applyAlignment="1">
      <alignment horizontal="center"/>
    </xf>
    <xf numFmtId="0" fontId="29" fillId="0" borderId="23" xfId="0" applyFont="1" applyBorder="1" applyAlignment="1">
      <alignment horizontal="center"/>
    </xf>
    <xf numFmtId="0" fontId="0" fillId="0" borderId="28" xfId="0" quotePrefix="1" applyBorder="1" applyAlignment="1">
      <alignment horizontal="center"/>
    </xf>
    <xf numFmtId="49" fontId="19" fillId="0" borderId="0" xfId="2" applyNumberFormat="1" applyFont="1" applyFill="1" applyAlignment="1" applyProtection="1">
      <alignment horizontal="left"/>
    </xf>
    <xf numFmtId="49" fontId="19" fillId="0" borderId="0" xfId="2" applyNumberFormat="1" applyFont="1" applyAlignment="1" applyProtection="1">
      <alignment horizontal="left"/>
    </xf>
    <xf numFmtId="0" fontId="19" fillId="0" borderId="0" xfId="0" applyNumberFormat="1" applyFont="1" applyAlignment="1">
      <alignment horizontal="left"/>
    </xf>
    <xf numFmtId="0" fontId="19" fillId="0" borderId="0" xfId="0" applyFont="1"/>
    <xf numFmtId="0" fontId="25" fillId="7" borderId="0" xfId="0" applyFont="1" applyFill="1"/>
    <xf numFmtId="0" fontId="25" fillId="8" borderId="0" xfId="0" applyFont="1" applyFill="1"/>
    <xf numFmtId="0" fontId="25" fillId="0" borderId="28" xfId="0" applyFont="1" applyBorder="1" applyAlignment="1">
      <alignment horizontal="center" wrapText="1"/>
    </xf>
    <xf numFmtId="172" fontId="25" fillId="0" borderId="28" xfId="0" applyNumberFormat="1" applyFont="1" applyBorder="1" applyAlignment="1">
      <alignment horizontal="center" wrapText="1"/>
    </xf>
    <xf numFmtId="0" fontId="25" fillId="0" borderId="28" xfId="0" applyFont="1" applyBorder="1" applyAlignment="1">
      <alignment horizontal="center" vertical="center" wrapText="1"/>
    </xf>
    <xf numFmtId="0" fontId="6" fillId="0" borderId="0" xfId="0" applyFont="1" applyFill="1"/>
    <xf numFmtId="0" fontId="25" fillId="0" borderId="28" xfId="0" quotePrefix="1" applyFont="1" applyBorder="1" applyAlignment="1">
      <alignment horizontal="center" wrapText="1"/>
    </xf>
    <xf numFmtId="173" fontId="0" fillId="0" borderId="0" xfId="0" applyNumberFormat="1" applyAlignment="1">
      <alignment vertical="center" wrapText="1"/>
    </xf>
    <xf numFmtId="171" fontId="0" fillId="0" borderId="0" xfId="0" applyNumberFormat="1" applyAlignment="1">
      <alignment vertical="center" wrapText="1"/>
    </xf>
    <xf numFmtId="0" fontId="31" fillId="0" borderId="59" xfId="0" applyFont="1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31" fillId="0" borderId="60" xfId="0" applyFont="1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0" xfId="0" applyAlignment="1">
      <alignment horizontal="left"/>
    </xf>
    <xf numFmtId="0" fontId="7" fillId="0" borderId="0" xfId="0" applyFont="1" applyAlignment="1"/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Fill="1" applyAlignment="1">
      <alignment horizontal="center"/>
    </xf>
    <xf numFmtId="9" fontId="31" fillId="0" borderId="0" xfId="0" applyNumberFormat="1" applyFont="1" applyAlignment="1">
      <alignment horizontal="right" vertical="center" wrapText="1"/>
    </xf>
    <xf numFmtId="0" fontId="31" fillId="0" borderId="34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61" xfId="0" applyFont="1" applyBorder="1" applyAlignment="1">
      <alignment vertical="center" wrapText="1"/>
    </xf>
    <xf numFmtId="0" fontId="31" fillId="0" borderId="62" xfId="0" applyFont="1" applyBorder="1" applyAlignment="1">
      <alignment vertical="center" wrapText="1"/>
    </xf>
    <xf numFmtId="1" fontId="34" fillId="0" borderId="0" xfId="0" applyNumberFormat="1" applyFont="1" applyAlignment="1">
      <alignment vertical="center" wrapText="1"/>
    </xf>
    <xf numFmtId="0" fontId="29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166" fontId="5" fillId="0" borderId="63" xfId="8" applyNumberFormat="1" applyFont="1" applyFill="1" applyBorder="1" applyAlignment="1">
      <alignment horizontal="right" vertical="center" wrapText="1"/>
    </xf>
    <xf numFmtId="166" fontId="30" fillId="0" borderId="54" xfId="0" applyNumberFormat="1" applyFont="1" applyBorder="1" applyAlignment="1">
      <alignment vertical="center" wrapText="1"/>
    </xf>
    <xf numFmtId="166" fontId="30" fillId="0" borderId="64" xfId="0" applyNumberFormat="1" applyFont="1" applyBorder="1" applyAlignment="1">
      <alignment vertical="center" wrapText="1"/>
    </xf>
    <xf numFmtId="10" fontId="6" fillId="0" borderId="65" xfId="8" applyNumberFormat="1" applyFont="1" applyFill="1" applyBorder="1" applyAlignment="1">
      <alignment horizontal="right" vertical="center" wrapText="1"/>
    </xf>
    <xf numFmtId="166" fontId="30" fillId="0" borderId="39" xfId="0" applyNumberFormat="1" applyFont="1" applyBorder="1" applyAlignment="1">
      <alignment vertical="center" wrapText="1"/>
    </xf>
    <xf numFmtId="166" fontId="5" fillId="0" borderId="37" xfId="8" applyNumberFormat="1" applyFont="1" applyFill="1" applyBorder="1" applyAlignment="1">
      <alignment horizontal="right" vertical="center" wrapText="1"/>
    </xf>
    <xf numFmtId="166" fontId="30" fillId="0" borderId="66" xfId="0" applyNumberFormat="1" applyFont="1" applyBorder="1" applyAlignment="1">
      <alignment vertical="center" wrapText="1"/>
    </xf>
    <xf numFmtId="9" fontId="30" fillId="0" borderId="64" xfId="10" applyFont="1" applyFill="1" applyBorder="1" applyAlignment="1" applyProtection="1">
      <alignment horizontal="right" vertical="center" wrapText="1"/>
    </xf>
    <xf numFmtId="0" fontId="36" fillId="0" borderId="37" xfId="0" applyFont="1" applyBorder="1" applyAlignment="1">
      <alignment vertical="center" wrapText="1"/>
    </xf>
    <xf numFmtId="166" fontId="30" fillId="0" borderId="22" xfId="0" applyNumberFormat="1" applyFont="1" applyBorder="1" applyAlignment="1">
      <alignment vertical="center" wrapText="1"/>
    </xf>
    <xf numFmtId="0" fontId="5" fillId="0" borderId="67" xfId="8" applyFont="1" applyFill="1" applyBorder="1" applyAlignment="1">
      <alignment horizontal="left" vertical="center" wrapText="1"/>
    </xf>
    <xf numFmtId="0" fontId="5" fillId="0" borderId="68" xfId="8" applyFont="1" applyFill="1" applyBorder="1" applyAlignment="1">
      <alignment horizontal="left" vertical="center" wrapText="1"/>
    </xf>
    <xf numFmtId="166" fontId="5" fillId="0" borderId="69" xfId="8" applyNumberFormat="1" applyFont="1" applyFill="1" applyBorder="1" applyAlignment="1">
      <alignment horizontal="right" vertical="center" wrapText="1"/>
    </xf>
    <xf numFmtId="166" fontId="30" fillId="0" borderId="67" xfId="0" applyNumberFormat="1" applyFont="1" applyBorder="1" applyAlignment="1">
      <alignment vertical="center" wrapText="1"/>
    </xf>
    <xf numFmtId="166" fontId="30" fillId="0" borderId="55" xfId="0" applyNumberFormat="1" applyFont="1" applyBorder="1" applyAlignment="1">
      <alignment vertical="center" wrapText="1"/>
    </xf>
    <xf numFmtId="10" fontId="6" fillId="0" borderId="62" xfId="8" applyNumberFormat="1" applyFont="1" applyFill="1" applyBorder="1" applyAlignment="1">
      <alignment horizontal="right" vertical="center" wrapText="1"/>
    </xf>
    <xf numFmtId="166" fontId="30" fillId="0" borderId="32" xfId="0" applyNumberFormat="1" applyFont="1" applyBorder="1" applyAlignment="1">
      <alignment vertical="center" wrapText="1"/>
    </xf>
    <xf numFmtId="166" fontId="5" fillId="0" borderId="28" xfId="8" applyNumberFormat="1" applyFont="1" applyFill="1" applyBorder="1" applyAlignment="1">
      <alignment horizontal="right" vertical="center" wrapText="1"/>
    </xf>
    <xf numFmtId="166" fontId="5" fillId="0" borderId="45" xfId="8" applyNumberFormat="1" applyFont="1" applyFill="1" applyBorder="1" applyAlignment="1">
      <alignment horizontal="right" vertical="center" wrapText="1"/>
    </xf>
    <xf numFmtId="166" fontId="30" fillId="0" borderId="57" xfId="0" applyNumberFormat="1" applyFont="1" applyBorder="1" applyAlignment="1">
      <alignment vertical="center" wrapText="1"/>
    </xf>
    <xf numFmtId="9" fontId="30" fillId="0" borderId="67" xfId="10" applyFont="1" applyFill="1" applyBorder="1" applyAlignment="1" applyProtection="1">
      <alignment horizontal="right" vertical="center" wrapText="1"/>
    </xf>
    <xf numFmtId="0" fontId="36" fillId="0" borderId="45" xfId="0" applyFont="1" applyBorder="1" applyAlignment="1">
      <alignment vertical="center" wrapText="1"/>
    </xf>
    <xf numFmtId="166" fontId="30" fillId="0" borderId="53" xfId="0" applyNumberFormat="1" applyFont="1" applyBorder="1" applyAlignment="1">
      <alignment vertical="center" wrapText="1"/>
    </xf>
    <xf numFmtId="166" fontId="5" fillId="0" borderId="32" xfId="8" applyNumberFormat="1" applyFont="1" applyFill="1" applyBorder="1" applyAlignment="1">
      <alignment horizontal="right" vertical="center" wrapText="1"/>
    </xf>
    <xf numFmtId="0" fontId="0" fillId="0" borderId="62" xfId="0" applyBorder="1" applyAlignment="1">
      <alignment vertical="center" wrapText="1"/>
    </xf>
    <xf numFmtId="166" fontId="5" fillId="0" borderId="70" xfId="8" applyNumberFormat="1" applyFont="1" applyFill="1" applyBorder="1" applyAlignment="1">
      <alignment horizontal="right" vertical="center" wrapText="1"/>
    </xf>
    <xf numFmtId="166" fontId="5" fillId="0" borderId="71" xfId="8" applyNumberFormat="1" applyFont="1" applyFill="1" applyBorder="1" applyAlignment="1">
      <alignment horizontal="right" vertical="center" wrapText="1"/>
    </xf>
    <xf numFmtId="166" fontId="5" fillId="0" borderId="56" xfId="8" applyNumberFormat="1" applyFont="1" applyFill="1" applyBorder="1" applyAlignment="1">
      <alignment horizontal="right" vertical="center" wrapText="1"/>
    </xf>
    <xf numFmtId="166" fontId="5" fillId="0" borderId="72" xfId="8" applyNumberFormat="1" applyFont="1" applyFill="1" applyBorder="1" applyAlignment="1">
      <alignment horizontal="right" vertical="center" wrapText="1"/>
    </xf>
    <xf numFmtId="10" fontId="6" fillId="0" borderId="41" xfId="8" applyNumberFormat="1" applyFont="1" applyFill="1" applyBorder="1" applyAlignment="1">
      <alignment horizontal="right" vertical="center" wrapText="1"/>
    </xf>
    <xf numFmtId="0" fontId="0" fillId="0" borderId="40" xfId="0" applyBorder="1" applyAlignment="1">
      <alignment vertical="center" wrapText="1"/>
    </xf>
    <xf numFmtId="166" fontId="5" fillId="0" borderId="58" xfId="8" applyNumberFormat="1" applyFont="1" applyFill="1" applyBorder="1" applyAlignment="1">
      <alignment horizontal="right" vertical="center" wrapText="1"/>
    </xf>
    <xf numFmtId="9" fontId="28" fillId="0" borderId="72" xfId="10" applyFill="1" applyBorder="1" applyAlignment="1" applyProtection="1">
      <alignment horizontal="right" vertical="center" wrapText="1"/>
    </xf>
    <xf numFmtId="0" fontId="0" fillId="0" borderId="42" xfId="0" applyBorder="1" applyAlignment="1">
      <alignment vertical="center" wrapText="1"/>
    </xf>
    <xf numFmtId="0" fontId="5" fillId="0" borderId="54" xfId="8" applyFont="1" applyFill="1" applyBorder="1" applyAlignment="1">
      <alignment vertical="center" wrapText="1"/>
    </xf>
    <xf numFmtId="0" fontId="5" fillId="0" borderId="64" xfId="8" applyFont="1" applyFill="1" applyBorder="1" applyAlignment="1">
      <alignment vertical="center" wrapText="1"/>
    </xf>
    <xf numFmtId="0" fontId="5" fillId="0" borderId="73" xfId="8" applyFont="1" applyFill="1" applyBorder="1" applyAlignment="1">
      <alignment vertical="center" wrapText="1"/>
    </xf>
    <xf numFmtId="0" fontId="0" fillId="0" borderId="72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29" fillId="0" borderId="56" xfId="0" applyFont="1" applyBorder="1" applyAlignment="1">
      <alignment vertical="center" wrapText="1"/>
    </xf>
    <xf numFmtId="166" fontId="30" fillId="0" borderId="75" xfId="0" applyNumberFormat="1" applyFont="1" applyBorder="1" applyAlignment="1">
      <alignment vertical="center" wrapText="1"/>
    </xf>
    <xf numFmtId="166" fontId="30" fillId="0" borderId="23" xfId="0" applyNumberFormat="1" applyFont="1" applyBorder="1" applyAlignment="1">
      <alignment vertical="center" wrapText="1"/>
    </xf>
    <xf numFmtId="0" fontId="0" fillId="0" borderId="0" xfId="0" applyFont="1"/>
    <xf numFmtId="0" fontId="0" fillId="0" borderId="0" xfId="0" applyAlignment="1">
      <alignment horizontal="left"/>
    </xf>
    <xf numFmtId="0" fontId="3" fillId="2" borderId="76" xfId="8" applyFont="1" applyFill="1" applyBorder="1" applyAlignment="1">
      <alignment horizontal="center" vertical="center" wrapText="1"/>
    </xf>
    <xf numFmtId="0" fontId="31" fillId="0" borderId="39" xfId="0" applyFont="1" applyBorder="1" applyAlignment="1">
      <alignment vertical="center" wrapText="1"/>
    </xf>
    <xf numFmtId="0" fontId="31" fillId="0" borderId="35" xfId="0" applyFont="1" applyBorder="1" applyAlignment="1">
      <alignment vertical="center" wrapText="1"/>
    </xf>
    <xf numFmtId="0" fontId="31" fillId="0" borderId="35" xfId="0" applyFont="1" applyBorder="1"/>
    <xf numFmtId="0" fontId="31" fillId="0" borderId="37" xfId="0" applyFont="1" applyBorder="1" applyAlignment="1">
      <alignment vertical="center" wrapText="1"/>
    </xf>
    <xf numFmtId="0" fontId="31" fillId="0" borderId="77" xfId="0" applyFont="1" applyBorder="1" applyAlignment="1">
      <alignment vertical="center" wrapText="1"/>
    </xf>
    <xf numFmtId="0" fontId="31" fillId="0" borderId="78" xfId="0" applyFont="1" applyBorder="1" applyAlignment="1">
      <alignment vertical="center" wrapText="1"/>
    </xf>
    <xf numFmtId="0" fontId="31" fillId="0" borderId="28" xfId="0" applyFont="1" applyBorder="1" applyAlignment="1">
      <alignment vertical="center" wrapText="1"/>
    </xf>
    <xf numFmtId="0" fontId="31" fillId="0" borderId="45" xfId="0" applyFont="1" applyBorder="1" applyAlignment="1">
      <alignment vertical="center" wrapText="1"/>
    </xf>
    <xf numFmtId="0" fontId="31" fillId="0" borderId="32" xfId="0" applyFont="1" applyBorder="1" applyAlignment="1">
      <alignment vertical="center" wrapText="1"/>
    </xf>
    <xf numFmtId="0" fontId="31" fillId="0" borderId="28" xfId="0" applyFont="1" applyBorder="1"/>
    <xf numFmtId="4" fontId="31" fillId="0" borderId="28" xfId="0" applyNumberFormat="1" applyFont="1" applyBorder="1" applyAlignment="1">
      <alignment vertical="center" wrapText="1"/>
    </xf>
    <xf numFmtId="3" fontId="31" fillId="0" borderId="28" xfId="0" applyNumberFormat="1" applyFont="1" applyBorder="1" applyAlignment="1">
      <alignment vertical="center" wrapText="1"/>
    </xf>
    <xf numFmtId="0" fontId="31" fillId="0" borderId="32" xfId="0" quotePrefix="1" applyFont="1" applyBorder="1" applyAlignment="1">
      <alignment vertical="center" wrapText="1"/>
    </xf>
    <xf numFmtId="0" fontId="31" fillId="0" borderId="33" xfId="0" applyFont="1" applyBorder="1" applyAlignment="1">
      <alignment vertical="center" wrapText="1"/>
    </xf>
    <xf numFmtId="0" fontId="31" fillId="0" borderId="34" xfId="0" applyFont="1" applyBorder="1" applyAlignment="1">
      <alignment vertical="center" wrapText="1"/>
    </xf>
    <xf numFmtId="0" fontId="29" fillId="0" borderId="79" xfId="0" applyFont="1" applyBorder="1" applyAlignment="1">
      <alignment horizontal="center"/>
    </xf>
    <xf numFmtId="0" fontId="0" fillId="0" borderId="79" xfId="0" applyBorder="1"/>
    <xf numFmtId="0" fontId="0" fillId="0" borderId="80" xfId="0" applyBorder="1"/>
    <xf numFmtId="0" fontId="39" fillId="0" borderId="0" xfId="0" applyNumberFormat="1" applyFont="1" applyAlignment="1"/>
    <xf numFmtId="0" fontId="0" fillId="0" borderId="81" xfId="0" applyFill="1" applyBorder="1"/>
    <xf numFmtId="0" fontId="31" fillId="0" borderId="91" xfId="0" applyFont="1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1" fillId="0" borderId="59" xfId="0" applyFont="1" applyBorder="1"/>
    <xf numFmtId="0" fontId="31" fillId="0" borderId="53" xfId="0" applyFont="1" applyBorder="1"/>
    <xf numFmtId="0" fontId="0" fillId="0" borderId="0" xfId="0" applyAlignment="1">
      <alignment horizontal="right"/>
    </xf>
    <xf numFmtId="0" fontId="40" fillId="0" borderId="0" xfId="0" applyFont="1"/>
    <xf numFmtId="0" fontId="0" fillId="14" borderId="0" xfId="0" applyFill="1"/>
    <xf numFmtId="1" fontId="0" fillId="0" borderId="0" xfId="0" applyNumberFormat="1"/>
    <xf numFmtId="2" fontId="0" fillId="0" borderId="0" xfId="0" applyNumberFormat="1"/>
    <xf numFmtId="9" fontId="0" fillId="0" borderId="0" xfId="10" applyFont="1"/>
    <xf numFmtId="0" fontId="40" fillId="0" borderId="0" xfId="0" applyFont="1" applyAlignment="1">
      <alignment horizontal="right"/>
    </xf>
    <xf numFmtId="1" fontId="40" fillId="0" borderId="0" xfId="0" applyNumberFormat="1" applyFont="1"/>
    <xf numFmtId="0" fontId="40" fillId="0" borderId="0" xfId="0" applyFont="1" applyAlignment="1">
      <alignment wrapText="1"/>
    </xf>
    <xf numFmtId="0" fontId="35" fillId="0" borderId="0" xfId="0" applyFont="1"/>
    <xf numFmtId="0" fontId="0" fillId="0" borderId="0" xfId="0" applyFont="1" applyAlignment="1">
      <alignment wrapText="1"/>
    </xf>
    <xf numFmtId="0" fontId="33" fillId="0" borderId="0" xfId="0" applyFont="1"/>
    <xf numFmtId="0" fontId="0" fillId="14" borderId="0" xfId="0" applyFill="1" applyAlignment="1">
      <alignment wrapText="1"/>
    </xf>
    <xf numFmtId="0" fontId="43" fillId="11" borderId="0" xfId="0" applyFont="1" applyFill="1"/>
    <xf numFmtId="0" fontId="0" fillId="0" borderId="0" xfId="0" applyFill="1"/>
    <xf numFmtId="0" fontId="45" fillId="0" borderId="0" xfId="0" applyFont="1"/>
    <xf numFmtId="0" fontId="46" fillId="10" borderId="0" xfId="0" applyFont="1" applyFill="1"/>
    <xf numFmtId="1" fontId="46" fillId="10" borderId="0" xfId="0" applyNumberFormat="1" applyFont="1" applyFill="1"/>
    <xf numFmtId="0" fontId="0" fillId="15" borderId="0" xfId="0" applyFill="1"/>
    <xf numFmtId="0" fontId="40" fillId="14" borderId="0" xfId="0" applyFont="1" applyFill="1" applyAlignment="1">
      <alignment wrapText="1"/>
    </xf>
    <xf numFmtId="0" fontId="0" fillId="14" borderId="0" xfId="0" applyFont="1" applyFill="1" applyAlignment="1">
      <alignment wrapText="1"/>
    </xf>
    <xf numFmtId="175" fontId="47" fillId="0" borderId="0" xfId="5" applyNumberFormat="1" applyFont="1"/>
    <xf numFmtId="175" fontId="41" fillId="0" borderId="0" xfId="5" applyNumberFormat="1" applyFont="1"/>
    <xf numFmtId="175" fontId="48" fillId="0" borderId="0" xfId="5" applyNumberFormat="1" applyFont="1"/>
    <xf numFmtId="175" fontId="33" fillId="0" borderId="0" xfId="0" applyNumberFormat="1" applyFont="1"/>
    <xf numFmtId="2" fontId="45" fillId="0" borderId="0" xfId="0" applyNumberFormat="1" applyFont="1"/>
    <xf numFmtId="43" fontId="0" fillId="0" borderId="0" xfId="0" applyNumberFormat="1"/>
    <xf numFmtId="176" fontId="0" fillId="0" borderId="0" xfId="0" applyNumberFormat="1"/>
    <xf numFmtId="177" fontId="0" fillId="0" borderId="0" xfId="0" applyNumberFormat="1"/>
    <xf numFmtId="171" fontId="31" fillId="0" borderId="28" xfId="0" applyNumberFormat="1" applyFont="1" applyBorder="1" applyAlignment="1">
      <alignment vertical="center" wrapText="1"/>
    </xf>
    <xf numFmtId="0" fontId="29" fillId="16" borderId="0" xfId="0" applyFont="1" applyFill="1"/>
    <xf numFmtId="0" fontId="0" fillId="16" borderId="0" xfId="0" applyFill="1"/>
    <xf numFmtId="0" fontId="0" fillId="0" borderId="57" xfId="0" applyBorder="1" applyAlignment="1">
      <alignment wrapText="1"/>
    </xf>
    <xf numFmtId="0" fontId="49" fillId="17" borderId="0" xfId="7" applyFont="1" applyFill="1" applyAlignment="1">
      <alignment vertical="center"/>
    </xf>
    <xf numFmtId="0" fontId="49" fillId="0" borderId="0" xfId="7" applyFont="1" applyAlignment="1">
      <alignment horizontal="center" vertical="center"/>
    </xf>
    <xf numFmtId="0" fontId="49" fillId="0" borderId="0" xfId="7" applyFont="1" applyAlignment="1">
      <alignment vertical="center"/>
    </xf>
    <xf numFmtId="165" fontId="50" fillId="0" borderId="0" xfId="12" applyNumberFormat="1" applyFont="1" applyBorder="1" applyAlignment="1">
      <alignment horizontal="center" vertical="center"/>
    </xf>
    <xf numFmtId="0" fontId="51" fillId="0" borderId="0" xfId="7" applyFont="1" applyAlignment="1">
      <alignment horizontal="center" vertical="center"/>
    </xf>
    <xf numFmtId="0" fontId="53" fillId="7" borderId="93" xfId="13" applyFont="1" applyFill="1" applyBorder="1" applyAlignment="1" applyProtection="1">
      <alignment horizontal="center" vertical="center" wrapText="1"/>
    </xf>
    <xf numFmtId="0" fontId="38" fillId="0" borderId="93" xfId="14" applyFont="1" applyBorder="1" applyAlignment="1">
      <alignment vertical="center"/>
    </xf>
    <xf numFmtId="0" fontId="37" fillId="7" borderId="93" xfId="7" applyFont="1" applyFill="1" applyBorder="1" applyAlignment="1">
      <alignment horizontal="center" vertical="center" wrapText="1"/>
    </xf>
    <xf numFmtId="165" fontId="38" fillId="18" borderId="93" xfId="12" applyNumberFormat="1" applyFont="1" applyFill="1" applyBorder="1" applyAlignment="1">
      <alignment horizontal="center" vertical="center" wrapText="1"/>
    </xf>
    <xf numFmtId="0" fontId="54" fillId="17" borderId="0" xfId="7" applyFont="1" applyFill="1" applyAlignment="1">
      <alignment vertical="center"/>
    </xf>
    <xf numFmtId="0" fontId="55" fillId="12" borderId="92" xfId="7" applyFont="1" applyFill="1" applyBorder="1" applyAlignment="1">
      <alignment horizontal="center" vertical="center" wrapText="1"/>
    </xf>
    <xf numFmtId="0" fontId="55" fillId="12" borderId="92" xfId="7" applyFont="1" applyFill="1" applyBorder="1" applyAlignment="1">
      <alignment horizontal="left" vertical="center" wrapText="1"/>
    </xf>
    <xf numFmtId="165" fontId="55" fillId="19" borderId="92" xfId="12" applyNumberFormat="1" applyFont="1" applyFill="1" applyBorder="1" applyAlignment="1">
      <alignment horizontal="center" vertical="center" wrapText="1"/>
    </xf>
    <xf numFmtId="0" fontId="49" fillId="0" borderId="0" xfId="7" applyFont="1" applyFill="1" applyAlignment="1">
      <alignment vertical="center"/>
    </xf>
    <xf numFmtId="1" fontId="49" fillId="17" borderId="0" xfId="7" applyNumberFormat="1" applyFont="1" applyFill="1" applyAlignment="1">
      <alignment vertical="center"/>
    </xf>
    <xf numFmtId="0" fontId="37" fillId="0" borderId="0" xfId="15" applyFont="1" applyAlignment="1"/>
    <xf numFmtId="0" fontId="37" fillId="0" borderId="0" xfId="15" applyFont="1" applyFill="1" applyAlignment="1"/>
    <xf numFmtId="0" fontId="37" fillId="0" borderId="0" xfId="15" applyFont="1" applyFill="1" applyAlignment="1">
      <alignment horizontal="right"/>
    </xf>
    <xf numFmtId="0" fontId="31" fillId="0" borderId="38" xfId="0" applyFont="1" applyFill="1" applyBorder="1" applyAlignment="1">
      <alignment vertical="center" wrapText="1"/>
    </xf>
    <xf numFmtId="0" fontId="31" fillId="0" borderId="94" xfId="0" applyFont="1" applyFill="1" applyBorder="1" applyAlignment="1">
      <alignment vertical="center" wrapText="1"/>
    </xf>
    <xf numFmtId="10" fontId="0" fillId="0" borderId="0" xfId="0" applyNumberFormat="1"/>
    <xf numFmtId="0" fontId="0" fillId="0" borderId="92" xfId="0" applyBorder="1" applyAlignment="1">
      <alignment horizontal="center"/>
    </xf>
    <xf numFmtId="0" fontId="29" fillId="0" borderId="97" xfId="0" applyFont="1" applyBorder="1" applyAlignment="1">
      <alignment horizontal="center"/>
    </xf>
    <xf numFmtId="178" fontId="31" fillId="0" borderId="28" xfId="0" applyNumberFormat="1" applyFont="1" applyBorder="1" applyAlignment="1">
      <alignment vertical="center" wrapText="1"/>
    </xf>
    <xf numFmtId="0" fontId="29" fillId="0" borderId="0" xfId="0" applyFont="1" applyAlignment="1">
      <alignment wrapText="1"/>
    </xf>
    <xf numFmtId="168" fontId="27" fillId="3" borderId="0" xfId="0" applyNumberFormat="1" applyFont="1" applyFill="1" applyAlignment="1">
      <alignment horizontal="center" wrapText="1"/>
    </xf>
    <xf numFmtId="0" fontId="29" fillId="0" borderId="0" xfId="0" applyFont="1" applyAlignment="1">
      <alignment horizontal="center" wrapText="1"/>
    </xf>
    <xf numFmtId="0" fontId="57" fillId="13" borderId="0" xfId="0" applyFont="1" applyFill="1" applyAlignment="1">
      <alignment horizontal="center" vertical="center"/>
    </xf>
    <xf numFmtId="44" fontId="57" fillId="13" borderId="0" xfId="17" applyFont="1" applyFill="1" applyAlignment="1">
      <alignment horizontal="center" vertical="center"/>
    </xf>
    <xf numFmtId="44" fontId="0" fillId="0" borderId="0" xfId="17" applyFont="1"/>
    <xf numFmtId="0" fontId="29" fillId="11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14" fontId="0" fillId="0" borderId="0" xfId="0" applyNumberFormat="1"/>
    <xf numFmtId="49" fontId="0" fillId="0" borderId="0" xfId="0" applyNumberFormat="1"/>
    <xf numFmtId="0" fontId="49" fillId="17" borderId="0" xfId="7" quotePrefix="1" applyFont="1" applyFill="1" applyAlignment="1">
      <alignment vertical="center"/>
    </xf>
    <xf numFmtId="0" fontId="29" fillId="0" borderId="0" xfId="0" applyFont="1" applyAlignment="1">
      <alignment horizontal="center" vertical="center"/>
    </xf>
    <xf numFmtId="11" fontId="0" fillId="0" borderId="0" xfId="0" applyNumberFormat="1"/>
    <xf numFmtId="0" fontId="5" fillId="0" borderId="55" xfId="8" applyFont="1" applyFill="1" applyBorder="1" applyAlignment="1">
      <alignment horizontal="left" vertical="center" wrapText="1"/>
    </xf>
    <xf numFmtId="49" fontId="0" fillId="0" borderId="0" xfId="0" quotePrefix="1" applyNumberFormat="1"/>
    <xf numFmtId="0" fontId="3" fillId="20" borderId="1" xfId="8" applyFont="1" applyFill="1" applyBorder="1" applyAlignment="1">
      <alignment horizontal="center" vertical="center" wrapText="1"/>
    </xf>
    <xf numFmtId="0" fontId="3" fillId="20" borderId="2" xfId="8" applyFont="1" applyFill="1" applyBorder="1" applyAlignment="1">
      <alignment horizontal="center" vertical="center" wrapText="1"/>
    </xf>
    <xf numFmtId="166" fontId="3" fillId="20" borderId="2" xfId="8" applyNumberFormat="1" applyFont="1" applyFill="1" applyBorder="1" applyAlignment="1">
      <alignment horizontal="center" vertical="center" wrapText="1"/>
    </xf>
    <xf numFmtId="10" fontId="3" fillId="20" borderId="2" xfId="8" applyNumberFormat="1" applyFont="1" applyFill="1" applyBorder="1" applyAlignment="1">
      <alignment horizontal="center" vertical="center" wrapText="1"/>
    </xf>
    <xf numFmtId="166" fontId="3" fillId="20" borderId="6" xfId="8" applyNumberFormat="1" applyFont="1" applyFill="1" applyBorder="1" applyAlignment="1">
      <alignment horizontal="center" vertical="center" wrapText="1"/>
    </xf>
    <xf numFmtId="166" fontId="3" fillId="20" borderId="7" xfId="8" applyNumberFormat="1" applyFont="1" applyFill="1" applyBorder="1" applyAlignment="1">
      <alignment horizontal="center" vertical="center" wrapText="1"/>
    </xf>
    <xf numFmtId="166" fontId="3" fillId="20" borderId="90" xfId="8" applyNumberFormat="1" applyFont="1" applyFill="1" applyBorder="1" applyAlignment="1">
      <alignment horizontal="center" vertical="center" wrapText="1"/>
    </xf>
    <xf numFmtId="166" fontId="3" fillId="20" borderId="80" xfId="8" applyNumberFormat="1" applyFont="1" applyFill="1" applyBorder="1" applyAlignment="1">
      <alignment horizontal="center" vertical="center" wrapText="1"/>
    </xf>
    <xf numFmtId="0" fontId="29" fillId="0" borderId="66" xfId="0" applyFont="1" applyBorder="1" applyAlignment="1">
      <alignment horizontal="center"/>
    </xf>
    <xf numFmtId="0" fontId="29" fillId="0" borderId="95" xfId="0" applyFont="1" applyBorder="1" applyAlignment="1">
      <alignment horizontal="center"/>
    </xf>
    <xf numFmtId="0" fontId="29" fillId="0" borderId="96" xfId="0" applyFont="1" applyBorder="1" applyAlignment="1">
      <alignment horizontal="center"/>
    </xf>
    <xf numFmtId="0" fontId="29" fillId="0" borderId="82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/>
    </xf>
    <xf numFmtId="0" fontId="29" fillId="0" borderId="3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3" fillId="0" borderId="85" xfId="8" applyFont="1" applyFill="1" applyBorder="1" applyAlignment="1">
      <alignment horizontal="left" vertical="center" wrapText="1"/>
    </xf>
    <xf numFmtId="0" fontId="3" fillId="0" borderId="9" xfId="8" applyFont="1" applyFill="1" applyBorder="1" applyAlignment="1">
      <alignment horizontal="left" vertical="center" wrapText="1"/>
    </xf>
    <xf numFmtId="0" fontId="3" fillId="0" borderId="86" xfId="8" applyFont="1" applyFill="1" applyBorder="1" applyAlignment="1">
      <alignment horizontal="left" vertical="center" wrapText="1"/>
    </xf>
    <xf numFmtId="0" fontId="3" fillId="0" borderId="87" xfId="8" applyFont="1" applyFill="1" applyBorder="1" applyAlignment="1">
      <alignment horizontal="left" vertical="center" wrapText="1"/>
    </xf>
    <xf numFmtId="0" fontId="3" fillId="0" borderId="10" xfId="8" applyFont="1" applyFill="1" applyBorder="1" applyAlignment="1">
      <alignment horizontal="left" vertical="center" wrapText="1"/>
    </xf>
    <xf numFmtId="0" fontId="3" fillId="0" borderId="88" xfId="8" applyFont="1" applyFill="1" applyBorder="1" applyAlignment="1">
      <alignment horizontal="left" vertical="center" wrapText="1"/>
    </xf>
    <xf numFmtId="0" fontId="42" fillId="0" borderId="0" xfId="0" applyFont="1" applyAlignment="1">
      <alignment horizontal="center" wrapText="1"/>
    </xf>
    <xf numFmtId="0" fontId="43" fillId="11" borderId="0" xfId="0" applyFont="1" applyFill="1" applyAlignment="1">
      <alignment horizontal="left" wrapText="1"/>
    </xf>
    <xf numFmtId="0" fontId="44" fillId="11" borderId="0" xfId="0" applyFont="1" applyFill="1" applyAlignment="1">
      <alignment horizontal="left" wrapText="1"/>
    </xf>
    <xf numFmtId="0" fontId="5" fillId="0" borderId="54" xfId="8" applyFont="1" applyFill="1" applyBorder="1" applyAlignment="1">
      <alignment horizontal="left" vertical="center" wrapText="1"/>
    </xf>
    <xf numFmtId="0" fontId="5" fillId="0" borderId="64" xfId="8" applyFont="1" applyFill="1" applyBorder="1" applyAlignment="1">
      <alignment horizontal="left" vertical="center" wrapText="1"/>
    </xf>
    <xf numFmtId="0" fontId="5" fillId="0" borderId="73" xfId="8" applyFont="1" applyFill="1" applyBorder="1" applyAlignment="1">
      <alignment horizontal="left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5" fillId="0" borderId="39" xfId="8" applyFont="1" applyFill="1" applyBorder="1" applyAlignment="1">
      <alignment horizontal="left" vertical="center" wrapText="1"/>
    </xf>
    <xf numFmtId="0" fontId="5" fillId="0" borderId="35" xfId="8" applyFont="1" applyFill="1" applyBorder="1" applyAlignment="1">
      <alignment horizontal="left" vertical="center" wrapText="1"/>
    </xf>
    <xf numFmtId="0" fontId="5" fillId="0" borderId="55" xfId="8" applyFont="1" applyFill="1" applyBorder="1" applyAlignment="1">
      <alignment horizontal="left" vertical="center" wrapText="1"/>
    </xf>
    <xf numFmtId="0" fontId="5" fillId="0" borderId="57" xfId="8" applyFont="1" applyFill="1" applyBorder="1" applyAlignment="1">
      <alignment horizontal="left" vertical="center" wrapText="1"/>
    </xf>
    <xf numFmtId="0" fontId="29" fillId="0" borderId="56" xfId="0" applyFont="1" applyBorder="1" applyAlignment="1">
      <alignment horizontal="left" vertical="center" wrapText="1"/>
    </xf>
    <xf numFmtId="0" fontId="29" fillId="0" borderId="58" xfId="0" applyFont="1" applyBorder="1" applyAlignment="1">
      <alignment horizontal="left" vertical="center" wrapText="1"/>
    </xf>
    <xf numFmtId="0" fontId="23" fillId="6" borderId="0" xfId="0" applyFont="1" applyFill="1" applyAlignment="1">
      <alignment horizontal="center" vertical="center" wrapText="1"/>
    </xf>
    <xf numFmtId="0" fontId="29" fillId="0" borderId="89" xfId="0" applyFont="1" applyBorder="1" applyAlignment="1">
      <alignment horizontal="center"/>
    </xf>
    <xf numFmtId="0" fontId="29" fillId="0" borderId="79" xfId="0" applyFont="1" applyBorder="1" applyAlignment="1">
      <alignment horizontal="center"/>
    </xf>
    <xf numFmtId="164" fontId="0" fillId="0" borderId="0" xfId="19" applyFont="1"/>
    <xf numFmtId="166" fontId="4" fillId="0" borderId="4" xfId="8" applyNumberFormat="1" applyFont="1" applyFill="1" applyBorder="1" applyAlignment="1">
      <alignment vertical="center" wrapText="1"/>
    </xf>
  </cellXfs>
  <cellStyles count="20">
    <cellStyle name="0,0_x000a__x000a_NA_x000a__x000a_" xfId="1"/>
    <cellStyle name="0,0_x000d__x000a_NA_x000d__x000a_" xfId="2"/>
    <cellStyle name="Currency 102" xfId="3"/>
    <cellStyle name="Currency 2 2 3" xfId="12"/>
    <cellStyle name="Currency 2 9" xfId="16"/>
    <cellStyle name="Estilo 1" xfId="4"/>
    <cellStyle name="Hipervínculo" xfId="13" builtinId="8"/>
    <cellStyle name="Millares" xfId="5" builtinId="3"/>
    <cellStyle name="Millares [0]" xfId="19" builtinId="6"/>
    <cellStyle name="Moneda" xfId="17" builtinId="4"/>
    <cellStyle name="Moneda [0] 3" xfId="6"/>
    <cellStyle name="Normal" xfId="0" builtinId="0"/>
    <cellStyle name="Normal 10 2 2 3" xfId="7"/>
    <cellStyle name="Normal 117 3 2" xfId="14"/>
    <cellStyle name="Normal 2" xfId="15"/>
    <cellStyle name="Normal 3" xfId="8"/>
    <cellStyle name="Normal 421" xfId="18"/>
    <cellStyle name="Normal_Book4" xfId="9"/>
    <cellStyle name="Porcentaje" xfId="10" builtinId="5"/>
    <cellStyle name="Style 1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4"/>
  <sheetViews>
    <sheetView tabSelected="1" zoomScale="120" zoomScaleNormal="120" zoomScalePageLayoutView="120" workbookViewId="0">
      <selection activeCell="B8" sqref="B8"/>
    </sheetView>
  </sheetViews>
  <sheetFormatPr baseColWidth="10" defaultRowHeight="15"/>
  <cols>
    <col min="2" max="2" width="14.42578125" customWidth="1"/>
    <col min="3" max="3" width="36.140625" customWidth="1"/>
    <col min="18" max="18" width="16.28515625" customWidth="1"/>
  </cols>
  <sheetData>
    <row r="1" spans="1:23">
      <c r="A1" s="184" t="s">
        <v>3164</v>
      </c>
      <c r="B1" s="185">
        <v>42425</v>
      </c>
      <c r="C1" s="1"/>
      <c r="D1" s="2"/>
      <c r="E1" s="2"/>
      <c r="F1" s="2"/>
      <c r="G1" s="2"/>
      <c r="H1" s="2"/>
      <c r="I1" s="2"/>
      <c r="J1" s="3"/>
      <c r="K1" s="2"/>
      <c r="L1" s="1"/>
      <c r="M1" s="1"/>
      <c r="N1" s="1"/>
      <c r="O1" s="1"/>
      <c r="P1" s="1"/>
      <c r="Q1" s="167"/>
      <c r="R1" s="168"/>
      <c r="S1" s="1"/>
      <c r="T1" s="1"/>
      <c r="U1" s="1"/>
      <c r="V1" s="1"/>
    </row>
    <row r="2" spans="1:23">
      <c r="A2" s="184" t="s">
        <v>8490</v>
      </c>
      <c r="B2" s="320" t="s">
        <v>14041</v>
      </c>
      <c r="C2" s="11"/>
      <c r="D2" s="1"/>
      <c r="E2" s="1"/>
      <c r="F2" s="1"/>
      <c r="G2" s="1"/>
      <c r="H2" s="1"/>
      <c r="I2" s="1"/>
      <c r="J2" s="1"/>
      <c r="K2" s="1"/>
      <c r="L2" s="1"/>
      <c r="M2" s="178">
        <v>0.13</v>
      </c>
      <c r="N2" s="4"/>
      <c r="O2" s="1"/>
      <c r="P2" s="1"/>
      <c r="Q2" s="183">
        <v>0</v>
      </c>
      <c r="R2" s="1"/>
      <c r="S2" s="1"/>
      <c r="T2" s="1"/>
      <c r="U2" s="1"/>
      <c r="V2" s="1"/>
    </row>
    <row r="3" spans="1:23" ht="57" thickBot="1">
      <c r="A3" s="328" t="s">
        <v>256</v>
      </c>
      <c r="B3" s="328" t="s">
        <v>0</v>
      </c>
      <c r="C3" s="329" t="s">
        <v>1362</v>
      </c>
      <c r="D3" s="329" t="s">
        <v>1</v>
      </c>
      <c r="E3" s="330" t="s">
        <v>2</v>
      </c>
      <c r="F3" s="330" t="s">
        <v>3</v>
      </c>
      <c r="G3" s="330" t="s">
        <v>219</v>
      </c>
      <c r="H3" s="330" t="s">
        <v>4</v>
      </c>
      <c r="I3" s="330" t="s">
        <v>1360</v>
      </c>
      <c r="J3" s="331" t="s">
        <v>220</v>
      </c>
      <c r="K3" s="330" t="s">
        <v>218</v>
      </c>
      <c r="L3" s="330" t="s">
        <v>5</v>
      </c>
      <c r="M3" s="330" t="s">
        <v>6</v>
      </c>
      <c r="N3" s="330" t="s">
        <v>7</v>
      </c>
      <c r="O3" s="330" t="s">
        <v>8</v>
      </c>
      <c r="P3" s="331" t="s">
        <v>9</v>
      </c>
      <c r="Q3" s="332" t="s">
        <v>244</v>
      </c>
      <c r="R3" s="333" t="s">
        <v>11</v>
      </c>
      <c r="S3" s="333" t="s">
        <v>13</v>
      </c>
      <c r="T3" s="333" t="s">
        <v>14051</v>
      </c>
      <c r="U3" s="333" t="s">
        <v>2352</v>
      </c>
      <c r="V3" s="334" t="s">
        <v>1363</v>
      </c>
      <c r="W3" s="335" t="s">
        <v>8476</v>
      </c>
    </row>
    <row r="4" spans="1:23" ht="33.75">
      <c r="A4" s="55" t="s">
        <v>14043</v>
      </c>
      <c r="B4" s="5" t="s">
        <v>14044</v>
      </c>
      <c r="C4" s="6" t="s">
        <v>14045</v>
      </c>
      <c r="D4" s="7">
        <v>233</v>
      </c>
      <c r="E4" s="40" t="s">
        <v>74</v>
      </c>
      <c r="F4" s="40" t="str">
        <f t="shared" ref="F4:F17" si="0">IF(AND(ISNUMBER(D4),ISNUMBER(E4)),D4*E4,"")</f>
        <v/>
      </c>
      <c r="G4" s="88" t="s">
        <v>179</v>
      </c>
      <c r="H4" s="40" t="str">
        <f t="shared" ref="H4:H17" si="1">IF(ISNUMBER(E4*(1-G4)),E4*(1-G4),IF(ISNUMBER(VLOOKUP(B4,ListaPreciosSystemX,4,FALSE)),VLOOKUP(B4,ListaPreciosSystemX,4,FALSE),""))</f>
        <v/>
      </c>
      <c r="I4" s="40" t="str">
        <f t="shared" ref="I4:I17" si="2">IF(ISNUMBER(H4*D4),D4*H4,"")</f>
        <v/>
      </c>
      <c r="J4" s="88" t="s">
        <v>179</v>
      </c>
      <c r="K4" s="45" t="str">
        <f t="shared" ref="K4:K17" si="3">IF(AND(ISNUMBER(E4),ISNUMBER(J4)),E4*(1-J4),IF(AND(ISNUMBER(H4),ISNUMBER(J4)),H4*(1-J4),""))</f>
        <v/>
      </c>
      <c r="L4" s="46">
        <v>875</v>
      </c>
      <c r="M4" s="46">
        <f t="shared" ref="M4:M17" si="4">IF(ISNUMBER(L4),L4*$M$2,"")</f>
        <v>113.75</v>
      </c>
      <c r="N4" s="46">
        <f t="shared" ref="N4:N17" si="5">IF(AND(ISNUMBER(L4),ISNUMBER(M4)),L4+M4,"")</f>
        <v>988.75</v>
      </c>
      <c r="O4" s="40">
        <f t="shared" ref="O4:O17" si="6">IF(ISNUMBER(D4),IF(AND(ISNUMBER(K4),ISNUMBER(N4)),D4*(K4+N4),IF(AND(ISNUMBER(K4),NOT(ISNUMBER(N4))),D4*K4,IF(AND(NOT(ISNUMBER(K4)),ISNUMBER(N4)),D4*N4,""))),"")</f>
        <v>230378.75</v>
      </c>
      <c r="P4" s="89">
        <v>0.1</v>
      </c>
      <c r="Q4" s="45">
        <f t="shared" ref="Q4:Q17" si="7">IF(ISNUMBER($Q$2),IF(ISNUMBER(P4),IF(AND(ISNUMBER(K4),ISNUMBER(N4)),ROUND((K4+N4)/(1-P4),$Q$2),IF(AND(ISNUMBER(K4),NOT(ISNUMBER(N4))),ROUND(K4/(1-P4),$Q$2),IF(AND(NOT(ISNUMBER(K4)),ISNUMBER(N4)),ROUND(N4/(1-P4),$Q$2),""))),""),IF(ISNUMBER(P4),IF(AND(ISNUMBER(K4),ISNUMBER(N4)),ROUND((K4+N4)/(1-P4),0),IF(AND(ISNUMBER(K4),NOT(ISNUMBER(N4))),ROUND(K4/(1-P4),0),IF(AND(NOT(ISNUMBER(K4)),ISNUMBER(N4)),ROUND(N4/(1-P4),0),""))),""))</f>
        <v>1099</v>
      </c>
      <c r="R4" s="45">
        <f t="shared" ref="R4:R17" si="8">IF(AND(ISNUMBER(Q4),ISNUMBER(D4)),Q4*D4,"")</f>
        <v>256067</v>
      </c>
      <c r="S4" s="90" t="s">
        <v>14049</v>
      </c>
      <c r="T4" s="90">
        <f>SUM(R4:R7)/D4</f>
        <v>1196</v>
      </c>
      <c r="U4" s="171"/>
      <c r="V4" s="251" t="str">
        <f t="shared" ref="V4:V17" si="9">IF(AND(ISTEXT(B4),ISNUMBER(E4),ISNUMBER(G4),ISNUMBER(J4),T4="",LEFT(B4,3)&lt;&gt;"ING"),IF(J4&gt;G4,"Debe contar con un código de Special Bid.",""),IF(LEFT(B4,3)="ING",IF(AND((F4-R4)/F4&gt;20%,T4=""),"Para poder utilizar un descuento de servicios superior al 20%, debe contar con una aprobación del Gerente de Servicios.",""),""))</f>
        <v/>
      </c>
      <c r="W4" s="254"/>
    </row>
    <row r="5" spans="1:23">
      <c r="A5" s="55"/>
      <c r="B5" s="5"/>
      <c r="C5" s="6" t="s">
        <v>14046</v>
      </c>
      <c r="D5" s="7">
        <v>233</v>
      </c>
      <c r="E5" s="40" t="s">
        <v>74</v>
      </c>
      <c r="F5" s="40" t="str">
        <f t="shared" si="0"/>
        <v/>
      </c>
      <c r="G5" s="88" t="str">
        <f t="shared" ref="G5:G17" si="10">IF(AND(LEN(B5)&gt;0,ISNUMBER(FIND("-",B5))),IF(ISNUMBER(VLOOKUP(B5,Exhibits,5,FALSE)),VLOOKUP(B5,Exhibits,5,FALSE),IF(ISNUMBER(VLOOKUP(LEFT(B5,4),Exhibits,5,FALSE)),VLOOKUP(LEFT(B5,4),Exhibits,5,FALSE),IF(AND(ISNUMBER(VLOOKUP(LEFT(B5,4),ExhibitsPorTipo,4,FALSE)),OR(VLOOKUP(LEFT(B5,4),ExhibitsPorTipo,2,FALSE)="",VLOOKUP(LEFT(B5,4),ExhibitsPorTipo,2,FALSE)="XXX")),VLOOKUP(LEFT(B5,4),ExhibitsPorTipo,4,FALSE),""))),IF(LEFT(B5,3)="ING",40%,""))</f>
        <v/>
      </c>
      <c r="H5" s="40" t="str">
        <f t="shared" si="1"/>
        <v/>
      </c>
      <c r="I5" s="40" t="str">
        <f t="shared" si="2"/>
        <v/>
      </c>
      <c r="J5" s="88" t="str">
        <f t="shared" ref="J5:J17" si="11">IF(ISNUMBER(G5),G5,IF(ISTEXT(B5),0%,""))</f>
        <v/>
      </c>
      <c r="K5" s="45" t="str">
        <f t="shared" si="3"/>
        <v/>
      </c>
      <c r="L5" s="46">
        <v>25</v>
      </c>
      <c r="M5" s="46">
        <f t="shared" si="4"/>
        <v>3.25</v>
      </c>
      <c r="N5" s="46">
        <f t="shared" si="5"/>
        <v>28.25</v>
      </c>
      <c r="O5" s="40">
        <f t="shared" si="6"/>
        <v>6582.25</v>
      </c>
      <c r="P5" s="89">
        <v>0.1</v>
      </c>
      <c r="Q5" s="45">
        <f t="shared" si="7"/>
        <v>31</v>
      </c>
      <c r="R5" s="45">
        <f t="shared" si="8"/>
        <v>7223</v>
      </c>
      <c r="S5" s="90" t="s">
        <v>14049</v>
      </c>
      <c r="T5" s="90"/>
      <c r="U5" s="171"/>
      <c r="V5" s="251" t="str">
        <f t="shared" si="9"/>
        <v/>
      </c>
      <c r="W5" s="254"/>
    </row>
    <row r="6" spans="1:23">
      <c r="A6" s="55"/>
      <c r="B6" s="5"/>
      <c r="C6" s="6" t="s">
        <v>14047</v>
      </c>
      <c r="D6" s="7">
        <v>233</v>
      </c>
      <c r="E6" s="40" t="s">
        <v>74</v>
      </c>
      <c r="F6" s="40" t="str">
        <f t="shared" si="0"/>
        <v/>
      </c>
      <c r="G6" s="88" t="str">
        <f t="shared" si="10"/>
        <v/>
      </c>
      <c r="H6" s="40" t="str">
        <f t="shared" si="1"/>
        <v/>
      </c>
      <c r="I6" s="40" t="str">
        <f t="shared" si="2"/>
        <v/>
      </c>
      <c r="J6" s="88" t="str">
        <f t="shared" si="11"/>
        <v/>
      </c>
      <c r="K6" s="45" t="str">
        <f t="shared" si="3"/>
        <v/>
      </c>
      <c r="L6" s="46">
        <v>38</v>
      </c>
      <c r="M6" s="46">
        <f t="shared" si="4"/>
        <v>4.9400000000000004</v>
      </c>
      <c r="N6" s="46">
        <f t="shared" si="5"/>
        <v>42.94</v>
      </c>
      <c r="O6" s="40">
        <f t="shared" si="6"/>
        <v>10005.019999999999</v>
      </c>
      <c r="P6" s="89">
        <v>0.1</v>
      </c>
      <c r="Q6" s="45">
        <f t="shared" si="7"/>
        <v>48</v>
      </c>
      <c r="R6" s="45">
        <f t="shared" si="8"/>
        <v>11184</v>
      </c>
      <c r="S6" s="90" t="s">
        <v>14049</v>
      </c>
      <c r="T6" s="90"/>
      <c r="U6" s="171"/>
      <c r="V6" s="251" t="str">
        <f t="shared" si="9"/>
        <v/>
      </c>
      <c r="W6" s="254"/>
    </row>
    <row r="7" spans="1:23">
      <c r="A7" s="55"/>
      <c r="B7" s="5"/>
      <c r="C7" s="6" t="s">
        <v>14048</v>
      </c>
      <c r="D7" s="7">
        <v>233</v>
      </c>
      <c r="E7" s="40">
        <f>SUM(O4:O6)/D4*1.5%</f>
        <v>15.899100000000001</v>
      </c>
      <c r="F7" s="40">
        <f t="shared" si="0"/>
        <v>3704.4902999999999</v>
      </c>
      <c r="G7" s="88">
        <v>0</v>
      </c>
      <c r="H7" s="40">
        <f t="shared" si="1"/>
        <v>15.899100000000001</v>
      </c>
      <c r="I7" s="40">
        <f t="shared" si="2"/>
        <v>3704.4902999999999</v>
      </c>
      <c r="J7" s="88">
        <f t="shared" si="11"/>
        <v>0</v>
      </c>
      <c r="K7" s="45">
        <f t="shared" si="3"/>
        <v>15.899100000000001</v>
      </c>
      <c r="L7" s="46"/>
      <c r="M7" s="46" t="str">
        <f t="shared" si="4"/>
        <v/>
      </c>
      <c r="N7" s="46" t="str">
        <f t="shared" si="5"/>
        <v/>
      </c>
      <c r="O7" s="40">
        <f t="shared" si="6"/>
        <v>3704.4902999999999</v>
      </c>
      <c r="P7" s="89">
        <v>0.1</v>
      </c>
      <c r="Q7" s="45">
        <f t="shared" si="7"/>
        <v>18</v>
      </c>
      <c r="R7" s="45">
        <f t="shared" si="8"/>
        <v>4194</v>
      </c>
      <c r="S7" s="90" t="s">
        <v>14050</v>
      </c>
      <c r="T7" s="90"/>
      <c r="U7" s="171"/>
      <c r="V7" s="251" t="str">
        <f t="shared" si="9"/>
        <v/>
      </c>
      <c r="W7" s="254"/>
    </row>
    <row r="8" spans="1:23" ht="22.5">
      <c r="A8" s="55" t="s">
        <v>14043</v>
      </c>
      <c r="B8" s="5" t="s">
        <v>14053</v>
      </c>
      <c r="C8" s="6" t="s">
        <v>14052</v>
      </c>
      <c r="D8" s="7">
        <v>103</v>
      </c>
      <c r="E8" s="40" t="s">
        <v>74</v>
      </c>
      <c r="F8" s="40" t="str">
        <f t="shared" si="0"/>
        <v/>
      </c>
      <c r="G8" s="88" t="e">
        <f t="shared" si="10"/>
        <v>#NAME?</v>
      </c>
      <c r="H8" s="370" t="str">
        <f t="shared" si="1"/>
        <v/>
      </c>
      <c r="I8" s="40" t="str">
        <f t="shared" si="2"/>
        <v/>
      </c>
      <c r="J8" s="88">
        <f t="shared" si="11"/>
        <v>0</v>
      </c>
      <c r="K8" s="45" t="str">
        <f t="shared" si="3"/>
        <v/>
      </c>
      <c r="L8" s="46">
        <v>44</v>
      </c>
      <c r="M8" s="46">
        <f t="shared" si="4"/>
        <v>5.7200000000000006</v>
      </c>
      <c r="N8" s="46">
        <f t="shared" si="5"/>
        <v>49.72</v>
      </c>
      <c r="O8" s="40">
        <f t="shared" si="6"/>
        <v>5121.16</v>
      </c>
      <c r="P8" s="89">
        <v>0.17</v>
      </c>
      <c r="Q8" s="45">
        <f t="shared" si="7"/>
        <v>60</v>
      </c>
      <c r="R8" s="45">
        <f t="shared" si="8"/>
        <v>6180</v>
      </c>
      <c r="S8" s="90" t="s">
        <v>14049</v>
      </c>
      <c r="T8" s="90">
        <f>SUM(R8:R9)/D8</f>
        <v>61</v>
      </c>
      <c r="U8" s="171"/>
      <c r="V8" s="251" t="str">
        <f t="shared" si="9"/>
        <v/>
      </c>
      <c r="W8" s="254"/>
    </row>
    <row r="9" spans="1:23">
      <c r="A9" s="55"/>
      <c r="B9" s="5"/>
      <c r="C9" s="6" t="s">
        <v>14048</v>
      </c>
      <c r="D9" s="7">
        <v>103</v>
      </c>
      <c r="E9" s="40">
        <f>O8/D8*2%</f>
        <v>0.99439999999999995</v>
      </c>
      <c r="F9" s="40">
        <f t="shared" si="0"/>
        <v>102.42319999999999</v>
      </c>
      <c r="G9" s="88">
        <v>0</v>
      </c>
      <c r="H9" s="40">
        <f t="shared" si="1"/>
        <v>0.99439999999999995</v>
      </c>
      <c r="I9" s="40">
        <f t="shared" si="2"/>
        <v>102.42319999999999</v>
      </c>
      <c r="J9" s="88">
        <f t="shared" si="11"/>
        <v>0</v>
      </c>
      <c r="K9" s="45">
        <f t="shared" si="3"/>
        <v>0.99439999999999995</v>
      </c>
      <c r="L9" s="46" t="s">
        <v>179</v>
      </c>
      <c r="M9" s="46" t="str">
        <f t="shared" si="4"/>
        <v/>
      </c>
      <c r="N9" s="46" t="str">
        <f t="shared" si="5"/>
        <v/>
      </c>
      <c r="O9" s="40">
        <f t="shared" si="6"/>
        <v>102.42319999999999</v>
      </c>
      <c r="P9" s="89">
        <v>0.2</v>
      </c>
      <c r="Q9" s="45">
        <f t="shared" si="7"/>
        <v>1</v>
      </c>
      <c r="R9" s="45">
        <f t="shared" si="8"/>
        <v>103</v>
      </c>
      <c r="S9" s="90" t="s">
        <v>14050</v>
      </c>
      <c r="T9" s="90"/>
      <c r="U9" s="171"/>
      <c r="V9" s="251" t="str">
        <f t="shared" si="9"/>
        <v/>
      </c>
      <c r="W9" s="254"/>
    </row>
    <row r="10" spans="1:23">
      <c r="A10" s="55" t="s">
        <v>179</v>
      </c>
      <c r="B10" s="5" t="s">
        <v>179</v>
      </c>
      <c r="C10" s="6" t="s">
        <v>179</v>
      </c>
      <c r="D10" s="7" t="s">
        <v>179</v>
      </c>
      <c r="E10" s="40" t="s">
        <v>74</v>
      </c>
      <c r="F10" s="40" t="str">
        <f t="shared" si="0"/>
        <v/>
      </c>
      <c r="G10" s="88" t="str">
        <f t="shared" si="10"/>
        <v/>
      </c>
      <c r="H10" s="40" t="str">
        <f t="shared" si="1"/>
        <v/>
      </c>
      <c r="I10" s="40" t="str">
        <f t="shared" si="2"/>
        <v/>
      </c>
      <c r="J10" s="88" t="s">
        <v>179</v>
      </c>
      <c r="K10" s="45" t="str">
        <f t="shared" si="3"/>
        <v/>
      </c>
      <c r="L10" s="46" t="s">
        <v>179</v>
      </c>
      <c r="M10" s="46" t="str">
        <f t="shared" si="4"/>
        <v/>
      </c>
      <c r="N10" s="46" t="str">
        <f t="shared" si="5"/>
        <v/>
      </c>
      <c r="O10" s="40" t="str">
        <f t="shared" si="6"/>
        <v/>
      </c>
      <c r="P10" s="89" t="s">
        <v>179</v>
      </c>
      <c r="Q10" s="45" t="str">
        <f t="shared" si="7"/>
        <v/>
      </c>
      <c r="R10" s="45" t="str">
        <f t="shared" si="8"/>
        <v/>
      </c>
      <c r="S10" s="90" t="s">
        <v>179</v>
      </c>
      <c r="T10" s="90" t="s">
        <v>179</v>
      </c>
      <c r="U10" s="171"/>
      <c r="V10" s="251" t="str">
        <f t="shared" si="9"/>
        <v/>
      </c>
      <c r="W10" s="254"/>
    </row>
    <row r="11" spans="1:23">
      <c r="A11" s="55"/>
      <c r="B11" s="5"/>
      <c r="C11" s="6" t="s">
        <v>179</v>
      </c>
      <c r="D11" s="7" t="s">
        <v>179</v>
      </c>
      <c r="E11" s="40" t="s">
        <v>179</v>
      </c>
      <c r="F11" s="40" t="str">
        <f t="shared" si="0"/>
        <v/>
      </c>
      <c r="G11" s="88" t="s">
        <v>179</v>
      </c>
      <c r="H11" s="40" t="str">
        <f t="shared" si="1"/>
        <v/>
      </c>
      <c r="I11" s="40" t="str">
        <f t="shared" si="2"/>
        <v/>
      </c>
      <c r="J11" s="88" t="str">
        <f t="shared" si="11"/>
        <v/>
      </c>
      <c r="K11" s="45" t="str">
        <f t="shared" si="3"/>
        <v/>
      </c>
      <c r="L11" s="46"/>
      <c r="M11" s="46" t="str">
        <f t="shared" si="4"/>
        <v/>
      </c>
      <c r="N11" s="46" t="str">
        <f t="shared" si="5"/>
        <v/>
      </c>
      <c r="O11" s="40" t="str">
        <f t="shared" si="6"/>
        <v/>
      </c>
      <c r="P11" s="89" t="s">
        <v>179</v>
      </c>
      <c r="Q11" s="45" t="str">
        <f t="shared" si="7"/>
        <v/>
      </c>
      <c r="R11" s="45" t="str">
        <f t="shared" si="8"/>
        <v/>
      </c>
      <c r="S11" s="90" t="s">
        <v>179</v>
      </c>
      <c r="T11" s="90"/>
      <c r="U11" s="171"/>
      <c r="V11" s="251" t="str">
        <f t="shared" si="9"/>
        <v/>
      </c>
      <c r="W11" s="254"/>
    </row>
    <row r="12" spans="1:23">
      <c r="A12" s="55" t="s">
        <v>179</v>
      </c>
      <c r="B12" s="5" t="s">
        <v>179</v>
      </c>
      <c r="C12" s="6" t="s">
        <v>179</v>
      </c>
      <c r="D12" s="7" t="s">
        <v>179</v>
      </c>
      <c r="E12" s="40" t="s">
        <v>74</v>
      </c>
      <c r="F12" s="40" t="str">
        <f t="shared" si="0"/>
        <v/>
      </c>
      <c r="G12" s="88" t="str">
        <f t="shared" si="10"/>
        <v/>
      </c>
      <c r="H12" s="40" t="str">
        <f t="shared" si="1"/>
        <v/>
      </c>
      <c r="I12" s="40" t="str">
        <f t="shared" si="2"/>
        <v/>
      </c>
      <c r="J12" s="88" t="s">
        <v>179</v>
      </c>
      <c r="K12" s="45" t="str">
        <f t="shared" si="3"/>
        <v/>
      </c>
      <c r="L12" s="46" t="s">
        <v>179</v>
      </c>
      <c r="M12" s="46" t="str">
        <f t="shared" si="4"/>
        <v/>
      </c>
      <c r="N12" s="46" t="str">
        <f t="shared" si="5"/>
        <v/>
      </c>
      <c r="O12" s="40" t="str">
        <f t="shared" si="6"/>
        <v/>
      </c>
      <c r="P12" s="89" t="s">
        <v>179</v>
      </c>
      <c r="Q12" s="45" t="str">
        <f t="shared" si="7"/>
        <v/>
      </c>
      <c r="R12" s="45" t="str">
        <f t="shared" si="8"/>
        <v/>
      </c>
      <c r="S12" s="90" t="s">
        <v>179</v>
      </c>
      <c r="T12" s="90" t="s">
        <v>179</v>
      </c>
      <c r="U12" s="171"/>
      <c r="V12" s="251" t="str">
        <f t="shared" si="9"/>
        <v/>
      </c>
      <c r="W12" s="254"/>
    </row>
    <row r="13" spans="1:23">
      <c r="A13" s="55"/>
      <c r="B13" s="5"/>
      <c r="C13" s="6" t="s">
        <v>179</v>
      </c>
      <c r="D13" s="7" t="s">
        <v>179</v>
      </c>
      <c r="E13" s="40" t="s">
        <v>179</v>
      </c>
      <c r="F13" s="40" t="str">
        <f t="shared" si="0"/>
        <v/>
      </c>
      <c r="G13" s="88" t="s">
        <v>179</v>
      </c>
      <c r="H13" s="40" t="str">
        <f t="shared" si="1"/>
        <v/>
      </c>
      <c r="I13" s="40" t="str">
        <f t="shared" si="2"/>
        <v/>
      </c>
      <c r="J13" s="88" t="str">
        <f t="shared" si="11"/>
        <v/>
      </c>
      <c r="K13" s="45" t="str">
        <f t="shared" si="3"/>
        <v/>
      </c>
      <c r="L13" s="46"/>
      <c r="M13" s="46" t="str">
        <f t="shared" si="4"/>
        <v/>
      </c>
      <c r="N13" s="46" t="str">
        <f t="shared" si="5"/>
        <v/>
      </c>
      <c r="O13" s="40" t="str">
        <f t="shared" si="6"/>
        <v/>
      </c>
      <c r="P13" s="89" t="s">
        <v>179</v>
      </c>
      <c r="Q13" s="45" t="str">
        <f t="shared" si="7"/>
        <v/>
      </c>
      <c r="R13" s="45" t="str">
        <f t="shared" si="8"/>
        <v/>
      </c>
      <c r="S13" s="90" t="s">
        <v>179</v>
      </c>
      <c r="T13" s="90"/>
      <c r="U13" s="171"/>
      <c r="V13" s="251" t="str">
        <f t="shared" si="9"/>
        <v/>
      </c>
      <c r="W13" s="254"/>
    </row>
    <row r="14" spans="1:23">
      <c r="A14" s="55"/>
      <c r="B14" s="5"/>
      <c r="C14" s="6" t="str">
        <f t="shared" ref="C14:C17" si="12">IF(ISTEXT(VLOOKUP(B14,ListaPreciosSystemX,1,FALSE)),VLOOKUP(B14,ListaPreciosSystemX,2,FALSE),"")</f>
        <v/>
      </c>
      <c r="D14" s="7"/>
      <c r="E14" s="40" t="s">
        <v>74</v>
      </c>
      <c r="F14" s="40" t="str">
        <f t="shared" si="0"/>
        <v/>
      </c>
      <c r="G14" s="88" t="str">
        <f t="shared" si="10"/>
        <v/>
      </c>
      <c r="H14" s="40" t="str">
        <f t="shared" si="1"/>
        <v/>
      </c>
      <c r="I14" s="40" t="str">
        <f t="shared" si="2"/>
        <v/>
      </c>
      <c r="J14" s="88" t="str">
        <f t="shared" si="11"/>
        <v/>
      </c>
      <c r="K14" s="45" t="str">
        <f t="shared" si="3"/>
        <v/>
      </c>
      <c r="L14" s="46"/>
      <c r="M14" s="46" t="str">
        <f t="shared" si="4"/>
        <v/>
      </c>
      <c r="N14" s="46" t="str">
        <f t="shared" si="5"/>
        <v/>
      </c>
      <c r="O14" s="40" t="str">
        <f t="shared" si="6"/>
        <v/>
      </c>
      <c r="P14" s="89" t="str">
        <f t="shared" ref="P14:P17" si="13">IF(AND(ISNUMBER(J14),J14&gt;0),J14,IF(AND(ISNUMBER(J14),J14=0),20%,""))</f>
        <v/>
      </c>
      <c r="Q14" s="45" t="str">
        <f t="shared" si="7"/>
        <v/>
      </c>
      <c r="R14" s="45" t="str">
        <f t="shared" si="8"/>
        <v/>
      </c>
      <c r="S14" s="90"/>
      <c r="T14" s="90"/>
      <c r="U14" s="171"/>
      <c r="V14" s="251" t="str">
        <f t="shared" si="9"/>
        <v/>
      </c>
      <c r="W14" s="254"/>
    </row>
    <row r="15" spans="1:23">
      <c r="A15" s="55"/>
      <c r="B15" s="5"/>
      <c r="C15" s="6" t="str">
        <f t="shared" si="12"/>
        <v/>
      </c>
      <c r="D15" s="7"/>
      <c r="E15" s="40" t="s">
        <v>74</v>
      </c>
      <c r="F15" s="40" t="str">
        <f t="shared" si="0"/>
        <v/>
      </c>
      <c r="G15" s="88" t="str">
        <f t="shared" si="10"/>
        <v/>
      </c>
      <c r="H15" s="40" t="str">
        <f t="shared" si="1"/>
        <v/>
      </c>
      <c r="I15" s="40" t="str">
        <f t="shared" si="2"/>
        <v/>
      </c>
      <c r="J15" s="88" t="str">
        <f t="shared" si="11"/>
        <v/>
      </c>
      <c r="K15" s="45" t="str">
        <f t="shared" si="3"/>
        <v/>
      </c>
      <c r="L15" s="46"/>
      <c r="M15" s="46" t="str">
        <f t="shared" si="4"/>
        <v/>
      </c>
      <c r="N15" s="46" t="str">
        <f t="shared" si="5"/>
        <v/>
      </c>
      <c r="O15" s="40" t="str">
        <f t="shared" si="6"/>
        <v/>
      </c>
      <c r="P15" s="89" t="str">
        <f t="shared" si="13"/>
        <v/>
      </c>
      <c r="Q15" s="45" t="str">
        <f t="shared" si="7"/>
        <v/>
      </c>
      <c r="R15" s="45" t="str">
        <f t="shared" si="8"/>
        <v/>
      </c>
      <c r="S15" s="90"/>
      <c r="T15" s="90"/>
      <c r="U15" s="171"/>
      <c r="V15" s="251" t="str">
        <f t="shared" si="9"/>
        <v/>
      </c>
      <c r="W15" s="254"/>
    </row>
    <row r="16" spans="1:23">
      <c r="A16" s="55"/>
      <c r="B16" s="5"/>
      <c r="C16" s="6" t="str">
        <f t="shared" si="12"/>
        <v/>
      </c>
      <c r="D16" s="7"/>
      <c r="E16" s="40" t="s">
        <v>74</v>
      </c>
      <c r="F16" s="40" t="str">
        <f t="shared" si="0"/>
        <v/>
      </c>
      <c r="G16" s="88" t="str">
        <f t="shared" si="10"/>
        <v/>
      </c>
      <c r="H16" s="40" t="str">
        <f t="shared" si="1"/>
        <v/>
      </c>
      <c r="I16" s="40" t="str">
        <f t="shared" si="2"/>
        <v/>
      </c>
      <c r="J16" s="88" t="str">
        <f t="shared" si="11"/>
        <v/>
      </c>
      <c r="K16" s="45" t="str">
        <f t="shared" si="3"/>
        <v/>
      </c>
      <c r="L16" s="46"/>
      <c r="M16" s="46" t="str">
        <f t="shared" si="4"/>
        <v/>
      </c>
      <c r="N16" s="46" t="str">
        <f t="shared" si="5"/>
        <v/>
      </c>
      <c r="O16" s="40" t="str">
        <f t="shared" si="6"/>
        <v/>
      </c>
      <c r="P16" s="89" t="str">
        <f t="shared" si="13"/>
        <v/>
      </c>
      <c r="Q16" s="45" t="str">
        <f t="shared" si="7"/>
        <v/>
      </c>
      <c r="R16" s="45" t="str">
        <f t="shared" si="8"/>
        <v/>
      </c>
      <c r="S16" s="90"/>
      <c r="T16" s="90"/>
      <c r="U16" s="171"/>
      <c r="V16" s="251" t="str">
        <f t="shared" si="9"/>
        <v/>
      </c>
      <c r="W16" s="254"/>
    </row>
    <row r="17" spans="1:23">
      <c r="A17" s="55"/>
      <c r="B17" s="5"/>
      <c r="C17" s="6" t="str">
        <f t="shared" si="12"/>
        <v/>
      </c>
      <c r="D17" s="7"/>
      <c r="E17" s="40" t="s">
        <v>74</v>
      </c>
      <c r="F17" s="40" t="str">
        <f t="shared" si="0"/>
        <v/>
      </c>
      <c r="G17" s="88" t="str">
        <f t="shared" si="10"/>
        <v/>
      </c>
      <c r="H17" s="40" t="str">
        <f t="shared" si="1"/>
        <v/>
      </c>
      <c r="I17" s="40" t="str">
        <f t="shared" si="2"/>
        <v/>
      </c>
      <c r="J17" s="88" t="str">
        <f t="shared" si="11"/>
        <v/>
      </c>
      <c r="K17" s="45" t="str">
        <f t="shared" si="3"/>
        <v/>
      </c>
      <c r="L17" s="46"/>
      <c r="M17" s="46" t="str">
        <f t="shared" si="4"/>
        <v/>
      </c>
      <c r="N17" s="46" t="str">
        <f t="shared" si="5"/>
        <v/>
      </c>
      <c r="O17" s="40" t="str">
        <f t="shared" si="6"/>
        <v/>
      </c>
      <c r="P17" s="89" t="str">
        <f t="shared" si="13"/>
        <v/>
      </c>
      <c r="Q17" s="45" t="str">
        <f t="shared" si="7"/>
        <v/>
      </c>
      <c r="R17" s="45" t="str">
        <f t="shared" si="8"/>
        <v/>
      </c>
      <c r="S17" s="90"/>
      <c r="T17" s="90"/>
      <c r="U17" s="171"/>
      <c r="V17" s="251" t="str">
        <f t="shared" si="9"/>
        <v/>
      </c>
      <c r="W17" s="254"/>
    </row>
    <row r="18" spans="1:23">
      <c r="A18" s="55"/>
      <c r="B18" s="5"/>
      <c r="C18" s="6" t="str">
        <f t="shared" ref="C18:C19" si="14">IF(ISTEXT(VLOOKUP(B18,ListaPreciosSystemX,1,FALSE)),VLOOKUP(B18,ListaPreciosSystemX,2,FALSE),"")</f>
        <v/>
      </c>
      <c r="D18" s="7"/>
      <c r="E18" s="40" t="s">
        <v>74</v>
      </c>
      <c r="F18" s="40" t="str">
        <f t="shared" ref="F18:F19" si="15">IF(AND(ISNUMBER(D18),ISNUMBER(E18)),D18*E18,"")</f>
        <v/>
      </c>
      <c r="G18" s="88" t="str">
        <f t="shared" ref="G18:G19" si="16">IF(AND(LEN(B18)&gt;0,ISNUMBER(FIND("-",B18))),IF(ISNUMBER(VLOOKUP(B18,Exhibits,5,FALSE)),VLOOKUP(B18,Exhibits,5,FALSE),IF(ISNUMBER(VLOOKUP(LEFT(B18,4),Exhibits,5,FALSE)),VLOOKUP(LEFT(B18,4),Exhibits,5,FALSE),IF(AND(ISNUMBER(VLOOKUP(LEFT(B18,4),ExhibitsPorTipo,4,FALSE)),OR(VLOOKUP(LEFT(B18,4),ExhibitsPorTipo,2,FALSE)="",VLOOKUP(LEFT(B18,4),ExhibitsPorTipo,2,FALSE)="XXX")),VLOOKUP(LEFT(B18,4),ExhibitsPorTipo,4,FALSE),""))),IF(LEFT(B18,3)="ING",40%,""))</f>
        <v/>
      </c>
      <c r="H18" s="40" t="str">
        <f t="shared" ref="H18:H19" si="17">IF(ISNUMBER(E18*(1-G18)),E18*(1-G18),IF(ISNUMBER(VLOOKUP(B18,ListaPreciosSystemX,4,FALSE)),VLOOKUP(B18,ListaPreciosSystemX,4,FALSE),""))</f>
        <v/>
      </c>
      <c r="I18" s="40" t="str">
        <f t="shared" ref="I18:I19" si="18">IF(ISNUMBER(H18*D18),D18*H18,"")</f>
        <v/>
      </c>
      <c r="J18" s="88" t="str">
        <f t="shared" ref="J18:J19" si="19">IF(ISNUMBER(G18),G18,IF(ISTEXT(B18),0%,""))</f>
        <v/>
      </c>
      <c r="K18" s="45" t="str">
        <f t="shared" ref="K18:K19" si="20">IF(AND(ISNUMBER(E18),ISNUMBER(J18)),E18*(1-J18),IF(AND(ISNUMBER(H18),ISNUMBER(J18)),H18*(1-J18),""))</f>
        <v/>
      </c>
      <c r="L18" s="46"/>
      <c r="M18" s="46" t="str">
        <f t="shared" ref="M18:M19" si="21">IF(ISNUMBER(L18),L18*$M$2,"")</f>
        <v/>
      </c>
      <c r="N18" s="46" t="str">
        <f t="shared" ref="N18:N19" si="22">IF(AND(ISNUMBER(L18),ISNUMBER(M18)),L18+M18,"")</f>
        <v/>
      </c>
      <c r="O18" s="40" t="str">
        <f t="shared" ref="O18:O19" si="23">IF(ISNUMBER(D18),IF(AND(ISNUMBER(K18),ISNUMBER(N18)),D18*(K18+N18),IF(AND(ISNUMBER(K18),NOT(ISNUMBER(N18))),D18*K18,IF(AND(NOT(ISNUMBER(K18)),ISNUMBER(N18)),D18*N18,""))),"")</f>
        <v/>
      </c>
      <c r="P18" s="89" t="str">
        <f t="shared" ref="P18:P19" si="24">IF(AND(ISNUMBER(J18),J18&gt;0),J18,IF(AND(ISNUMBER(J18),J18=0),20%,""))</f>
        <v/>
      </c>
      <c r="Q18" s="45" t="str">
        <f t="shared" ref="Q18:Q19" si="25">IF(ISNUMBER($Q$2),IF(ISNUMBER(P18),IF(AND(ISNUMBER(K18),ISNUMBER(N18)),ROUND((K18+N18)/(1-P18),$Q$2),IF(AND(ISNUMBER(K18),NOT(ISNUMBER(N18))),ROUND(K18/(1-P18),$Q$2),IF(AND(NOT(ISNUMBER(K18)),ISNUMBER(N18)),ROUND(N18/(1-P18),$Q$2),""))),""),IF(ISNUMBER(P18),IF(AND(ISNUMBER(K18),ISNUMBER(N18)),ROUND((K18+N18)/(1-P18),0),IF(AND(ISNUMBER(K18),NOT(ISNUMBER(N18))),ROUND(K18/(1-P18),0),IF(AND(NOT(ISNUMBER(K18)),ISNUMBER(N18)),ROUND(N18/(1-P18),0),""))),""))</f>
        <v/>
      </c>
      <c r="R18" s="45" t="str">
        <f t="shared" ref="R18:R19" si="26">IF(AND(ISNUMBER(Q18),ISNUMBER(D18)),Q18*D18,"")</f>
        <v/>
      </c>
      <c r="S18" s="90"/>
      <c r="T18" s="90"/>
      <c r="U18" s="171"/>
      <c r="V18" s="251" t="str">
        <f t="shared" ref="V18:V19" si="27">IF(AND(ISTEXT(B18),ISNUMBER(E18),ISNUMBER(G18),ISNUMBER(J18),T18="",LEFT(B18,3)&lt;&gt;"ING"),IF(J18&gt;G18,"Debe contar con un código de Special Bid.",""),IF(LEFT(B18,3)="ING",IF(AND((F18-R18)/F18&gt;20%,T18=""),"Para poder utilizar un descuento de servicios superior al 20%, debe contar con una aprobación del Gerente de Servicios.",""),""))</f>
        <v/>
      </c>
      <c r="W18" s="254"/>
    </row>
    <row r="19" spans="1:23">
      <c r="A19" s="55"/>
      <c r="B19" s="5"/>
      <c r="C19" s="6" t="str">
        <f t="shared" si="14"/>
        <v/>
      </c>
      <c r="D19" s="7"/>
      <c r="E19" s="40" t="s">
        <v>74</v>
      </c>
      <c r="F19" s="40" t="str">
        <f t="shared" si="15"/>
        <v/>
      </c>
      <c r="G19" s="88" t="str">
        <f t="shared" si="16"/>
        <v/>
      </c>
      <c r="H19" s="40" t="str">
        <f t="shared" si="17"/>
        <v/>
      </c>
      <c r="I19" s="40" t="str">
        <f t="shared" si="18"/>
        <v/>
      </c>
      <c r="J19" s="88" t="str">
        <f t="shared" si="19"/>
        <v/>
      </c>
      <c r="K19" s="45" t="str">
        <f t="shared" si="20"/>
        <v/>
      </c>
      <c r="L19" s="46"/>
      <c r="M19" s="46" t="str">
        <f t="shared" si="21"/>
        <v/>
      </c>
      <c r="N19" s="46" t="str">
        <f t="shared" si="22"/>
        <v/>
      </c>
      <c r="O19" s="40" t="str">
        <f t="shared" si="23"/>
        <v/>
      </c>
      <c r="P19" s="89" t="str">
        <f t="shared" si="24"/>
        <v/>
      </c>
      <c r="Q19" s="45" t="str">
        <f t="shared" si="25"/>
        <v/>
      </c>
      <c r="R19" s="45" t="str">
        <f t="shared" si="26"/>
        <v/>
      </c>
      <c r="S19" s="90"/>
      <c r="T19" s="90"/>
      <c r="U19" s="171"/>
      <c r="V19" s="251" t="str">
        <f t="shared" si="27"/>
        <v/>
      </c>
      <c r="W19" s="254"/>
    </row>
    <row r="20" spans="1:23">
      <c r="A20" s="220" t="s">
        <v>12</v>
      </c>
      <c r="B20" s="221"/>
      <c r="C20" s="221"/>
      <c r="D20" s="222"/>
      <c r="E20" s="186"/>
      <c r="F20" s="187"/>
      <c r="G20" s="187"/>
      <c r="H20" s="188"/>
      <c r="I20" s="188"/>
      <c r="J20" s="189"/>
      <c r="K20" s="190"/>
      <c r="L20" s="83"/>
      <c r="M20" s="83"/>
      <c r="N20" s="191"/>
      <c r="O20" s="192">
        <f>IF(SUM(O4:O19)&gt;0,SUM(O4:O19),"")</f>
        <v>255894.09349999999</v>
      </c>
      <c r="P20" s="193">
        <f>IF(ISNUMBER((R20-O20)/R20),(R20-O20)/R20,"")</f>
        <v>0.10197158985229043</v>
      </c>
      <c r="Q20" s="194"/>
      <c r="R20" s="195">
        <f>IF(SUM(R4:R19)&gt;0,SUM(R4:R19),"")</f>
        <v>284951</v>
      </c>
      <c r="S20" s="80"/>
      <c r="T20" s="83"/>
      <c r="U20" s="172"/>
      <c r="V20" s="170"/>
      <c r="W20" s="100"/>
    </row>
    <row r="21" spans="1:23">
      <c r="A21" s="326" t="s">
        <v>5611</v>
      </c>
      <c r="B21" s="196"/>
      <c r="C21" s="196"/>
      <c r="D21" s="197"/>
      <c r="E21" s="198"/>
      <c r="F21" s="199"/>
      <c r="G21" s="200"/>
      <c r="H21" s="199"/>
      <c r="I21" s="199"/>
      <c r="J21" s="201"/>
      <c r="K21" s="202"/>
      <c r="L21" s="203"/>
      <c r="M21" s="203"/>
      <c r="N21" s="204"/>
      <c r="O21" s="205"/>
      <c r="P21" s="206"/>
      <c r="Q21" s="207"/>
      <c r="R21" s="208">
        <v>0</v>
      </c>
      <c r="S21" s="209"/>
      <c r="T21" s="203"/>
      <c r="U21" s="210"/>
      <c r="V21" s="252"/>
      <c r="W21" s="255"/>
    </row>
    <row r="22" spans="1:23">
      <c r="A22" s="326" t="s">
        <v>8487</v>
      </c>
      <c r="B22" s="196"/>
      <c r="C22" s="196"/>
      <c r="D22" s="197"/>
      <c r="E22" s="198"/>
      <c r="F22" s="199"/>
      <c r="G22" s="200"/>
      <c r="H22" s="199"/>
      <c r="I22" s="199"/>
      <c r="J22" s="201"/>
      <c r="K22" s="202"/>
      <c r="L22" s="203"/>
      <c r="M22" s="203"/>
      <c r="N22" s="204"/>
      <c r="O22" s="205"/>
      <c r="P22" s="206"/>
      <c r="Q22" s="207"/>
      <c r="R22" s="226">
        <v>0</v>
      </c>
      <c r="S22" s="209"/>
      <c r="T22" s="203"/>
      <c r="U22" s="210"/>
      <c r="V22" s="252"/>
      <c r="W22" s="255"/>
    </row>
    <row r="23" spans="1:23">
      <c r="A23" s="225" t="s">
        <v>5612</v>
      </c>
      <c r="B23" s="223"/>
      <c r="C23" s="223"/>
      <c r="D23" s="224"/>
      <c r="E23" s="211"/>
      <c r="F23" s="212"/>
      <c r="G23" s="213"/>
      <c r="H23" s="214"/>
      <c r="I23" s="214"/>
      <c r="J23" s="215"/>
      <c r="K23" s="216"/>
      <c r="L23" s="84"/>
      <c r="M23" s="84"/>
      <c r="N23" s="85"/>
      <c r="O23" s="217"/>
      <c r="P23" s="218"/>
      <c r="Q23" s="219"/>
      <c r="R23" s="227">
        <f>IF(R20&lt;&gt;"",SUM(R20:R22),"")</f>
        <v>284951</v>
      </c>
      <c r="S23" s="81"/>
      <c r="T23" s="84"/>
      <c r="U23" s="82"/>
      <c r="V23" s="253"/>
      <c r="W23" s="107"/>
    </row>
    <row r="25" spans="1:23">
      <c r="Q25" t="s">
        <v>14042</v>
      </c>
      <c r="R25" s="369">
        <f>R23/D4</f>
        <v>1222.9656652360516</v>
      </c>
    </row>
    <row r="28" spans="1:23">
      <c r="C28" s="49"/>
    </row>
    <row r="38" spans="3:3">
      <c r="C38" s="49"/>
    </row>
    <row r="43" spans="3:3">
      <c r="C43" s="49"/>
    </row>
    <row r="48" spans="3:3">
      <c r="C48" s="49"/>
    </row>
    <row r="53" spans="3:3">
      <c r="C53" s="49"/>
    </row>
    <row r="62" spans="3:3">
      <c r="C62" s="49"/>
    </row>
    <row r="71" spans="3:3">
      <c r="C71" s="49"/>
    </row>
    <row r="72" spans="3:3">
      <c r="C72" s="49"/>
    </row>
    <row r="81" spans="3:3">
      <c r="C81" s="49"/>
    </row>
    <row r="91" spans="3:3">
      <c r="C91" s="49"/>
    </row>
    <row r="97" spans="3:3">
      <c r="C97" s="49"/>
    </row>
    <row r="104" spans="3:3">
      <c r="C104" s="4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34"/>
  <sheetViews>
    <sheetView workbookViewId="0"/>
  </sheetViews>
  <sheetFormatPr baseColWidth="10" defaultRowHeight="15"/>
  <sheetData>
    <row r="1" spans="1:11">
      <c r="A1" s="174" t="s">
        <v>2855</v>
      </c>
      <c r="B1" s="173" t="s">
        <v>15</v>
      </c>
    </row>
    <row r="3" spans="1:11">
      <c r="A3" s="319" t="s">
        <v>16</v>
      </c>
      <c r="B3" s="319" t="s">
        <v>2845</v>
      </c>
      <c r="C3" s="319" t="s">
        <v>2865</v>
      </c>
      <c r="D3" s="319" t="s">
        <v>2353</v>
      </c>
      <c r="E3" s="319" t="s">
        <v>1362</v>
      </c>
      <c r="F3" s="319" t="s">
        <v>2287</v>
      </c>
      <c r="G3" s="319" t="s">
        <v>9898</v>
      </c>
      <c r="H3" s="319" t="s">
        <v>2846</v>
      </c>
      <c r="I3" s="319" t="s">
        <v>13</v>
      </c>
      <c r="J3" s="319" t="s">
        <v>9899</v>
      </c>
      <c r="K3" s="319" t="s">
        <v>9900</v>
      </c>
    </row>
    <row r="4" spans="1:11">
      <c r="A4" t="s">
        <v>8581</v>
      </c>
      <c r="B4" t="s">
        <v>9163</v>
      </c>
      <c r="C4" t="s">
        <v>2853</v>
      </c>
      <c r="D4" t="s">
        <v>8580</v>
      </c>
      <c r="E4" t="s">
        <v>9164</v>
      </c>
      <c r="G4" t="s">
        <v>8582</v>
      </c>
      <c r="H4">
        <v>0</v>
      </c>
      <c r="I4" t="s">
        <v>233</v>
      </c>
    </row>
    <row r="5" spans="1:11">
      <c r="A5" t="s">
        <v>9165</v>
      </c>
      <c r="B5" t="s">
        <v>9166</v>
      </c>
      <c r="C5" t="s">
        <v>2853</v>
      </c>
      <c r="D5" t="s">
        <v>8583</v>
      </c>
      <c r="E5" t="s">
        <v>9167</v>
      </c>
      <c r="G5" t="s">
        <v>8584</v>
      </c>
      <c r="H5">
        <v>240</v>
      </c>
      <c r="I5" t="s">
        <v>233</v>
      </c>
    </row>
    <row r="6" spans="1:11">
      <c r="A6" t="s">
        <v>9165</v>
      </c>
      <c r="B6" t="s">
        <v>9166</v>
      </c>
      <c r="C6" t="s">
        <v>2853</v>
      </c>
      <c r="D6" t="s">
        <v>8585</v>
      </c>
      <c r="E6" t="s">
        <v>8586</v>
      </c>
      <c r="G6" t="s">
        <v>8587</v>
      </c>
      <c r="H6">
        <v>100</v>
      </c>
      <c r="I6" t="s">
        <v>233</v>
      </c>
    </row>
    <row r="7" spans="1:11">
      <c r="A7" t="s">
        <v>9165</v>
      </c>
      <c r="B7" t="s">
        <v>9163</v>
      </c>
      <c r="C7" t="s">
        <v>2853</v>
      </c>
      <c r="D7" t="s">
        <v>8588</v>
      </c>
      <c r="E7" t="s">
        <v>9168</v>
      </c>
      <c r="G7" t="s">
        <v>8584</v>
      </c>
      <c r="H7">
        <v>3000</v>
      </c>
      <c r="I7" t="s">
        <v>233</v>
      </c>
    </row>
    <row r="8" spans="1:11">
      <c r="A8" t="s">
        <v>9165</v>
      </c>
      <c r="B8" t="s">
        <v>9163</v>
      </c>
      <c r="C8" t="s">
        <v>2853</v>
      </c>
      <c r="D8" t="s">
        <v>8589</v>
      </c>
      <c r="E8" t="s">
        <v>9169</v>
      </c>
      <c r="G8" t="s">
        <v>8584</v>
      </c>
      <c r="H8">
        <v>1500</v>
      </c>
      <c r="I8" t="s">
        <v>233</v>
      </c>
    </row>
    <row r="9" spans="1:11">
      <c r="A9" t="s">
        <v>9165</v>
      </c>
      <c r="B9" t="s">
        <v>9170</v>
      </c>
      <c r="C9" t="s">
        <v>2853</v>
      </c>
      <c r="D9" t="s">
        <v>8590</v>
      </c>
      <c r="E9" t="s">
        <v>9171</v>
      </c>
      <c r="G9" t="s">
        <v>8584</v>
      </c>
      <c r="H9">
        <v>160</v>
      </c>
      <c r="I9" t="s">
        <v>233</v>
      </c>
    </row>
    <row r="10" spans="1:11">
      <c r="A10" t="s">
        <v>9165</v>
      </c>
      <c r="B10" t="s">
        <v>9170</v>
      </c>
      <c r="C10" t="s">
        <v>2853</v>
      </c>
      <c r="D10" t="s">
        <v>8591</v>
      </c>
      <c r="E10" t="s">
        <v>9172</v>
      </c>
      <c r="G10" t="s">
        <v>8584</v>
      </c>
      <c r="H10">
        <v>2400</v>
      </c>
      <c r="I10" t="s">
        <v>233</v>
      </c>
    </row>
    <row r="11" spans="1:11">
      <c r="A11" t="s">
        <v>8593</v>
      </c>
      <c r="B11" t="s">
        <v>9163</v>
      </c>
      <c r="C11" t="s">
        <v>2853</v>
      </c>
      <c r="D11" t="s">
        <v>8592</v>
      </c>
      <c r="E11" t="s">
        <v>9173</v>
      </c>
      <c r="G11" t="s">
        <v>8594</v>
      </c>
      <c r="H11">
        <v>1440</v>
      </c>
      <c r="I11" t="s">
        <v>233</v>
      </c>
    </row>
    <row r="12" spans="1:11">
      <c r="A12" t="s">
        <v>8593</v>
      </c>
      <c r="B12" t="s">
        <v>9170</v>
      </c>
      <c r="C12" t="s">
        <v>2852</v>
      </c>
      <c r="D12" t="s">
        <v>8595</v>
      </c>
      <c r="E12" t="s">
        <v>9174</v>
      </c>
      <c r="G12" t="s">
        <v>8596</v>
      </c>
      <c r="H12">
        <v>600</v>
      </c>
      <c r="I12" t="s">
        <v>233</v>
      </c>
    </row>
    <row r="13" spans="1:11">
      <c r="A13" t="s">
        <v>8593</v>
      </c>
      <c r="B13" t="s">
        <v>9175</v>
      </c>
      <c r="C13" t="s">
        <v>8600</v>
      </c>
      <c r="D13" t="s">
        <v>8597</v>
      </c>
      <c r="E13" t="s">
        <v>8598</v>
      </c>
      <c r="G13" t="s">
        <v>8599</v>
      </c>
      <c r="H13">
        <v>600</v>
      </c>
      <c r="I13" t="s">
        <v>233</v>
      </c>
    </row>
    <row r="14" spans="1:11">
      <c r="A14" t="s">
        <v>8593</v>
      </c>
      <c r="B14" t="s">
        <v>9163</v>
      </c>
      <c r="C14" t="s">
        <v>8600</v>
      </c>
      <c r="D14" t="s">
        <v>8601</v>
      </c>
      <c r="E14" t="s">
        <v>9176</v>
      </c>
      <c r="G14" t="s">
        <v>8602</v>
      </c>
      <c r="H14">
        <v>180</v>
      </c>
      <c r="I14" t="s">
        <v>233</v>
      </c>
    </row>
    <row r="15" spans="1:11">
      <c r="A15" t="s">
        <v>8593</v>
      </c>
      <c r="B15" t="s">
        <v>9170</v>
      </c>
      <c r="C15" t="s">
        <v>8600</v>
      </c>
      <c r="D15" t="s">
        <v>8603</v>
      </c>
      <c r="E15" t="s">
        <v>9177</v>
      </c>
      <c r="G15" t="s">
        <v>8602</v>
      </c>
      <c r="H15">
        <v>120</v>
      </c>
      <c r="I15" t="s">
        <v>233</v>
      </c>
    </row>
    <row r="16" spans="1:11">
      <c r="A16" t="s">
        <v>8593</v>
      </c>
      <c r="B16" t="s">
        <v>8605</v>
      </c>
      <c r="C16" t="s">
        <v>8600</v>
      </c>
      <c r="D16" t="s">
        <v>8604</v>
      </c>
      <c r="E16" t="s">
        <v>9178</v>
      </c>
      <c r="G16" t="s">
        <v>8606</v>
      </c>
      <c r="H16">
        <v>480</v>
      </c>
      <c r="I16" t="s">
        <v>233</v>
      </c>
    </row>
    <row r="17" spans="1:9">
      <c r="A17" t="s">
        <v>8608</v>
      </c>
      <c r="B17" t="s">
        <v>9166</v>
      </c>
      <c r="C17" t="s">
        <v>21</v>
      </c>
      <c r="D17" t="s">
        <v>8607</v>
      </c>
      <c r="E17" t="s">
        <v>9179</v>
      </c>
      <c r="G17" t="s">
        <v>8609</v>
      </c>
      <c r="H17">
        <v>1408</v>
      </c>
      <c r="I17" t="s">
        <v>233</v>
      </c>
    </row>
    <row r="18" spans="1:9">
      <c r="A18" t="s">
        <v>8608</v>
      </c>
      <c r="B18" t="s">
        <v>9166</v>
      </c>
      <c r="C18" t="s">
        <v>21</v>
      </c>
      <c r="D18" t="s">
        <v>8610</v>
      </c>
      <c r="E18" t="s">
        <v>8611</v>
      </c>
      <c r="G18" t="s">
        <v>8587</v>
      </c>
      <c r="H18">
        <v>78</v>
      </c>
      <c r="I18" t="s">
        <v>233</v>
      </c>
    </row>
    <row r="19" spans="1:9">
      <c r="A19" t="s">
        <v>8608</v>
      </c>
      <c r="B19" t="s">
        <v>9166</v>
      </c>
      <c r="C19" t="s">
        <v>21</v>
      </c>
      <c r="D19" t="s">
        <v>8612</v>
      </c>
      <c r="E19" t="s">
        <v>8613</v>
      </c>
      <c r="G19" t="s">
        <v>8587</v>
      </c>
      <c r="H19">
        <v>65</v>
      </c>
      <c r="I19" t="s">
        <v>233</v>
      </c>
    </row>
    <row r="20" spans="1:9">
      <c r="A20" t="s">
        <v>8608</v>
      </c>
      <c r="B20" t="s">
        <v>9166</v>
      </c>
      <c r="C20" t="s">
        <v>21</v>
      </c>
      <c r="D20" t="s">
        <v>8614</v>
      </c>
      <c r="E20" t="s">
        <v>8615</v>
      </c>
      <c r="G20" t="s">
        <v>8587</v>
      </c>
      <c r="H20">
        <v>50</v>
      </c>
      <c r="I20" t="s">
        <v>233</v>
      </c>
    </row>
    <row r="21" spans="1:9">
      <c r="A21" t="s">
        <v>8608</v>
      </c>
      <c r="B21" t="s">
        <v>9166</v>
      </c>
      <c r="C21" t="s">
        <v>21</v>
      </c>
      <c r="D21" t="s">
        <v>8616</v>
      </c>
      <c r="E21" t="s">
        <v>8617</v>
      </c>
      <c r="G21" t="s">
        <v>8587</v>
      </c>
      <c r="H21">
        <v>45</v>
      </c>
      <c r="I21" t="s">
        <v>233</v>
      </c>
    </row>
    <row r="22" spans="1:9">
      <c r="A22" t="s">
        <v>8619</v>
      </c>
      <c r="B22" t="s">
        <v>8620</v>
      </c>
      <c r="C22" t="s">
        <v>2853</v>
      </c>
      <c r="D22" t="s">
        <v>8618</v>
      </c>
      <c r="E22" t="s">
        <v>8621</v>
      </c>
      <c r="G22" t="s">
        <v>8587</v>
      </c>
      <c r="H22">
        <v>0</v>
      </c>
      <c r="I22" t="s">
        <v>233</v>
      </c>
    </row>
    <row r="23" spans="1:9">
      <c r="A23" t="s">
        <v>8619</v>
      </c>
      <c r="B23" t="s">
        <v>8620</v>
      </c>
      <c r="C23" t="s">
        <v>2853</v>
      </c>
      <c r="D23" t="s">
        <v>8622</v>
      </c>
      <c r="E23" t="s">
        <v>8623</v>
      </c>
      <c r="G23" t="s">
        <v>8587</v>
      </c>
      <c r="H23">
        <v>0</v>
      </c>
      <c r="I23" t="s">
        <v>233</v>
      </c>
    </row>
    <row r="24" spans="1:9">
      <c r="A24" t="s">
        <v>8619</v>
      </c>
      <c r="B24" t="s">
        <v>9180</v>
      </c>
      <c r="C24" t="s">
        <v>2853</v>
      </c>
      <c r="D24" t="s">
        <v>8624</v>
      </c>
      <c r="E24" t="s">
        <v>5550</v>
      </c>
      <c r="G24" t="s">
        <v>8594</v>
      </c>
      <c r="H24">
        <v>250</v>
      </c>
      <c r="I24" t="s">
        <v>233</v>
      </c>
    </row>
    <row r="25" spans="1:9">
      <c r="A25" t="s">
        <v>8619</v>
      </c>
      <c r="B25" t="s">
        <v>9180</v>
      </c>
      <c r="C25" t="s">
        <v>2853</v>
      </c>
      <c r="D25" t="s">
        <v>8625</v>
      </c>
      <c r="E25" t="s">
        <v>9181</v>
      </c>
      <c r="G25" t="s">
        <v>8594</v>
      </c>
      <c r="H25">
        <v>360</v>
      </c>
      <c r="I25" t="s">
        <v>233</v>
      </c>
    </row>
    <row r="26" spans="1:9">
      <c r="A26" t="s">
        <v>8619</v>
      </c>
      <c r="B26" t="s">
        <v>9180</v>
      </c>
      <c r="C26" t="s">
        <v>8627</v>
      </c>
      <c r="D26" t="s">
        <v>8626</v>
      </c>
      <c r="E26" t="s">
        <v>9182</v>
      </c>
      <c r="G26" t="s">
        <v>8594</v>
      </c>
      <c r="H26">
        <v>260</v>
      </c>
      <c r="I26" t="s">
        <v>233</v>
      </c>
    </row>
    <row r="27" spans="1:9">
      <c r="A27" t="s">
        <v>8619</v>
      </c>
      <c r="B27" t="s">
        <v>9180</v>
      </c>
      <c r="C27" t="s">
        <v>2851</v>
      </c>
      <c r="D27" t="s">
        <v>8628</v>
      </c>
      <c r="E27" t="s">
        <v>9183</v>
      </c>
      <c r="G27" t="s">
        <v>8629</v>
      </c>
      <c r="H27">
        <v>600</v>
      </c>
      <c r="I27" t="s">
        <v>233</v>
      </c>
    </row>
    <row r="28" spans="1:9">
      <c r="A28" t="s">
        <v>8619</v>
      </c>
      <c r="B28" t="s">
        <v>9180</v>
      </c>
      <c r="C28" t="s">
        <v>2851</v>
      </c>
      <c r="D28" t="s">
        <v>8630</v>
      </c>
      <c r="E28" t="s">
        <v>9184</v>
      </c>
      <c r="G28" t="s">
        <v>8631</v>
      </c>
      <c r="H28">
        <v>150</v>
      </c>
      <c r="I28" t="s">
        <v>233</v>
      </c>
    </row>
    <row r="29" spans="1:9">
      <c r="A29" t="s">
        <v>8619</v>
      </c>
      <c r="B29" t="s">
        <v>9180</v>
      </c>
      <c r="C29" t="s">
        <v>2851</v>
      </c>
      <c r="D29" t="s">
        <v>8632</v>
      </c>
      <c r="E29" t="s">
        <v>9185</v>
      </c>
      <c r="G29" t="s">
        <v>8631</v>
      </c>
      <c r="H29">
        <v>270</v>
      </c>
      <c r="I29" t="s">
        <v>233</v>
      </c>
    </row>
    <row r="30" spans="1:9">
      <c r="A30" t="s">
        <v>8619</v>
      </c>
      <c r="B30" t="s">
        <v>9180</v>
      </c>
      <c r="C30" t="s">
        <v>2853</v>
      </c>
      <c r="D30" t="s">
        <v>8633</v>
      </c>
      <c r="E30" t="s">
        <v>9186</v>
      </c>
      <c r="G30" t="s">
        <v>8594</v>
      </c>
      <c r="H30">
        <v>150</v>
      </c>
      <c r="I30" t="s">
        <v>233</v>
      </c>
    </row>
    <row r="31" spans="1:9">
      <c r="A31" t="s">
        <v>8619</v>
      </c>
      <c r="B31" t="s">
        <v>9180</v>
      </c>
      <c r="C31" t="s">
        <v>2853</v>
      </c>
      <c r="D31" t="s">
        <v>8634</v>
      </c>
      <c r="E31" t="s">
        <v>9187</v>
      </c>
      <c r="G31" t="s">
        <v>8594</v>
      </c>
      <c r="H31">
        <v>150</v>
      </c>
      <c r="I31" t="s">
        <v>233</v>
      </c>
    </row>
    <row r="32" spans="1:9">
      <c r="A32" t="s">
        <v>8619</v>
      </c>
      <c r="B32" t="s">
        <v>9180</v>
      </c>
      <c r="C32" t="s">
        <v>2853</v>
      </c>
      <c r="D32" t="s">
        <v>8635</v>
      </c>
      <c r="E32" t="s">
        <v>9188</v>
      </c>
      <c r="G32" t="s">
        <v>8594</v>
      </c>
      <c r="H32">
        <v>150</v>
      </c>
      <c r="I32" t="s">
        <v>233</v>
      </c>
    </row>
    <row r="33" spans="1:9">
      <c r="A33" t="s">
        <v>8619</v>
      </c>
      <c r="B33" t="s">
        <v>9180</v>
      </c>
      <c r="C33" t="s">
        <v>2853</v>
      </c>
      <c r="D33" t="s">
        <v>8636</v>
      </c>
      <c r="E33" t="s">
        <v>9189</v>
      </c>
      <c r="G33" t="s">
        <v>9190</v>
      </c>
      <c r="H33">
        <v>240</v>
      </c>
      <c r="I33" t="s">
        <v>233</v>
      </c>
    </row>
    <row r="34" spans="1:9">
      <c r="A34" t="s">
        <v>8619</v>
      </c>
      <c r="B34" t="s">
        <v>9180</v>
      </c>
      <c r="C34" t="s">
        <v>2853</v>
      </c>
      <c r="D34" t="s">
        <v>8637</v>
      </c>
      <c r="E34" t="s">
        <v>9191</v>
      </c>
      <c r="G34" t="s">
        <v>8631</v>
      </c>
      <c r="H34">
        <v>240</v>
      </c>
      <c r="I34" t="s">
        <v>233</v>
      </c>
    </row>
    <row r="35" spans="1:9">
      <c r="A35" t="s">
        <v>8619</v>
      </c>
      <c r="B35" t="s">
        <v>9180</v>
      </c>
      <c r="C35" t="s">
        <v>2853</v>
      </c>
      <c r="D35" t="s">
        <v>8638</v>
      </c>
      <c r="E35" t="s">
        <v>9192</v>
      </c>
      <c r="G35" t="s">
        <v>8631</v>
      </c>
      <c r="H35">
        <v>240</v>
      </c>
      <c r="I35" t="s">
        <v>233</v>
      </c>
    </row>
    <row r="36" spans="1:9">
      <c r="A36" t="s">
        <v>8619</v>
      </c>
      <c r="B36" t="s">
        <v>9180</v>
      </c>
      <c r="C36" t="s">
        <v>2853</v>
      </c>
      <c r="D36" t="s">
        <v>8639</v>
      </c>
      <c r="E36" t="s">
        <v>9193</v>
      </c>
      <c r="G36" t="s">
        <v>8631</v>
      </c>
      <c r="H36">
        <v>90</v>
      </c>
      <c r="I36" t="s">
        <v>233</v>
      </c>
    </row>
    <row r="37" spans="1:9">
      <c r="A37" t="s">
        <v>8619</v>
      </c>
      <c r="B37" t="s">
        <v>9180</v>
      </c>
      <c r="C37" t="s">
        <v>2853</v>
      </c>
      <c r="D37" t="s">
        <v>8640</v>
      </c>
      <c r="E37" t="s">
        <v>9194</v>
      </c>
      <c r="G37" t="s">
        <v>9195</v>
      </c>
      <c r="H37">
        <v>240</v>
      </c>
      <c r="I37" t="s">
        <v>233</v>
      </c>
    </row>
    <row r="38" spans="1:9">
      <c r="A38" t="s">
        <v>8619</v>
      </c>
      <c r="B38" t="s">
        <v>9180</v>
      </c>
      <c r="C38" t="s">
        <v>2853</v>
      </c>
      <c r="D38" t="s">
        <v>8641</v>
      </c>
      <c r="E38" t="s">
        <v>9196</v>
      </c>
      <c r="G38" t="s">
        <v>8631</v>
      </c>
      <c r="H38">
        <v>260</v>
      </c>
      <c r="I38" t="s">
        <v>233</v>
      </c>
    </row>
    <row r="39" spans="1:9">
      <c r="A39" t="s">
        <v>8619</v>
      </c>
      <c r="B39" t="s">
        <v>9180</v>
      </c>
      <c r="C39" t="s">
        <v>2853</v>
      </c>
      <c r="D39" t="s">
        <v>8642</v>
      </c>
      <c r="E39" t="s">
        <v>9197</v>
      </c>
      <c r="G39" t="s">
        <v>8631</v>
      </c>
      <c r="H39">
        <v>250</v>
      </c>
      <c r="I39" t="s">
        <v>233</v>
      </c>
    </row>
    <row r="40" spans="1:9">
      <c r="A40" t="s">
        <v>8619</v>
      </c>
      <c r="B40" t="s">
        <v>9180</v>
      </c>
      <c r="C40" t="s">
        <v>8645</v>
      </c>
      <c r="D40" t="s">
        <v>8643</v>
      </c>
      <c r="E40" t="s">
        <v>5551</v>
      </c>
      <c r="G40" t="s">
        <v>8644</v>
      </c>
      <c r="H40">
        <v>250</v>
      </c>
      <c r="I40" t="s">
        <v>233</v>
      </c>
    </row>
    <row r="41" spans="1:9">
      <c r="A41" t="s">
        <v>8619</v>
      </c>
      <c r="B41" t="s">
        <v>9180</v>
      </c>
      <c r="C41" t="s">
        <v>63</v>
      </c>
      <c r="D41" t="s">
        <v>8646</v>
      </c>
      <c r="E41" t="s">
        <v>5552</v>
      </c>
      <c r="G41" t="s">
        <v>8631</v>
      </c>
      <c r="H41">
        <v>180</v>
      </c>
      <c r="I41" t="s">
        <v>233</v>
      </c>
    </row>
    <row r="42" spans="1:9">
      <c r="A42" t="s">
        <v>8619</v>
      </c>
      <c r="B42" t="s">
        <v>9180</v>
      </c>
      <c r="C42" t="s">
        <v>63</v>
      </c>
      <c r="D42" t="s">
        <v>8647</v>
      </c>
      <c r="E42" t="s">
        <v>9198</v>
      </c>
      <c r="G42" t="s">
        <v>8631</v>
      </c>
      <c r="H42">
        <v>350</v>
      </c>
      <c r="I42" t="s">
        <v>233</v>
      </c>
    </row>
    <row r="43" spans="1:9">
      <c r="A43" t="s">
        <v>8619</v>
      </c>
      <c r="B43" t="s">
        <v>9163</v>
      </c>
      <c r="C43" t="s">
        <v>2853</v>
      </c>
      <c r="D43" t="s">
        <v>8648</v>
      </c>
      <c r="E43" t="s">
        <v>9199</v>
      </c>
      <c r="G43" t="s">
        <v>8631</v>
      </c>
      <c r="H43">
        <v>150</v>
      </c>
      <c r="I43" t="s">
        <v>233</v>
      </c>
    </row>
    <row r="44" spans="1:9">
      <c r="A44" t="s">
        <v>8619</v>
      </c>
      <c r="B44" t="s">
        <v>9163</v>
      </c>
      <c r="C44" t="s">
        <v>2853</v>
      </c>
      <c r="D44" t="s">
        <v>8649</v>
      </c>
      <c r="E44" t="s">
        <v>9200</v>
      </c>
      <c r="G44" t="s">
        <v>8631</v>
      </c>
      <c r="H44">
        <v>250</v>
      </c>
      <c r="I44" t="s">
        <v>233</v>
      </c>
    </row>
    <row r="45" spans="1:9">
      <c r="A45" t="s">
        <v>8619</v>
      </c>
      <c r="B45" t="s">
        <v>9163</v>
      </c>
      <c r="C45" t="s">
        <v>2851</v>
      </c>
      <c r="D45" t="s">
        <v>8650</v>
      </c>
      <c r="E45" t="s">
        <v>9201</v>
      </c>
      <c r="G45" t="s">
        <v>8629</v>
      </c>
      <c r="H45">
        <v>1550</v>
      </c>
      <c r="I45" t="s">
        <v>233</v>
      </c>
    </row>
    <row r="46" spans="1:9">
      <c r="A46" t="s">
        <v>8619</v>
      </c>
      <c r="B46" t="s">
        <v>9163</v>
      </c>
      <c r="C46" t="s">
        <v>2851</v>
      </c>
      <c r="D46" t="s">
        <v>8651</v>
      </c>
      <c r="E46" t="s">
        <v>9202</v>
      </c>
      <c r="G46" t="s">
        <v>8631</v>
      </c>
      <c r="H46">
        <v>950</v>
      </c>
      <c r="I46" t="s">
        <v>233</v>
      </c>
    </row>
    <row r="47" spans="1:9">
      <c r="A47" t="s">
        <v>8619</v>
      </c>
      <c r="B47" t="s">
        <v>9170</v>
      </c>
      <c r="C47" t="s">
        <v>2853</v>
      </c>
      <c r="D47" t="s">
        <v>8652</v>
      </c>
      <c r="E47" t="s">
        <v>9203</v>
      </c>
      <c r="G47" t="s">
        <v>8594</v>
      </c>
      <c r="H47">
        <v>260</v>
      </c>
      <c r="I47" t="s">
        <v>233</v>
      </c>
    </row>
    <row r="48" spans="1:9">
      <c r="A48" t="s">
        <v>8619</v>
      </c>
      <c r="B48" t="s">
        <v>9170</v>
      </c>
      <c r="C48" t="s">
        <v>8627</v>
      </c>
      <c r="D48" t="s">
        <v>8653</v>
      </c>
      <c r="E48" t="s">
        <v>9204</v>
      </c>
      <c r="G48" t="s">
        <v>8594</v>
      </c>
      <c r="H48">
        <v>280</v>
      </c>
      <c r="I48" t="s">
        <v>233</v>
      </c>
    </row>
    <row r="49" spans="1:9">
      <c r="A49" t="s">
        <v>8619</v>
      </c>
      <c r="B49" t="s">
        <v>9170</v>
      </c>
      <c r="C49" t="s">
        <v>2851</v>
      </c>
      <c r="D49" t="s">
        <v>8654</v>
      </c>
      <c r="E49" t="s">
        <v>9205</v>
      </c>
      <c r="G49" t="s">
        <v>8655</v>
      </c>
      <c r="H49">
        <v>250</v>
      </c>
      <c r="I49" t="s">
        <v>233</v>
      </c>
    </row>
    <row r="50" spans="1:9">
      <c r="A50" t="s">
        <v>8619</v>
      </c>
      <c r="B50" t="s">
        <v>9170</v>
      </c>
      <c r="C50" t="s">
        <v>2851</v>
      </c>
      <c r="D50" t="s">
        <v>8656</v>
      </c>
      <c r="E50" t="s">
        <v>9206</v>
      </c>
      <c r="G50" t="s">
        <v>8655</v>
      </c>
      <c r="H50">
        <v>420</v>
      </c>
      <c r="I50" t="s">
        <v>233</v>
      </c>
    </row>
    <row r="51" spans="1:9">
      <c r="A51" t="s">
        <v>8619</v>
      </c>
      <c r="B51" t="s">
        <v>9170</v>
      </c>
      <c r="C51" t="s">
        <v>2851</v>
      </c>
      <c r="D51" t="s">
        <v>8657</v>
      </c>
      <c r="E51" t="s">
        <v>9207</v>
      </c>
      <c r="G51" t="s">
        <v>8655</v>
      </c>
      <c r="H51">
        <v>380</v>
      </c>
      <c r="I51" t="s">
        <v>233</v>
      </c>
    </row>
    <row r="52" spans="1:9">
      <c r="A52" t="s">
        <v>8619</v>
      </c>
      <c r="B52" t="s">
        <v>9170</v>
      </c>
      <c r="C52" t="s">
        <v>2853</v>
      </c>
      <c r="D52" t="s">
        <v>8658</v>
      </c>
      <c r="E52" t="s">
        <v>8659</v>
      </c>
      <c r="G52" t="s">
        <v>8594</v>
      </c>
      <c r="H52">
        <v>200</v>
      </c>
      <c r="I52" t="s">
        <v>233</v>
      </c>
    </row>
    <row r="53" spans="1:9">
      <c r="A53" t="s">
        <v>8619</v>
      </c>
      <c r="B53" t="s">
        <v>9170</v>
      </c>
      <c r="C53" t="s">
        <v>2851</v>
      </c>
      <c r="D53" t="s">
        <v>8660</v>
      </c>
      <c r="E53" t="s">
        <v>8661</v>
      </c>
      <c r="G53" t="s">
        <v>8594</v>
      </c>
      <c r="H53">
        <v>200</v>
      </c>
      <c r="I53" t="s">
        <v>233</v>
      </c>
    </row>
    <row r="54" spans="1:9">
      <c r="A54" t="s">
        <v>8619</v>
      </c>
      <c r="B54" t="s">
        <v>9170</v>
      </c>
      <c r="C54" t="s">
        <v>2851</v>
      </c>
      <c r="D54" t="s">
        <v>8662</v>
      </c>
      <c r="E54" t="s">
        <v>9208</v>
      </c>
      <c r="G54" t="s">
        <v>8655</v>
      </c>
      <c r="H54">
        <v>720</v>
      </c>
      <c r="I54" t="s">
        <v>233</v>
      </c>
    </row>
    <row r="55" spans="1:9">
      <c r="A55" t="s">
        <v>8664</v>
      </c>
      <c r="B55" t="s">
        <v>9209</v>
      </c>
      <c r="C55" t="s">
        <v>8666</v>
      </c>
      <c r="D55" t="s">
        <v>8663</v>
      </c>
      <c r="E55" t="s">
        <v>9210</v>
      </c>
      <c r="G55" t="s">
        <v>8665</v>
      </c>
      <c r="H55">
        <v>380</v>
      </c>
      <c r="I55" t="s">
        <v>233</v>
      </c>
    </row>
    <row r="56" spans="1:9">
      <c r="A56" t="s">
        <v>8664</v>
      </c>
      <c r="B56" t="s">
        <v>8620</v>
      </c>
      <c r="C56" t="s">
        <v>2853</v>
      </c>
      <c r="D56" t="s">
        <v>8667</v>
      </c>
      <c r="E56" t="s">
        <v>9908</v>
      </c>
      <c r="G56" t="s">
        <v>8587</v>
      </c>
      <c r="H56">
        <v>0</v>
      </c>
      <c r="I56" t="s">
        <v>233</v>
      </c>
    </row>
    <row r="57" spans="1:9">
      <c r="A57" t="s">
        <v>8664</v>
      </c>
      <c r="B57" t="s">
        <v>8620</v>
      </c>
      <c r="C57" t="s">
        <v>2853</v>
      </c>
      <c r="D57" t="s">
        <v>8668</v>
      </c>
      <c r="E57" t="s">
        <v>9897</v>
      </c>
      <c r="G57" t="s">
        <v>8587</v>
      </c>
      <c r="H57">
        <v>0</v>
      </c>
      <c r="I57" t="s">
        <v>233</v>
      </c>
    </row>
    <row r="58" spans="1:9">
      <c r="A58" t="s">
        <v>8664</v>
      </c>
      <c r="B58" t="s">
        <v>9180</v>
      </c>
      <c r="C58" t="s">
        <v>2853</v>
      </c>
      <c r="D58" t="s">
        <v>8669</v>
      </c>
      <c r="E58" t="s">
        <v>2854</v>
      </c>
      <c r="G58" t="s">
        <v>8594</v>
      </c>
      <c r="H58">
        <v>360</v>
      </c>
      <c r="I58" t="s">
        <v>233</v>
      </c>
    </row>
    <row r="59" spans="1:9">
      <c r="A59" t="s">
        <v>8664</v>
      </c>
      <c r="B59" t="s">
        <v>9180</v>
      </c>
      <c r="C59" t="s">
        <v>2853</v>
      </c>
      <c r="D59" t="s">
        <v>8670</v>
      </c>
      <c r="E59" t="s">
        <v>9211</v>
      </c>
      <c r="G59" t="s">
        <v>8594</v>
      </c>
      <c r="H59">
        <v>720</v>
      </c>
      <c r="I59" t="s">
        <v>233</v>
      </c>
    </row>
    <row r="60" spans="1:9">
      <c r="A60" t="s">
        <v>8664</v>
      </c>
      <c r="B60" t="s">
        <v>9180</v>
      </c>
      <c r="C60" t="s">
        <v>8627</v>
      </c>
      <c r="D60" t="s">
        <v>8671</v>
      </c>
      <c r="E60" t="s">
        <v>9212</v>
      </c>
      <c r="G60" t="s">
        <v>8594</v>
      </c>
      <c r="H60">
        <v>260</v>
      </c>
      <c r="I60" t="s">
        <v>233</v>
      </c>
    </row>
    <row r="61" spans="1:9">
      <c r="A61" t="s">
        <v>8664</v>
      </c>
      <c r="B61" t="s">
        <v>9180</v>
      </c>
      <c r="C61" t="s">
        <v>2853</v>
      </c>
      <c r="D61" t="s">
        <v>8672</v>
      </c>
      <c r="E61" t="s">
        <v>2866</v>
      </c>
      <c r="G61" t="s">
        <v>8594</v>
      </c>
      <c r="H61">
        <v>420</v>
      </c>
      <c r="I61" t="s">
        <v>233</v>
      </c>
    </row>
    <row r="62" spans="1:9">
      <c r="A62" t="s">
        <v>8664</v>
      </c>
      <c r="B62" t="s">
        <v>9180</v>
      </c>
      <c r="C62" t="s">
        <v>8674</v>
      </c>
      <c r="D62" t="s">
        <v>8673</v>
      </c>
      <c r="E62" t="s">
        <v>9213</v>
      </c>
      <c r="G62" t="s">
        <v>9195</v>
      </c>
      <c r="H62">
        <v>360</v>
      </c>
      <c r="I62" t="s">
        <v>233</v>
      </c>
    </row>
    <row r="63" spans="1:9">
      <c r="A63" t="s">
        <v>8664</v>
      </c>
      <c r="B63" t="s">
        <v>9180</v>
      </c>
      <c r="C63" t="s">
        <v>8674</v>
      </c>
      <c r="D63" t="s">
        <v>8675</v>
      </c>
      <c r="E63" t="s">
        <v>9214</v>
      </c>
      <c r="G63" t="s">
        <v>9195</v>
      </c>
      <c r="H63">
        <v>150</v>
      </c>
      <c r="I63" t="s">
        <v>233</v>
      </c>
    </row>
    <row r="64" spans="1:9">
      <c r="A64" t="s">
        <v>8664</v>
      </c>
      <c r="B64" t="s">
        <v>9180</v>
      </c>
      <c r="C64" t="s">
        <v>8674</v>
      </c>
      <c r="D64" t="s">
        <v>8676</v>
      </c>
      <c r="E64" t="s">
        <v>9215</v>
      </c>
      <c r="G64" t="s">
        <v>9216</v>
      </c>
      <c r="H64">
        <v>290</v>
      </c>
      <c r="I64" t="s">
        <v>233</v>
      </c>
    </row>
    <row r="65" spans="1:9">
      <c r="A65" t="s">
        <v>8664</v>
      </c>
      <c r="B65" t="s">
        <v>9180</v>
      </c>
      <c r="C65" t="s">
        <v>2853</v>
      </c>
      <c r="D65" t="s">
        <v>8677</v>
      </c>
      <c r="E65" t="s">
        <v>9217</v>
      </c>
      <c r="G65" t="s">
        <v>8678</v>
      </c>
      <c r="H65">
        <v>300</v>
      </c>
      <c r="I65" t="s">
        <v>233</v>
      </c>
    </row>
    <row r="66" spans="1:9">
      <c r="A66" t="s">
        <v>8664</v>
      </c>
      <c r="B66" t="s">
        <v>9180</v>
      </c>
      <c r="C66" t="s">
        <v>9218</v>
      </c>
      <c r="D66" t="s">
        <v>8679</v>
      </c>
      <c r="E66" t="s">
        <v>9219</v>
      </c>
      <c r="G66" t="s">
        <v>8680</v>
      </c>
      <c r="H66">
        <v>290</v>
      </c>
      <c r="I66" t="s">
        <v>233</v>
      </c>
    </row>
    <row r="67" spans="1:9">
      <c r="A67" t="s">
        <v>8664</v>
      </c>
      <c r="B67" t="s">
        <v>9180</v>
      </c>
      <c r="C67" t="s">
        <v>8682</v>
      </c>
      <c r="D67" t="s">
        <v>8681</v>
      </c>
      <c r="E67" t="s">
        <v>9220</v>
      </c>
      <c r="G67" t="s">
        <v>8655</v>
      </c>
      <c r="H67">
        <v>150</v>
      </c>
      <c r="I67" t="s">
        <v>233</v>
      </c>
    </row>
    <row r="68" spans="1:9">
      <c r="A68" t="s">
        <v>8664</v>
      </c>
      <c r="B68" t="s">
        <v>9180</v>
      </c>
      <c r="C68" t="s">
        <v>9218</v>
      </c>
      <c r="D68" t="s">
        <v>8683</v>
      </c>
      <c r="E68" t="s">
        <v>9221</v>
      </c>
      <c r="G68" t="s">
        <v>8684</v>
      </c>
      <c r="H68">
        <v>290</v>
      </c>
      <c r="I68" t="s">
        <v>233</v>
      </c>
    </row>
    <row r="69" spans="1:9">
      <c r="A69" t="s">
        <v>8664</v>
      </c>
      <c r="B69" t="s">
        <v>9180</v>
      </c>
      <c r="C69" t="s">
        <v>8682</v>
      </c>
      <c r="D69" t="s">
        <v>8685</v>
      </c>
      <c r="E69" t="s">
        <v>9222</v>
      </c>
      <c r="G69" t="s">
        <v>8686</v>
      </c>
      <c r="H69">
        <v>150</v>
      </c>
      <c r="I69" t="s">
        <v>233</v>
      </c>
    </row>
    <row r="70" spans="1:9">
      <c r="A70" t="s">
        <v>8664</v>
      </c>
      <c r="B70" t="s">
        <v>9180</v>
      </c>
      <c r="C70" t="s">
        <v>8674</v>
      </c>
      <c r="D70" t="s">
        <v>8687</v>
      </c>
      <c r="E70" t="s">
        <v>9223</v>
      </c>
      <c r="G70" t="s">
        <v>9195</v>
      </c>
      <c r="H70">
        <v>720</v>
      </c>
      <c r="I70" t="s">
        <v>233</v>
      </c>
    </row>
    <row r="71" spans="1:9">
      <c r="A71" t="s">
        <v>8664</v>
      </c>
      <c r="B71" t="s">
        <v>9163</v>
      </c>
      <c r="C71" t="s">
        <v>2853</v>
      </c>
      <c r="D71" t="s">
        <v>8688</v>
      </c>
      <c r="E71" t="s">
        <v>2859</v>
      </c>
      <c r="G71" t="s">
        <v>8594</v>
      </c>
      <c r="H71">
        <v>1200</v>
      </c>
      <c r="I71" t="s">
        <v>233</v>
      </c>
    </row>
    <row r="72" spans="1:9">
      <c r="A72" t="s">
        <v>8664</v>
      </c>
      <c r="B72" t="s">
        <v>9163</v>
      </c>
      <c r="C72" t="s">
        <v>9224</v>
      </c>
      <c r="D72" t="s">
        <v>8689</v>
      </c>
      <c r="E72" t="s">
        <v>2860</v>
      </c>
      <c r="G72" t="s">
        <v>8655</v>
      </c>
      <c r="H72">
        <v>360</v>
      </c>
      <c r="I72" t="s">
        <v>233</v>
      </c>
    </row>
    <row r="73" spans="1:9">
      <c r="A73" t="s">
        <v>8664</v>
      </c>
      <c r="B73" t="s">
        <v>9163</v>
      </c>
      <c r="C73" t="s">
        <v>9218</v>
      </c>
      <c r="D73" t="s">
        <v>8690</v>
      </c>
      <c r="E73" t="s">
        <v>9225</v>
      </c>
      <c r="G73" t="s">
        <v>8691</v>
      </c>
      <c r="H73">
        <v>240</v>
      </c>
      <c r="I73" t="s">
        <v>233</v>
      </c>
    </row>
    <row r="74" spans="1:9">
      <c r="A74" t="s">
        <v>8664</v>
      </c>
      <c r="B74" t="s">
        <v>9163</v>
      </c>
      <c r="C74" t="s">
        <v>9218</v>
      </c>
      <c r="D74" t="s">
        <v>8692</v>
      </c>
      <c r="E74" t="s">
        <v>9226</v>
      </c>
      <c r="G74" t="s">
        <v>8691</v>
      </c>
      <c r="H74">
        <v>290</v>
      </c>
      <c r="I74" t="s">
        <v>233</v>
      </c>
    </row>
    <row r="75" spans="1:9">
      <c r="A75" t="s">
        <v>8664</v>
      </c>
      <c r="B75" t="s">
        <v>9170</v>
      </c>
      <c r="C75" t="s">
        <v>2853</v>
      </c>
      <c r="D75" t="s">
        <v>8693</v>
      </c>
      <c r="E75" t="s">
        <v>9227</v>
      </c>
      <c r="G75" t="s">
        <v>8594</v>
      </c>
      <c r="H75">
        <v>720</v>
      </c>
      <c r="I75" t="s">
        <v>233</v>
      </c>
    </row>
    <row r="76" spans="1:9">
      <c r="A76" t="s">
        <v>8664</v>
      </c>
      <c r="B76" t="s">
        <v>9170</v>
      </c>
      <c r="C76" t="s">
        <v>2853</v>
      </c>
      <c r="D76" t="s">
        <v>8694</v>
      </c>
      <c r="E76" t="s">
        <v>9228</v>
      </c>
      <c r="G76" t="s">
        <v>9195</v>
      </c>
      <c r="H76">
        <v>240</v>
      </c>
      <c r="I76" t="s">
        <v>233</v>
      </c>
    </row>
    <row r="77" spans="1:9">
      <c r="A77" t="s">
        <v>8664</v>
      </c>
      <c r="B77" t="s">
        <v>9170</v>
      </c>
      <c r="C77" t="s">
        <v>8645</v>
      </c>
      <c r="D77" t="s">
        <v>8695</v>
      </c>
      <c r="E77" t="s">
        <v>9229</v>
      </c>
      <c r="G77" t="s">
        <v>8594</v>
      </c>
      <c r="H77">
        <v>300</v>
      </c>
      <c r="I77" t="s">
        <v>233</v>
      </c>
    </row>
    <row r="78" spans="1:9">
      <c r="A78" t="s">
        <v>8664</v>
      </c>
      <c r="B78" t="s">
        <v>9230</v>
      </c>
      <c r="C78" t="s">
        <v>8645</v>
      </c>
      <c r="D78" t="s">
        <v>8696</v>
      </c>
      <c r="E78" t="s">
        <v>9231</v>
      </c>
      <c r="G78" t="s">
        <v>8594</v>
      </c>
      <c r="H78">
        <v>960</v>
      </c>
      <c r="I78" t="s">
        <v>233</v>
      </c>
    </row>
    <row r="79" spans="1:9">
      <c r="A79" t="s">
        <v>8664</v>
      </c>
      <c r="B79" t="s">
        <v>8605</v>
      </c>
      <c r="C79" t="s">
        <v>2853</v>
      </c>
      <c r="D79" t="s">
        <v>8697</v>
      </c>
      <c r="E79" t="s">
        <v>9232</v>
      </c>
      <c r="G79" t="s">
        <v>8606</v>
      </c>
      <c r="H79">
        <v>300</v>
      </c>
      <c r="I79" t="s">
        <v>233</v>
      </c>
    </row>
    <row r="80" spans="1:9">
      <c r="A80" t="s">
        <v>8699</v>
      </c>
      <c r="B80" t="s">
        <v>9166</v>
      </c>
      <c r="C80" t="s">
        <v>2852</v>
      </c>
      <c r="D80" t="s">
        <v>8698</v>
      </c>
      <c r="E80" t="s">
        <v>9233</v>
      </c>
      <c r="G80" t="s">
        <v>9234</v>
      </c>
      <c r="H80">
        <v>780</v>
      </c>
      <c r="I80" t="s">
        <v>233</v>
      </c>
    </row>
    <row r="81" spans="1:9">
      <c r="A81" t="s">
        <v>8699</v>
      </c>
      <c r="B81" t="s">
        <v>9166</v>
      </c>
      <c r="C81" t="s">
        <v>2852</v>
      </c>
      <c r="D81" t="s">
        <v>8700</v>
      </c>
      <c r="E81" t="s">
        <v>8701</v>
      </c>
      <c r="G81" t="s">
        <v>8655</v>
      </c>
      <c r="H81">
        <v>590</v>
      </c>
      <c r="I81" t="s">
        <v>233</v>
      </c>
    </row>
    <row r="82" spans="1:9">
      <c r="A82" t="s">
        <v>8699</v>
      </c>
      <c r="B82" t="s">
        <v>9166</v>
      </c>
      <c r="C82" t="s">
        <v>2852</v>
      </c>
      <c r="D82" t="s">
        <v>8702</v>
      </c>
      <c r="E82" t="s">
        <v>8703</v>
      </c>
      <c r="G82" t="s">
        <v>8655</v>
      </c>
      <c r="H82">
        <v>300</v>
      </c>
      <c r="I82" t="s">
        <v>233</v>
      </c>
    </row>
    <row r="83" spans="1:9">
      <c r="A83" t="s">
        <v>8699</v>
      </c>
      <c r="B83" t="s">
        <v>9166</v>
      </c>
      <c r="C83" t="s">
        <v>2853</v>
      </c>
      <c r="D83" t="s">
        <v>8704</v>
      </c>
      <c r="E83" t="s">
        <v>9235</v>
      </c>
      <c r="G83" t="s">
        <v>8629</v>
      </c>
      <c r="H83">
        <v>1440</v>
      </c>
      <c r="I83" t="s">
        <v>233</v>
      </c>
    </row>
    <row r="84" spans="1:9">
      <c r="A84" t="s">
        <v>8699</v>
      </c>
      <c r="B84" t="s">
        <v>9166</v>
      </c>
      <c r="C84" t="s">
        <v>2853</v>
      </c>
      <c r="D84" t="s">
        <v>8705</v>
      </c>
      <c r="E84" t="s">
        <v>9236</v>
      </c>
      <c r="G84" t="s">
        <v>8706</v>
      </c>
      <c r="H84">
        <v>240</v>
      </c>
      <c r="I84" t="s">
        <v>233</v>
      </c>
    </row>
    <row r="85" spans="1:9">
      <c r="A85" t="s">
        <v>8699</v>
      </c>
      <c r="B85" t="s">
        <v>9166</v>
      </c>
      <c r="C85" t="s">
        <v>2853</v>
      </c>
      <c r="D85" t="s">
        <v>8707</v>
      </c>
      <c r="E85" t="s">
        <v>9237</v>
      </c>
      <c r="G85" t="s">
        <v>9234</v>
      </c>
      <c r="H85">
        <v>540</v>
      </c>
      <c r="I85" t="s">
        <v>233</v>
      </c>
    </row>
    <row r="86" spans="1:9">
      <c r="A86" t="s">
        <v>8699</v>
      </c>
      <c r="B86" t="s">
        <v>9166</v>
      </c>
      <c r="C86" t="s">
        <v>9238</v>
      </c>
      <c r="D86" t="s">
        <v>8708</v>
      </c>
      <c r="E86" t="s">
        <v>9239</v>
      </c>
      <c r="G86" t="s">
        <v>8709</v>
      </c>
      <c r="H86">
        <v>1560</v>
      </c>
      <c r="I86" t="s">
        <v>233</v>
      </c>
    </row>
    <row r="87" spans="1:9">
      <c r="A87" t="s">
        <v>8699</v>
      </c>
      <c r="B87" t="s">
        <v>9209</v>
      </c>
      <c r="C87" t="s">
        <v>2853</v>
      </c>
      <c r="D87" t="s">
        <v>8710</v>
      </c>
      <c r="E87" t="s">
        <v>8711</v>
      </c>
      <c r="G87" t="s">
        <v>8706</v>
      </c>
      <c r="H87">
        <v>1200</v>
      </c>
      <c r="I87" t="s">
        <v>233</v>
      </c>
    </row>
    <row r="88" spans="1:9">
      <c r="A88" t="s">
        <v>8699</v>
      </c>
      <c r="B88" t="s">
        <v>9209</v>
      </c>
      <c r="C88" t="s">
        <v>2853</v>
      </c>
      <c r="D88" t="s">
        <v>8712</v>
      </c>
      <c r="E88" t="s">
        <v>8713</v>
      </c>
      <c r="G88" t="s">
        <v>8587</v>
      </c>
      <c r="H88">
        <v>120</v>
      </c>
      <c r="I88" t="s">
        <v>233</v>
      </c>
    </row>
    <row r="89" spans="1:9">
      <c r="A89" t="s">
        <v>8699</v>
      </c>
      <c r="B89" t="s">
        <v>9209</v>
      </c>
      <c r="C89" t="s">
        <v>2852</v>
      </c>
      <c r="D89" t="s">
        <v>8714</v>
      </c>
      <c r="E89" t="s">
        <v>9240</v>
      </c>
      <c r="G89" t="s">
        <v>9234</v>
      </c>
      <c r="H89">
        <v>400</v>
      </c>
      <c r="I89" t="s">
        <v>233</v>
      </c>
    </row>
    <row r="90" spans="1:9">
      <c r="A90" t="s">
        <v>8699</v>
      </c>
      <c r="B90" t="s">
        <v>9209</v>
      </c>
      <c r="C90" t="s">
        <v>9238</v>
      </c>
      <c r="D90" t="s">
        <v>8715</v>
      </c>
      <c r="E90" t="s">
        <v>8716</v>
      </c>
      <c r="G90" t="s">
        <v>8587</v>
      </c>
      <c r="H90">
        <v>150</v>
      </c>
      <c r="I90" t="s">
        <v>233</v>
      </c>
    </row>
    <row r="91" spans="1:9">
      <c r="A91" t="s">
        <v>8699</v>
      </c>
      <c r="B91" t="s">
        <v>9209</v>
      </c>
      <c r="C91" t="s">
        <v>9238</v>
      </c>
      <c r="D91" t="s">
        <v>8717</v>
      </c>
      <c r="E91" t="s">
        <v>8718</v>
      </c>
      <c r="G91" t="s">
        <v>8587</v>
      </c>
      <c r="H91">
        <v>150</v>
      </c>
      <c r="I91" t="s">
        <v>233</v>
      </c>
    </row>
    <row r="92" spans="1:9">
      <c r="A92" t="s">
        <v>8699</v>
      </c>
      <c r="B92" t="s">
        <v>9175</v>
      </c>
      <c r="C92" t="s">
        <v>2853</v>
      </c>
      <c r="D92" t="s">
        <v>8719</v>
      </c>
      <c r="E92" t="s">
        <v>9241</v>
      </c>
      <c r="G92" t="s">
        <v>9242</v>
      </c>
      <c r="H92">
        <v>3000</v>
      </c>
      <c r="I92" t="s">
        <v>233</v>
      </c>
    </row>
    <row r="93" spans="1:9">
      <c r="A93" t="s">
        <v>8699</v>
      </c>
      <c r="B93" t="s">
        <v>9175</v>
      </c>
      <c r="C93" t="s">
        <v>2853</v>
      </c>
      <c r="D93" t="s">
        <v>8720</v>
      </c>
      <c r="E93" t="s">
        <v>9243</v>
      </c>
      <c r="G93" t="s">
        <v>9242</v>
      </c>
      <c r="H93">
        <v>2040</v>
      </c>
      <c r="I93" t="s">
        <v>233</v>
      </c>
    </row>
    <row r="94" spans="1:9">
      <c r="A94" t="s">
        <v>8699</v>
      </c>
      <c r="B94" t="s">
        <v>9163</v>
      </c>
      <c r="C94" t="s">
        <v>2853</v>
      </c>
      <c r="D94" t="s">
        <v>8721</v>
      </c>
      <c r="E94" t="s">
        <v>9244</v>
      </c>
      <c r="G94" t="s">
        <v>8594</v>
      </c>
      <c r="H94">
        <v>600</v>
      </c>
      <c r="I94" t="s">
        <v>233</v>
      </c>
    </row>
    <row r="95" spans="1:9">
      <c r="A95" t="s">
        <v>8699</v>
      </c>
      <c r="B95" t="s">
        <v>9163</v>
      </c>
      <c r="C95" t="s">
        <v>9238</v>
      </c>
      <c r="D95" t="s">
        <v>8722</v>
      </c>
      <c r="E95" t="s">
        <v>9245</v>
      </c>
      <c r="G95" t="s">
        <v>8723</v>
      </c>
      <c r="H95">
        <v>3600</v>
      </c>
      <c r="I95" t="s">
        <v>233</v>
      </c>
    </row>
    <row r="96" spans="1:9">
      <c r="A96" t="s">
        <v>8699</v>
      </c>
      <c r="B96" t="s">
        <v>9163</v>
      </c>
      <c r="C96" t="s">
        <v>9238</v>
      </c>
      <c r="D96" t="s">
        <v>8724</v>
      </c>
      <c r="E96" t="s">
        <v>9246</v>
      </c>
      <c r="G96" t="s">
        <v>8723</v>
      </c>
      <c r="H96">
        <v>5760</v>
      </c>
      <c r="I96" t="s">
        <v>233</v>
      </c>
    </row>
    <row r="97" spans="1:9">
      <c r="A97" t="s">
        <v>8699</v>
      </c>
      <c r="B97" t="s">
        <v>9163</v>
      </c>
      <c r="C97" t="s">
        <v>9238</v>
      </c>
      <c r="D97" t="s">
        <v>8725</v>
      </c>
      <c r="E97" t="s">
        <v>9247</v>
      </c>
      <c r="G97" t="s">
        <v>8709</v>
      </c>
      <c r="H97">
        <v>420</v>
      </c>
      <c r="I97" t="s">
        <v>233</v>
      </c>
    </row>
    <row r="98" spans="1:9">
      <c r="A98" t="s">
        <v>8699</v>
      </c>
      <c r="B98" t="s">
        <v>9163</v>
      </c>
      <c r="C98" t="s">
        <v>9238</v>
      </c>
      <c r="D98" t="s">
        <v>8726</v>
      </c>
      <c r="E98" t="s">
        <v>9248</v>
      </c>
      <c r="G98" t="s">
        <v>8709</v>
      </c>
      <c r="H98">
        <v>420</v>
      </c>
      <c r="I98" t="s">
        <v>233</v>
      </c>
    </row>
    <row r="99" spans="1:9">
      <c r="A99" t="s">
        <v>8699</v>
      </c>
      <c r="B99" t="s">
        <v>9163</v>
      </c>
      <c r="C99" t="s">
        <v>9238</v>
      </c>
      <c r="D99" t="s">
        <v>8727</v>
      </c>
      <c r="E99" t="s">
        <v>9249</v>
      </c>
      <c r="G99" t="s">
        <v>8723</v>
      </c>
      <c r="H99">
        <v>3600</v>
      </c>
      <c r="I99" t="s">
        <v>233</v>
      </c>
    </row>
    <row r="100" spans="1:9">
      <c r="A100" t="s">
        <v>8699</v>
      </c>
      <c r="B100" t="s">
        <v>9163</v>
      </c>
      <c r="C100" t="s">
        <v>2853</v>
      </c>
      <c r="D100" t="s">
        <v>8728</v>
      </c>
      <c r="E100" t="s">
        <v>8729</v>
      </c>
      <c r="G100" t="s">
        <v>8596</v>
      </c>
      <c r="H100">
        <v>800</v>
      </c>
      <c r="I100" t="s">
        <v>233</v>
      </c>
    </row>
    <row r="101" spans="1:9">
      <c r="A101" t="s">
        <v>8699</v>
      </c>
      <c r="B101" t="s">
        <v>9170</v>
      </c>
      <c r="C101" t="s">
        <v>2853</v>
      </c>
      <c r="D101" t="s">
        <v>8730</v>
      </c>
      <c r="E101" t="s">
        <v>9250</v>
      </c>
      <c r="G101" t="s">
        <v>9242</v>
      </c>
      <c r="H101">
        <v>540</v>
      </c>
      <c r="I101" t="s">
        <v>233</v>
      </c>
    </row>
    <row r="102" spans="1:9">
      <c r="A102" t="s">
        <v>8699</v>
      </c>
      <c r="B102" t="s">
        <v>9170</v>
      </c>
      <c r="C102" t="s">
        <v>9238</v>
      </c>
      <c r="D102" t="s">
        <v>8731</v>
      </c>
      <c r="E102" t="s">
        <v>9251</v>
      </c>
      <c r="G102" t="s">
        <v>8709</v>
      </c>
      <c r="H102">
        <v>360</v>
      </c>
      <c r="I102" t="s">
        <v>233</v>
      </c>
    </row>
    <row r="103" spans="1:9">
      <c r="A103" t="s">
        <v>8699</v>
      </c>
      <c r="B103" t="s">
        <v>9170</v>
      </c>
      <c r="C103" t="s">
        <v>9238</v>
      </c>
      <c r="D103" t="s">
        <v>8732</v>
      </c>
      <c r="E103" t="s">
        <v>9252</v>
      </c>
      <c r="G103" t="s">
        <v>8709</v>
      </c>
      <c r="H103">
        <v>360</v>
      </c>
      <c r="I103" t="s">
        <v>233</v>
      </c>
    </row>
    <row r="104" spans="1:9">
      <c r="A104" t="s">
        <v>8699</v>
      </c>
      <c r="B104" t="s">
        <v>9170</v>
      </c>
      <c r="C104" t="s">
        <v>2853</v>
      </c>
      <c r="D104" t="s">
        <v>8733</v>
      </c>
      <c r="E104" t="s">
        <v>9253</v>
      </c>
      <c r="G104" t="s">
        <v>8706</v>
      </c>
      <c r="H104">
        <v>240</v>
      </c>
      <c r="I104" t="s">
        <v>233</v>
      </c>
    </row>
    <row r="105" spans="1:9">
      <c r="A105" t="s">
        <v>8699</v>
      </c>
      <c r="B105" t="s">
        <v>8735</v>
      </c>
      <c r="C105" t="s">
        <v>2853</v>
      </c>
      <c r="D105" t="s">
        <v>8734</v>
      </c>
      <c r="E105" t="s">
        <v>8736</v>
      </c>
      <c r="G105" t="s">
        <v>9242</v>
      </c>
      <c r="H105">
        <v>720</v>
      </c>
      <c r="I105" t="s">
        <v>233</v>
      </c>
    </row>
    <row r="106" spans="1:9">
      <c r="A106" t="s">
        <v>8699</v>
      </c>
      <c r="B106" t="s">
        <v>8735</v>
      </c>
      <c r="C106" t="s">
        <v>2853</v>
      </c>
      <c r="D106" t="s">
        <v>8737</v>
      </c>
      <c r="E106" t="s">
        <v>9254</v>
      </c>
      <c r="G106" t="s">
        <v>9242</v>
      </c>
      <c r="H106">
        <v>670</v>
      </c>
      <c r="I106" t="s">
        <v>233</v>
      </c>
    </row>
    <row r="107" spans="1:9">
      <c r="A107" t="s">
        <v>8699</v>
      </c>
      <c r="B107" t="s">
        <v>8735</v>
      </c>
      <c r="C107" t="s">
        <v>2853</v>
      </c>
      <c r="D107" t="s">
        <v>8738</v>
      </c>
      <c r="E107" t="s">
        <v>8739</v>
      </c>
      <c r="G107" t="s">
        <v>9242</v>
      </c>
      <c r="H107">
        <v>240</v>
      </c>
      <c r="I107" t="s">
        <v>233</v>
      </c>
    </row>
    <row r="108" spans="1:9">
      <c r="A108" t="s">
        <v>8699</v>
      </c>
      <c r="B108" t="s">
        <v>8735</v>
      </c>
      <c r="C108" t="s">
        <v>2853</v>
      </c>
      <c r="D108" t="s">
        <v>8740</v>
      </c>
      <c r="E108" t="s">
        <v>9255</v>
      </c>
      <c r="G108" t="s">
        <v>9242</v>
      </c>
      <c r="H108">
        <v>550</v>
      </c>
      <c r="I108" t="s">
        <v>233</v>
      </c>
    </row>
    <row r="109" spans="1:9">
      <c r="A109" t="s">
        <v>8699</v>
      </c>
      <c r="B109" t="s">
        <v>9230</v>
      </c>
      <c r="C109" t="s">
        <v>2853</v>
      </c>
      <c r="D109" t="s">
        <v>8741</v>
      </c>
      <c r="E109" t="s">
        <v>9256</v>
      </c>
      <c r="G109" t="s">
        <v>9242</v>
      </c>
      <c r="H109">
        <v>1440</v>
      </c>
      <c r="I109" t="s">
        <v>233</v>
      </c>
    </row>
    <row r="110" spans="1:9">
      <c r="A110" t="s">
        <v>8699</v>
      </c>
      <c r="B110" t="s">
        <v>9230</v>
      </c>
      <c r="C110" t="s">
        <v>2853</v>
      </c>
      <c r="D110" t="s">
        <v>8742</v>
      </c>
      <c r="E110" t="s">
        <v>9257</v>
      </c>
      <c r="G110" t="s">
        <v>9242</v>
      </c>
      <c r="H110">
        <v>1200</v>
      </c>
      <c r="I110" t="s">
        <v>233</v>
      </c>
    </row>
    <row r="111" spans="1:9">
      <c r="A111" t="s">
        <v>8699</v>
      </c>
      <c r="B111" t="s">
        <v>9230</v>
      </c>
      <c r="C111" t="s">
        <v>9238</v>
      </c>
      <c r="D111" t="s">
        <v>8743</v>
      </c>
      <c r="E111" t="s">
        <v>9258</v>
      </c>
      <c r="G111" t="s">
        <v>8655</v>
      </c>
      <c r="H111">
        <v>1440</v>
      </c>
      <c r="I111" t="s">
        <v>233</v>
      </c>
    </row>
    <row r="112" spans="1:9">
      <c r="A112" t="s">
        <v>8699</v>
      </c>
      <c r="B112" t="s">
        <v>9230</v>
      </c>
      <c r="C112" t="s">
        <v>9238</v>
      </c>
      <c r="D112" t="s">
        <v>8744</v>
      </c>
      <c r="E112" t="s">
        <v>9259</v>
      </c>
      <c r="G112" t="s">
        <v>8655</v>
      </c>
      <c r="H112">
        <v>1440</v>
      </c>
      <c r="I112" t="s">
        <v>233</v>
      </c>
    </row>
    <row r="113" spans="1:9">
      <c r="A113" t="s">
        <v>138</v>
      </c>
      <c r="B113" t="s">
        <v>9163</v>
      </c>
      <c r="C113" t="s">
        <v>2853</v>
      </c>
      <c r="D113" t="s">
        <v>8745</v>
      </c>
      <c r="E113" t="s">
        <v>9260</v>
      </c>
      <c r="G113" t="s">
        <v>8584</v>
      </c>
      <c r="H113">
        <v>1728</v>
      </c>
      <c r="I113" t="s">
        <v>233</v>
      </c>
    </row>
    <row r="114" spans="1:9">
      <c r="A114" t="s">
        <v>138</v>
      </c>
      <c r="B114" t="s">
        <v>9163</v>
      </c>
      <c r="C114" t="s">
        <v>8600</v>
      </c>
      <c r="D114" t="s">
        <v>8746</v>
      </c>
      <c r="E114" t="s">
        <v>9261</v>
      </c>
      <c r="G114" t="s">
        <v>9242</v>
      </c>
      <c r="H114">
        <v>580</v>
      </c>
      <c r="I114" t="s">
        <v>233</v>
      </c>
    </row>
    <row r="115" spans="1:9">
      <c r="A115" t="s">
        <v>138</v>
      </c>
      <c r="B115" t="s">
        <v>9163</v>
      </c>
      <c r="C115" t="s">
        <v>8600</v>
      </c>
      <c r="D115" t="s">
        <v>8747</v>
      </c>
      <c r="E115" t="s">
        <v>9262</v>
      </c>
      <c r="G115" t="s">
        <v>8748</v>
      </c>
      <c r="H115">
        <v>1150</v>
      </c>
      <c r="I115" t="s">
        <v>233</v>
      </c>
    </row>
    <row r="116" spans="1:9">
      <c r="A116" t="s">
        <v>138</v>
      </c>
      <c r="B116" t="s">
        <v>9170</v>
      </c>
      <c r="C116" t="s">
        <v>2853</v>
      </c>
      <c r="D116" t="s">
        <v>8749</v>
      </c>
      <c r="E116" t="s">
        <v>9263</v>
      </c>
      <c r="G116" t="s">
        <v>8584</v>
      </c>
      <c r="H116">
        <v>430</v>
      </c>
      <c r="I116" t="s">
        <v>233</v>
      </c>
    </row>
    <row r="117" spans="1:9">
      <c r="A117" t="s">
        <v>138</v>
      </c>
      <c r="B117" t="s">
        <v>9170</v>
      </c>
      <c r="C117" t="s">
        <v>8600</v>
      </c>
      <c r="D117" t="s">
        <v>8750</v>
      </c>
      <c r="E117" t="s">
        <v>9264</v>
      </c>
      <c r="G117" t="s">
        <v>8584</v>
      </c>
      <c r="H117">
        <v>290</v>
      </c>
      <c r="I117" t="s">
        <v>233</v>
      </c>
    </row>
    <row r="118" spans="1:9">
      <c r="A118" t="s">
        <v>138</v>
      </c>
      <c r="B118" t="s">
        <v>8605</v>
      </c>
      <c r="C118" t="s">
        <v>2853</v>
      </c>
      <c r="D118" t="s">
        <v>8751</v>
      </c>
      <c r="E118" t="s">
        <v>9265</v>
      </c>
      <c r="G118" t="s">
        <v>8606</v>
      </c>
      <c r="H118">
        <v>480</v>
      </c>
      <c r="I118" t="s">
        <v>233</v>
      </c>
    </row>
    <row r="119" spans="1:9">
      <c r="A119" t="s">
        <v>8753</v>
      </c>
      <c r="B119" t="s">
        <v>9166</v>
      </c>
      <c r="C119" t="s">
        <v>8682</v>
      </c>
      <c r="D119" t="s">
        <v>8752</v>
      </c>
      <c r="E119" t="s">
        <v>9266</v>
      </c>
      <c r="G119" t="s">
        <v>8754</v>
      </c>
      <c r="H119">
        <v>1080</v>
      </c>
      <c r="I119" t="s">
        <v>233</v>
      </c>
    </row>
    <row r="120" spans="1:9">
      <c r="A120" t="s">
        <v>8753</v>
      </c>
      <c r="B120" t="s">
        <v>9166</v>
      </c>
      <c r="C120" t="s">
        <v>8682</v>
      </c>
      <c r="D120" t="s">
        <v>8755</v>
      </c>
      <c r="E120" t="s">
        <v>9267</v>
      </c>
      <c r="G120" t="s">
        <v>8754</v>
      </c>
      <c r="H120">
        <v>1440</v>
      </c>
      <c r="I120" t="s">
        <v>233</v>
      </c>
    </row>
    <row r="121" spans="1:9">
      <c r="A121" t="s">
        <v>8753</v>
      </c>
      <c r="B121" t="s">
        <v>9166</v>
      </c>
      <c r="C121" t="s">
        <v>8682</v>
      </c>
      <c r="D121" t="s">
        <v>8756</v>
      </c>
      <c r="E121" t="s">
        <v>9268</v>
      </c>
      <c r="G121" t="s">
        <v>8754</v>
      </c>
      <c r="H121">
        <v>600</v>
      </c>
      <c r="I121" t="s">
        <v>233</v>
      </c>
    </row>
    <row r="122" spans="1:9">
      <c r="A122" t="s">
        <v>8753</v>
      </c>
      <c r="B122" t="s">
        <v>9166</v>
      </c>
      <c r="C122" t="s">
        <v>2852</v>
      </c>
      <c r="D122" t="s">
        <v>8757</v>
      </c>
      <c r="E122" t="s">
        <v>9269</v>
      </c>
      <c r="G122" t="s">
        <v>9242</v>
      </c>
      <c r="H122">
        <v>1440</v>
      </c>
      <c r="I122" t="s">
        <v>233</v>
      </c>
    </row>
    <row r="123" spans="1:9">
      <c r="A123" t="s">
        <v>8753</v>
      </c>
      <c r="B123" t="s">
        <v>9166</v>
      </c>
      <c r="C123" t="s">
        <v>2852</v>
      </c>
      <c r="D123" t="s">
        <v>8758</v>
      </c>
      <c r="E123" t="s">
        <v>8759</v>
      </c>
      <c r="G123" t="s">
        <v>9242</v>
      </c>
      <c r="H123">
        <v>1440</v>
      </c>
      <c r="I123" t="s">
        <v>233</v>
      </c>
    </row>
    <row r="124" spans="1:9">
      <c r="A124" t="s">
        <v>8753</v>
      </c>
      <c r="B124" t="s">
        <v>9166</v>
      </c>
      <c r="C124" t="s">
        <v>2852</v>
      </c>
      <c r="D124" t="s">
        <v>8760</v>
      </c>
      <c r="E124" t="s">
        <v>9270</v>
      </c>
      <c r="G124" t="s">
        <v>8754</v>
      </c>
      <c r="H124">
        <v>1080</v>
      </c>
      <c r="I124" t="s">
        <v>233</v>
      </c>
    </row>
    <row r="125" spans="1:9">
      <c r="A125" t="s">
        <v>8753</v>
      </c>
      <c r="B125" t="s">
        <v>9166</v>
      </c>
      <c r="C125" t="s">
        <v>8762</v>
      </c>
      <c r="D125" t="s">
        <v>8761</v>
      </c>
      <c r="E125" t="s">
        <v>9271</v>
      </c>
      <c r="G125" t="s">
        <v>9242</v>
      </c>
      <c r="H125">
        <v>360</v>
      </c>
      <c r="I125" t="s">
        <v>233</v>
      </c>
    </row>
    <row r="126" spans="1:9">
      <c r="A126" t="s">
        <v>8753</v>
      </c>
      <c r="B126" t="s">
        <v>9166</v>
      </c>
      <c r="C126" t="s">
        <v>8762</v>
      </c>
      <c r="D126" t="s">
        <v>8763</v>
      </c>
      <c r="E126" t="s">
        <v>9272</v>
      </c>
      <c r="G126" t="s">
        <v>9242</v>
      </c>
      <c r="H126">
        <v>240</v>
      </c>
      <c r="I126" t="s">
        <v>233</v>
      </c>
    </row>
    <row r="127" spans="1:9">
      <c r="A127" t="s">
        <v>8753</v>
      </c>
      <c r="B127" t="s">
        <v>9166</v>
      </c>
      <c r="C127" t="s">
        <v>8762</v>
      </c>
      <c r="D127" t="s">
        <v>8764</v>
      </c>
      <c r="E127" t="s">
        <v>9273</v>
      </c>
      <c r="G127" t="s">
        <v>9242</v>
      </c>
      <c r="H127">
        <v>150</v>
      </c>
      <c r="I127" t="s">
        <v>233</v>
      </c>
    </row>
    <row r="128" spans="1:9">
      <c r="A128" t="s">
        <v>8753</v>
      </c>
      <c r="B128" t="s">
        <v>9166</v>
      </c>
      <c r="C128" t="s">
        <v>8762</v>
      </c>
      <c r="D128" t="s">
        <v>8765</v>
      </c>
      <c r="E128" t="s">
        <v>9274</v>
      </c>
      <c r="G128" t="s">
        <v>8655</v>
      </c>
      <c r="H128">
        <v>2160</v>
      </c>
      <c r="I128" t="s">
        <v>233</v>
      </c>
    </row>
    <row r="129" spans="1:9">
      <c r="A129" t="s">
        <v>8753</v>
      </c>
      <c r="B129" t="s">
        <v>9166</v>
      </c>
      <c r="C129" t="s">
        <v>9238</v>
      </c>
      <c r="D129" t="s">
        <v>8766</v>
      </c>
      <c r="E129" t="s">
        <v>8767</v>
      </c>
      <c r="G129" t="s">
        <v>8754</v>
      </c>
      <c r="H129">
        <v>3600</v>
      </c>
      <c r="I129" t="s">
        <v>233</v>
      </c>
    </row>
    <row r="130" spans="1:9">
      <c r="A130" t="s">
        <v>8753</v>
      </c>
      <c r="B130" t="s">
        <v>9166</v>
      </c>
      <c r="C130" t="s">
        <v>9238</v>
      </c>
      <c r="D130" t="s">
        <v>8768</v>
      </c>
      <c r="E130" t="s">
        <v>8769</v>
      </c>
      <c r="G130" t="s">
        <v>8655</v>
      </c>
      <c r="H130">
        <v>3000</v>
      </c>
      <c r="I130" t="s">
        <v>233</v>
      </c>
    </row>
    <row r="131" spans="1:9">
      <c r="A131" t="s">
        <v>8753</v>
      </c>
      <c r="B131" t="s">
        <v>9166</v>
      </c>
      <c r="C131" t="s">
        <v>2853</v>
      </c>
      <c r="D131" t="s">
        <v>8770</v>
      </c>
      <c r="E131" t="s">
        <v>9275</v>
      </c>
      <c r="G131" t="s">
        <v>9242</v>
      </c>
      <c r="H131">
        <v>480</v>
      </c>
      <c r="I131" t="s">
        <v>233</v>
      </c>
    </row>
    <row r="132" spans="1:9">
      <c r="A132" t="s">
        <v>8753</v>
      </c>
      <c r="B132" t="s">
        <v>9166</v>
      </c>
      <c r="C132" t="s">
        <v>9276</v>
      </c>
      <c r="D132" t="s">
        <v>8771</v>
      </c>
      <c r="E132" t="s">
        <v>9277</v>
      </c>
      <c r="G132" t="s">
        <v>8594</v>
      </c>
      <c r="H132">
        <v>960</v>
      </c>
      <c r="I132" t="s">
        <v>233</v>
      </c>
    </row>
    <row r="133" spans="1:9">
      <c r="A133" t="s">
        <v>8753</v>
      </c>
      <c r="B133" t="s">
        <v>8620</v>
      </c>
      <c r="C133" t="s">
        <v>2852</v>
      </c>
      <c r="D133" t="s">
        <v>8772</v>
      </c>
      <c r="E133" t="s">
        <v>8773</v>
      </c>
      <c r="G133" t="s">
        <v>8587</v>
      </c>
      <c r="H133">
        <v>0</v>
      </c>
      <c r="I133" t="s">
        <v>233</v>
      </c>
    </row>
    <row r="134" spans="1:9">
      <c r="A134" t="s">
        <v>8753</v>
      </c>
      <c r="B134" t="s">
        <v>8620</v>
      </c>
      <c r="C134" t="s">
        <v>9238</v>
      </c>
      <c r="D134" t="s">
        <v>8774</v>
      </c>
      <c r="E134" t="s">
        <v>8775</v>
      </c>
      <c r="G134" t="s">
        <v>8587</v>
      </c>
      <c r="H134">
        <v>0</v>
      </c>
      <c r="I134" t="s">
        <v>233</v>
      </c>
    </row>
    <row r="135" spans="1:9">
      <c r="A135" t="s">
        <v>8753</v>
      </c>
      <c r="B135" t="s">
        <v>9175</v>
      </c>
      <c r="C135" t="s">
        <v>9278</v>
      </c>
      <c r="D135" t="s">
        <v>8776</v>
      </c>
      <c r="E135" t="s">
        <v>9279</v>
      </c>
      <c r="G135" t="s">
        <v>9242</v>
      </c>
      <c r="H135">
        <v>1440</v>
      </c>
      <c r="I135" t="s">
        <v>233</v>
      </c>
    </row>
    <row r="136" spans="1:9">
      <c r="A136" t="s">
        <v>8753</v>
      </c>
      <c r="B136" t="s">
        <v>9175</v>
      </c>
      <c r="C136" t="s">
        <v>9278</v>
      </c>
      <c r="D136" t="s">
        <v>8777</v>
      </c>
      <c r="E136" t="s">
        <v>9280</v>
      </c>
      <c r="G136" t="s">
        <v>9242</v>
      </c>
      <c r="H136">
        <v>2160</v>
      </c>
      <c r="I136" t="s">
        <v>233</v>
      </c>
    </row>
    <row r="137" spans="1:9">
      <c r="A137" t="s">
        <v>8753</v>
      </c>
      <c r="B137" t="s">
        <v>9175</v>
      </c>
      <c r="C137" t="s">
        <v>9278</v>
      </c>
      <c r="D137" t="s">
        <v>8778</v>
      </c>
      <c r="E137" t="s">
        <v>9281</v>
      </c>
      <c r="G137" t="s">
        <v>9242</v>
      </c>
      <c r="H137">
        <v>600</v>
      </c>
      <c r="I137" t="s">
        <v>233</v>
      </c>
    </row>
    <row r="138" spans="1:9">
      <c r="A138" t="s">
        <v>8753</v>
      </c>
      <c r="B138" t="s">
        <v>9175</v>
      </c>
      <c r="C138" t="s">
        <v>9278</v>
      </c>
      <c r="D138" t="s">
        <v>8779</v>
      </c>
      <c r="E138" t="s">
        <v>9282</v>
      </c>
      <c r="G138" t="s">
        <v>9242</v>
      </c>
      <c r="H138">
        <v>960</v>
      </c>
      <c r="I138" t="s">
        <v>233</v>
      </c>
    </row>
    <row r="139" spans="1:9">
      <c r="A139" t="s">
        <v>8753</v>
      </c>
      <c r="B139" t="s">
        <v>9175</v>
      </c>
      <c r="C139" t="s">
        <v>2853</v>
      </c>
      <c r="D139" t="s">
        <v>8780</v>
      </c>
      <c r="E139" t="s">
        <v>9283</v>
      </c>
      <c r="G139" t="s">
        <v>9242</v>
      </c>
      <c r="H139">
        <v>600</v>
      </c>
      <c r="I139" t="s">
        <v>233</v>
      </c>
    </row>
    <row r="140" spans="1:9">
      <c r="A140" t="s">
        <v>8753</v>
      </c>
      <c r="B140" t="s">
        <v>9163</v>
      </c>
      <c r="C140" t="s">
        <v>9224</v>
      </c>
      <c r="D140" t="s">
        <v>8781</v>
      </c>
      <c r="E140" t="s">
        <v>9284</v>
      </c>
      <c r="G140" t="s">
        <v>8655</v>
      </c>
      <c r="H140">
        <v>1200</v>
      </c>
      <c r="I140" t="s">
        <v>233</v>
      </c>
    </row>
    <row r="141" spans="1:9">
      <c r="A141" t="s">
        <v>8753</v>
      </c>
      <c r="B141" t="s">
        <v>9163</v>
      </c>
      <c r="C141" t="s">
        <v>9224</v>
      </c>
      <c r="D141" t="s">
        <v>8782</v>
      </c>
      <c r="E141" t="s">
        <v>9285</v>
      </c>
      <c r="G141" t="s">
        <v>8655</v>
      </c>
      <c r="H141">
        <v>960</v>
      </c>
      <c r="I141" t="s">
        <v>233</v>
      </c>
    </row>
    <row r="142" spans="1:9">
      <c r="A142" t="s">
        <v>8753</v>
      </c>
      <c r="B142" t="s">
        <v>9163</v>
      </c>
      <c r="C142" t="s">
        <v>9224</v>
      </c>
      <c r="D142" t="s">
        <v>8783</v>
      </c>
      <c r="E142" t="s">
        <v>9286</v>
      </c>
      <c r="G142" t="s">
        <v>8655</v>
      </c>
      <c r="H142">
        <v>360</v>
      </c>
      <c r="I142" t="s">
        <v>233</v>
      </c>
    </row>
    <row r="143" spans="1:9">
      <c r="A143" t="s">
        <v>8753</v>
      </c>
      <c r="B143" t="s">
        <v>9163</v>
      </c>
      <c r="C143" t="s">
        <v>8645</v>
      </c>
      <c r="D143" t="s">
        <v>8784</v>
      </c>
      <c r="E143" t="s">
        <v>9287</v>
      </c>
      <c r="G143" t="s">
        <v>8655</v>
      </c>
      <c r="H143">
        <v>360</v>
      </c>
      <c r="I143" t="s">
        <v>233</v>
      </c>
    </row>
    <row r="144" spans="1:9">
      <c r="A144" t="s">
        <v>8753</v>
      </c>
      <c r="B144" t="s">
        <v>9163</v>
      </c>
      <c r="C144" t="s">
        <v>2853</v>
      </c>
      <c r="D144" t="s">
        <v>8785</v>
      </c>
      <c r="E144" t="s">
        <v>2861</v>
      </c>
      <c r="G144" t="s">
        <v>9242</v>
      </c>
      <c r="H144">
        <v>240</v>
      </c>
      <c r="I144" t="s">
        <v>233</v>
      </c>
    </row>
    <row r="145" spans="1:9">
      <c r="A145" t="s">
        <v>8753</v>
      </c>
      <c r="B145" t="s">
        <v>9163</v>
      </c>
      <c r="C145" t="s">
        <v>2853</v>
      </c>
      <c r="D145" t="s">
        <v>8786</v>
      </c>
      <c r="E145" t="s">
        <v>2961</v>
      </c>
      <c r="G145" t="s">
        <v>9242</v>
      </c>
      <c r="H145">
        <v>1200</v>
      </c>
      <c r="I145" t="s">
        <v>233</v>
      </c>
    </row>
    <row r="146" spans="1:9">
      <c r="A146" t="s">
        <v>8753</v>
      </c>
      <c r="B146" t="s">
        <v>9163</v>
      </c>
      <c r="C146" t="s">
        <v>2853</v>
      </c>
      <c r="D146" t="s">
        <v>8787</v>
      </c>
      <c r="E146" t="s">
        <v>2862</v>
      </c>
      <c r="G146" t="s">
        <v>8788</v>
      </c>
      <c r="H146">
        <v>500</v>
      </c>
      <c r="I146" t="s">
        <v>233</v>
      </c>
    </row>
    <row r="147" spans="1:9">
      <c r="A147" t="s">
        <v>8753</v>
      </c>
      <c r="B147" t="s">
        <v>9163</v>
      </c>
      <c r="C147" t="s">
        <v>2853</v>
      </c>
      <c r="D147" t="s">
        <v>8789</v>
      </c>
      <c r="E147" t="s">
        <v>9288</v>
      </c>
      <c r="G147" t="s">
        <v>9195</v>
      </c>
      <c r="H147">
        <v>700</v>
      </c>
      <c r="I147" t="s">
        <v>233</v>
      </c>
    </row>
    <row r="148" spans="1:9">
      <c r="A148" t="s">
        <v>8753</v>
      </c>
      <c r="B148" t="s">
        <v>9163</v>
      </c>
      <c r="C148" t="s">
        <v>2853</v>
      </c>
      <c r="D148" t="s">
        <v>8790</v>
      </c>
      <c r="E148" t="s">
        <v>9289</v>
      </c>
      <c r="G148" t="s">
        <v>9242</v>
      </c>
      <c r="H148">
        <v>350</v>
      </c>
      <c r="I148" t="s">
        <v>233</v>
      </c>
    </row>
    <row r="149" spans="1:9">
      <c r="A149" t="s">
        <v>8753</v>
      </c>
      <c r="B149" t="s">
        <v>9163</v>
      </c>
      <c r="C149" t="s">
        <v>2853</v>
      </c>
      <c r="D149" t="s">
        <v>8791</v>
      </c>
      <c r="E149" t="s">
        <v>2863</v>
      </c>
      <c r="G149" t="s">
        <v>8792</v>
      </c>
      <c r="H149">
        <v>290</v>
      </c>
      <c r="I149" t="s">
        <v>233</v>
      </c>
    </row>
    <row r="150" spans="1:9">
      <c r="A150" t="s">
        <v>8753</v>
      </c>
      <c r="B150" t="s">
        <v>9163</v>
      </c>
      <c r="C150" t="s">
        <v>2852</v>
      </c>
      <c r="D150" t="s">
        <v>8793</v>
      </c>
      <c r="E150" t="s">
        <v>9290</v>
      </c>
      <c r="G150" t="s">
        <v>9242</v>
      </c>
      <c r="H150">
        <v>1680</v>
      </c>
      <c r="I150" t="s">
        <v>233</v>
      </c>
    </row>
    <row r="151" spans="1:9">
      <c r="A151" t="s">
        <v>8753</v>
      </c>
      <c r="B151" t="s">
        <v>9163</v>
      </c>
      <c r="C151" t="s">
        <v>2852</v>
      </c>
      <c r="D151" t="s">
        <v>8794</v>
      </c>
      <c r="E151" t="s">
        <v>2962</v>
      </c>
      <c r="G151" t="s">
        <v>9242</v>
      </c>
      <c r="H151">
        <v>2880</v>
      </c>
      <c r="I151" t="s">
        <v>233</v>
      </c>
    </row>
    <row r="152" spans="1:9">
      <c r="A152" t="s">
        <v>8753</v>
      </c>
      <c r="B152" t="s">
        <v>9163</v>
      </c>
      <c r="C152" t="s">
        <v>2852</v>
      </c>
      <c r="D152" t="s">
        <v>8795</v>
      </c>
      <c r="E152" t="s">
        <v>9291</v>
      </c>
      <c r="G152" t="s">
        <v>9242</v>
      </c>
      <c r="H152">
        <v>480</v>
      </c>
      <c r="I152" t="s">
        <v>233</v>
      </c>
    </row>
    <row r="153" spans="1:9">
      <c r="A153" t="s">
        <v>8753</v>
      </c>
      <c r="B153" t="s">
        <v>9163</v>
      </c>
      <c r="C153" t="s">
        <v>8600</v>
      </c>
      <c r="D153" t="s">
        <v>8796</v>
      </c>
      <c r="E153" t="s">
        <v>9292</v>
      </c>
      <c r="G153" t="s">
        <v>8748</v>
      </c>
      <c r="H153">
        <v>360</v>
      </c>
      <c r="I153" t="s">
        <v>233</v>
      </c>
    </row>
    <row r="154" spans="1:9">
      <c r="A154" t="s">
        <v>8753</v>
      </c>
      <c r="B154" t="s">
        <v>9163</v>
      </c>
      <c r="C154" t="s">
        <v>8762</v>
      </c>
      <c r="D154" t="s">
        <v>8797</v>
      </c>
      <c r="E154" t="s">
        <v>9293</v>
      </c>
      <c r="G154" t="s">
        <v>9242</v>
      </c>
      <c r="H154">
        <v>1440</v>
      </c>
      <c r="I154" t="s">
        <v>233</v>
      </c>
    </row>
    <row r="155" spans="1:9">
      <c r="A155" t="s">
        <v>8753</v>
      </c>
      <c r="B155" t="s">
        <v>9163</v>
      </c>
      <c r="C155" t="s">
        <v>8762</v>
      </c>
      <c r="D155" t="s">
        <v>8798</v>
      </c>
      <c r="E155" t="s">
        <v>9294</v>
      </c>
      <c r="G155" t="s">
        <v>8655</v>
      </c>
      <c r="H155">
        <v>1800</v>
      </c>
      <c r="I155" t="s">
        <v>233</v>
      </c>
    </row>
    <row r="156" spans="1:9">
      <c r="A156" t="s">
        <v>8753</v>
      </c>
      <c r="B156" t="s">
        <v>9163</v>
      </c>
      <c r="C156" t="s">
        <v>9238</v>
      </c>
      <c r="D156" t="s">
        <v>8799</v>
      </c>
      <c r="E156" t="s">
        <v>9295</v>
      </c>
      <c r="G156" t="s">
        <v>8655</v>
      </c>
      <c r="H156">
        <v>8400</v>
      </c>
      <c r="I156" t="s">
        <v>233</v>
      </c>
    </row>
    <row r="157" spans="1:9">
      <c r="A157" t="s">
        <v>8753</v>
      </c>
      <c r="B157" t="s">
        <v>9163</v>
      </c>
      <c r="C157" t="s">
        <v>9238</v>
      </c>
      <c r="D157" t="s">
        <v>8800</v>
      </c>
      <c r="E157" t="s">
        <v>9296</v>
      </c>
      <c r="G157" t="s">
        <v>8723</v>
      </c>
      <c r="H157">
        <v>14400</v>
      </c>
      <c r="I157" t="s">
        <v>233</v>
      </c>
    </row>
    <row r="158" spans="1:9">
      <c r="A158" t="s">
        <v>8753</v>
      </c>
      <c r="B158" t="s">
        <v>9163</v>
      </c>
      <c r="C158" t="s">
        <v>9238</v>
      </c>
      <c r="D158" t="s">
        <v>8801</v>
      </c>
      <c r="E158" t="s">
        <v>9297</v>
      </c>
      <c r="G158" t="s">
        <v>8709</v>
      </c>
      <c r="H158">
        <v>3000</v>
      </c>
      <c r="I158" t="s">
        <v>233</v>
      </c>
    </row>
    <row r="159" spans="1:9">
      <c r="A159" t="s">
        <v>8753</v>
      </c>
      <c r="B159" t="s">
        <v>9163</v>
      </c>
      <c r="C159" t="s">
        <v>2853</v>
      </c>
      <c r="D159" t="s">
        <v>8802</v>
      </c>
      <c r="E159" t="s">
        <v>9298</v>
      </c>
      <c r="G159" t="s">
        <v>9242</v>
      </c>
      <c r="H159">
        <v>1440</v>
      </c>
      <c r="I159" t="s">
        <v>233</v>
      </c>
    </row>
    <row r="160" spans="1:9">
      <c r="A160" t="s">
        <v>8753</v>
      </c>
      <c r="B160" t="s">
        <v>9163</v>
      </c>
      <c r="C160" t="s">
        <v>2853</v>
      </c>
      <c r="D160" t="s">
        <v>8803</v>
      </c>
      <c r="E160" t="s">
        <v>9299</v>
      </c>
      <c r="G160" t="s">
        <v>9242</v>
      </c>
      <c r="H160">
        <v>750</v>
      </c>
      <c r="I160" t="s">
        <v>233</v>
      </c>
    </row>
    <row r="161" spans="1:9">
      <c r="A161" t="s">
        <v>8753</v>
      </c>
      <c r="B161" t="s">
        <v>9163</v>
      </c>
      <c r="C161" t="s">
        <v>9238</v>
      </c>
      <c r="D161" t="s">
        <v>8804</v>
      </c>
      <c r="E161" t="s">
        <v>9300</v>
      </c>
      <c r="G161" t="s">
        <v>8723</v>
      </c>
      <c r="H161">
        <v>3600</v>
      </c>
      <c r="I161" t="s">
        <v>233</v>
      </c>
    </row>
    <row r="162" spans="1:9">
      <c r="A162" t="s">
        <v>8753</v>
      </c>
      <c r="B162" t="s">
        <v>9163</v>
      </c>
      <c r="C162" t="s">
        <v>2853</v>
      </c>
      <c r="D162" t="s">
        <v>9909</v>
      </c>
      <c r="E162" t="s">
        <v>9910</v>
      </c>
      <c r="G162" t="s">
        <v>9242</v>
      </c>
      <c r="H162">
        <v>360</v>
      </c>
      <c r="I162" t="s">
        <v>233</v>
      </c>
    </row>
    <row r="163" spans="1:9">
      <c r="A163" t="s">
        <v>8753</v>
      </c>
      <c r="B163" t="s">
        <v>9170</v>
      </c>
      <c r="C163" t="s">
        <v>2853</v>
      </c>
      <c r="D163" t="s">
        <v>8805</v>
      </c>
      <c r="E163" t="s">
        <v>9301</v>
      </c>
      <c r="G163" t="s">
        <v>9242</v>
      </c>
      <c r="H163">
        <v>600</v>
      </c>
      <c r="I163" t="s">
        <v>233</v>
      </c>
    </row>
    <row r="164" spans="1:9">
      <c r="A164" t="s">
        <v>8753</v>
      </c>
      <c r="B164" t="s">
        <v>9170</v>
      </c>
      <c r="C164" t="s">
        <v>2853</v>
      </c>
      <c r="D164" t="s">
        <v>8806</v>
      </c>
      <c r="E164" t="s">
        <v>9302</v>
      </c>
      <c r="G164" t="s">
        <v>9242</v>
      </c>
      <c r="H164">
        <v>720</v>
      </c>
      <c r="I164" t="s">
        <v>233</v>
      </c>
    </row>
    <row r="165" spans="1:9">
      <c r="A165" t="s">
        <v>8753</v>
      </c>
      <c r="B165" t="s">
        <v>9170</v>
      </c>
      <c r="C165" t="s">
        <v>2853</v>
      </c>
      <c r="D165" t="s">
        <v>8807</v>
      </c>
      <c r="E165" t="s">
        <v>9303</v>
      </c>
      <c r="G165" t="s">
        <v>9242</v>
      </c>
      <c r="H165">
        <v>480</v>
      </c>
      <c r="I165" t="s">
        <v>233</v>
      </c>
    </row>
    <row r="166" spans="1:9">
      <c r="A166" t="s">
        <v>8753</v>
      </c>
      <c r="B166" t="s">
        <v>9170</v>
      </c>
      <c r="C166" t="s">
        <v>2853</v>
      </c>
      <c r="D166" t="s">
        <v>8808</v>
      </c>
      <c r="E166" t="s">
        <v>9304</v>
      </c>
      <c r="G166" t="s">
        <v>8809</v>
      </c>
      <c r="H166">
        <v>240</v>
      </c>
      <c r="I166" t="s">
        <v>233</v>
      </c>
    </row>
    <row r="167" spans="1:9">
      <c r="A167" t="s">
        <v>8753</v>
      </c>
      <c r="B167" t="s">
        <v>9170</v>
      </c>
      <c r="C167" t="s">
        <v>9238</v>
      </c>
      <c r="D167" t="s">
        <v>8810</v>
      </c>
      <c r="E167" t="s">
        <v>8811</v>
      </c>
      <c r="G167" t="s">
        <v>8723</v>
      </c>
      <c r="H167">
        <v>2160</v>
      </c>
      <c r="I167" t="s">
        <v>233</v>
      </c>
    </row>
    <row r="168" spans="1:9">
      <c r="A168" t="s">
        <v>8753</v>
      </c>
      <c r="B168" t="s">
        <v>8735</v>
      </c>
      <c r="C168" t="s">
        <v>2853</v>
      </c>
      <c r="D168" t="s">
        <v>8812</v>
      </c>
      <c r="E168" t="s">
        <v>9305</v>
      </c>
      <c r="G168" t="s">
        <v>9242</v>
      </c>
      <c r="H168">
        <v>3360</v>
      </c>
      <c r="I168" t="s">
        <v>233</v>
      </c>
    </row>
    <row r="169" spans="1:9">
      <c r="A169" t="s">
        <v>8753</v>
      </c>
      <c r="B169" t="s">
        <v>8735</v>
      </c>
      <c r="C169" t="s">
        <v>2853</v>
      </c>
      <c r="D169" t="s">
        <v>8813</v>
      </c>
      <c r="E169" t="s">
        <v>9306</v>
      </c>
      <c r="G169" t="s">
        <v>9242</v>
      </c>
      <c r="H169">
        <v>1920</v>
      </c>
      <c r="I169" t="s">
        <v>233</v>
      </c>
    </row>
    <row r="170" spans="1:9">
      <c r="A170" t="s">
        <v>8753</v>
      </c>
      <c r="B170" t="s">
        <v>8735</v>
      </c>
      <c r="C170" t="s">
        <v>2853</v>
      </c>
      <c r="D170" t="s">
        <v>8814</v>
      </c>
      <c r="E170" t="s">
        <v>8815</v>
      </c>
      <c r="G170" t="s">
        <v>9242</v>
      </c>
      <c r="H170">
        <v>1680</v>
      </c>
      <c r="I170" t="s">
        <v>233</v>
      </c>
    </row>
    <row r="171" spans="1:9">
      <c r="A171" t="s">
        <v>8753</v>
      </c>
      <c r="B171" t="s">
        <v>8735</v>
      </c>
      <c r="C171" t="s">
        <v>2852</v>
      </c>
      <c r="D171" t="s">
        <v>8816</v>
      </c>
      <c r="E171" t="s">
        <v>9307</v>
      </c>
      <c r="G171" t="s">
        <v>8655</v>
      </c>
      <c r="H171">
        <v>1920</v>
      </c>
      <c r="I171" t="s">
        <v>233</v>
      </c>
    </row>
    <row r="172" spans="1:9">
      <c r="A172" t="s">
        <v>8753</v>
      </c>
      <c r="B172" t="s">
        <v>8735</v>
      </c>
      <c r="C172" t="s">
        <v>8762</v>
      </c>
      <c r="D172" t="s">
        <v>8817</v>
      </c>
      <c r="E172" t="s">
        <v>9308</v>
      </c>
      <c r="G172" t="s">
        <v>8655</v>
      </c>
      <c r="H172">
        <v>1440</v>
      </c>
      <c r="I172" t="s">
        <v>233</v>
      </c>
    </row>
    <row r="173" spans="1:9">
      <c r="A173" t="s">
        <v>8753</v>
      </c>
      <c r="B173" t="s">
        <v>8735</v>
      </c>
      <c r="C173" t="s">
        <v>9238</v>
      </c>
      <c r="D173" t="s">
        <v>8818</v>
      </c>
      <c r="E173" t="s">
        <v>9309</v>
      </c>
      <c r="G173" t="s">
        <v>8655</v>
      </c>
      <c r="H173">
        <v>2040</v>
      </c>
      <c r="I173" t="s">
        <v>233</v>
      </c>
    </row>
    <row r="174" spans="1:9">
      <c r="A174" t="s">
        <v>8753</v>
      </c>
      <c r="B174" t="s">
        <v>9230</v>
      </c>
      <c r="C174" t="s">
        <v>2853</v>
      </c>
      <c r="D174" t="s">
        <v>8819</v>
      </c>
      <c r="E174" t="s">
        <v>9310</v>
      </c>
      <c r="G174" t="s">
        <v>9242</v>
      </c>
      <c r="H174">
        <v>2880</v>
      </c>
      <c r="I174" t="s">
        <v>233</v>
      </c>
    </row>
    <row r="175" spans="1:9">
      <c r="A175" t="s">
        <v>8753</v>
      </c>
      <c r="B175" t="s">
        <v>9230</v>
      </c>
      <c r="C175" t="s">
        <v>2853</v>
      </c>
      <c r="D175" t="s">
        <v>8820</v>
      </c>
      <c r="E175" t="s">
        <v>9311</v>
      </c>
      <c r="G175" t="s">
        <v>9242</v>
      </c>
      <c r="H175">
        <v>2880</v>
      </c>
      <c r="I175" t="s">
        <v>233</v>
      </c>
    </row>
    <row r="176" spans="1:9">
      <c r="A176" t="s">
        <v>8753</v>
      </c>
      <c r="B176" t="s">
        <v>9230</v>
      </c>
      <c r="C176" t="s">
        <v>2853</v>
      </c>
      <c r="D176" t="s">
        <v>8821</v>
      </c>
      <c r="E176" t="s">
        <v>9312</v>
      </c>
      <c r="G176" t="s">
        <v>9242</v>
      </c>
      <c r="H176">
        <v>1920</v>
      </c>
      <c r="I176" t="s">
        <v>233</v>
      </c>
    </row>
    <row r="177" spans="1:9">
      <c r="A177" t="s">
        <v>8753</v>
      </c>
      <c r="B177" t="s">
        <v>9230</v>
      </c>
      <c r="C177" t="s">
        <v>2853</v>
      </c>
      <c r="D177" t="s">
        <v>8822</v>
      </c>
      <c r="E177" t="s">
        <v>9313</v>
      </c>
      <c r="G177" t="s">
        <v>9242</v>
      </c>
      <c r="H177">
        <v>1020</v>
      </c>
      <c r="I177" t="s">
        <v>233</v>
      </c>
    </row>
    <row r="178" spans="1:9">
      <c r="A178" t="s">
        <v>8753</v>
      </c>
      <c r="B178" t="s">
        <v>9230</v>
      </c>
      <c r="C178" t="s">
        <v>9238</v>
      </c>
      <c r="D178" t="s">
        <v>8823</v>
      </c>
      <c r="E178" t="s">
        <v>9314</v>
      </c>
      <c r="G178" t="s">
        <v>8655</v>
      </c>
      <c r="H178">
        <v>1440</v>
      </c>
      <c r="I178" t="s">
        <v>233</v>
      </c>
    </row>
    <row r="179" spans="1:9">
      <c r="A179" t="s">
        <v>8753</v>
      </c>
      <c r="B179" t="s">
        <v>8605</v>
      </c>
      <c r="C179" t="s">
        <v>9238</v>
      </c>
      <c r="D179" t="s">
        <v>8824</v>
      </c>
      <c r="E179" t="s">
        <v>8825</v>
      </c>
      <c r="G179" t="s">
        <v>8606</v>
      </c>
      <c r="H179">
        <v>2590</v>
      </c>
      <c r="I179" t="s">
        <v>233</v>
      </c>
    </row>
    <row r="180" spans="1:9">
      <c r="A180" t="s">
        <v>5058</v>
      </c>
      <c r="B180" t="s">
        <v>9166</v>
      </c>
      <c r="C180" t="s">
        <v>2853</v>
      </c>
      <c r="D180" t="s">
        <v>8826</v>
      </c>
      <c r="E180" t="s">
        <v>9315</v>
      </c>
      <c r="G180" t="s">
        <v>8827</v>
      </c>
      <c r="H180">
        <v>280</v>
      </c>
      <c r="I180" t="s">
        <v>233</v>
      </c>
    </row>
    <row r="181" spans="1:9">
      <c r="A181" t="s">
        <v>5058</v>
      </c>
      <c r="B181" t="s">
        <v>9166</v>
      </c>
      <c r="C181" t="s">
        <v>2853</v>
      </c>
      <c r="D181" t="s">
        <v>8828</v>
      </c>
      <c r="E181" t="s">
        <v>9316</v>
      </c>
      <c r="G181" t="s">
        <v>8829</v>
      </c>
      <c r="H181">
        <v>100</v>
      </c>
      <c r="I181" t="s">
        <v>233</v>
      </c>
    </row>
    <row r="182" spans="1:9">
      <c r="A182" t="s">
        <v>5058</v>
      </c>
      <c r="B182" t="s">
        <v>9166</v>
      </c>
      <c r="C182" t="s">
        <v>2853</v>
      </c>
      <c r="D182" t="s">
        <v>8830</v>
      </c>
      <c r="E182" t="s">
        <v>8831</v>
      </c>
      <c r="G182" t="s">
        <v>8587</v>
      </c>
      <c r="H182">
        <v>90</v>
      </c>
      <c r="I182" t="s">
        <v>233</v>
      </c>
    </row>
    <row r="183" spans="1:9">
      <c r="A183" t="s">
        <v>5058</v>
      </c>
      <c r="B183" t="s">
        <v>9163</v>
      </c>
      <c r="C183" t="s">
        <v>2853</v>
      </c>
      <c r="D183" t="s">
        <v>8832</v>
      </c>
      <c r="E183" t="s">
        <v>8833</v>
      </c>
      <c r="G183" t="s">
        <v>8834</v>
      </c>
      <c r="H183">
        <v>1200</v>
      </c>
      <c r="I183" t="s">
        <v>233</v>
      </c>
    </row>
    <row r="184" spans="1:9">
      <c r="A184" t="s">
        <v>5058</v>
      </c>
      <c r="B184" t="s">
        <v>9170</v>
      </c>
      <c r="C184" t="s">
        <v>2853</v>
      </c>
      <c r="D184" t="s">
        <v>8835</v>
      </c>
      <c r="E184" t="s">
        <v>9317</v>
      </c>
      <c r="G184" t="s">
        <v>8834</v>
      </c>
      <c r="H184">
        <v>580</v>
      </c>
      <c r="I184" t="s">
        <v>233</v>
      </c>
    </row>
    <row r="185" spans="1:9">
      <c r="A185" t="s">
        <v>8837</v>
      </c>
      <c r="B185" t="s">
        <v>9166</v>
      </c>
      <c r="C185" t="s">
        <v>2853</v>
      </c>
      <c r="D185" t="s">
        <v>8836</v>
      </c>
      <c r="E185" t="s">
        <v>8838</v>
      </c>
      <c r="G185" t="s">
        <v>8706</v>
      </c>
      <c r="H185">
        <v>680</v>
      </c>
      <c r="I185" t="s">
        <v>233</v>
      </c>
    </row>
    <row r="186" spans="1:9">
      <c r="A186" t="s">
        <v>8837</v>
      </c>
      <c r="B186" t="s">
        <v>9166</v>
      </c>
      <c r="C186" t="s">
        <v>2853</v>
      </c>
      <c r="D186" t="s">
        <v>8839</v>
      </c>
      <c r="E186" t="s">
        <v>9318</v>
      </c>
      <c r="G186" t="s">
        <v>8827</v>
      </c>
      <c r="H186">
        <v>240</v>
      </c>
      <c r="I186" t="s">
        <v>233</v>
      </c>
    </row>
    <row r="187" spans="1:9">
      <c r="A187" t="s">
        <v>8837</v>
      </c>
      <c r="B187" t="s">
        <v>9166</v>
      </c>
      <c r="C187" t="s">
        <v>2853</v>
      </c>
      <c r="D187" t="s">
        <v>8840</v>
      </c>
      <c r="E187" t="s">
        <v>9319</v>
      </c>
      <c r="G187" t="s">
        <v>8827</v>
      </c>
      <c r="H187">
        <v>360</v>
      </c>
      <c r="I187" t="s">
        <v>233</v>
      </c>
    </row>
    <row r="188" spans="1:9">
      <c r="A188" t="s">
        <v>8837</v>
      </c>
      <c r="B188" t="s">
        <v>9166</v>
      </c>
      <c r="C188" t="s">
        <v>2853</v>
      </c>
      <c r="D188" t="s">
        <v>8841</v>
      </c>
      <c r="E188" t="s">
        <v>8842</v>
      </c>
      <c r="G188" t="s">
        <v>8827</v>
      </c>
      <c r="H188">
        <v>400</v>
      </c>
      <c r="I188" t="s">
        <v>233</v>
      </c>
    </row>
    <row r="189" spans="1:9">
      <c r="A189" t="s">
        <v>8837</v>
      </c>
      <c r="B189" t="s">
        <v>9166</v>
      </c>
      <c r="C189" t="s">
        <v>2853</v>
      </c>
      <c r="D189" t="s">
        <v>8843</v>
      </c>
      <c r="E189" t="s">
        <v>9320</v>
      </c>
      <c r="G189" t="s">
        <v>8829</v>
      </c>
      <c r="H189">
        <v>200</v>
      </c>
      <c r="I189" t="s">
        <v>233</v>
      </c>
    </row>
    <row r="190" spans="1:9">
      <c r="A190" t="s">
        <v>8837</v>
      </c>
      <c r="B190" t="s">
        <v>9166</v>
      </c>
      <c r="C190" t="s">
        <v>2853</v>
      </c>
      <c r="D190" t="s">
        <v>8844</v>
      </c>
      <c r="E190" t="s">
        <v>8845</v>
      </c>
      <c r="G190" t="s">
        <v>8587</v>
      </c>
      <c r="H190">
        <v>120</v>
      </c>
      <c r="I190" t="s">
        <v>233</v>
      </c>
    </row>
    <row r="191" spans="1:9">
      <c r="A191" t="s">
        <v>8837</v>
      </c>
      <c r="B191" t="s">
        <v>9166</v>
      </c>
      <c r="C191" t="s">
        <v>2853</v>
      </c>
      <c r="D191" t="s">
        <v>8846</v>
      </c>
      <c r="E191" t="s">
        <v>8847</v>
      </c>
      <c r="G191" t="s">
        <v>8587</v>
      </c>
      <c r="H191">
        <v>90</v>
      </c>
      <c r="I191" t="s">
        <v>233</v>
      </c>
    </row>
    <row r="192" spans="1:9">
      <c r="A192" t="s">
        <v>8837</v>
      </c>
      <c r="B192" t="s">
        <v>8620</v>
      </c>
      <c r="C192" t="s">
        <v>2853</v>
      </c>
      <c r="D192" t="s">
        <v>8848</v>
      </c>
      <c r="E192" t="s">
        <v>8849</v>
      </c>
      <c r="G192" t="s">
        <v>8587</v>
      </c>
      <c r="H192">
        <v>0</v>
      </c>
      <c r="I192" t="s">
        <v>233</v>
      </c>
    </row>
    <row r="193" spans="1:9">
      <c r="A193" t="s">
        <v>8837</v>
      </c>
      <c r="B193" t="s">
        <v>8620</v>
      </c>
      <c r="C193" t="s">
        <v>2853</v>
      </c>
      <c r="D193" t="s">
        <v>8850</v>
      </c>
      <c r="E193" t="s">
        <v>8851</v>
      </c>
      <c r="G193" t="s">
        <v>8587</v>
      </c>
      <c r="H193">
        <v>0</v>
      </c>
      <c r="I193" t="s">
        <v>233</v>
      </c>
    </row>
    <row r="194" spans="1:9">
      <c r="A194" t="s">
        <v>8837</v>
      </c>
      <c r="B194" t="s">
        <v>8620</v>
      </c>
      <c r="C194" t="s">
        <v>2853</v>
      </c>
      <c r="D194" t="s">
        <v>8852</v>
      </c>
      <c r="E194" t="s">
        <v>8853</v>
      </c>
      <c r="G194" t="s">
        <v>8587</v>
      </c>
      <c r="H194">
        <v>0</v>
      </c>
      <c r="I194" t="s">
        <v>233</v>
      </c>
    </row>
    <row r="195" spans="1:9">
      <c r="A195" t="s">
        <v>8837</v>
      </c>
      <c r="B195" t="s">
        <v>9163</v>
      </c>
      <c r="C195" t="s">
        <v>2853</v>
      </c>
      <c r="D195" t="s">
        <v>8854</v>
      </c>
      <c r="E195" t="s">
        <v>2864</v>
      </c>
      <c r="G195" t="s">
        <v>8788</v>
      </c>
      <c r="H195">
        <v>1440</v>
      </c>
      <c r="I195" t="s">
        <v>233</v>
      </c>
    </row>
    <row r="196" spans="1:9">
      <c r="A196" t="s">
        <v>8837</v>
      </c>
      <c r="B196" t="s">
        <v>9163</v>
      </c>
      <c r="C196" t="s">
        <v>2853</v>
      </c>
      <c r="D196" t="s">
        <v>8855</v>
      </c>
      <c r="E196" t="s">
        <v>5553</v>
      </c>
      <c r="G196" t="s">
        <v>8788</v>
      </c>
      <c r="H196">
        <v>2520</v>
      </c>
      <c r="I196" t="s">
        <v>233</v>
      </c>
    </row>
    <row r="197" spans="1:9">
      <c r="A197" t="s">
        <v>8837</v>
      </c>
      <c r="B197" t="s">
        <v>9163</v>
      </c>
      <c r="C197" t="s">
        <v>2853</v>
      </c>
      <c r="D197" t="s">
        <v>8856</v>
      </c>
      <c r="E197" t="s">
        <v>9321</v>
      </c>
      <c r="G197" t="s">
        <v>8594</v>
      </c>
      <c r="H197">
        <v>3500</v>
      </c>
      <c r="I197" t="s">
        <v>233</v>
      </c>
    </row>
    <row r="198" spans="1:9">
      <c r="A198" t="s">
        <v>8837</v>
      </c>
      <c r="B198" t="s">
        <v>9170</v>
      </c>
      <c r="C198" t="s">
        <v>2853</v>
      </c>
      <c r="D198" t="s">
        <v>8857</v>
      </c>
      <c r="E198" t="s">
        <v>9322</v>
      </c>
      <c r="G198" t="s">
        <v>9242</v>
      </c>
      <c r="H198">
        <v>720</v>
      </c>
      <c r="I198" t="s">
        <v>233</v>
      </c>
    </row>
    <row r="199" spans="1:9">
      <c r="A199" t="s">
        <v>8837</v>
      </c>
      <c r="B199" t="s">
        <v>9170</v>
      </c>
      <c r="C199" t="s">
        <v>2853</v>
      </c>
      <c r="D199" t="s">
        <v>8858</v>
      </c>
      <c r="E199" t="s">
        <v>9323</v>
      </c>
      <c r="G199" t="s">
        <v>8829</v>
      </c>
      <c r="H199">
        <v>200</v>
      </c>
      <c r="I199" t="s">
        <v>233</v>
      </c>
    </row>
    <row r="200" spans="1:9">
      <c r="A200" t="s">
        <v>8860</v>
      </c>
      <c r="B200" t="s">
        <v>9166</v>
      </c>
      <c r="C200" t="s">
        <v>9276</v>
      </c>
      <c r="D200" t="s">
        <v>8859</v>
      </c>
      <c r="E200" t="s">
        <v>9324</v>
      </c>
      <c r="G200" t="s">
        <v>8594</v>
      </c>
      <c r="H200">
        <v>720</v>
      </c>
      <c r="I200" t="s">
        <v>233</v>
      </c>
    </row>
    <row r="201" spans="1:9">
      <c r="A201" t="s">
        <v>8860</v>
      </c>
      <c r="B201" t="s">
        <v>9166</v>
      </c>
      <c r="C201" t="s">
        <v>9276</v>
      </c>
      <c r="D201" t="s">
        <v>8861</v>
      </c>
      <c r="E201" t="s">
        <v>9325</v>
      </c>
      <c r="G201" t="s">
        <v>8594</v>
      </c>
      <c r="H201">
        <v>1200</v>
      </c>
      <c r="I201" t="s">
        <v>233</v>
      </c>
    </row>
    <row r="202" spans="1:9">
      <c r="A202" t="s">
        <v>8860</v>
      </c>
      <c r="B202" t="s">
        <v>9166</v>
      </c>
      <c r="C202" t="s">
        <v>2853</v>
      </c>
      <c r="D202" t="s">
        <v>8862</v>
      </c>
      <c r="E202" t="s">
        <v>9326</v>
      </c>
      <c r="G202" t="s">
        <v>8594</v>
      </c>
      <c r="H202">
        <v>1700</v>
      </c>
      <c r="I202" t="s">
        <v>233</v>
      </c>
    </row>
    <row r="203" spans="1:9">
      <c r="A203" t="s">
        <v>8860</v>
      </c>
      <c r="B203" t="s">
        <v>9166</v>
      </c>
      <c r="C203" t="s">
        <v>2853</v>
      </c>
      <c r="D203" t="s">
        <v>8863</v>
      </c>
      <c r="E203" t="s">
        <v>9327</v>
      </c>
      <c r="G203" t="s">
        <v>8594</v>
      </c>
      <c r="H203">
        <v>700</v>
      </c>
      <c r="I203" t="s">
        <v>233</v>
      </c>
    </row>
    <row r="204" spans="1:9">
      <c r="A204" t="s">
        <v>8860</v>
      </c>
      <c r="B204" t="s">
        <v>9166</v>
      </c>
      <c r="C204" t="s">
        <v>2853</v>
      </c>
      <c r="D204" t="s">
        <v>8864</v>
      </c>
      <c r="E204" t="s">
        <v>8865</v>
      </c>
      <c r="G204" t="s">
        <v>8594</v>
      </c>
      <c r="H204">
        <v>500</v>
      </c>
      <c r="I204" t="s">
        <v>233</v>
      </c>
    </row>
    <row r="205" spans="1:9">
      <c r="A205" t="s">
        <v>8860</v>
      </c>
      <c r="B205" t="s">
        <v>9166</v>
      </c>
      <c r="C205" t="s">
        <v>2853</v>
      </c>
      <c r="D205" t="s">
        <v>8866</v>
      </c>
      <c r="E205" t="s">
        <v>8867</v>
      </c>
      <c r="G205" t="s">
        <v>8587</v>
      </c>
      <c r="H205">
        <v>100</v>
      </c>
      <c r="I205" t="s">
        <v>233</v>
      </c>
    </row>
    <row r="206" spans="1:9">
      <c r="A206" t="s">
        <v>8860</v>
      </c>
      <c r="B206" t="s">
        <v>8620</v>
      </c>
      <c r="C206" t="s">
        <v>2852</v>
      </c>
      <c r="D206" t="s">
        <v>8868</v>
      </c>
      <c r="E206" t="s">
        <v>8869</v>
      </c>
      <c r="G206" t="s">
        <v>8587</v>
      </c>
      <c r="H206">
        <v>0</v>
      </c>
      <c r="I206" t="s">
        <v>233</v>
      </c>
    </row>
    <row r="207" spans="1:9">
      <c r="A207" t="s">
        <v>8860</v>
      </c>
      <c r="B207" t="s">
        <v>9175</v>
      </c>
      <c r="C207" t="s">
        <v>9278</v>
      </c>
      <c r="D207" t="s">
        <v>8870</v>
      </c>
      <c r="E207" t="s">
        <v>9328</v>
      </c>
      <c r="G207" t="s">
        <v>8594</v>
      </c>
      <c r="H207">
        <v>1200</v>
      </c>
      <c r="I207" t="s">
        <v>233</v>
      </c>
    </row>
    <row r="208" spans="1:9">
      <c r="A208" t="s">
        <v>8860</v>
      </c>
      <c r="B208" t="s">
        <v>9175</v>
      </c>
      <c r="C208" t="s">
        <v>9278</v>
      </c>
      <c r="D208" t="s">
        <v>8871</v>
      </c>
      <c r="E208" t="s">
        <v>8872</v>
      </c>
      <c r="G208" t="s">
        <v>8594</v>
      </c>
      <c r="H208">
        <v>850</v>
      </c>
      <c r="I208" t="s">
        <v>233</v>
      </c>
    </row>
    <row r="209" spans="1:9">
      <c r="A209" t="s">
        <v>8860</v>
      </c>
      <c r="B209" t="s">
        <v>9175</v>
      </c>
      <c r="C209" t="s">
        <v>9278</v>
      </c>
      <c r="D209" t="s">
        <v>8873</v>
      </c>
      <c r="E209" t="s">
        <v>8874</v>
      </c>
      <c r="G209" t="s">
        <v>8594</v>
      </c>
      <c r="H209">
        <v>1200</v>
      </c>
      <c r="I209" t="s">
        <v>233</v>
      </c>
    </row>
    <row r="210" spans="1:9">
      <c r="A210" t="s">
        <v>8860</v>
      </c>
      <c r="B210" t="s">
        <v>9175</v>
      </c>
      <c r="C210" t="s">
        <v>9278</v>
      </c>
      <c r="D210" t="s">
        <v>8875</v>
      </c>
      <c r="E210" t="s">
        <v>8876</v>
      </c>
      <c r="G210" t="s">
        <v>8594</v>
      </c>
      <c r="H210">
        <v>3500</v>
      </c>
      <c r="I210" t="s">
        <v>233</v>
      </c>
    </row>
    <row r="211" spans="1:9">
      <c r="A211" t="s">
        <v>8860</v>
      </c>
      <c r="B211" t="s">
        <v>9163</v>
      </c>
      <c r="C211" t="s">
        <v>2853</v>
      </c>
      <c r="D211" t="s">
        <v>8877</v>
      </c>
      <c r="E211" t="s">
        <v>9329</v>
      </c>
      <c r="G211" t="s">
        <v>8594</v>
      </c>
      <c r="H211">
        <v>2400</v>
      </c>
      <c r="I211" t="s">
        <v>233</v>
      </c>
    </row>
    <row r="212" spans="1:9">
      <c r="A212" t="s">
        <v>8860</v>
      </c>
      <c r="B212" t="s">
        <v>9163</v>
      </c>
      <c r="C212" t="s">
        <v>8600</v>
      </c>
      <c r="D212" t="s">
        <v>8878</v>
      </c>
      <c r="E212" t="s">
        <v>9330</v>
      </c>
      <c r="G212" t="s">
        <v>8584</v>
      </c>
      <c r="H212">
        <v>400</v>
      </c>
      <c r="I212" t="s">
        <v>233</v>
      </c>
    </row>
    <row r="213" spans="1:9">
      <c r="A213" t="s">
        <v>8860</v>
      </c>
      <c r="B213" t="s">
        <v>9163</v>
      </c>
      <c r="C213" t="s">
        <v>8600</v>
      </c>
      <c r="D213" t="s">
        <v>8879</v>
      </c>
      <c r="E213" t="s">
        <v>9331</v>
      </c>
      <c r="G213" t="s">
        <v>8584</v>
      </c>
      <c r="H213">
        <v>1000</v>
      </c>
      <c r="I213" t="s">
        <v>233</v>
      </c>
    </row>
    <row r="214" spans="1:9">
      <c r="A214" t="s">
        <v>8860</v>
      </c>
      <c r="B214" t="s">
        <v>9163</v>
      </c>
      <c r="C214" t="s">
        <v>9278</v>
      </c>
      <c r="D214" t="s">
        <v>8880</v>
      </c>
      <c r="E214" t="s">
        <v>9332</v>
      </c>
      <c r="G214" t="s">
        <v>8881</v>
      </c>
      <c r="H214">
        <v>960</v>
      </c>
      <c r="I214" t="s">
        <v>233</v>
      </c>
    </row>
    <row r="215" spans="1:9">
      <c r="A215" t="s">
        <v>8860</v>
      </c>
      <c r="B215" t="s">
        <v>9163</v>
      </c>
      <c r="C215" t="s">
        <v>9238</v>
      </c>
      <c r="D215" t="s">
        <v>8882</v>
      </c>
      <c r="E215" t="s">
        <v>9333</v>
      </c>
      <c r="G215" t="s">
        <v>8655</v>
      </c>
      <c r="H215">
        <v>960</v>
      </c>
      <c r="I215" t="s">
        <v>233</v>
      </c>
    </row>
    <row r="216" spans="1:9">
      <c r="A216" t="s">
        <v>8860</v>
      </c>
      <c r="B216" t="s">
        <v>9163</v>
      </c>
      <c r="C216" t="s">
        <v>9276</v>
      </c>
      <c r="D216" t="s">
        <v>8883</v>
      </c>
      <c r="E216" t="s">
        <v>8884</v>
      </c>
      <c r="G216" t="s">
        <v>8809</v>
      </c>
      <c r="H216">
        <v>600</v>
      </c>
      <c r="I216" t="s">
        <v>233</v>
      </c>
    </row>
    <row r="217" spans="1:9">
      <c r="A217" t="s">
        <v>8860</v>
      </c>
      <c r="B217" t="s">
        <v>9170</v>
      </c>
      <c r="C217" t="s">
        <v>2853</v>
      </c>
      <c r="D217" t="s">
        <v>8885</v>
      </c>
      <c r="E217" t="s">
        <v>9334</v>
      </c>
      <c r="G217" t="s">
        <v>8594</v>
      </c>
      <c r="H217">
        <v>720</v>
      </c>
      <c r="I217" t="s">
        <v>233</v>
      </c>
    </row>
    <row r="218" spans="1:9">
      <c r="A218" t="s">
        <v>8860</v>
      </c>
      <c r="B218" t="s">
        <v>9170</v>
      </c>
      <c r="C218" t="s">
        <v>8600</v>
      </c>
      <c r="D218" t="s">
        <v>8886</v>
      </c>
      <c r="E218" t="s">
        <v>9335</v>
      </c>
      <c r="G218" t="s">
        <v>8887</v>
      </c>
      <c r="H218">
        <v>180</v>
      </c>
      <c r="I218" t="s">
        <v>233</v>
      </c>
    </row>
    <row r="219" spans="1:9">
      <c r="A219" t="s">
        <v>8860</v>
      </c>
      <c r="B219" t="s">
        <v>9170</v>
      </c>
      <c r="C219" t="s">
        <v>8600</v>
      </c>
      <c r="D219" t="s">
        <v>8888</v>
      </c>
      <c r="E219" t="s">
        <v>9336</v>
      </c>
      <c r="G219" t="s">
        <v>8887</v>
      </c>
      <c r="H219">
        <v>480</v>
      </c>
      <c r="I219" t="s">
        <v>233</v>
      </c>
    </row>
    <row r="220" spans="1:9">
      <c r="A220" t="s">
        <v>8860</v>
      </c>
      <c r="B220" t="s">
        <v>8735</v>
      </c>
      <c r="C220" t="s">
        <v>2853</v>
      </c>
      <c r="D220" t="s">
        <v>8889</v>
      </c>
      <c r="E220" t="s">
        <v>8890</v>
      </c>
      <c r="G220" t="s">
        <v>8594</v>
      </c>
      <c r="H220">
        <v>2300</v>
      </c>
      <c r="I220" t="s">
        <v>233</v>
      </c>
    </row>
    <row r="221" spans="1:9">
      <c r="A221" t="s">
        <v>8860</v>
      </c>
      <c r="B221" t="s">
        <v>9230</v>
      </c>
      <c r="C221" t="s">
        <v>2853</v>
      </c>
      <c r="D221" t="s">
        <v>8891</v>
      </c>
      <c r="E221" t="s">
        <v>9337</v>
      </c>
      <c r="G221" t="s">
        <v>8594</v>
      </c>
      <c r="H221">
        <v>3100</v>
      </c>
      <c r="I221" t="s">
        <v>233</v>
      </c>
    </row>
    <row r="222" spans="1:9">
      <c r="A222" t="s">
        <v>8860</v>
      </c>
      <c r="B222" t="s">
        <v>9230</v>
      </c>
      <c r="C222" t="s">
        <v>2853</v>
      </c>
      <c r="D222" t="s">
        <v>8892</v>
      </c>
      <c r="E222" t="s">
        <v>9338</v>
      </c>
      <c r="G222" t="s">
        <v>8594</v>
      </c>
      <c r="H222">
        <v>2150</v>
      </c>
      <c r="I222" t="s">
        <v>233</v>
      </c>
    </row>
    <row r="223" spans="1:9">
      <c r="A223" t="s">
        <v>8860</v>
      </c>
      <c r="B223" t="s">
        <v>9230</v>
      </c>
      <c r="C223" t="s">
        <v>8600</v>
      </c>
      <c r="D223" t="s">
        <v>8893</v>
      </c>
      <c r="E223" t="s">
        <v>9339</v>
      </c>
      <c r="G223" t="s">
        <v>8602</v>
      </c>
      <c r="H223">
        <v>240</v>
      </c>
      <c r="I223" t="s">
        <v>233</v>
      </c>
    </row>
    <row r="224" spans="1:9">
      <c r="A224" t="s">
        <v>8860</v>
      </c>
      <c r="B224" t="s">
        <v>9230</v>
      </c>
      <c r="C224" t="s">
        <v>8600</v>
      </c>
      <c r="D224" t="s">
        <v>8894</v>
      </c>
      <c r="E224" t="s">
        <v>9340</v>
      </c>
      <c r="G224" t="s">
        <v>8748</v>
      </c>
      <c r="H224">
        <v>660</v>
      </c>
      <c r="I224" t="s">
        <v>233</v>
      </c>
    </row>
    <row r="225" spans="1:9">
      <c r="A225" t="s">
        <v>8860</v>
      </c>
      <c r="B225" t="s">
        <v>8605</v>
      </c>
      <c r="C225" t="s">
        <v>2853</v>
      </c>
      <c r="D225" t="s">
        <v>8895</v>
      </c>
      <c r="E225" t="s">
        <v>9341</v>
      </c>
      <c r="G225" t="s">
        <v>8606</v>
      </c>
      <c r="H225">
        <v>1152</v>
      </c>
      <c r="I225" t="s">
        <v>233</v>
      </c>
    </row>
    <row r="226" spans="1:9">
      <c r="A226" t="s">
        <v>8897</v>
      </c>
      <c r="B226" t="s">
        <v>9166</v>
      </c>
      <c r="C226" t="s">
        <v>2853</v>
      </c>
      <c r="D226" t="s">
        <v>8896</v>
      </c>
      <c r="E226" t="s">
        <v>8898</v>
      </c>
      <c r="G226" t="s">
        <v>8587</v>
      </c>
      <c r="H226">
        <v>70</v>
      </c>
      <c r="I226" t="s">
        <v>233</v>
      </c>
    </row>
    <row r="227" spans="1:9">
      <c r="A227" t="s">
        <v>8897</v>
      </c>
      <c r="B227" t="s">
        <v>9163</v>
      </c>
      <c r="C227" t="s">
        <v>2853</v>
      </c>
      <c r="D227" t="s">
        <v>8899</v>
      </c>
      <c r="E227" t="s">
        <v>9342</v>
      </c>
      <c r="G227" t="s">
        <v>8594</v>
      </c>
      <c r="H227">
        <v>240</v>
      </c>
      <c r="I227" t="s">
        <v>233</v>
      </c>
    </row>
    <row r="228" spans="1:9">
      <c r="A228" t="s">
        <v>8897</v>
      </c>
      <c r="B228" t="s">
        <v>9163</v>
      </c>
      <c r="C228" t="s">
        <v>9238</v>
      </c>
      <c r="D228" t="s">
        <v>8900</v>
      </c>
      <c r="E228" t="s">
        <v>9343</v>
      </c>
      <c r="G228" t="s">
        <v>8901</v>
      </c>
      <c r="H228">
        <v>1500</v>
      </c>
      <c r="I228" t="s">
        <v>233</v>
      </c>
    </row>
    <row r="229" spans="1:9">
      <c r="A229" t="s">
        <v>8897</v>
      </c>
      <c r="B229" t="s">
        <v>9163</v>
      </c>
      <c r="C229" t="s">
        <v>9238</v>
      </c>
      <c r="D229" t="s">
        <v>8902</v>
      </c>
      <c r="E229" t="s">
        <v>9344</v>
      </c>
      <c r="G229" t="s">
        <v>8903</v>
      </c>
      <c r="H229">
        <v>300</v>
      </c>
      <c r="I229" t="s">
        <v>233</v>
      </c>
    </row>
    <row r="230" spans="1:9">
      <c r="A230" t="s">
        <v>8897</v>
      </c>
      <c r="B230" t="s">
        <v>9170</v>
      </c>
      <c r="C230" t="s">
        <v>2853</v>
      </c>
      <c r="D230" t="s">
        <v>8904</v>
      </c>
      <c r="E230" t="s">
        <v>9345</v>
      </c>
      <c r="G230" t="s">
        <v>8594</v>
      </c>
      <c r="H230">
        <v>240</v>
      </c>
      <c r="I230" t="s">
        <v>233</v>
      </c>
    </row>
    <row r="231" spans="1:9">
      <c r="A231" t="s">
        <v>8906</v>
      </c>
      <c r="B231" t="s">
        <v>8620</v>
      </c>
      <c r="C231" t="s">
        <v>2853</v>
      </c>
      <c r="D231" t="s">
        <v>8905</v>
      </c>
      <c r="E231" t="s">
        <v>8907</v>
      </c>
      <c r="G231" t="s">
        <v>8587</v>
      </c>
      <c r="H231">
        <v>0</v>
      </c>
      <c r="I231" t="s">
        <v>233</v>
      </c>
    </row>
    <row r="232" spans="1:9">
      <c r="A232" t="s">
        <v>8909</v>
      </c>
      <c r="B232" t="s">
        <v>9166</v>
      </c>
      <c r="C232" t="s">
        <v>8911</v>
      </c>
      <c r="D232" t="s">
        <v>8908</v>
      </c>
      <c r="E232" t="s">
        <v>9346</v>
      </c>
      <c r="G232" t="s">
        <v>8910</v>
      </c>
      <c r="H232">
        <v>960</v>
      </c>
      <c r="I232" t="s">
        <v>233</v>
      </c>
    </row>
    <row r="233" spans="1:9">
      <c r="A233" t="s">
        <v>8913</v>
      </c>
      <c r="B233" t="s">
        <v>9166</v>
      </c>
      <c r="C233" t="s">
        <v>8909</v>
      </c>
      <c r="D233" t="s">
        <v>8912</v>
      </c>
      <c r="E233" t="s">
        <v>8914</v>
      </c>
      <c r="G233" t="s">
        <v>8587</v>
      </c>
      <c r="H233">
        <v>120</v>
      </c>
      <c r="I233" t="s">
        <v>233</v>
      </c>
    </row>
    <row r="234" spans="1:9">
      <c r="A234" t="s">
        <v>8909</v>
      </c>
      <c r="B234" t="s">
        <v>9163</v>
      </c>
      <c r="C234" t="s">
        <v>8911</v>
      </c>
      <c r="D234" t="s">
        <v>8915</v>
      </c>
      <c r="E234" t="s">
        <v>9347</v>
      </c>
      <c r="G234" t="s">
        <v>8910</v>
      </c>
      <c r="H234">
        <v>1920</v>
      </c>
      <c r="I234" t="s">
        <v>233</v>
      </c>
    </row>
    <row r="235" spans="1:9">
      <c r="A235" t="s">
        <v>8909</v>
      </c>
      <c r="B235" t="s">
        <v>9163</v>
      </c>
      <c r="C235" t="s">
        <v>8917</v>
      </c>
      <c r="D235" t="s">
        <v>8916</v>
      </c>
      <c r="E235" t="s">
        <v>9348</v>
      </c>
      <c r="G235" t="s">
        <v>8910</v>
      </c>
      <c r="H235">
        <v>1440</v>
      </c>
      <c r="I235" t="s">
        <v>233</v>
      </c>
    </row>
    <row r="236" spans="1:9">
      <c r="A236" t="s">
        <v>8909</v>
      </c>
      <c r="B236" t="s">
        <v>9163</v>
      </c>
      <c r="C236" t="s">
        <v>8920</v>
      </c>
      <c r="D236" t="s">
        <v>8918</v>
      </c>
      <c r="E236" t="s">
        <v>8919</v>
      </c>
      <c r="G236" t="s">
        <v>8910</v>
      </c>
      <c r="H236">
        <v>1920</v>
      </c>
      <c r="I236" t="s">
        <v>233</v>
      </c>
    </row>
    <row r="237" spans="1:9">
      <c r="A237" t="s">
        <v>8909</v>
      </c>
      <c r="B237" t="s">
        <v>9163</v>
      </c>
      <c r="C237" t="s">
        <v>8920</v>
      </c>
      <c r="D237" t="s">
        <v>8921</v>
      </c>
      <c r="E237" t="s">
        <v>8922</v>
      </c>
      <c r="G237" t="s">
        <v>8910</v>
      </c>
      <c r="H237">
        <v>960</v>
      </c>
      <c r="I237" t="s">
        <v>233</v>
      </c>
    </row>
    <row r="238" spans="1:9">
      <c r="A238" t="s">
        <v>8909</v>
      </c>
      <c r="B238" t="s">
        <v>9163</v>
      </c>
      <c r="C238" t="s">
        <v>8924</v>
      </c>
      <c r="D238" t="s">
        <v>8923</v>
      </c>
      <c r="E238" t="s">
        <v>9349</v>
      </c>
      <c r="G238" t="s">
        <v>8910</v>
      </c>
      <c r="H238">
        <v>380</v>
      </c>
      <c r="I238" t="s">
        <v>233</v>
      </c>
    </row>
    <row r="239" spans="1:9">
      <c r="A239" t="s">
        <v>8909</v>
      </c>
      <c r="B239" t="s">
        <v>9163</v>
      </c>
      <c r="C239" t="s">
        <v>8924</v>
      </c>
      <c r="D239" t="s">
        <v>8925</v>
      </c>
      <c r="E239" t="s">
        <v>9350</v>
      </c>
      <c r="G239" t="s">
        <v>8910</v>
      </c>
      <c r="H239">
        <v>120</v>
      </c>
      <c r="I239" t="s">
        <v>233</v>
      </c>
    </row>
    <row r="240" spans="1:9">
      <c r="A240" t="s">
        <v>8909</v>
      </c>
      <c r="B240" t="s">
        <v>9163</v>
      </c>
      <c r="C240" t="s">
        <v>8927</v>
      </c>
      <c r="D240" t="s">
        <v>8926</v>
      </c>
      <c r="E240" t="s">
        <v>9351</v>
      </c>
      <c r="G240" t="s">
        <v>8910</v>
      </c>
      <c r="H240">
        <v>1400</v>
      </c>
      <c r="I240" t="s">
        <v>233</v>
      </c>
    </row>
    <row r="241" spans="1:9">
      <c r="A241" t="s">
        <v>8909</v>
      </c>
      <c r="B241" t="s">
        <v>9163</v>
      </c>
      <c r="C241" t="s">
        <v>8929</v>
      </c>
      <c r="D241" t="s">
        <v>8928</v>
      </c>
      <c r="E241" t="s">
        <v>9352</v>
      </c>
      <c r="G241" t="s">
        <v>8910</v>
      </c>
      <c r="H241">
        <v>700</v>
      </c>
      <c r="I241" t="s">
        <v>233</v>
      </c>
    </row>
    <row r="242" spans="1:9">
      <c r="A242" t="s">
        <v>8909</v>
      </c>
      <c r="B242" t="s">
        <v>9163</v>
      </c>
      <c r="C242" t="s">
        <v>8911</v>
      </c>
      <c r="D242" t="s">
        <v>8930</v>
      </c>
      <c r="E242" t="s">
        <v>9353</v>
      </c>
      <c r="G242" t="s">
        <v>8910</v>
      </c>
      <c r="H242">
        <v>960</v>
      </c>
      <c r="I242" t="s">
        <v>233</v>
      </c>
    </row>
    <row r="243" spans="1:9">
      <c r="A243" t="s">
        <v>8909</v>
      </c>
      <c r="B243" t="s">
        <v>9163</v>
      </c>
      <c r="C243" t="s">
        <v>8924</v>
      </c>
      <c r="D243" t="s">
        <v>8931</v>
      </c>
      <c r="E243" t="s">
        <v>9354</v>
      </c>
      <c r="G243" t="s">
        <v>8910</v>
      </c>
      <c r="H243">
        <v>1800</v>
      </c>
      <c r="I243" t="s">
        <v>233</v>
      </c>
    </row>
    <row r="244" spans="1:9">
      <c r="A244" t="s">
        <v>8909</v>
      </c>
      <c r="B244" t="s">
        <v>9163</v>
      </c>
      <c r="C244" t="s">
        <v>8924</v>
      </c>
      <c r="D244" t="s">
        <v>8932</v>
      </c>
      <c r="E244" t="s">
        <v>9355</v>
      </c>
      <c r="G244" t="s">
        <v>8910</v>
      </c>
      <c r="H244">
        <v>960</v>
      </c>
      <c r="I244" t="s">
        <v>233</v>
      </c>
    </row>
    <row r="245" spans="1:9">
      <c r="A245" t="s">
        <v>8909</v>
      </c>
      <c r="B245" t="s">
        <v>9163</v>
      </c>
      <c r="C245" t="s">
        <v>8927</v>
      </c>
      <c r="D245" t="s">
        <v>8933</v>
      </c>
      <c r="E245" t="s">
        <v>9356</v>
      </c>
      <c r="G245" t="s">
        <v>8910</v>
      </c>
      <c r="H245">
        <v>600</v>
      </c>
      <c r="I245" t="s">
        <v>233</v>
      </c>
    </row>
    <row r="246" spans="1:9">
      <c r="A246" t="s">
        <v>8909</v>
      </c>
      <c r="B246" t="s">
        <v>9163</v>
      </c>
      <c r="C246" t="s">
        <v>8935</v>
      </c>
      <c r="D246" t="s">
        <v>8934</v>
      </c>
      <c r="E246" t="s">
        <v>9357</v>
      </c>
      <c r="G246" t="s">
        <v>8594</v>
      </c>
      <c r="H246">
        <v>600</v>
      </c>
      <c r="I246" t="s">
        <v>233</v>
      </c>
    </row>
    <row r="247" spans="1:9">
      <c r="A247" t="s">
        <v>8909</v>
      </c>
      <c r="B247" t="s">
        <v>9163</v>
      </c>
      <c r="C247" t="s">
        <v>8929</v>
      </c>
      <c r="D247" t="s">
        <v>8936</v>
      </c>
      <c r="E247" t="s">
        <v>9358</v>
      </c>
      <c r="G247" t="s">
        <v>8910</v>
      </c>
      <c r="H247">
        <v>1000</v>
      </c>
      <c r="I247" t="s">
        <v>233</v>
      </c>
    </row>
    <row r="248" spans="1:9">
      <c r="A248" t="s">
        <v>8909</v>
      </c>
      <c r="B248" t="s">
        <v>8735</v>
      </c>
      <c r="C248" t="s">
        <v>8911</v>
      </c>
      <c r="D248" t="s">
        <v>8937</v>
      </c>
      <c r="E248" t="s">
        <v>9359</v>
      </c>
      <c r="G248" t="s">
        <v>8910</v>
      </c>
      <c r="H248">
        <v>2160</v>
      </c>
      <c r="I248" t="s">
        <v>233</v>
      </c>
    </row>
    <row r="249" spans="1:9">
      <c r="A249" t="s">
        <v>8909</v>
      </c>
      <c r="B249" t="s">
        <v>8735</v>
      </c>
      <c r="C249" t="s">
        <v>8911</v>
      </c>
      <c r="D249" t="s">
        <v>8938</v>
      </c>
      <c r="E249" t="s">
        <v>9360</v>
      </c>
      <c r="G249" t="s">
        <v>8910</v>
      </c>
      <c r="H249">
        <v>2400</v>
      </c>
      <c r="I249" t="s">
        <v>233</v>
      </c>
    </row>
    <row r="250" spans="1:9">
      <c r="A250" t="s">
        <v>8909</v>
      </c>
      <c r="B250" t="s">
        <v>8735</v>
      </c>
      <c r="C250" t="s">
        <v>8929</v>
      </c>
      <c r="D250" t="s">
        <v>8939</v>
      </c>
      <c r="E250" t="s">
        <v>9361</v>
      </c>
      <c r="G250" t="s">
        <v>8910</v>
      </c>
      <c r="H250">
        <v>400</v>
      </c>
      <c r="I250" t="s">
        <v>233</v>
      </c>
    </row>
    <row r="251" spans="1:9">
      <c r="A251" t="s">
        <v>8941</v>
      </c>
      <c r="B251" t="s">
        <v>9166</v>
      </c>
      <c r="C251" t="s">
        <v>2853</v>
      </c>
      <c r="D251" t="s">
        <v>8940</v>
      </c>
      <c r="E251" t="s">
        <v>9362</v>
      </c>
      <c r="G251" t="s">
        <v>8942</v>
      </c>
      <c r="H251">
        <v>100</v>
      </c>
      <c r="I251" t="s">
        <v>233</v>
      </c>
    </row>
    <row r="252" spans="1:9">
      <c r="A252" t="s">
        <v>8941</v>
      </c>
      <c r="B252" t="s">
        <v>9166</v>
      </c>
      <c r="C252" t="s">
        <v>2853</v>
      </c>
      <c r="D252" t="s">
        <v>8943</v>
      </c>
      <c r="E252" t="s">
        <v>8944</v>
      </c>
      <c r="G252" t="s">
        <v>8587</v>
      </c>
      <c r="H252">
        <v>70</v>
      </c>
      <c r="I252" t="s">
        <v>233</v>
      </c>
    </row>
    <row r="253" spans="1:9">
      <c r="A253" t="s">
        <v>8941</v>
      </c>
      <c r="B253" t="s">
        <v>9163</v>
      </c>
      <c r="C253" t="s">
        <v>2853</v>
      </c>
      <c r="D253" t="s">
        <v>8945</v>
      </c>
      <c r="E253" t="s">
        <v>9363</v>
      </c>
      <c r="G253" t="s">
        <v>8584</v>
      </c>
      <c r="H253">
        <v>300</v>
      </c>
      <c r="I253" t="s">
        <v>233</v>
      </c>
    </row>
    <row r="254" spans="1:9">
      <c r="A254" t="s">
        <v>8941</v>
      </c>
      <c r="B254" t="s">
        <v>9163</v>
      </c>
      <c r="C254" t="s">
        <v>2853</v>
      </c>
      <c r="D254" t="s">
        <v>8946</v>
      </c>
      <c r="E254" t="s">
        <v>9364</v>
      </c>
      <c r="G254" t="s">
        <v>8584</v>
      </c>
      <c r="H254">
        <v>500</v>
      </c>
      <c r="I254" t="s">
        <v>233</v>
      </c>
    </row>
    <row r="255" spans="1:9">
      <c r="A255" t="s">
        <v>8941</v>
      </c>
      <c r="B255" t="s">
        <v>9163</v>
      </c>
      <c r="C255" t="s">
        <v>2853</v>
      </c>
      <c r="D255" t="s">
        <v>8947</v>
      </c>
      <c r="E255" t="s">
        <v>9365</v>
      </c>
      <c r="G255" t="s">
        <v>8584</v>
      </c>
      <c r="H255">
        <v>200</v>
      </c>
      <c r="I255" t="s">
        <v>233</v>
      </c>
    </row>
    <row r="256" spans="1:9">
      <c r="A256" t="s">
        <v>8949</v>
      </c>
      <c r="B256" t="s">
        <v>9180</v>
      </c>
      <c r="C256" t="s">
        <v>8762</v>
      </c>
      <c r="D256" t="s">
        <v>8948</v>
      </c>
      <c r="E256" t="s">
        <v>9366</v>
      </c>
      <c r="G256" t="s">
        <v>8950</v>
      </c>
      <c r="H256">
        <v>100</v>
      </c>
      <c r="I256" t="s">
        <v>233</v>
      </c>
    </row>
    <row r="257" spans="1:9">
      <c r="A257" t="s">
        <v>8949</v>
      </c>
      <c r="B257" t="s">
        <v>9163</v>
      </c>
      <c r="C257" t="s">
        <v>8762</v>
      </c>
      <c r="D257" t="s">
        <v>8951</v>
      </c>
      <c r="E257" t="s">
        <v>9367</v>
      </c>
      <c r="G257" t="s">
        <v>8950</v>
      </c>
      <c r="H257">
        <v>300</v>
      </c>
      <c r="I257" t="s">
        <v>233</v>
      </c>
    </row>
    <row r="258" spans="1:9">
      <c r="A258" t="s">
        <v>8949</v>
      </c>
      <c r="B258" t="s">
        <v>9163</v>
      </c>
      <c r="C258" t="s">
        <v>8762</v>
      </c>
      <c r="D258" t="s">
        <v>8952</v>
      </c>
      <c r="E258" t="s">
        <v>9368</v>
      </c>
      <c r="G258" t="s">
        <v>8950</v>
      </c>
      <c r="H258">
        <v>300</v>
      </c>
      <c r="I258" t="s">
        <v>233</v>
      </c>
    </row>
    <row r="259" spans="1:9">
      <c r="A259" t="s">
        <v>8949</v>
      </c>
      <c r="B259" t="s">
        <v>9163</v>
      </c>
      <c r="C259" t="s">
        <v>8762</v>
      </c>
      <c r="D259" t="s">
        <v>8953</v>
      </c>
      <c r="E259" t="s">
        <v>9369</v>
      </c>
      <c r="G259" t="s">
        <v>8950</v>
      </c>
      <c r="H259">
        <v>250</v>
      </c>
      <c r="I259" t="s">
        <v>233</v>
      </c>
    </row>
    <row r="260" spans="1:9">
      <c r="A260" t="s">
        <v>8949</v>
      </c>
      <c r="B260" t="s">
        <v>9163</v>
      </c>
      <c r="C260" t="s">
        <v>8762</v>
      </c>
      <c r="D260" t="s">
        <v>8954</v>
      </c>
      <c r="E260" t="s">
        <v>9370</v>
      </c>
      <c r="G260" t="s">
        <v>8950</v>
      </c>
      <c r="H260">
        <v>650</v>
      </c>
      <c r="I260" t="s">
        <v>233</v>
      </c>
    </row>
    <row r="261" spans="1:9">
      <c r="A261" t="s">
        <v>8949</v>
      </c>
      <c r="B261" t="s">
        <v>9163</v>
      </c>
      <c r="C261" t="s">
        <v>8762</v>
      </c>
      <c r="D261" t="s">
        <v>8955</v>
      </c>
      <c r="E261" t="s">
        <v>9371</v>
      </c>
      <c r="G261" t="s">
        <v>8910</v>
      </c>
      <c r="H261">
        <v>100</v>
      </c>
      <c r="I261" t="s">
        <v>233</v>
      </c>
    </row>
    <row r="262" spans="1:9">
      <c r="A262" t="s">
        <v>8957</v>
      </c>
      <c r="B262" t="s">
        <v>9166</v>
      </c>
      <c r="C262" t="s">
        <v>2853</v>
      </c>
      <c r="D262" t="s">
        <v>8956</v>
      </c>
      <c r="E262" t="s">
        <v>8958</v>
      </c>
      <c r="G262" t="s">
        <v>8587</v>
      </c>
      <c r="H262">
        <v>95</v>
      </c>
      <c r="I262" t="s">
        <v>233</v>
      </c>
    </row>
    <row r="263" spans="1:9">
      <c r="A263" t="s">
        <v>8957</v>
      </c>
      <c r="B263" t="s">
        <v>8620</v>
      </c>
      <c r="C263" t="s">
        <v>2853</v>
      </c>
      <c r="D263" t="s">
        <v>8959</v>
      </c>
      <c r="E263" t="s">
        <v>8960</v>
      </c>
      <c r="G263" t="s">
        <v>8587</v>
      </c>
      <c r="H263">
        <v>0</v>
      </c>
      <c r="I263" t="s">
        <v>233</v>
      </c>
    </row>
    <row r="264" spans="1:9">
      <c r="A264" t="s">
        <v>9912</v>
      </c>
      <c r="B264" t="s">
        <v>9166</v>
      </c>
      <c r="C264" t="s">
        <v>8897</v>
      </c>
      <c r="D264" t="s">
        <v>9911</v>
      </c>
      <c r="E264" t="s">
        <v>9925</v>
      </c>
      <c r="G264" t="s">
        <v>8582</v>
      </c>
      <c r="H264">
        <v>110</v>
      </c>
      <c r="I264" t="s">
        <v>233</v>
      </c>
    </row>
    <row r="265" spans="1:9">
      <c r="A265" t="s">
        <v>9912</v>
      </c>
      <c r="B265" t="s">
        <v>9166</v>
      </c>
      <c r="C265" t="s">
        <v>8897</v>
      </c>
      <c r="D265" t="s">
        <v>9913</v>
      </c>
      <c r="E265" t="s">
        <v>9914</v>
      </c>
      <c r="G265" t="s">
        <v>9114</v>
      </c>
      <c r="H265">
        <v>90</v>
      </c>
      <c r="I265" t="s">
        <v>233</v>
      </c>
    </row>
    <row r="266" spans="1:9">
      <c r="A266" t="s">
        <v>9912</v>
      </c>
      <c r="B266" t="s">
        <v>9163</v>
      </c>
      <c r="C266" t="s">
        <v>8897</v>
      </c>
      <c r="D266" t="s">
        <v>9915</v>
      </c>
      <c r="E266" t="s">
        <v>9926</v>
      </c>
      <c r="G266" t="s">
        <v>8594</v>
      </c>
      <c r="H266">
        <v>400</v>
      </c>
      <c r="I266" t="s">
        <v>233</v>
      </c>
    </row>
    <row r="267" spans="1:9">
      <c r="A267" t="s">
        <v>9912</v>
      </c>
      <c r="B267" t="s">
        <v>9163</v>
      </c>
      <c r="C267" t="s">
        <v>8897</v>
      </c>
      <c r="D267" t="s">
        <v>9916</v>
      </c>
      <c r="E267" t="s">
        <v>9927</v>
      </c>
      <c r="G267" t="s">
        <v>9917</v>
      </c>
      <c r="H267">
        <v>350</v>
      </c>
      <c r="I267" t="s">
        <v>233</v>
      </c>
    </row>
    <row r="268" spans="1:9">
      <c r="A268" t="s">
        <v>8962</v>
      </c>
      <c r="B268" t="s">
        <v>9166</v>
      </c>
      <c r="C268" t="s">
        <v>9276</v>
      </c>
      <c r="D268" t="s">
        <v>8961</v>
      </c>
      <c r="E268" t="s">
        <v>9372</v>
      </c>
      <c r="G268" t="s">
        <v>8963</v>
      </c>
      <c r="H268">
        <v>300</v>
      </c>
      <c r="I268" t="s">
        <v>233</v>
      </c>
    </row>
    <row r="269" spans="1:9">
      <c r="A269" t="s">
        <v>8962</v>
      </c>
      <c r="B269" t="s">
        <v>9166</v>
      </c>
      <c r="C269" t="s">
        <v>9276</v>
      </c>
      <c r="D269" t="s">
        <v>8964</v>
      </c>
      <c r="E269" t="s">
        <v>9373</v>
      </c>
      <c r="G269" t="s">
        <v>8963</v>
      </c>
      <c r="H269">
        <v>80</v>
      </c>
      <c r="I269" t="s">
        <v>233</v>
      </c>
    </row>
    <row r="270" spans="1:9">
      <c r="A270" t="s">
        <v>8962</v>
      </c>
      <c r="B270" t="s">
        <v>9166</v>
      </c>
      <c r="C270" t="s">
        <v>9276</v>
      </c>
      <c r="D270" t="s">
        <v>8965</v>
      </c>
      <c r="E270" t="s">
        <v>9374</v>
      </c>
      <c r="G270" t="s">
        <v>8963</v>
      </c>
      <c r="H270">
        <v>500</v>
      </c>
      <c r="I270" t="s">
        <v>233</v>
      </c>
    </row>
    <row r="271" spans="1:9">
      <c r="A271" t="s">
        <v>8962</v>
      </c>
      <c r="B271" t="s">
        <v>9166</v>
      </c>
      <c r="C271" t="s">
        <v>9276</v>
      </c>
      <c r="D271" t="s">
        <v>8966</v>
      </c>
      <c r="E271" t="s">
        <v>9375</v>
      </c>
      <c r="G271" t="s">
        <v>8963</v>
      </c>
      <c r="H271">
        <v>200</v>
      </c>
      <c r="I271" t="s">
        <v>233</v>
      </c>
    </row>
    <row r="272" spans="1:9">
      <c r="A272" t="s">
        <v>8962</v>
      </c>
      <c r="B272" t="s">
        <v>9166</v>
      </c>
      <c r="C272" t="s">
        <v>9276</v>
      </c>
      <c r="D272" t="s">
        <v>8967</v>
      </c>
      <c r="E272" t="s">
        <v>9376</v>
      </c>
      <c r="G272" t="s">
        <v>8968</v>
      </c>
      <c r="H272">
        <v>560</v>
      </c>
      <c r="I272" t="s">
        <v>233</v>
      </c>
    </row>
    <row r="273" spans="1:9">
      <c r="A273" t="s">
        <v>8962</v>
      </c>
      <c r="B273" t="s">
        <v>9166</v>
      </c>
      <c r="C273" t="s">
        <v>2853</v>
      </c>
      <c r="D273" t="s">
        <v>8969</v>
      </c>
      <c r="E273" t="s">
        <v>8970</v>
      </c>
      <c r="G273" t="s">
        <v>8587</v>
      </c>
      <c r="H273">
        <v>70</v>
      </c>
      <c r="I273" t="s">
        <v>233</v>
      </c>
    </row>
    <row r="274" spans="1:9">
      <c r="A274" t="s">
        <v>8962</v>
      </c>
      <c r="B274" t="s">
        <v>9163</v>
      </c>
      <c r="C274" t="s">
        <v>2853</v>
      </c>
      <c r="D274" t="s">
        <v>8971</v>
      </c>
      <c r="E274" t="s">
        <v>9377</v>
      </c>
      <c r="G274" t="s">
        <v>8968</v>
      </c>
      <c r="H274">
        <v>1200</v>
      </c>
      <c r="I274" t="s">
        <v>233</v>
      </c>
    </row>
    <row r="275" spans="1:9">
      <c r="A275" t="s">
        <v>8962</v>
      </c>
      <c r="B275" t="s">
        <v>9163</v>
      </c>
      <c r="C275" t="s">
        <v>2853</v>
      </c>
      <c r="D275" t="s">
        <v>8972</v>
      </c>
      <c r="E275" t="s">
        <v>9378</v>
      </c>
      <c r="G275" t="s">
        <v>8963</v>
      </c>
      <c r="H275">
        <v>700</v>
      </c>
      <c r="I275" t="s">
        <v>233</v>
      </c>
    </row>
    <row r="276" spans="1:9">
      <c r="A276" t="s">
        <v>8974</v>
      </c>
      <c r="B276" t="s">
        <v>9166</v>
      </c>
      <c r="C276" t="s">
        <v>9276</v>
      </c>
      <c r="D276" t="s">
        <v>8973</v>
      </c>
      <c r="E276" t="s">
        <v>9379</v>
      </c>
      <c r="G276" t="s">
        <v>8594</v>
      </c>
      <c r="H276">
        <v>480</v>
      </c>
      <c r="I276" t="s">
        <v>233</v>
      </c>
    </row>
    <row r="277" spans="1:9">
      <c r="A277" t="s">
        <v>8974</v>
      </c>
      <c r="B277" t="s">
        <v>9166</v>
      </c>
      <c r="C277" t="s">
        <v>9276</v>
      </c>
      <c r="D277" t="s">
        <v>8975</v>
      </c>
      <c r="E277" t="s">
        <v>9380</v>
      </c>
      <c r="G277" t="s">
        <v>8594</v>
      </c>
      <c r="H277">
        <v>290</v>
      </c>
      <c r="I277" t="s">
        <v>233</v>
      </c>
    </row>
    <row r="278" spans="1:9">
      <c r="A278" t="s">
        <v>8974</v>
      </c>
      <c r="B278" t="s">
        <v>9166</v>
      </c>
      <c r="C278" t="s">
        <v>9276</v>
      </c>
      <c r="D278" t="s">
        <v>8976</v>
      </c>
      <c r="E278" t="s">
        <v>9381</v>
      </c>
      <c r="G278" t="s">
        <v>8594</v>
      </c>
      <c r="H278">
        <v>100</v>
      </c>
      <c r="I278" t="s">
        <v>233</v>
      </c>
    </row>
    <row r="279" spans="1:9">
      <c r="A279" t="s">
        <v>8974</v>
      </c>
      <c r="B279" t="s">
        <v>9166</v>
      </c>
      <c r="C279" t="s">
        <v>9276</v>
      </c>
      <c r="D279" t="s">
        <v>8977</v>
      </c>
      <c r="E279" t="s">
        <v>9382</v>
      </c>
      <c r="G279" t="s">
        <v>8594</v>
      </c>
      <c r="H279">
        <v>480</v>
      </c>
      <c r="I279" t="s">
        <v>233</v>
      </c>
    </row>
    <row r="280" spans="1:9">
      <c r="A280" t="s">
        <v>8974</v>
      </c>
      <c r="B280" t="s">
        <v>9166</v>
      </c>
      <c r="C280" t="s">
        <v>9276</v>
      </c>
      <c r="D280" t="s">
        <v>8978</v>
      </c>
      <c r="E280" t="s">
        <v>9383</v>
      </c>
      <c r="G280" t="s">
        <v>8594</v>
      </c>
      <c r="H280">
        <v>400</v>
      </c>
      <c r="I280" t="s">
        <v>233</v>
      </c>
    </row>
    <row r="281" spans="1:9">
      <c r="A281" t="s">
        <v>8974</v>
      </c>
      <c r="B281" t="s">
        <v>9166</v>
      </c>
      <c r="C281" t="s">
        <v>2853</v>
      </c>
      <c r="D281" t="s">
        <v>8979</v>
      </c>
      <c r="E281" t="s">
        <v>8980</v>
      </c>
      <c r="G281" t="s">
        <v>8587</v>
      </c>
      <c r="H281">
        <v>90</v>
      </c>
      <c r="I281" t="s">
        <v>233</v>
      </c>
    </row>
    <row r="282" spans="1:9">
      <c r="A282" t="s">
        <v>8974</v>
      </c>
      <c r="B282" t="s">
        <v>9180</v>
      </c>
      <c r="C282" t="s">
        <v>2853</v>
      </c>
      <c r="D282" t="s">
        <v>8981</v>
      </c>
      <c r="E282" t="s">
        <v>9384</v>
      </c>
      <c r="G282" t="s">
        <v>8594</v>
      </c>
      <c r="H282">
        <v>150</v>
      </c>
      <c r="I282" t="s">
        <v>233</v>
      </c>
    </row>
    <row r="283" spans="1:9">
      <c r="A283" t="s">
        <v>8974</v>
      </c>
      <c r="B283" t="s">
        <v>9163</v>
      </c>
      <c r="C283" t="s">
        <v>2853</v>
      </c>
      <c r="D283" t="s">
        <v>8982</v>
      </c>
      <c r="E283" t="s">
        <v>9385</v>
      </c>
      <c r="G283" t="s">
        <v>8594</v>
      </c>
      <c r="H283">
        <v>190</v>
      </c>
      <c r="I283" t="s">
        <v>233</v>
      </c>
    </row>
    <row r="284" spans="1:9">
      <c r="A284" t="s">
        <v>8974</v>
      </c>
      <c r="B284" t="s">
        <v>9163</v>
      </c>
      <c r="C284" t="s">
        <v>9278</v>
      </c>
      <c r="D284" t="s">
        <v>8983</v>
      </c>
      <c r="E284" t="s">
        <v>9386</v>
      </c>
      <c r="G284" t="s">
        <v>8594</v>
      </c>
      <c r="H284">
        <v>620</v>
      </c>
      <c r="I284" t="s">
        <v>233</v>
      </c>
    </row>
    <row r="285" spans="1:9">
      <c r="A285" t="s">
        <v>8974</v>
      </c>
      <c r="B285" t="s">
        <v>9163</v>
      </c>
      <c r="C285" t="s">
        <v>9278</v>
      </c>
      <c r="D285" t="s">
        <v>8984</v>
      </c>
      <c r="E285" t="s">
        <v>9387</v>
      </c>
      <c r="G285" t="s">
        <v>8594</v>
      </c>
      <c r="H285">
        <v>1440</v>
      </c>
      <c r="I285" t="s">
        <v>233</v>
      </c>
    </row>
    <row r="286" spans="1:9">
      <c r="A286" t="s">
        <v>8974</v>
      </c>
      <c r="B286" t="s">
        <v>8605</v>
      </c>
      <c r="C286" t="s">
        <v>9278</v>
      </c>
      <c r="D286" t="s">
        <v>8985</v>
      </c>
      <c r="E286" t="s">
        <v>9388</v>
      </c>
      <c r="G286" t="s">
        <v>8606</v>
      </c>
      <c r="H286">
        <v>580</v>
      </c>
      <c r="I286" t="s">
        <v>233</v>
      </c>
    </row>
    <row r="287" spans="1:9">
      <c r="A287" t="s">
        <v>75</v>
      </c>
      <c r="B287" t="s">
        <v>9166</v>
      </c>
      <c r="C287" t="s">
        <v>8988</v>
      </c>
      <c r="D287" t="s">
        <v>8986</v>
      </c>
      <c r="E287" t="s">
        <v>9389</v>
      </c>
      <c r="G287" t="s">
        <v>8987</v>
      </c>
      <c r="H287">
        <v>240</v>
      </c>
      <c r="I287" t="s">
        <v>233</v>
      </c>
    </row>
    <row r="288" spans="1:9">
      <c r="A288" t="s">
        <v>75</v>
      </c>
      <c r="B288" t="s">
        <v>9166</v>
      </c>
      <c r="C288" t="s">
        <v>8990</v>
      </c>
      <c r="D288" t="s">
        <v>8989</v>
      </c>
      <c r="E288" t="s">
        <v>9390</v>
      </c>
      <c r="G288" t="s">
        <v>8950</v>
      </c>
      <c r="H288">
        <v>540</v>
      </c>
      <c r="I288" t="s">
        <v>233</v>
      </c>
    </row>
    <row r="289" spans="1:9">
      <c r="A289" t="s">
        <v>75</v>
      </c>
      <c r="B289" t="s">
        <v>9166</v>
      </c>
      <c r="C289" t="s">
        <v>8990</v>
      </c>
      <c r="D289" t="s">
        <v>8991</v>
      </c>
      <c r="E289" t="s">
        <v>9391</v>
      </c>
      <c r="G289" t="s">
        <v>8950</v>
      </c>
      <c r="H289">
        <v>240</v>
      </c>
      <c r="I289" t="s">
        <v>233</v>
      </c>
    </row>
    <row r="290" spans="1:9">
      <c r="A290" t="s">
        <v>75</v>
      </c>
      <c r="B290" t="s">
        <v>9166</v>
      </c>
      <c r="C290" t="s">
        <v>8990</v>
      </c>
      <c r="D290" t="s">
        <v>8992</v>
      </c>
      <c r="E290" t="s">
        <v>9392</v>
      </c>
      <c r="G290" t="s">
        <v>8950</v>
      </c>
      <c r="H290">
        <v>1000</v>
      </c>
      <c r="I290" t="s">
        <v>233</v>
      </c>
    </row>
    <row r="291" spans="1:9">
      <c r="A291" t="s">
        <v>75</v>
      </c>
      <c r="B291" t="s">
        <v>9166</v>
      </c>
      <c r="C291" t="s">
        <v>8990</v>
      </c>
      <c r="D291" t="s">
        <v>8993</v>
      </c>
      <c r="E291" t="s">
        <v>9393</v>
      </c>
      <c r="G291" t="s">
        <v>8987</v>
      </c>
      <c r="H291">
        <v>250</v>
      </c>
      <c r="I291" t="s">
        <v>233</v>
      </c>
    </row>
    <row r="292" spans="1:9">
      <c r="A292" t="s">
        <v>75</v>
      </c>
      <c r="B292" t="s">
        <v>9166</v>
      </c>
      <c r="C292" t="s">
        <v>8990</v>
      </c>
      <c r="D292" t="s">
        <v>8994</v>
      </c>
      <c r="E292" t="s">
        <v>9394</v>
      </c>
      <c r="G292" t="s">
        <v>8950</v>
      </c>
      <c r="H292">
        <v>300</v>
      </c>
      <c r="I292" t="s">
        <v>233</v>
      </c>
    </row>
    <row r="293" spans="1:9">
      <c r="A293" t="s">
        <v>75</v>
      </c>
      <c r="B293" t="s">
        <v>9166</v>
      </c>
      <c r="C293" t="s">
        <v>8990</v>
      </c>
      <c r="D293" t="s">
        <v>8995</v>
      </c>
      <c r="E293" t="s">
        <v>9395</v>
      </c>
      <c r="G293" t="s">
        <v>8950</v>
      </c>
      <c r="H293">
        <v>150</v>
      </c>
      <c r="I293" t="s">
        <v>233</v>
      </c>
    </row>
    <row r="294" spans="1:9">
      <c r="A294" t="s">
        <v>75</v>
      </c>
      <c r="B294" t="s">
        <v>9166</v>
      </c>
      <c r="C294" t="s">
        <v>2853</v>
      </c>
      <c r="D294" t="s">
        <v>8996</v>
      </c>
      <c r="E294" t="s">
        <v>9396</v>
      </c>
      <c r="G294" t="s">
        <v>8587</v>
      </c>
      <c r="H294">
        <v>120</v>
      </c>
      <c r="I294" t="s">
        <v>233</v>
      </c>
    </row>
    <row r="295" spans="1:9">
      <c r="A295" t="s">
        <v>75</v>
      </c>
      <c r="B295" t="s">
        <v>9166</v>
      </c>
      <c r="C295" t="s">
        <v>2853</v>
      </c>
      <c r="D295" t="s">
        <v>8997</v>
      </c>
      <c r="E295" t="s">
        <v>8998</v>
      </c>
      <c r="G295" t="s">
        <v>8587</v>
      </c>
      <c r="H295">
        <v>120</v>
      </c>
      <c r="I295" t="s">
        <v>233</v>
      </c>
    </row>
    <row r="296" spans="1:9">
      <c r="A296" t="s">
        <v>75</v>
      </c>
      <c r="B296" t="s">
        <v>8620</v>
      </c>
      <c r="C296" t="s">
        <v>8988</v>
      </c>
      <c r="D296" t="s">
        <v>8999</v>
      </c>
      <c r="E296" t="s">
        <v>9000</v>
      </c>
      <c r="G296" t="s">
        <v>8587</v>
      </c>
      <c r="H296">
        <v>0</v>
      </c>
      <c r="I296" t="s">
        <v>233</v>
      </c>
    </row>
    <row r="297" spans="1:9">
      <c r="A297" t="s">
        <v>75</v>
      </c>
      <c r="B297" t="s">
        <v>8620</v>
      </c>
      <c r="C297" t="s">
        <v>8674</v>
      </c>
      <c r="D297" t="s">
        <v>9001</v>
      </c>
      <c r="E297" t="s">
        <v>9397</v>
      </c>
      <c r="G297" t="s">
        <v>8587</v>
      </c>
      <c r="H297">
        <v>0</v>
      </c>
      <c r="I297" t="s">
        <v>233</v>
      </c>
    </row>
    <row r="298" spans="1:9">
      <c r="A298" t="s">
        <v>75</v>
      </c>
      <c r="B298" t="s">
        <v>8620</v>
      </c>
      <c r="C298" t="s">
        <v>9003</v>
      </c>
      <c r="D298" t="s">
        <v>9002</v>
      </c>
      <c r="E298" t="s">
        <v>9398</v>
      </c>
      <c r="G298" t="s">
        <v>8587</v>
      </c>
      <c r="H298">
        <v>0</v>
      </c>
      <c r="I298" t="s">
        <v>233</v>
      </c>
    </row>
    <row r="299" spans="1:9">
      <c r="A299" t="s">
        <v>75</v>
      </c>
      <c r="B299" t="s">
        <v>8620</v>
      </c>
      <c r="C299" t="s">
        <v>8988</v>
      </c>
      <c r="D299" t="s">
        <v>9004</v>
      </c>
      <c r="E299" t="s">
        <v>9918</v>
      </c>
      <c r="G299" t="s">
        <v>8587</v>
      </c>
      <c r="H299">
        <v>0</v>
      </c>
      <c r="I299" t="s">
        <v>233</v>
      </c>
    </row>
    <row r="300" spans="1:9">
      <c r="A300" t="s">
        <v>75</v>
      </c>
      <c r="B300" t="s">
        <v>8620</v>
      </c>
      <c r="C300" t="s">
        <v>8990</v>
      </c>
      <c r="D300" t="s">
        <v>9005</v>
      </c>
      <c r="E300" t="s">
        <v>9006</v>
      </c>
      <c r="G300" t="s">
        <v>8587</v>
      </c>
      <c r="H300">
        <v>0</v>
      </c>
      <c r="I300" t="s">
        <v>233</v>
      </c>
    </row>
    <row r="301" spans="1:9">
      <c r="A301" t="s">
        <v>75</v>
      </c>
      <c r="B301" t="s">
        <v>8620</v>
      </c>
      <c r="C301" t="s">
        <v>2852</v>
      </c>
      <c r="D301" t="s">
        <v>9007</v>
      </c>
      <c r="E301" t="s">
        <v>9399</v>
      </c>
      <c r="G301" t="s">
        <v>8587</v>
      </c>
      <c r="H301">
        <v>0</v>
      </c>
      <c r="I301" t="s">
        <v>233</v>
      </c>
    </row>
    <row r="302" spans="1:9">
      <c r="A302" t="s">
        <v>75</v>
      </c>
      <c r="B302" t="s">
        <v>8620</v>
      </c>
      <c r="C302" t="s">
        <v>2852</v>
      </c>
      <c r="D302" t="s">
        <v>9008</v>
      </c>
      <c r="E302" t="s">
        <v>9400</v>
      </c>
      <c r="G302" t="s">
        <v>8587</v>
      </c>
      <c r="H302">
        <v>0</v>
      </c>
      <c r="I302" t="s">
        <v>233</v>
      </c>
    </row>
    <row r="303" spans="1:9">
      <c r="A303" t="s">
        <v>75</v>
      </c>
      <c r="B303" t="s">
        <v>9180</v>
      </c>
      <c r="C303" t="s">
        <v>9010</v>
      </c>
      <c r="D303" t="s">
        <v>9009</v>
      </c>
      <c r="E303" t="s">
        <v>2963</v>
      </c>
      <c r="G303" t="s">
        <v>9401</v>
      </c>
      <c r="H303">
        <v>240</v>
      </c>
      <c r="I303" t="s">
        <v>233</v>
      </c>
    </row>
    <row r="304" spans="1:9">
      <c r="A304" t="s">
        <v>75</v>
      </c>
      <c r="B304" t="s">
        <v>9180</v>
      </c>
      <c r="C304" t="s">
        <v>8988</v>
      </c>
      <c r="D304" t="s">
        <v>9011</v>
      </c>
      <c r="E304" t="s">
        <v>2848</v>
      </c>
      <c r="G304" t="s">
        <v>8987</v>
      </c>
      <c r="H304">
        <v>240</v>
      </c>
      <c r="I304" t="s">
        <v>233</v>
      </c>
    </row>
    <row r="305" spans="1:9">
      <c r="A305" t="s">
        <v>75</v>
      </c>
      <c r="B305" t="s">
        <v>9180</v>
      </c>
      <c r="C305" t="s">
        <v>8988</v>
      </c>
      <c r="D305" t="s">
        <v>9012</v>
      </c>
      <c r="E305" t="s">
        <v>9402</v>
      </c>
      <c r="G305" t="s">
        <v>8987</v>
      </c>
      <c r="H305">
        <v>300</v>
      </c>
      <c r="I305" t="s">
        <v>233</v>
      </c>
    </row>
    <row r="306" spans="1:9">
      <c r="A306" t="s">
        <v>75</v>
      </c>
      <c r="B306" t="s">
        <v>9180</v>
      </c>
      <c r="C306" t="s">
        <v>8988</v>
      </c>
      <c r="D306" t="s">
        <v>9013</v>
      </c>
      <c r="E306" t="s">
        <v>9403</v>
      </c>
      <c r="G306" t="s">
        <v>9195</v>
      </c>
      <c r="H306">
        <v>600</v>
      </c>
      <c r="I306" t="s">
        <v>233</v>
      </c>
    </row>
    <row r="307" spans="1:9">
      <c r="A307" t="s">
        <v>75</v>
      </c>
      <c r="B307" t="s">
        <v>9180</v>
      </c>
      <c r="C307" t="s">
        <v>8682</v>
      </c>
      <c r="D307" t="s">
        <v>9014</v>
      </c>
      <c r="E307" t="s">
        <v>9404</v>
      </c>
      <c r="G307" t="s">
        <v>8655</v>
      </c>
      <c r="H307">
        <v>150</v>
      </c>
      <c r="I307" t="s">
        <v>233</v>
      </c>
    </row>
    <row r="308" spans="1:9">
      <c r="A308" t="s">
        <v>75</v>
      </c>
      <c r="B308" t="s">
        <v>9180</v>
      </c>
      <c r="C308" t="s">
        <v>8990</v>
      </c>
      <c r="D308" t="s">
        <v>9015</v>
      </c>
      <c r="E308" t="s">
        <v>5554</v>
      </c>
      <c r="G308" t="s">
        <v>8987</v>
      </c>
      <c r="H308">
        <v>220</v>
      </c>
      <c r="I308" t="s">
        <v>233</v>
      </c>
    </row>
    <row r="309" spans="1:9">
      <c r="A309" t="s">
        <v>75</v>
      </c>
      <c r="B309" t="s">
        <v>9180</v>
      </c>
      <c r="C309" t="s">
        <v>8990</v>
      </c>
      <c r="D309" t="s">
        <v>9016</v>
      </c>
      <c r="E309" t="s">
        <v>9405</v>
      </c>
      <c r="G309" t="s">
        <v>8987</v>
      </c>
      <c r="H309">
        <v>150</v>
      </c>
      <c r="I309" t="s">
        <v>233</v>
      </c>
    </row>
    <row r="310" spans="1:9">
      <c r="A310" t="s">
        <v>75</v>
      </c>
      <c r="B310" t="s">
        <v>9180</v>
      </c>
      <c r="C310" t="s">
        <v>9010</v>
      </c>
      <c r="D310" t="s">
        <v>9017</v>
      </c>
      <c r="E310" t="s">
        <v>9406</v>
      </c>
      <c r="G310" t="s">
        <v>9401</v>
      </c>
      <c r="H310">
        <v>450</v>
      </c>
      <c r="I310" t="s">
        <v>233</v>
      </c>
    </row>
    <row r="311" spans="1:9">
      <c r="A311" t="s">
        <v>75</v>
      </c>
      <c r="B311" t="s">
        <v>9180</v>
      </c>
      <c r="C311" t="s">
        <v>9010</v>
      </c>
      <c r="D311" t="s">
        <v>9018</v>
      </c>
      <c r="E311" t="s">
        <v>9407</v>
      </c>
      <c r="G311" t="s">
        <v>9401</v>
      </c>
      <c r="H311">
        <v>300</v>
      </c>
      <c r="I311" t="s">
        <v>233</v>
      </c>
    </row>
    <row r="312" spans="1:9">
      <c r="A312" t="s">
        <v>75</v>
      </c>
      <c r="B312" t="s">
        <v>9163</v>
      </c>
      <c r="C312" t="s">
        <v>9010</v>
      </c>
      <c r="D312" t="s">
        <v>9019</v>
      </c>
      <c r="E312" t="s">
        <v>2856</v>
      </c>
      <c r="G312" t="s">
        <v>9401</v>
      </c>
      <c r="H312">
        <v>150</v>
      </c>
      <c r="I312" t="s">
        <v>233</v>
      </c>
    </row>
    <row r="313" spans="1:9">
      <c r="A313" t="s">
        <v>75</v>
      </c>
      <c r="B313" t="s">
        <v>9163</v>
      </c>
      <c r="C313" t="s">
        <v>8988</v>
      </c>
      <c r="D313" t="s">
        <v>9020</v>
      </c>
      <c r="E313" t="s">
        <v>9408</v>
      </c>
      <c r="G313" t="s">
        <v>8987</v>
      </c>
      <c r="H313">
        <v>3250</v>
      </c>
      <c r="I313" t="s">
        <v>233</v>
      </c>
    </row>
    <row r="314" spans="1:9">
      <c r="A314" t="s">
        <v>75</v>
      </c>
      <c r="B314" t="s">
        <v>9163</v>
      </c>
      <c r="C314" t="s">
        <v>8988</v>
      </c>
      <c r="D314" t="s">
        <v>9021</v>
      </c>
      <c r="E314" t="s">
        <v>9409</v>
      </c>
      <c r="G314" t="s">
        <v>8987</v>
      </c>
      <c r="H314">
        <v>3600</v>
      </c>
      <c r="I314" t="s">
        <v>233</v>
      </c>
    </row>
    <row r="315" spans="1:9">
      <c r="A315" t="s">
        <v>75</v>
      </c>
      <c r="B315" t="s">
        <v>9163</v>
      </c>
      <c r="C315" t="s">
        <v>8988</v>
      </c>
      <c r="D315" t="s">
        <v>9022</v>
      </c>
      <c r="E315" t="s">
        <v>2849</v>
      </c>
      <c r="G315" t="s">
        <v>8987</v>
      </c>
      <c r="H315">
        <v>4440</v>
      </c>
      <c r="I315" t="s">
        <v>233</v>
      </c>
    </row>
    <row r="316" spans="1:9">
      <c r="A316" t="s">
        <v>75</v>
      </c>
      <c r="B316" t="s">
        <v>9163</v>
      </c>
      <c r="C316" t="s">
        <v>8988</v>
      </c>
      <c r="D316" t="s">
        <v>9023</v>
      </c>
      <c r="E316" t="s">
        <v>2857</v>
      </c>
      <c r="G316" t="s">
        <v>8987</v>
      </c>
      <c r="H316">
        <v>3350</v>
      </c>
      <c r="I316" t="s">
        <v>233</v>
      </c>
    </row>
    <row r="317" spans="1:9">
      <c r="A317" t="s">
        <v>75</v>
      </c>
      <c r="B317" t="s">
        <v>9163</v>
      </c>
      <c r="C317" t="s">
        <v>8988</v>
      </c>
      <c r="D317" t="s">
        <v>9024</v>
      </c>
      <c r="E317" t="s">
        <v>9410</v>
      </c>
      <c r="G317" t="s">
        <v>8987</v>
      </c>
      <c r="H317">
        <v>2400</v>
      </c>
      <c r="I317" t="s">
        <v>233</v>
      </c>
    </row>
    <row r="318" spans="1:9">
      <c r="A318" t="s">
        <v>75</v>
      </c>
      <c r="B318" t="s">
        <v>9163</v>
      </c>
      <c r="C318" t="s">
        <v>8988</v>
      </c>
      <c r="D318" t="s">
        <v>9025</v>
      </c>
      <c r="E318" t="s">
        <v>9411</v>
      </c>
      <c r="G318" t="s">
        <v>8987</v>
      </c>
      <c r="H318">
        <v>1800</v>
      </c>
      <c r="I318" t="s">
        <v>233</v>
      </c>
    </row>
    <row r="319" spans="1:9">
      <c r="A319" t="s">
        <v>75</v>
      </c>
      <c r="B319" t="s">
        <v>9163</v>
      </c>
      <c r="C319" t="s">
        <v>8988</v>
      </c>
      <c r="D319" t="s">
        <v>9026</v>
      </c>
      <c r="E319" t="s">
        <v>5555</v>
      </c>
      <c r="G319" t="s">
        <v>8987</v>
      </c>
      <c r="H319">
        <v>3950</v>
      </c>
      <c r="I319" t="s">
        <v>233</v>
      </c>
    </row>
    <row r="320" spans="1:9">
      <c r="A320" t="s">
        <v>75</v>
      </c>
      <c r="B320" t="s">
        <v>9163</v>
      </c>
      <c r="C320" t="s">
        <v>8988</v>
      </c>
      <c r="D320" t="s">
        <v>9027</v>
      </c>
      <c r="E320" t="s">
        <v>9412</v>
      </c>
      <c r="G320" t="s">
        <v>8987</v>
      </c>
      <c r="H320">
        <v>2400</v>
      </c>
      <c r="I320" t="s">
        <v>233</v>
      </c>
    </row>
    <row r="321" spans="1:9">
      <c r="A321" t="s">
        <v>75</v>
      </c>
      <c r="B321" t="s">
        <v>9163</v>
      </c>
      <c r="C321" t="s">
        <v>8988</v>
      </c>
      <c r="D321" t="s">
        <v>9028</v>
      </c>
      <c r="E321" t="s">
        <v>9413</v>
      </c>
      <c r="G321" t="s">
        <v>8987</v>
      </c>
      <c r="H321">
        <v>4800</v>
      </c>
      <c r="I321" t="s">
        <v>233</v>
      </c>
    </row>
    <row r="322" spans="1:9">
      <c r="A322" t="s">
        <v>75</v>
      </c>
      <c r="B322" t="s">
        <v>9163</v>
      </c>
      <c r="C322" t="s">
        <v>8988</v>
      </c>
      <c r="D322" t="s">
        <v>9029</v>
      </c>
      <c r="E322" t="s">
        <v>9414</v>
      </c>
      <c r="G322" t="s">
        <v>8987</v>
      </c>
      <c r="H322">
        <v>360</v>
      </c>
      <c r="I322" t="s">
        <v>233</v>
      </c>
    </row>
    <row r="323" spans="1:9">
      <c r="A323" t="s">
        <v>75</v>
      </c>
      <c r="B323" t="s">
        <v>9163</v>
      </c>
      <c r="C323" t="s">
        <v>8988</v>
      </c>
      <c r="D323" t="s">
        <v>9030</v>
      </c>
      <c r="E323" t="s">
        <v>2850</v>
      </c>
      <c r="G323" t="s">
        <v>8987</v>
      </c>
      <c r="H323">
        <v>360</v>
      </c>
      <c r="I323" t="s">
        <v>233</v>
      </c>
    </row>
    <row r="324" spans="1:9">
      <c r="A324" t="s">
        <v>75</v>
      </c>
      <c r="B324" t="s">
        <v>9163</v>
      </c>
      <c r="C324" t="s">
        <v>8988</v>
      </c>
      <c r="D324" t="s">
        <v>9031</v>
      </c>
      <c r="E324" t="s">
        <v>9415</v>
      </c>
      <c r="G324" t="s">
        <v>8987</v>
      </c>
      <c r="H324">
        <v>2400</v>
      </c>
      <c r="I324" t="s">
        <v>233</v>
      </c>
    </row>
    <row r="325" spans="1:9">
      <c r="A325" t="s">
        <v>75</v>
      </c>
      <c r="B325" t="s">
        <v>9163</v>
      </c>
      <c r="C325" t="s">
        <v>8990</v>
      </c>
      <c r="D325" t="s">
        <v>9032</v>
      </c>
      <c r="E325" t="s">
        <v>9416</v>
      </c>
      <c r="G325" t="s">
        <v>8950</v>
      </c>
      <c r="H325">
        <v>500</v>
      </c>
      <c r="I325" t="s">
        <v>233</v>
      </c>
    </row>
    <row r="326" spans="1:9">
      <c r="A326" t="s">
        <v>75</v>
      </c>
      <c r="B326" t="s">
        <v>9163</v>
      </c>
      <c r="C326" t="s">
        <v>8990</v>
      </c>
      <c r="D326" t="s">
        <v>9033</v>
      </c>
      <c r="E326" t="s">
        <v>5556</v>
      </c>
      <c r="G326" t="s">
        <v>8950</v>
      </c>
      <c r="H326">
        <v>400</v>
      </c>
      <c r="I326" t="s">
        <v>233</v>
      </c>
    </row>
    <row r="327" spans="1:9">
      <c r="A327" t="s">
        <v>75</v>
      </c>
      <c r="B327" t="s">
        <v>9163</v>
      </c>
      <c r="C327" t="s">
        <v>8990</v>
      </c>
      <c r="D327" t="s">
        <v>9034</v>
      </c>
      <c r="E327" t="s">
        <v>9417</v>
      </c>
      <c r="G327" t="s">
        <v>8950</v>
      </c>
      <c r="H327">
        <v>1440</v>
      </c>
      <c r="I327" t="s">
        <v>233</v>
      </c>
    </row>
    <row r="328" spans="1:9">
      <c r="A328" t="s">
        <v>75</v>
      </c>
      <c r="B328" t="s">
        <v>9163</v>
      </c>
      <c r="C328" t="s">
        <v>8988</v>
      </c>
      <c r="D328" t="s">
        <v>9035</v>
      </c>
      <c r="E328" t="s">
        <v>9418</v>
      </c>
      <c r="G328" t="s">
        <v>8987</v>
      </c>
      <c r="H328">
        <v>4200</v>
      </c>
      <c r="I328" t="s">
        <v>233</v>
      </c>
    </row>
    <row r="329" spans="1:9">
      <c r="A329" t="s">
        <v>75</v>
      </c>
      <c r="B329" t="s">
        <v>9163</v>
      </c>
      <c r="C329" t="s">
        <v>8941</v>
      </c>
      <c r="D329" t="s">
        <v>9036</v>
      </c>
      <c r="E329" t="s">
        <v>9419</v>
      </c>
      <c r="G329" t="s">
        <v>8910</v>
      </c>
      <c r="H329">
        <v>2900</v>
      </c>
      <c r="I329" t="s">
        <v>233</v>
      </c>
    </row>
    <row r="330" spans="1:9">
      <c r="A330" t="s">
        <v>75</v>
      </c>
      <c r="B330" t="s">
        <v>9163</v>
      </c>
      <c r="C330" t="s">
        <v>8941</v>
      </c>
      <c r="D330" t="s">
        <v>9037</v>
      </c>
      <c r="E330" t="s">
        <v>9038</v>
      </c>
      <c r="G330" t="s">
        <v>9039</v>
      </c>
      <c r="H330">
        <v>2300</v>
      </c>
      <c r="I330" t="s">
        <v>233</v>
      </c>
    </row>
    <row r="331" spans="1:9">
      <c r="A331" t="s">
        <v>75</v>
      </c>
      <c r="B331" t="s">
        <v>9163</v>
      </c>
      <c r="C331" t="s">
        <v>9010</v>
      </c>
      <c r="D331" t="s">
        <v>9040</v>
      </c>
      <c r="E331" t="s">
        <v>9420</v>
      </c>
      <c r="G331" t="s">
        <v>9401</v>
      </c>
      <c r="H331">
        <v>350</v>
      </c>
      <c r="I331" t="s">
        <v>233</v>
      </c>
    </row>
    <row r="332" spans="1:9">
      <c r="A332" t="s">
        <v>75</v>
      </c>
      <c r="B332" t="s">
        <v>9163</v>
      </c>
      <c r="C332" t="s">
        <v>9010</v>
      </c>
      <c r="D332" t="s">
        <v>9041</v>
      </c>
      <c r="E332" t="s">
        <v>9421</v>
      </c>
      <c r="G332" t="s">
        <v>9401</v>
      </c>
      <c r="H332">
        <v>950</v>
      </c>
      <c r="I332" t="s">
        <v>233</v>
      </c>
    </row>
    <row r="333" spans="1:9">
      <c r="A333" t="s">
        <v>75</v>
      </c>
      <c r="B333" t="s">
        <v>9163</v>
      </c>
      <c r="C333" t="s">
        <v>8988</v>
      </c>
      <c r="D333" t="s">
        <v>9042</v>
      </c>
      <c r="E333" t="s">
        <v>5557</v>
      </c>
      <c r="G333" t="s">
        <v>8987</v>
      </c>
      <c r="H333">
        <v>3800</v>
      </c>
      <c r="I333" t="s">
        <v>233</v>
      </c>
    </row>
    <row r="334" spans="1:9">
      <c r="A334" t="s">
        <v>75</v>
      </c>
      <c r="B334" t="s">
        <v>9163</v>
      </c>
      <c r="C334" t="s">
        <v>8988</v>
      </c>
      <c r="D334" t="s">
        <v>9043</v>
      </c>
      <c r="E334" t="s">
        <v>5558</v>
      </c>
      <c r="G334" t="s">
        <v>8987</v>
      </c>
      <c r="H334">
        <v>3700</v>
      </c>
      <c r="I334" t="s">
        <v>233</v>
      </c>
    </row>
    <row r="335" spans="1:9">
      <c r="A335" t="s">
        <v>75</v>
      </c>
      <c r="B335" t="s">
        <v>9163</v>
      </c>
      <c r="C335" t="s">
        <v>8924</v>
      </c>
      <c r="D335" t="s">
        <v>9044</v>
      </c>
      <c r="E335" t="s">
        <v>9422</v>
      </c>
      <c r="G335" t="s">
        <v>8910</v>
      </c>
      <c r="H335">
        <v>2900</v>
      </c>
      <c r="I335" t="s">
        <v>233</v>
      </c>
    </row>
    <row r="336" spans="1:9">
      <c r="A336" t="s">
        <v>75</v>
      </c>
      <c r="B336" t="s">
        <v>9163</v>
      </c>
      <c r="C336" t="s">
        <v>9046</v>
      </c>
      <c r="D336" t="s">
        <v>9045</v>
      </c>
      <c r="E336" t="s">
        <v>9423</v>
      </c>
      <c r="G336" t="s">
        <v>8706</v>
      </c>
      <c r="H336">
        <v>220</v>
      </c>
      <c r="I336" t="s">
        <v>233</v>
      </c>
    </row>
    <row r="337" spans="1:9">
      <c r="A337" t="s">
        <v>75</v>
      </c>
      <c r="B337" t="s">
        <v>9163</v>
      </c>
      <c r="C337" t="s">
        <v>9010</v>
      </c>
      <c r="D337" t="s">
        <v>9047</v>
      </c>
      <c r="E337" t="s">
        <v>9424</v>
      </c>
      <c r="G337" t="s">
        <v>8706</v>
      </c>
      <c r="H337">
        <v>150</v>
      </c>
      <c r="I337" t="s">
        <v>233</v>
      </c>
    </row>
    <row r="338" spans="1:9">
      <c r="A338" t="s">
        <v>75</v>
      </c>
      <c r="B338" t="s">
        <v>9163</v>
      </c>
      <c r="C338" t="s">
        <v>9049</v>
      </c>
      <c r="D338" t="s">
        <v>9048</v>
      </c>
      <c r="E338" t="s">
        <v>9425</v>
      </c>
      <c r="G338" t="s">
        <v>8910</v>
      </c>
      <c r="H338">
        <v>1200</v>
      </c>
      <c r="I338" t="s">
        <v>233</v>
      </c>
    </row>
    <row r="339" spans="1:9">
      <c r="A339" t="s">
        <v>75</v>
      </c>
      <c r="B339" t="s">
        <v>9163</v>
      </c>
      <c r="C339" t="s">
        <v>8988</v>
      </c>
      <c r="D339" t="s">
        <v>9050</v>
      </c>
      <c r="E339" t="s">
        <v>9426</v>
      </c>
      <c r="G339" t="s">
        <v>8987</v>
      </c>
      <c r="H339">
        <v>3700</v>
      </c>
      <c r="I339" t="s">
        <v>233</v>
      </c>
    </row>
    <row r="340" spans="1:9">
      <c r="A340" t="s">
        <v>75</v>
      </c>
      <c r="B340" t="s">
        <v>9170</v>
      </c>
      <c r="C340" t="s">
        <v>9010</v>
      </c>
      <c r="D340" t="s">
        <v>9051</v>
      </c>
      <c r="E340" t="s">
        <v>9427</v>
      </c>
      <c r="G340" t="s">
        <v>9401</v>
      </c>
      <c r="H340">
        <v>200</v>
      </c>
      <c r="I340" t="s">
        <v>233</v>
      </c>
    </row>
    <row r="341" spans="1:9">
      <c r="A341" t="s">
        <v>75</v>
      </c>
      <c r="B341" t="s">
        <v>9170</v>
      </c>
      <c r="C341" t="s">
        <v>8988</v>
      </c>
      <c r="D341" t="s">
        <v>9052</v>
      </c>
      <c r="E341" t="s">
        <v>9428</v>
      </c>
      <c r="G341" t="s">
        <v>8987</v>
      </c>
      <c r="H341">
        <v>650</v>
      </c>
      <c r="I341" t="s">
        <v>233</v>
      </c>
    </row>
    <row r="342" spans="1:9">
      <c r="A342" t="s">
        <v>75</v>
      </c>
      <c r="B342" t="s">
        <v>9170</v>
      </c>
      <c r="C342" t="s">
        <v>8988</v>
      </c>
      <c r="D342" t="s">
        <v>9053</v>
      </c>
      <c r="E342" t="s">
        <v>9429</v>
      </c>
      <c r="G342" t="s">
        <v>8987</v>
      </c>
      <c r="H342">
        <v>950</v>
      </c>
      <c r="I342" t="s">
        <v>233</v>
      </c>
    </row>
    <row r="343" spans="1:9">
      <c r="A343" t="s">
        <v>75</v>
      </c>
      <c r="B343" t="s">
        <v>9170</v>
      </c>
      <c r="C343" t="s">
        <v>8988</v>
      </c>
      <c r="D343" t="s">
        <v>9054</v>
      </c>
      <c r="E343" t="s">
        <v>9430</v>
      </c>
      <c r="G343" t="s">
        <v>8987</v>
      </c>
      <c r="H343">
        <v>1550</v>
      </c>
      <c r="I343" t="s">
        <v>233</v>
      </c>
    </row>
    <row r="344" spans="1:9">
      <c r="A344" t="s">
        <v>75</v>
      </c>
      <c r="B344" t="s">
        <v>9170</v>
      </c>
      <c r="C344" t="s">
        <v>8988</v>
      </c>
      <c r="D344" t="s">
        <v>9055</v>
      </c>
      <c r="E344" t="s">
        <v>9431</v>
      </c>
      <c r="G344" t="s">
        <v>8987</v>
      </c>
      <c r="H344">
        <v>600</v>
      </c>
      <c r="I344" t="s">
        <v>233</v>
      </c>
    </row>
    <row r="345" spans="1:9">
      <c r="A345" t="s">
        <v>75</v>
      </c>
      <c r="B345" t="s">
        <v>9170</v>
      </c>
      <c r="C345" t="s">
        <v>8990</v>
      </c>
      <c r="D345" t="s">
        <v>9056</v>
      </c>
      <c r="E345" t="s">
        <v>9432</v>
      </c>
      <c r="G345" t="s">
        <v>8950</v>
      </c>
      <c r="H345">
        <v>450</v>
      </c>
      <c r="I345" t="s">
        <v>233</v>
      </c>
    </row>
    <row r="346" spans="1:9">
      <c r="A346" t="s">
        <v>75</v>
      </c>
      <c r="B346" t="s">
        <v>9170</v>
      </c>
      <c r="C346" t="s">
        <v>8988</v>
      </c>
      <c r="D346" t="s">
        <v>9057</v>
      </c>
      <c r="E346" t="s">
        <v>9433</v>
      </c>
      <c r="G346" t="s">
        <v>8987</v>
      </c>
      <c r="H346">
        <v>1000</v>
      </c>
      <c r="I346" t="s">
        <v>233</v>
      </c>
    </row>
    <row r="347" spans="1:9">
      <c r="A347" t="s">
        <v>75</v>
      </c>
      <c r="B347" t="s">
        <v>8735</v>
      </c>
      <c r="C347" t="s">
        <v>8988</v>
      </c>
      <c r="D347" t="s">
        <v>9058</v>
      </c>
      <c r="E347" t="s">
        <v>9434</v>
      </c>
      <c r="G347" t="s">
        <v>8987</v>
      </c>
      <c r="H347">
        <v>3600</v>
      </c>
      <c r="I347" t="s">
        <v>233</v>
      </c>
    </row>
    <row r="348" spans="1:9">
      <c r="A348" t="s">
        <v>75</v>
      </c>
      <c r="B348" t="s">
        <v>8735</v>
      </c>
      <c r="C348" t="s">
        <v>8988</v>
      </c>
      <c r="D348" t="s">
        <v>9059</v>
      </c>
      <c r="E348" t="s">
        <v>9435</v>
      </c>
      <c r="G348" t="s">
        <v>8987</v>
      </c>
      <c r="H348">
        <v>600</v>
      </c>
      <c r="I348" t="s">
        <v>233</v>
      </c>
    </row>
    <row r="349" spans="1:9">
      <c r="A349" t="s">
        <v>75</v>
      </c>
      <c r="B349" t="s">
        <v>8735</v>
      </c>
      <c r="C349" t="s">
        <v>8988</v>
      </c>
      <c r="D349" t="s">
        <v>9060</v>
      </c>
      <c r="E349" t="s">
        <v>9436</v>
      </c>
      <c r="G349" t="s">
        <v>8987</v>
      </c>
      <c r="H349">
        <v>1200</v>
      </c>
      <c r="I349" t="s">
        <v>233</v>
      </c>
    </row>
    <row r="350" spans="1:9">
      <c r="A350" t="s">
        <v>75</v>
      </c>
      <c r="B350" t="s">
        <v>8735</v>
      </c>
      <c r="C350" t="s">
        <v>8988</v>
      </c>
      <c r="D350" t="s">
        <v>9061</v>
      </c>
      <c r="E350" t="s">
        <v>9437</v>
      </c>
      <c r="G350" t="s">
        <v>8987</v>
      </c>
      <c r="H350">
        <v>3600</v>
      </c>
      <c r="I350" t="s">
        <v>233</v>
      </c>
    </row>
    <row r="351" spans="1:9">
      <c r="A351" t="s">
        <v>75</v>
      </c>
      <c r="B351" t="s">
        <v>8735</v>
      </c>
      <c r="C351" t="s">
        <v>8988</v>
      </c>
      <c r="D351" t="s">
        <v>9062</v>
      </c>
      <c r="E351" t="s">
        <v>9438</v>
      </c>
      <c r="G351" t="s">
        <v>8987</v>
      </c>
      <c r="H351">
        <v>1600</v>
      </c>
      <c r="I351" t="s">
        <v>233</v>
      </c>
    </row>
    <row r="352" spans="1:9">
      <c r="A352" t="s">
        <v>75</v>
      </c>
      <c r="B352" t="s">
        <v>8735</v>
      </c>
      <c r="C352" t="s">
        <v>8988</v>
      </c>
      <c r="D352" t="s">
        <v>9063</v>
      </c>
      <c r="E352" t="s">
        <v>9439</v>
      </c>
      <c r="G352" t="s">
        <v>8987</v>
      </c>
      <c r="H352">
        <v>3600</v>
      </c>
      <c r="I352" t="s">
        <v>233</v>
      </c>
    </row>
    <row r="353" spans="1:9">
      <c r="A353" t="s">
        <v>75</v>
      </c>
      <c r="B353" t="s">
        <v>8735</v>
      </c>
      <c r="C353" t="s">
        <v>8988</v>
      </c>
      <c r="D353" t="s">
        <v>9064</v>
      </c>
      <c r="E353" t="s">
        <v>9065</v>
      </c>
      <c r="G353" t="s">
        <v>8754</v>
      </c>
      <c r="H353">
        <v>580</v>
      </c>
      <c r="I353" t="s">
        <v>233</v>
      </c>
    </row>
    <row r="354" spans="1:9">
      <c r="A354" t="s">
        <v>75</v>
      </c>
      <c r="B354" t="s">
        <v>8605</v>
      </c>
      <c r="C354" t="s">
        <v>9068</v>
      </c>
      <c r="D354" t="s">
        <v>9066</v>
      </c>
      <c r="E354" t="s">
        <v>9067</v>
      </c>
      <c r="G354" t="s">
        <v>8754</v>
      </c>
      <c r="H354">
        <v>600</v>
      </c>
      <c r="I354" t="s">
        <v>233</v>
      </c>
    </row>
    <row r="355" spans="1:9">
      <c r="A355" t="s">
        <v>9070</v>
      </c>
      <c r="B355" t="s">
        <v>9166</v>
      </c>
      <c r="C355" t="s">
        <v>2853</v>
      </c>
      <c r="D355" t="s">
        <v>9069</v>
      </c>
      <c r="E355" t="s">
        <v>9071</v>
      </c>
      <c r="G355" t="s">
        <v>8587</v>
      </c>
      <c r="H355">
        <v>90</v>
      </c>
      <c r="I355" t="s">
        <v>233</v>
      </c>
    </row>
    <row r="356" spans="1:9">
      <c r="A356" t="s">
        <v>9070</v>
      </c>
      <c r="B356" t="s">
        <v>9163</v>
      </c>
      <c r="C356" t="s">
        <v>2853</v>
      </c>
      <c r="D356" t="s">
        <v>9072</v>
      </c>
      <c r="E356" t="s">
        <v>9440</v>
      </c>
      <c r="G356" t="s">
        <v>8887</v>
      </c>
      <c r="H356">
        <v>1920</v>
      </c>
      <c r="I356" t="s">
        <v>233</v>
      </c>
    </row>
    <row r="357" spans="1:9">
      <c r="A357" t="s">
        <v>9070</v>
      </c>
      <c r="B357" t="s">
        <v>9163</v>
      </c>
      <c r="C357" t="s">
        <v>8600</v>
      </c>
      <c r="D357" t="s">
        <v>9073</v>
      </c>
      <c r="E357" t="s">
        <v>9441</v>
      </c>
      <c r="G357" t="s">
        <v>8584</v>
      </c>
      <c r="H357">
        <v>300</v>
      </c>
      <c r="I357" t="s">
        <v>233</v>
      </c>
    </row>
    <row r="358" spans="1:9">
      <c r="A358" t="s">
        <v>9070</v>
      </c>
      <c r="B358" t="s">
        <v>9163</v>
      </c>
      <c r="C358" t="s">
        <v>8600</v>
      </c>
      <c r="D358" t="s">
        <v>9074</v>
      </c>
      <c r="E358" t="s">
        <v>9442</v>
      </c>
      <c r="G358" t="s">
        <v>8584</v>
      </c>
      <c r="H358">
        <v>600</v>
      </c>
      <c r="I358" t="s">
        <v>233</v>
      </c>
    </row>
    <row r="359" spans="1:9">
      <c r="A359" t="s">
        <v>9070</v>
      </c>
      <c r="B359" t="s">
        <v>9163</v>
      </c>
      <c r="C359" t="s">
        <v>8600</v>
      </c>
      <c r="D359" t="s">
        <v>9075</v>
      </c>
      <c r="E359" t="s">
        <v>9443</v>
      </c>
      <c r="G359" t="s">
        <v>8602</v>
      </c>
      <c r="H359">
        <v>180</v>
      </c>
      <c r="I359" t="s">
        <v>233</v>
      </c>
    </row>
    <row r="360" spans="1:9">
      <c r="A360" t="s">
        <v>9070</v>
      </c>
      <c r="B360" t="s">
        <v>9170</v>
      </c>
      <c r="C360" t="s">
        <v>2853</v>
      </c>
      <c r="D360" t="s">
        <v>9076</v>
      </c>
      <c r="E360" t="s">
        <v>9444</v>
      </c>
      <c r="G360" t="s">
        <v>8594</v>
      </c>
      <c r="H360">
        <v>960</v>
      </c>
      <c r="I360" t="s">
        <v>233</v>
      </c>
    </row>
    <row r="361" spans="1:9">
      <c r="A361" t="s">
        <v>9070</v>
      </c>
      <c r="B361" t="s">
        <v>9170</v>
      </c>
      <c r="C361" t="s">
        <v>8600</v>
      </c>
      <c r="D361" t="s">
        <v>9077</v>
      </c>
      <c r="E361" t="s">
        <v>9445</v>
      </c>
      <c r="G361" t="s">
        <v>8748</v>
      </c>
      <c r="H361">
        <v>150</v>
      </c>
      <c r="I361" t="s">
        <v>233</v>
      </c>
    </row>
    <row r="362" spans="1:9">
      <c r="A362" t="s">
        <v>9070</v>
      </c>
      <c r="B362" t="s">
        <v>9170</v>
      </c>
      <c r="C362" t="s">
        <v>8600</v>
      </c>
      <c r="D362" t="s">
        <v>9078</v>
      </c>
      <c r="E362" t="s">
        <v>9446</v>
      </c>
      <c r="G362" t="s">
        <v>8748</v>
      </c>
      <c r="H362">
        <v>280</v>
      </c>
      <c r="I362" t="s">
        <v>233</v>
      </c>
    </row>
    <row r="363" spans="1:9">
      <c r="A363" t="s">
        <v>9070</v>
      </c>
      <c r="B363" t="s">
        <v>9230</v>
      </c>
      <c r="C363" t="s">
        <v>2853</v>
      </c>
      <c r="D363" t="s">
        <v>9079</v>
      </c>
      <c r="E363" t="s">
        <v>9447</v>
      </c>
      <c r="G363" t="s">
        <v>8594</v>
      </c>
      <c r="H363">
        <v>1200</v>
      </c>
      <c r="I363" t="s">
        <v>233</v>
      </c>
    </row>
    <row r="364" spans="1:9">
      <c r="A364" t="s">
        <v>9070</v>
      </c>
      <c r="B364" t="s">
        <v>9230</v>
      </c>
      <c r="C364" t="s">
        <v>8600</v>
      </c>
      <c r="D364" t="s">
        <v>9080</v>
      </c>
      <c r="E364" t="s">
        <v>9448</v>
      </c>
      <c r="G364" t="s">
        <v>8748</v>
      </c>
      <c r="H364">
        <v>220</v>
      </c>
      <c r="I364" t="s">
        <v>233</v>
      </c>
    </row>
    <row r="365" spans="1:9">
      <c r="A365" t="s">
        <v>9070</v>
      </c>
      <c r="B365" t="s">
        <v>9230</v>
      </c>
      <c r="C365" t="s">
        <v>8600</v>
      </c>
      <c r="D365" t="s">
        <v>9081</v>
      </c>
      <c r="E365" t="s">
        <v>9449</v>
      </c>
      <c r="G365" t="s">
        <v>8748</v>
      </c>
      <c r="H365">
        <v>420</v>
      </c>
      <c r="I365" t="s">
        <v>233</v>
      </c>
    </row>
    <row r="366" spans="1:9">
      <c r="A366" t="s">
        <v>9070</v>
      </c>
      <c r="B366" t="s">
        <v>8605</v>
      </c>
      <c r="C366" t="s">
        <v>2853</v>
      </c>
      <c r="D366" t="s">
        <v>9082</v>
      </c>
      <c r="E366" t="s">
        <v>9450</v>
      </c>
      <c r="G366" t="s">
        <v>8606</v>
      </c>
      <c r="H366">
        <v>960</v>
      </c>
      <c r="I366" t="s">
        <v>233</v>
      </c>
    </row>
    <row r="367" spans="1:9">
      <c r="A367" t="s">
        <v>9920</v>
      </c>
      <c r="B367" t="s">
        <v>9166</v>
      </c>
      <c r="C367" t="s">
        <v>9922</v>
      </c>
      <c r="D367" t="s">
        <v>9919</v>
      </c>
      <c r="E367" t="s">
        <v>9928</v>
      </c>
      <c r="G367" t="s">
        <v>9921</v>
      </c>
      <c r="H367">
        <v>0</v>
      </c>
      <c r="I367" t="s">
        <v>233</v>
      </c>
    </row>
    <row r="368" spans="1:9">
      <c r="A368" t="s">
        <v>9084</v>
      </c>
      <c r="B368" t="s">
        <v>8620</v>
      </c>
      <c r="C368" t="s">
        <v>2852</v>
      </c>
      <c r="D368" t="s">
        <v>9083</v>
      </c>
      <c r="E368" t="s">
        <v>13958</v>
      </c>
      <c r="G368" t="s">
        <v>8587</v>
      </c>
      <c r="H368">
        <v>0</v>
      </c>
      <c r="I368" t="s">
        <v>233</v>
      </c>
    </row>
    <row r="369" spans="1:9">
      <c r="A369" t="s">
        <v>9084</v>
      </c>
      <c r="B369" t="s">
        <v>9175</v>
      </c>
      <c r="C369" t="s">
        <v>9278</v>
      </c>
      <c r="D369" t="s">
        <v>9085</v>
      </c>
      <c r="E369" t="s">
        <v>9086</v>
      </c>
      <c r="G369" t="s">
        <v>8599</v>
      </c>
      <c r="H369">
        <v>800</v>
      </c>
      <c r="I369" t="s">
        <v>233</v>
      </c>
    </row>
    <row r="370" spans="1:9">
      <c r="A370" t="s">
        <v>9084</v>
      </c>
      <c r="B370" t="s">
        <v>9163</v>
      </c>
      <c r="C370" t="s">
        <v>2853</v>
      </c>
      <c r="D370" t="s">
        <v>9087</v>
      </c>
      <c r="E370" t="s">
        <v>5559</v>
      </c>
      <c r="G370" t="s">
        <v>8594</v>
      </c>
      <c r="H370">
        <v>1440</v>
      </c>
      <c r="I370" t="s">
        <v>233</v>
      </c>
    </row>
    <row r="371" spans="1:9">
      <c r="A371" t="s">
        <v>9084</v>
      </c>
      <c r="B371" t="s">
        <v>9163</v>
      </c>
      <c r="C371" t="s">
        <v>9238</v>
      </c>
      <c r="D371" t="s">
        <v>9088</v>
      </c>
      <c r="E371" t="s">
        <v>9451</v>
      </c>
      <c r="G371" t="s">
        <v>8594</v>
      </c>
      <c r="H371">
        <v>960</v>
      </c>
      <c r="I371" t="s">
        <v>233</v>
      </c>
    </row>
    <row r="372" spans="1:9">
      <c r="A372" t="s">
        <v>9084</v>
      </c>
      <c r="B372" t="s">
        <v>9163</v>
      </c>
      <c r="C372" t="s">
        <v>9238</v>
      </c>
      <c r="D372" t="s">
        <v>9089</v>
      </c>
      <c r="E372" t="s">
        <v>9452</v>
      </c>
      <c r="G372" t="s">
        <v>8594</v>
      </c>
      <c r="H372">
        <v>1320</v>
      </c>
      <c r="I372" t="s">
        <v>233</v>
      </c>
    </row>
    <row r="373" spans="1:9">
      <c r="A373" t="s">
        <v>9084</v>
      </c>
      <c r="B373" t="s">
        <v>9163</v>
      </c>
      <c r="C373" t="s">
        <v>9278</v>
      </c>
      <c r="D373" t="s">
        <v>9090</v>
      </c>
      <c r="E373" t="s">
        <v>9091</v>
      </c>
      <c r="G373" t="s">
        <v>8881</v>
      </c>
      <c r="H373">
        <v>600</v>
      </c>
      <c r="I373" t="s">
        <v>233</v>
      </c>
    </row>
    <row r="374" spans="1:9">
      <c r="A374" t="s">
        <v>9084</v>
      </c>
      <c r="B374" t="s">
        <v>9170</v>
      </c>
      <c r="C374" t="s">
        <v>2853</v>
      </c>
      <c r="D374" t="s">
        <v>9092</v>
      </c>
      <c r="E374" t="s">
        <v>9453</v>
      </c>
      <c r="G374" t="s">
        <v>8594</v>
      </c>
      <c r="H374">
        <v>720</v>
      </c>
      <c r="I374" t="s">
        <v>233</v>
      </c>
    </row>
    <row r="375" spans="1:9">
      <c r="A375" t="s">
        <v>9084</v>
      </c>
      <c r="B375" t="s">
        <v>9230</v>
      </c>
      <c r="C375" t="s">
        <v>2853</v>
      </c>
      <c r="D375" t="s">
        <v>9093</v>
      </c>
      <c r="E375" t="s">
        <v>9454</v>
      </c>
      <c r="G375" t="s">
        <v>8594</v>
      </c>
      <c r="H375">
        <v>960</v>
      </c>
      <c r="I375" t="s">
        <v>233</v>
      </c>
    </row>
    <row r="376" spans="1:9">
      <c r="A376" t="s">
        <v>9084</v>
      </c>
      <c r="B376" t="s">
        <v>8605</v>
      </c>
      <c r="C376" t="s">
        <v>2853</v>
      </c>
      <c r="D376" t="s">
        <v>9094</v>
      </c>
      <c r="E376" t="s">
        <v>9455</v>
      </c>
      <c r="G376" t="s">
        <v>8606</v>
      </c>
      <c r="H376">
        <v>720</v>
      </c>
      <c r="I376" t="s">
        <v>233</v>
      </c>
    </row>
    <row r="377" spans="1:9">
      <c r="A377" t="s">
        <v>9096</v>
      </c>
      <c r="B377" t="s">
        <v>9166</v>
      </c>
      <c r="C377" t="s">
        <v>9068</v>
      </c>
      <c r="D377" t="s">
        <v>9095</v>
      </c>
      <c r="E377" t="s">
        <v>9456</v>
      </c>
      <c r="G377" t="s">
        <v>8910</v>
      </c>
      <c r="H377">
        <v>250</v>
      </c>
      <c r="I377" t="s">
        <v>233</v>
      </c>
    </row>
    <row r="378" spans="1:9">
      <c r="A378" t="s">
        <v>9096</v>
      </c>
      <c r="B378" t="s">
        <v>9166</v>
      </c>
      <c r="C378" t="s">
        <v>9068</v>
      </c>
      <c r="D378" t="s">
        <v>9097</v>
      </c>
      <c r="E378" t="s">
        <v>9457</v>
      </c>
      <c r="G378" t="s">
        <v>8910</v>
      </c>
      <c r="H378">
        <v>480</v>
      </c>
      <c r="I378" t="s">
        <v>233</v>
      </c>
    </row>
    <row r="379" spans="1:9">
      <c r="A379" t="s">
        <v>9096</v>
      </c>
      <c r="B379" t="s">
        <v>9166</v>
      </c>
      <c r="C379" t="s">
        <v>9068</v>
      </c>
      <c r="D379" t="s">
        <v>9098</v>
      </c>
      <c r="E379" t="s">
        <v>9458</v>
      </c>
      <c r="G379" t="s">
        <v>8910</v>
      </c>
      <c r="H379">
        <v>360</v>
      </c>
      <c r="I379" t="s">
        <v>233</v>
      </c>
    </row>
    <row r="380" spans="1:9">
      <c r="A380" t="s">
        <v>9096</v>
      </c>
      <c r="B380" t="s">
        <v>9166</v>
      </c>
      <c r="C380" t="s">
        <v>9068</v>
      </c>
      <c r="D380" t="s">
        <v>9099</v>
      </c>
      <c r="E380" t="s">
        <v>9459</v>
      </c>
      <c r="G380" t="s">
        <v>8910</v>
      </c>
      <c r="H380">
        <v>600</v>
      </c>
      <c r="I380" t="s">
        <v>233</v>
      </c>
    </row>
    <row r="381" spans="1:9">
      <c r="A381" t="s">
        <v>9096</v>
      </c>
      <c r="B381" t="s">
        <v>9166</v>
      </c>
      <c r="C381" t="s">
        <v>9068</v>
      </c>
      <c r="D381" t="s">
        <v>9100</v>
      </c>
      <c r="E381" t="s">
        <v>9101</v>
      </c>
      <c r="G381" t="s">
        <v>8910</v>
      </c>
      <c r="H381">
        <v>150</v>
      </c>
      <c r="I381" t="s">
        <v>233</v>
      </c>
    </row>
    <row r="382" spans="1:9">
      <c r="A382" t="s">
        <v>9096</v>
      </c>
      <c r="B382" t="s">
        <v>9166</v>
      </c>
      <c r="C382" t="s">
        <v>9068</v>
      </c>
      <c r="D382" t="s">
        <v>9102</v>
      </c>
      <c r="E382" t="s">
        <v>9460</v>
      </c>
      <c r="G382" t="s">
        <v>8910</v>
      </c>
      <c r="H382">
        <v>50</v>
      </c>
      <c r="I382" t="s">
        <v>233</v>
      </c>
    </row>
    <row r="383" spans="1:9">
      <c r="A383" t="s">
        <v>9096</v>
      </c>
      <c r="B383" t="s">
        <v>9166</v>
      </c>
      <c r="C383" t="s">
        <v>9068</v>
      </c>
      <c r="D383" t="s">
        <v>9103</v>
      </c>
      <c r="E383" t="s">
        <v>9461</v>
      </c>
      <c r="G383" t="s">
        <v>8655</v>
      </c>
      <c r="H383">
        <v>300</v>
      </c>
      <c r="I383" t="s">
        <v>233</v>
      </c>
    </row>
    <row r="384" spans="1:9">
      <c r="A384" t="s">
        <v>9096</v>
      </c>
      <c r="B384" t="s">
        <v>9166</v>
      </c>
      <c r="C384" t="s">
        <v>2853</v>
      </c>
      <c r="D384" t="s">
        <v>9104</v>
      </c>
      <c r="E384" t="s">
        <v>9105</v>
      </c>
      <c r="G384" t="s">
        <v>8587</v>
      </c>
      <c r="H384">
        <v>120</v>
      </c>
      <c r="I384" t="s">
        <v>233</v>
      </c>
    </row>
    <row r="385" spans="1:9">
      <c r="A385" t="s">
        <v>9096</v>
      </c>
      <c r="B385" t="s">
        <v>9166</v>
      </c>
      <c r="C385" t="s">
        <v>9068</v>
      </c>
      <c r="D385" t="s">
        <v>9923</v>
      </c>
      <c r="E385" t="s">
        <v>9924</v>
      </c>
      <c r="G385" t="s">
        <v>8910</v>
      </c>
      <c r="H385">
        <v>150</v>
      </c>
      <c r="I385" t="s">
        <v>233</v>
      </c>
    </row>
    <row r="386" spans="1:9">
      <c r="A386" t="s">
        <v>9096</v>
      </c>
      <c r="B386" t="s">
        <v>8620</v>
      </c>
      <c r="C386" t="s">
        <v>9068</v>
      </c>
      <c r="D386" t="s">
        <v>9106</v>
      </c>
      <c r="E386" t="s">
        <v>13962</v>
      </c>
      <c r="G386" t="s">
        <v>8587</v>
      </c>
      <c r="H386">
        <v>0</v>
      </c>
      <c r="I386" t="s">
        <v>233</v>
      </c>
    </row>
    <row r="387" spans="1:9">
      <c r="A387" t="s">
        <v>9096</v>
      </c>
      <c r="B387" t="s">
        <v>8620</v>
      </c>
      <c r="C387" t="s">
        <v>9068</v>
      </c>
      <c r="D387" t="s">
        <v>9107</v>
      </c>
      <c r="E387" t="s">
        <v>9108</v>
      </c>
      <c r="G387" t="s">
        <v>8587</v>
      </c>
      <c r="H387">
        <v>0</v>
      </c>
      <c r="I387" t="s">
        <v>233</v>
      </c>
    </row>
    <row r="388" spans="1:9">
      <c r="A388" t="s">
        <v>9096</v>
      </c>
      <c r="B388" t="s">
        <v>9175</v>
      </c>
      <c r="C388" t="s">
        <v>9278</v>
      </c>
      <c r="D388" t="s">
        <v>9109</v>
      </c>
      <c r="E388" t="s">
        <v>9462</v>
      </c>
      <c r="G388" t="s">
        <v>8910</v>
      </c>
      <c r="H388">
        <v>4200</v>
      </c>
      <c r="I388" t="s">
        <v>233</v>
      </c>
    </row>
    <row r="389" spans="1:9">
      <c r="A389" t="s">
        <v>9096</v>
      </c>
      <c r="B389" t="s">
        <v>9175</v>
      </c>
      <c r="C389" t="s">
        <v>9278</v>
      </c>
      <c r="D389" t="s">
        <v>9110</v>
      </c>
      <c r="E389" t="s">
        <v>9463</v>
      </c>
      <c r="G389" t="s">
        <v>8910</v>
      </c>
      <c r="H389">
        <v>6000</v>
      </c>
      <c r="I389" t="s">
        <v>233</v>
      </c>
    </row>
    <row r="390" spans="1:9">
      <c r="A390" t="s">
        <v>9096</v>
      </c>
      <c r="B390" t="s">
        <v>9175</v>
      </c>
      <c r="C390" t="s">
        <v>9278</v>
      </c>
      <c r="D390" t="s">
        <v>9111</v>
      </c>
      <c r="E390" t="s">
        <v>9464</v>
      </c>
      <c r="G390" t="s">
        <v>8910</v>
      </c>
      <c r="H390">
        <v>600</v>
      </c>
      <c r="I390" t="s">
        <v>233</v>
      </c>
    </row>
    <row r="391" spans="1:9">
      <c r="A391" t="s">
        <v>9096</v>
      </c>
      <c r="B391" t="s">
        <v>9175</v>
      </c>
      <c r="C391" t="s">
        <v>9278</v>
      </c>
      <c r="D391" t="s">
        <v>9112</v>
      </c>
      <c r="E391" t="s">
        <v>9465</v>
      </c>
      <c r="G391" t="s">
        <v>8910</v>
      </c>
      <c r="H391">
        <v>360</v>
      </c>
      <c r="I391" t="s">
        <v>233</v>
      </c>
    </row>
    <row r="392" spans="1:9">
      <c r="A392" t="s">
        <v>9096</v>
      </c>
      <c r="B392" t="s">
        <v>9175</v>
      </c>
      <c r="C392" t="s">
        <v>9068</v>
      </c>
      <c r="D392" t="s">
        <v>9113</v>
      </c>
      <c r="E392" t="s">
        <v>9466</v>
      </c>
      <c r="G392" t="s">
        <v>9114</v>
      </c>
      <c r="H392">
        <v>600</v>
      </c>
      <c r="I392" t="s">
        <v>233</v>
      </c>
    </row>
    <row r="393" spans="1:9">
      <c r="A393" t="s">
        <v>9096</v>
      </c>
      <c r="B393" t="s">
        <v>9163</v>
      </c>
      <c r="C393" t="s">
        <v>9068</v>
      </c>
      <c r="D393" t="s">
        <v>9115</v>
      </c>
      <c r="E393" t="s">
        <v>5560</v>
      </c>
      <c r="G393" t="s">
        <v>8910</v>
      </c>
      <c r="H393">
        <v>420</v>
      </c>
      <c r="I393" t="s">
        <v>233</v>
      </c>
    </row>
    <row r="394" spans="1:9">
      <c r="A394" t="s">
        <v>9096</v>
      </c>
      <c r="B394" t="s">
        <v>9163</v>
      </c>
      <c r="C394" t="s">
        <v>9068</v>
      </c>
      <c r="D394" t="s">
        <v>9116</v>
      </c>
      <c r="E394" t="s">
        <v>9467</v>
      </c>
      <c r="G394" t="s">
        <v>8910</v>
      </c>
      <c r="H394">
        <v>1440</v>
      </c>
      <c r="I394" t="s">
        <v>233</v>
      </c>
    </row>
    <row r="395" spans="1:9">
      <c r="A395" t="s">
        <v>9096</v>
      </c>
      <c r="B395" t="s">
        <v>9163</v>
      </c>
      <c r="C395" t="s">
        <v>9068</v>
      </c>
      <c r="D395" t="s">
        <v>9117</v>
      </c>
      <c r="E395" t="s">
        <v>5561</v>
      </c>
      <c r="G395" t="s">
        <v>8910</v>
      </c>
      <c r="H395">
        <v>480</v>
      </c>
      <c r="I395" t="s">
        <v>233</v>
      </c>
    </row>
    <row r="396" spans="1:9">
      <c r="A396" t="s">
        <v>9096</v>
      </c>
      <c r="B396" t="s">
        <v>9163</v>
      </c>
      <c r="C396" t="s">
        <v>9068</v>
      </c>
      <c r="D396" t="s">
        <v>9118</v>
      </c>
      <c r="E396" t="s">
        <v>5562</v>
      </c>
      <c r="G396" t="s">
        <v>8910</v>
      </c>
      <c r="H396">
        <v>960</v>
      </c>
      <c r="I396" t="s">
        <v>233</v>
      </c>
    </row>
    <row r="397" spans="1:9">
      <c r="A397" t="s">
        <v>9096</v>
      </c>
      <c r="B397" t="s">
        <v>9163</v>
      </c>
      <c r="C397" t="s">
        <v>9068</v>
      </c>
      <c r="D397" t="s">
        <v>9119</v>
      </c>
      <c r="E397" t="s">
        <v>9468</v>
      </c>
      <c r="G397" t="s">
        <v>8910</v>
      </c>
      <c r="H397">
        <v>360</v>
      </c>
      <c r="I397" t="s">
        <v>233</v>
      </c>
    </row>
    <row r="398" spans="1:9">
      <c r="A398" t="s">
        <v>9096</v>
      </c>
      <c r="B398" t="s">
        <v>9163</v>
      </c>
      <c r="C398" t="s">
        <v>9068</v>
      </c>
      <c r="D398" t="s">
        <v>9120</v>
      </c>
      <c r="E398" t="s">
        <v>9469</v>
      </c>
      <c r="G398" t="s">
        <v>8910</v>
      </c>
      <c r="H398">
        <v>960</v>
      </c>
      <c r="I398" t="s">
        <v>233</v>
      </c>
    </row>
    <row r="399" spans="1:9">
      <c r="A399" t="s">
        <v>9096</v>
      </c>
      <c r="B399" t="s">
        <v>9163</v>
      </c>
      <c r="C399" t="s">
        <v>9122</v>
      </c>
      <c r="D399" t="s">
        <v>9121</v>
      </c>
      <c r="E399" t="s">
        <v>9470</v>
      </c>
      <c r="G399" t="s">
        <v>8910</v>
      </c>
      <c r="H399">
        <v>1680</v>
      </c>
      <c r="I399" t="s">
        <v>233</v>
      </c>
    </row>
    <row r="400" spans="1:9">
      <c r="A400" t="s">
        <v>9096</v>
      </c>
      <c r="B400" t="s">
        <v>9163</v>
      </c>
      <c r="C400" t="s">
        <v>9122</v>
      </c>
      <c r="D400" t="s">
        <v>9123</v>
      </c>
      <c r="E400" t="s">
        <v>9471</v>
      </c>
      <c r="G400" t="s">
        <v>8910</v>
      </c>
      <c r="H400">
        <v>480</v>
      </c>
      <c r="I400" t="s">
        <v>233</v>
      </c>
    </row>
    <row r="401" spans="1:9">
      <c r="A401" t="s">
        <v>9096</v>
      </c>
      <c r="B401" t="s">
        <v>9163</v>
      </c>
      <c r="C401" t="s">
        <v>9122</v>
      </c>
      <c r="D401" t="s">
        <v>9124</v>
      </c>
      <c r="E401" t="s">
        <v>9472</v>
      </c>
      <c r="G401" t="s">
        <v>8910</v>
      </c>
      <c r="H401">
        <v>960</v>
      </c>
      <c r="I401" t="s">
        <v>233</v>
      </c>
    </row>
    <row r="402" spans="1:9">
      <c r="A402" t="s">
        <v>9096</v>
      </c>
      <c r="B402" t="s">
        <v>9163</v>
      </c>
      <c r="C402" t="s">
        <v>9126</v>
      </c>
      <c r="D402" t="s">
        <v>9125</v>
      </c>
      <c r="E402" t="s">
        <v>9473</v>
      </c>
      <c r="G402" t="s">
        <v>8910</v>
      </c>
      <c r="H402">
        <v>1440</v>
      </c>
      <c r="I402" t="s">
        <v>233</v>
      </c>
    </row>
    <row r="403" spans="1:9">
      <c r="A403" t="s">
        <v>9096</v>
      </c>
      <c r="B403" t="s">
        <v>9163</v>
      </c>
      <c r="C403" t="s">
        <v>9128</v>
      </c>
      <c r="D403" t="s">
        <v>9127</v>
      </c>
      <c r="E403" t="s">
        <v>9474</v>
      </c>
      <c r="G403" t="s">
        <v>8910</v>
      </c>
      <c r="H403">
        <v>2400</v>
      </c>
      <c r="I403" t="s">
        <v>233</v>
      </c>
    </row>
    <row r="404" spans="1:9">
      <c r="A404" t="s">
        <v>9096</v>
      </c>
      <c r="B404" t="s">
        <v>9163</v>
      </c>
      <c r="C404" t="s">
        <v>9068</v>
      </c>
      <c r="D404" t="s">
        <v>9129</v>
      </c>
      <c r="E404" t="s">
        <v>9475</v>
      </c>
      <c r="G404" t="s">
        <v>8910</v>
      </c>
      <c r="H404">
        <v>600</v>
      </c>
      <c r="I404" t="s">
        <v>233</v>
      </c>
    </row>
    <row r="405" spans="1:9">
      <c r="A405" t="s">
        <v>9096</v>
      </c>
      <c r="B405" t="s">
        <v>9163</v>
      </c>
      <c r="C405" t="s">
        <v>9068</v>
      </c>
      <c r="D405" t="s">
        <v>9130</v>
      </c>
      <c r="E405" t="s">
        <v>9476</v>
      </c>
      <c r="G405" t="s">
        <v>8910</v>
      </c>
      <c r="H405">
        <v>1440</v>
      </c>
      <c r="I405" t="s">
        <v>233</v>
      </c>
    </row>
    <row r="406" spans="1:9">
      <c r="A406" t="s">
        <v>9096</v>
      </c>
      <c r="B406" t="s">
        <v>9163</v>
      </c>
      <c r="C406" t="s">
        <v>9068</v>
      </c>
      <c r="D406" t="s">
        <v>9131</v>
      </c>
      <c r="E406" t="s">
        <v>9477</v>
      </c>
      <c r="G406" t="s">
        <v>8910</v>
      </c>
      <c r="H406">
        <v>360</v>
      </c>
      <c r="I406" t="s">
        <v>233</v>
      </c>
    </row>
    <row r="407" spans="1:9">
      <c r="A407" t="s">
        <v>9096</v>
      </c>
      <c r="B407" t="s">
        <v>9163</v>
      </c>
      <c r="C407" t="s">
        <v>9128</v>
      </c>
      <c r="D407" t="s">
        <v>9132</v>
      </c>
      <c r="E407" t="s">
        <v>9478</v>
      </c>
      <c r="G407" t="s">
        <v>8655</v>
      </c>
      <c r="H407">
        <v>2160</v>
      </c>
      <c r="I407" t="s">
        <v>233</v>
      </c>
    </row>
    <row r="408" spans="1:9">
      <c r="A408" t="s">
        <v>9096</v>
      </c>
      <c r="B408" t="s">
        <v>9163</v>
      </c>
      <c r="C408" t="s">
        <v>2852</v>
      </c>
      <c r="D408" t="s">
        <v>9133</v>
      </c>
      <c r="E408" t="s">
        <v>9479</v>
      </c>
      <c r="G408" t="s">
        <v>8910</v>
      </c>
      <c r="H408">
        <v>1920</v>
      </c>
      <c r="I408" t="s">
        <v>233</v>
      </c>
    </row>
    <row r="409" spans="1:9">
      <c r="A409" t="s">
        <v>9096</v>
      </c>
      <c r="B409" t="s">
        <v>9163</v>
      </c>
      <c r="C409" t="s">
        <v>2852</v>
      </c>
      <c r="D409" t="s">
        <v>9134</v>
      </c>
      <c r="E409" t="s">
        <v>9480</v>
      </c>
      <c r="G409" t="s">
        <v>8910</v>
      </c>
      <c r="H409">
        <v>2400</v>
      </c>
      <c r="I409" t="s">
        <v>233</v>
      </c>
    </row>
    <row r="410" spans="1:9">
      <c r="A410" t="s">
        <v>9096</v>
      </c>
      <c r="B410" t="s">
        <v>9163</v>
      </c>
      <c r="C410" t="s">
        <v>9126</v>
      </c>
      <c r="D410" t="s">
        <v>9135</v>
      </c>
      <c r="E410" t="s">
        <v>9481</v>
      </c>
      <c r="G410" t="s">
        <v>8910</v>
      </c>
      <c r="H410">
        <v>4000</v>
      </c>
      <c r="I410" t="s">
        <v>233</v>
      </c>
    </row>
    <row r="411" spans="1:9">
      <c r="A411" t="s">
        <v>9096</v>
      </c>
      <c r="B411" t="s">
        <v>9170</v>
      </c>
      <c r="C411" t="s">
        <v>9068</v>
      </c>
      <c r="D411" t="s">
        <v>9136</v>
      </c>
      <c r="E411" t="s">
        <v>9482</v>
      </c>
      <c r="G411" t="s">
        <v>8910</v>
      </c>
      <c r="H411">
        <v>360</v>
      </c>
      <c r="I411" t="s">
        <v>233</v>
      </c>
    </row>
    <row r="412" spans="1:9">
      <c r="A412" t="s">
        <v>9096</v>
      </c>
      <c r="B412" t="s">
        <v>8735</v>
      </c>
      <c r="C412" t="s">
        <v>9068</v>
      </c>
      <c r="D412" t="s">
        <v>9137</v>
      </c>
      <c r="E412" t="s">
        <v>9483</v>
      </c>
      <c r="G412" t="s">
        <v>8910</v>
      </c>
      <c r="H412">
        <v>40</v>
      </c>
      <c r="I412" t="s">
        <v>233</v>
      </c>
    </row>
    <row r="413" spans="1:9">
      <c r="A413" t="s">
        <v>9096</v>
      </c>
      <c r="B413" t="s">
        <v>8735</v>
      </c>
      <c r="C413" t="s">
        <v>9068</v>
      </c>
      <c r="D413" t="s">
        <v>9138</v>
      </c>
      <c r="E413" t="s">
        <v>9484</v>
      </c>
      <c r="G413" t="s">
        <v>8910</v>
      </c>
      <c r="H413">
        <v>360</v>
      </c>
      <c r="I413" t="s">
        <v>233</v>
      </c>
    </row>
    <row r="414" spans="1:9">
      <c r="A414" t="s">
        <v>9096</v>
      </c>
      <c r="B414" t="s">
        <v>8735</v>
      </c>
      <c r="C414" t="s">
        <v>9068</v>
      </c>
      <c r="D414" t="s">
        <v>9139</v>
      </c>
      <c r="E414" t="s">
        <v>9485</v>
      </c>
      <c r="G414" t="s">
        <v>8910</v>
      </c>
      <c r="H414">
        <v>300</v>
      </c>
      <c r="I414" t="s">
        <v>233</v>
      </c>
    </row>
    <row r="415" spans="1:9">
      <c r="A415" t="s">
        <v>9096</v>
      </c>
      <c r="B415" t="s">
        <v>8735</v>
      </c>
      <c r="C415" t="s">
        <v>9068</v>
      </c>
      <c r="D415" t="s">
        <v>9140</v>
      </c>
      <c r="E415" t="s">
        <v>9141</v>
      </c>
      <c r="G415" t="s">
        <v>8910</v>
      </c>
      <c r="H415">
        <v>480</v>
      </c>
      <c r="I415" t="s">
        <v>233</v>
      </c>
    </row>
    <row r="416" spans="1:9">
      <c r="A416" t="s">
        <v>9096</v>
      </c>
      <c r="B416" t="s">
        <v>8735</v>
      </c>
      <c r="C416" t="s">
        <v>9068</v>
      </c>
      <c r="D416" t="s">
        <v>9142</v>
      </c>
      <c r="E416" t="s">
        <v>9486</v>
      </c>
      <c r="G416" t="s">
        <v>8910</v>
      </c>
      <c r="H416">
        <v>960</v>
      </c>
      <c r="I416" t="s">
        <v>233</v>
      </c>
    </row>
    <row r="417" spans="1:9">
      <c r="A417" t="s">
        <v>9096</v>
      </c>
      <c r="B417" t="s">
        <v>8735</v>
      </c>
      <c r="C417" t="s">
        <v>9068</v>
      </c>
      <c r="D417" t="s">
        <v>9143</v>
      </c>
      <c r="E417" t="s">
        <v>9487</v>
      </c>
      <c r="G417" t="s">
        <v>8910</v>
      </c>
      <c r="H417">
        <v>2400</v>
      </c>
      <c r="I417" t="s">
        <v>233</v>
      </c>
    </row>
    <row r="418" spans="1:9">
      <c r="A418" t="s">
        <v>9096</v>
      </c>
      <c r="B418" t="s">
        <v>8735</v>
      </c>
      <c r="C418" t="s">
        <v>9068</v>
      </c>
      <c r="D418" t="s">
        <v>9144</v>
      </c>
      <c r="E418" t="s">
        <v>9488</v>
      </c>
      <c r="G418" t="s">
        <v>8910</v>
      </c>
      <c r="H418">
        <v>168</v>
      </c>
      <c r="I418" t="s">
        <v>233</v>
      </c>
    </row>
    <row r="419" spans="1:9">
      <c r="A419" t="s">
        <v>9096</v>
      </c>
      <c r="B419" t="s">
        <v>9230</v>
      </c>
      <c r="C419" t="s">
        <v>9068</v>
      </c>
      <c r="D419" t="s">
        <v>9145</v>
      </c>
      <c r="E419" t="s">
        <v>9489</v>
      </c>
      <c r="G419" t="s">
        <v>8910</v>
      </c>
      <c r="H419">
        <v>60</v>
      </c>
      <c r="I419" t="s">
        <v>233</v>
      </c>
    </row>
    <row r="420" spans="1:9">
      <c r="A420" t="s">
        <v>9096</v>
      </c>
      <c r="B420" t="s">
        <v>9230</v>
      </c>
      <c r="C420" t="s">
        <v>9068</v>
      </c>
      <c r="D420" t="s">
        <v>9146</v>
      </c>
      <c r="E420" t="s">
        <v>9490</v>
      </c>
      <c r="G420" t="s">
        <v>8910</v>
      </c>
      <c r="H420">
        <v>720</v>
      </c>
      <c r="I420" t="s">
        <v>233</v>
      </c>
    </row>
    <row r="421" spans="1:9">
      <c r="A421" t="s">
        <v>9096</v>
      </c>
      <c r="B421" t="s">
        <v>9230</v>
      </c>
      <c r="C421" t="s">
        <v>9068</v>
      </c>
      <c r="D421" t="s">
        <v>9147</v>
      </c>
      <c r="E421" t="s">
        <v>9491</v>
      </c>
      <c r="G421" t="s">
        <v>8910</v>
      </c>
      <c r="H421">
        <v>600</v>
      </c>
      <c r="I421" t="s">
        <v>233</v>
      </c>
    </row>
    <row r="422" spans="1:9">
      <c r="A422" t="s">
        <v>9096</v>
      </c>
      <c r="B422" t="s">
        <v>9230</v>
      </c>
      <c r="C422" t="s">
        <v>9068</v>
      </c>
      <c r="D422" t="s">
        <v>9148</v>
      </c>
      <c r="E422" t="s">
        <v>9492</v>
      </c>
      <c r="G422" t="s">
        <v>8910</v>
      </c>
      <c r="H422">
        <v>600</v>
      </c>
      <c r="I422" t="s">
        <v>233</v>
      </c>
    </row>
    <row r="423" spans="1:9">
      <c r="A423" t="s">
        <v>9096</v>
      </c>
      <c r="B423" t="s">
        <v>9230</v>
      </c>
      <c r="C423" t="s">
        <v>9068</v>
      </c>
      <c r="D423" t="s">
        <v>9149</v>
      </c>
      <c r="E423" t="s">
        <v>9493</v>
      </c>
      <c r="G423" t="s">
        <v>8910</v>
      </c>
      <c r="H423">
        <v>720</v>
      </c>
      <c r="I423" t="s">
        <v>233</v>
      </c>
    </row>
    <row r="424" spans="1:9">
      <c r="A424" t="s">
        <v>9096</v>
      </c>
      <c r="B424" t="s">
        <v>9230</v>
      </c>
      <c r="C424" t="s">
        <v>9068</v>
      </c>
      <c r="D424" t="s">
        <v>9150</v>
      </c>
      <c r="E424" t="s">
        <v>9494</v>
      </c>
      <c r="G424" t="s">
        <v>8910</v>
      </c>
      <c r="H424">
        <v>960</v>
      </c>
      <c r="I424" t="s">
        <v>233</v>
      </c>
    </row>
    <row r="425" spans="1:9">
      <c r="A425" t="s">
        <v>9096</v>
      </c>
      <c r="B425" t="s">
        <v>9230</v>
      </c>
      <c r="C425" t="s">
        <v>9068</v>
      </c>
      <c r="D425" t="s">
        <v>9151</v>
      </c>
      <c r="E425" t="s">
        <v>9495</v>
      </c>
      <c r="G425" t="s">
        <v>8910</v>
      </c>
      <c r="H425">
        <v>960</v>
      </c>
      <c r="I425" t="s">
        <v>233</v>
      </c>
    </row>
    <row r="426" spans="1:9">
      <c r="A426" t="s">
        <v>9096</v>
      </c>
      <c r="B426" t="s">
        <v>9230</v>
      </c>
      <c r="C426" t="s">
        <v>9128</v>
      </c>
      <c r="D426" t="s">
        <v>9152</v>
      </c>
      <c r="E426" t="s">
        <v>9496</v>
      </c>
      <c r="G426" t="s">
        <v>8910</v>
      </c>
      <c r="H426">
        <v>1500</v>
      </c>
      <c r="I426" t="s">
        <v>233</v>
      </c>
    </row>
    <row r="427" spans="1:9">
      <c r="A427" t="s">
        <v>9096</v>
      </c>
      <c r="B427" t="s">
        <v>9230</v>
      </c>
      <c r="C427" t="s">
        <v>9068</v>
      </c>
      <c r="D427" t="s">
        <v>9153</v>
      </c>
      <c r="E427" t="s">
        <v>9497</v>
      </c>
      <c r="G427" t="s">
        <v>8910</v>
      </c>
      <c r="H427">
        <v>200</v>
      </c>
      <c r="I427" t="s">
        <v>233</v>
      </c>
    </row>
    <row r="428" spans="1:9">
      <c r="A428" t="s">
        <v>9096</v>
      </c>
      <c r="B428" t="s">
        <v>9230</v>
      </c>
      <c r="C428" t="s">
        <v>9068</v>
      </c>
      <c r="D428" t="s">
        <v>9154</v>
      </c>
      <c r="E428" t="s">
        <v>9498</v>
      </c>
      <c r="G428" t="s">
        <v>8910</v>
      </c>
      <c r="H428">
        <v>200</v>
      </c>
      <c r="I428" t="s">
        <v>233</v>
      </c>
    </row>
    <row r="429" spans="1:9">
      <c r="A429" t="s">
        <v>9096</v>
      </c>
      <c r="B429" t="s">
        <v>9230</v>
      </c>
      <c r="C429" t="s">
        <v>9068</v>
      </c>
      <c r="D429" t="s">
        <v>9155</v>
      </c>
      <c r="E429" t="s">
        <v>9499</v>
      </c>
      <c r="G429" t="s">
        <v>8910</v>
      </c>
      <c r="H429">
        <v>500</v>
      </c>
      <c r="I429" t="s">
        <v>233</v>
      </c>
    </row>
    <row r="430" spans="1:9">
      <c r="A430" t="s">
        <v>9096</v>
      </c>
      <c r="B430" t="s">
        <v>9230</v>
      </c>
      <c r="C430" t="s">
        <v>9068</v>
      </c>
      <c r="D430" t="s">
        <v>9156</v>
      </c>
      <c r="E430" t="s">
        <v>9500</v>
      </c>
      <c r="G430" t="s">
        <v>8910</v>
      </c>
      <c r="H430">
        <v>800</v>
      </c>
      <c r="I430" t="s">
        <v>233</v>
      </c>
    </row>
    <row r="431" spans="1:9">
      <c r="A431" t="s">
        <v>9096</v>
      </c>
      <c r="B431" t="s">
        <v>9230</v>
      </c>
      <c r="C431" t="s">
        <v>9068</v>
      </c>
      <c r="D431" t="s">
        <v>9157</v>
      </c>
      <c r="E431" t="s">
        <v>9501</v>
      </c>
      <c r="G431" t="s">
        <v>8910</v>
      </c>
      <c r="H431">
        <v>60</v>
      </c>
      <c r="I431" t="s">
        <v>233</v>
      </c>
    </row>
    <row r="432" spans="1:9">
      <c r="A432" t="s">
        <v>9096</v>
      </c>
      <c r="B432" t="s">
        <v>8605</v>
      </c>
      <c r="C432" t="s">
        <v>9068</v>
      </c>
      <c r="D432" t="s">
        <v>9158</v>
      </c>
      <c r="E432" t="s">
        <v>9502</v>
      </c>
      <c r="G432" t="s">
        <v>8910</v>
      </c>
      <c r="H432">
        <v>1400</v>
      </c>
      <c r="I432" t="s">
        <v>233</v>
      </c>
    </row>
    <row r="433" spans="1:9">
      <c r="A433" t="s">
        <v>9096</v>
      </c>
      <c r="B433" t="s">
        <v>8605</v>
      </c>
      <c r="C433" t="s">
        <v>9068</v>
      </c>
      <c r="D433" t="s">
        <v>9159</v>
      </c>
      <c r="E433" t="s">
        <v>9160</v>
      </c>
      <c r="G433" t="s">
        <v>8910</v>
      </c>
      <c r="H433">
        <v>1040</v>
      </c>
      <c r="I433" t="s">
        <v>233</v>
      </c>
    </row>
    <row r="434" spans="1:9">
      <c r="A434" t="s">
        <v>9096</v>
      </c>
      <c r="B434" t="s">
        <v>8605</v>
      </c>
      <c r="C434" t="s">
        <v>9068</v>
      </c>
      <c r="D434" t="s">
        <v>9161</v>
      </c>
      <c r="E434" t="s">
        <v>9162</v>
      </c>
      <c r="G434" t="s">
        <v>8910</v>
      </c>
      <c r="H434">
        <v>1000</v>
      </c>
      <c r="I434" t="s">
        <v>233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10"/>
  <sheetViews>
    <sheetView workbookViewId="0"/>
  </sheetViews>
  <sheetFormatPr baseColWidth="10" defaultRowHeight="15"/>
  <sheetData>
    <row r="1" spans="1:6">
      <c r="A1" s="339" t="s">
        <v>5478</v>
      </c>
      <c r="B1" s="148"/>
      <c r="C1" s="143" t="s">
        <v>2300</v>
      </c>
      <c r="D1" s="336" t="s">
        <v>2283</v>
      </c>
      <c r="E1" s="342"/>
      <c r="F1" s="343"/>
    </row>
    <row r="2" spans="1:6">
      <c r="A2" s="340"/>
      <c r="B2" s="149" t="s">
        <v>2284</v>
      </c>
      <c r="C2" s="153">
        <v>1</v>
      </c>
      <c r="D2" s="151" t="s">
        <v>5076</v>
      </c>
      <c r="E2" s="144" t="s">
        <v>2297</v>
      </c>
      <c r="F2" s="145">
        <v>1</v>
      </c>
    </row>
    <row r="3" spans="1:6">
      <c r="A3" s="341"/>
      <c r="B3" s="150" t="s">
        <v>2286</v>
      </c>
      <c r="C3" s="154">
        <v>1</v>
      </c>
      <c r="D3" s="152" t="s">
        <v>2854</v>
      </c>
      <c r="E3" s="146" t="s">
        <v>2287</v>
      </c>
      <c r="F3" s="147" t="s">
        <v>5479</v>
      </c>
    </row>
    <row r="4" spans="1:6">
      <c r="A4" s="339" t="s">
        <v>5480</v>
      </c>
      <c r="B4" s="148"/>
      <c r="C4" s="143" t="s">
        <v>2300</v>
      </c>
      <c r="D4" s="336" t="s">
        <v>2283</v>
      </c>
      <c r="E4" s="342"/>
      <c r="F4" s="343"/>
    </row>
    <row r="5" spans="1:6">
      <c r="A5" s="340"/>
      <c r="B5" s="149" t="s">
        <v>2284</v>
      </c>
      <c r="C5" s="153">
        <v>1</v>
      </c>
      <c r="D5" s="151" t="s">
        <v>5079</v>
      </c>
      <c r="E5" s="144" t="s">
        <v>2297</v>
      </c>
      <c r="F5" s="145">
        <v>1</v>
      </c>
    </row>
    <row r="6" spans="1:6">
      <c r="A6" s="341"/>
      <c r="B6" s="150" t="s">
        <v>2286</v>
      </c>
      <c r="C6" s="154">
        <v>1</v>
      </c>
      <c r="D6" s="152" t="s">
        <v>2854</v>
      </c>
      <c r="E6" s="146" t="s">
        <v>2287</v>
      </c>
      <c r="F6" s="147" t="s">
        <v>5575</v>
      </c>
    </row>
    <row r="7" spans="1:6">
      <c r="A7" s="339" t="s">
        <v>5481</v>
      </c>
      <c r="B7" s="148"/>
      <c r="C7" s="143" t="s">
        <v>2300</v>
      </c>
      <c r="D7" s="336" t="s">
        <v>2283</v>
      </c>
      <c r="E7" s="342"/>
      <c r="F7" s="343"/>
    </row>
    <row r="8" spans="1:6">
      <c r="A8" s="340"/>
      <c r="B8" s="149" t="s">
        <v>2284</v>
      </c>
      <c r="C8" s="153">
        <v>1</v>
      </c>
      <c r="D8" s="151" t="s">
        <v>5482</v>
      </c>
      <c r="E8" s="144" t="s">
        <v>2297</v>
      </c>
      <c r="F8" s="145">
        <v>1</v>
      </c>
    </row>
    <row r="9" spans="1:6">
      <c r="A9" s="341"/>
      <c r="B9" s="150" t="s">
        <v>2286</v>
      </c>
      <c r="C9" s="154">
        <v>1</v>
      </c>
      <c r="D9" s="152" t="s">
        <v>2854</v>
      </c>
      <c r="E9" s="146" t="s">
        <v>2287</v>
      </c>
      <c r="F9" s="147" t="s">
        <v>5483</v>
      </c>
    </row>
    <row r="10" spans="1:6">
      <c r="A10" s="339" t="s">
        <v>5484</v>
      </c>
      <c r="B10" s="148"/>
      <c r="C10" s="143" t="s">
        <v>2300</v>
      </c>
      <c r="D10" s="336" t="s">
        <v>2283</v>
      </c>
      <c r="E10" s="342"/>
      <c r="F10" s="343"/>
    </row>
    <row r="11" spans="1:6">
      <c r="A11" s="340"/>
      <c r="B11" s="149" t="s">
        <v>2284</v>
      </c>
      <c r="C11" s="153">
        <v>1</v>
      </c>
      <c r="D11" s="151" t="s">
        <v>5485</v>
      </c>
      <c r="E11" s="144" t="s">
        <v>2297</v>
      </c>
      <c r="F11" s="145">
        <v>1</v>
      </c>
    </row>
    <row r="12" spans="1:6">
      <c r="A12" s="341"/>
      <c r="B12" s="150" t="s">
        <v>2286</v>
      </c>
      <c r="C12" s="154">
        <v>1</v>
      </c>
      <c r="D12" s="152" t="s">
        <v>2854</v>
      </c>
      <c r="E12" s="146" t="s">
        <v>2287</v>
      </c>
      <c r="F12" s="147" t="s">
        <v>5486</v>
      </c>
    </row>
    <row r="13" spans="1:6">
      <c r="A13" s="339" t="s">
        <v>5487</v>
      </c>
      <c r="B13" s="148"/>
      <c r="C13" s="143" t="s">
        <v>2300</v>
      </c>
      <c r="D13" s="336" t="s">
        <v>2283</v>
      </c>
      <c r="E13" s="342"/>
      <c r="F13" s="343"/>
    </row>
    <row r="14" spans="1:6">
      <c r="A14" s="340"/>
      <c r="B14" s="149" t="s">
        <v>2284</v>
      </c>
      <c r="C14" s="153">
        <v>1</v>
      </c>
      <c r="D14" s="151" t="s">
        <v>5081</v>
      </c>
      <c r="E14" s="144" t="s">
        <v>2297</v>
      </c>
      <c r="F14" s="145">
        <v>1</v>
      </c>
    </row>
    <row r="15" spans="1:6">
      <c r="A15" s="341"/>
      <c r="B15" s="150" t="s">
        <v>2286</v>
      </c>
      <c r="C15" s="154">
        <v>1</v>
      </c>
      <c r="D15" s="152" t="s">
        <v>2854</v>
      </c>
      <c r="E15" s="146" t="s">
        <v>2287</v>
      </c>
      <c r="F15" s="147" t="s">
        <v>5488</v>
      </c>
    </row>
    <row r="16" spans="1:6">
      <c r="A16" s="339" t="s">
        <v>5489</v>
      </c>
      <c r="B16" s="148"/>
      <c r="C16" s="143" t="s">
        <v>2300</v>
      </c>
      <c r="D16" s="336" t="s">
        <v>2283</v>
      </c>
      <c r="E16" s="342"/>
      <c r="F16" s="343"/>
    </row>
    <row r="17" spans="1:12">
      <c r="A17" s="340"/>
      <c r="B17" s="149" t="s">
        <v>2284</v>
      </c>
      <c r="C17" s="153">
        <v>1</v>
      </c>
      <c r="D17" s="151" t="s">
        <v>5035</v>
      </c>
      <c r="E17" s="144" t="s">
        <v>2297</v>
      </c>
      <c r="F17" s="145">
        <v>1</v>
      </c>
    </row>
    <row r="18" spans="1:12">
      <c r="A18" s="341"/>
      <c r="B18" s="150" t="s">
        <v>2286</v>
      </c>
      <c r="C18" s="154">
        <v>1</v>
      </c>
      <c r="D18" s="152" t="s">
        <v>2854</v>
      </c>
      <c r="E18" s="146" t="s">
        <v>2287</v>
      </c>
      <c r="F18" s="147" t="s">
        <v>5490</v>
      </c>
    </row>
    <row r="19" spans="1:12">
      <c r="A19" s="339" t="s">
        <v>5491</v>
      </c>
      <c r="B19" s="148"/>
      <c r="C19" s="143" t="s">
        <v>2300</v>
      </c>
      <c r="D19" s="336" t="s">
        <v>2283</v>
      </c>
      <c r="E19" s="342"/>
      <c r="F19" s="343"/>
    </row>
    <row r="20" spans="1:12">
      <c r="A20" s="340"/>
      <c r="B20" s="149" t="s">
        <v>2284</v>
      </c>
      <c r="C20" s="153">
        <v>1</v>
      </c>
      <c r="D20" s="151" t="s">
        <v>3266</v>
      </c>
      <c r="E20" s="144" t="s">
        <v>2297</v>
      </c>
      <c r="F20" s="145">
        <v>1</v>
      </c>
    </row>
    <row r="21" spans="1:12">
      <c r="A21" s="341"/>
      <c r="B21" s="150" t="s">
        <v>2286</v>
      </c>
      <c r="C21" s="154">
        <v>1</v>
      </c>
      <c r="D21" s="152" t="s">
        <v>5552</v>
      </c>
      <c r="E21" s="146" t="s">
        <v>2287</v>
      </c>
      <c r="F21" s="147" t="s">
        <v>5492</v>
      </c>
    </row>
    <row r="22" spans="1:12">
      <c r="A22" s="339" t="s">
        <v>5493</v>
      </c>
      <c r="B22" s="148"/>
      <c r="C22" s="143" t="s">
        <v>2300</v>
      </c>
      <c r="D22" s="336" t="s">
        <v>2283</v>
      </c>
      <c r="E22" s="342"/>
      <c r="F22" s="343"/>
      <c r="G22" s="336" t="s">
        <v>2299</v>
      </c>
      <c r="H22" s="342"/>
      <c r="I22" s="343"/>
    </row>
    <row r="23" spans="1:12">
      <c r="A23" s="340"/>
      <c r="B23" s="149" t="s">
        <v>2284</v>
      </c>
      <c r="C23" s="153">
        <v>1</v>
      </c>
      <c r="D23" s="151" t="s">
        <v>3862</v>
      </c>
      <c r="E23" s="144" t="s">
        <v>2297</v>
      </c>
      <c r="F23" s="145">
        <v>1</v>
      </c>
      <c r="G23" s="151"/>
      <c r="H23" s="144"/>
      <c r="I23" s="145"/>
    </row>
    <row r="24" spans="1:12">
      <c r="A24" s="341"/>
      <c r="B24" s="150" t="s">
        <v>2286</v>
      </c>
      <c r="C24" s="154">
        <v>2</v>
      </c>
      <c r="D24" s="152" t="s">
        <v>2963</v>
      </c>
      <c r="E24" s="146" t="s">
        <v>2287</v>
      </c>
      <c r="F24" s="147" t="s">
        <v>5494</v>
      </c>
      <c r="G24" s="152" t="s">
        <v>2856</v>
      </c>
      <c r="H24" s="146" t="s">
        <v>2287</v>
      </c>
      <c r="I24" s="147" t="s">
        <v>5494</v>
      </c>
    </row>
    <row r="25" spans="1:12">
      <c r="A25" s="339" t="s">
        <v>5495</v>
      </c>
      <c r="B25" s="148"/>
      <c r="C25" s="143" t="s">
        <v>2300</v>
      </c>
      <c r="D25" s="336" t="s">
        <v>2283</v>
      </c>
      <c r="E25" s="342"/>
      <c r="F25" s="343"/>
      <c r="G25" s="336" t="s">
        <v>2299</v>
      </c>
      <c r="H25" s="342"/>
      <c r="I25" s="343"/>
      <c r="J25" s="336" t="s">
        <v>2322</v>
      </c>
      <c r="K25" s="342"/>
      <c r="L25" s="343"/>
    </row>
    <row r="26" spans="1:12">
      <c r="A26" s="340"/>
      <c r="B26" s="149" t="s">
        <v>2284</v>
      </c>
      <c r="C26" s="153">
        <v>1</v>
      </c>
      <c r="D26" s="151" t="s">
        <v>2314</v>
      </c>
      <c r="E26" s="144" t="s">
        <v>2297</v>
      </c>
      <c r="F26" s="145">
        <v>1</v>
      </c>
      <c r="G26" s="151"/>
      <c r="H26" s="144"/>
      <c r="I26" s="145"/>
      <c r="J26" s="151"/>
      <c r="K26" s="144"/>
      <c r="L26" s="145"/>
    </row>
    <row r="27" spans="1:12">
      <c r="A27" s="341"/>
      <c r="B27" s="150" t="s">
        <v>2286</v>
      </c>
      <c r="C27" s="154">
        <v>3</v>
      </c>
      <c r="D27" s="152" t="s">
        <v>2961</v>
      </c>
      <c r="E27" s="146" t="s">
        <v>2287</v>
      </c>
      <c r="F27" s="147" t="s">
        <v>5496</v>
      </c>
      <c r="G27" s="152" t="s">
        <v>2862</v>
      </c>
      <c r="H27" s="146" t="s">
        <v>2287</v>
      </c>
      <c r="I27" s="147" t="s">
        <v>5496</v>
      </c>
      <c r="J27" s="152" t="s">
        <v>2861</v>
      </c>
      <c r="K27" s="146" t="s">
        <v>2287</v>
      </c>
      <c r="L27" s="147" t="s">
        <v>5496</v>
      </c>
    </row>
    <row r="28" spans="1:12">
      <c r="A28" s="339" t="s">
        <v>5497</v>
      </c>
      <c r="B28" s="148"/>
      <c r="C28" s="143" t="s">
        <v>2300</v>
      </c>
      <c r="D28" s="336" t="s">
        <v>2283</v>
      </c>
      <c r="E28" s="342"/>
      <c r="F28" s="343"/>
    </row>
    <row r="29" spans="1:12">
      <c r="A29" s="340"/>
      <c r="B29" s="149" t="s">
        <v>2284</v>
      </c>
      <c r="C29" s="153">
        <v>1</v>
      </c>
      <c r="D29" s="151" t="s">
        <v>4149</v>
      </c>
      <c r="E29" s="144" t="s">
        <v>2297</v>
      </c>
      <c r="F29" s="145">
        <v>1</v>
      </c>
    </row>
    <row r="30" spans="1:12">
      <c r="A30" s="341"/>
      <c r="B30" s="150" t="s">
        <v>2286</v>
      </c>
      <c r="C30" s="154">
        <v>1</v>
      </c>
      <c r="D30" s="152" t="s">
        <v>2863</v>
      </c>
      <c r="E30" s="146" t="s">
        <v>2287</v>
      </c>
      <c r="F30" s="147" t="s">
        <v>5498</v>
      </c>
    </row>
    <row r="31" spans="1:12">
      <c r="A31" s="339" t="s">
        <v>5499</v>
      </c>
      <c r="B31" s="148"/>
      <c r="C31" s="143" t="s">
        <v>2300</v>
      </c>
      <c r="D31" s="336" t="s">
        <v>2283</v>
      </c>
      <c r="E31" s="342"/>
      <c r="F31" s="343"/>
    </row>
    <row r="32" spans="1:12">
      <c r="A32" s="340"/>
      <c r="B32" s="149" t="s">
        <v>2284</v>
      </c>
      <c r="C32" s="153">
        <v>1</v>
      </c>
      <c r="D32" s="151" t="s">
        <v>4161</v>
      </c>
      <c r="E32" s="144" t="s">
        <v>2297</v>
      </c>
      <c r="F32" s="145">
        <v>1</v>
      </c>
    </row>
    <row r="33" spans="1:9">
      <c r="A33" s="341"/>
      <c r="B33" s="150" t="s">
        <v>2286</v>
      </c>
      <c r="C33" s="154">
        <v>1</v>
      </c>
      <c r="D33" s="152" t="s">
        <v>2962</v>
      </c>
      <c r="E33" s="146" t="s">
        <v>2287</v>
      </c>
      <c r="F33" s="147" t="s">
        <v>5500</v>
      </c>
    </row>
    <row r="34" spans="1:9">
      <c r="A34" s="339" t="s">
        <v>5501</v>
      </c>
      <c r="B34" s="148"/>
      <c r="C34" s="143" t="s">
        <v>2300</v>
      </c>
      <c r="D34" s="336" t="s">
        <v>2283</v>
      </c>
      <c r="E34" s="342"/>
      <c r="F34" s="343"/>
      <c r="G34" s="336" t="s">
        <v>2299</v>
      </c>
      <c r="H34" s="342"/>
      <c r="I34" s="343"/>
    </row>
    <row r="35" spans="1:9">
      <c r="A35" s="340"/>
      <c r="B35" s="149" t="s">
        <v>2284</v>
      </c>
      <c r="C35" s="153">
        <v>1</v>
      </c>
      <c r="D35" s="151" t="s">
        <v>2313</v>
      </c>
      <c r="E35" s="144" t="s">
        <v>2297</v>
      </c>
      <c r="F35" s="145">
        <v>1</v>
      </c>
      <c r="G35" s="151"/>
      <c r="H35" s="144"/>
      <c r="I35" s="145"/>
    </row>
    <row r="36" spans="1:9">
      <c r="A36" s="341"/>
      <c r="B36" s="150" t="s">
        <v>2286</v>
      </c>
      <c r="C36" s="154">
        <v>2</v>
      </c>
      <c r="D36" s="152" t="s">
        <v>2864</v>
      </c>
      <c r="E36" s="146" t="s">
        <v>2287</v>
      </c>
      <c r="F36" s="147" t="s">
        <v>2317</v>
      </c>
      <c r="G36" s="152" t="s">
        <v>2860</v>
      </c>
      <c r="H36" s="146" t="s">
        <v>2287</v>
      </c>
      <c r="I36" s="147" t="s">
        <v>2317</v>
      </c>
    </row>
    <row r="37" spans="1:9">
      <c r="A37" s="339" t="s">
        <v>5502</v>
      </c>
      <c r="B37" s="148"/>
      <c r="C37" s="143" t="s">
        <v>2300</v>
      </c>
      <c r="D37" s="336" t="s">
        <v>2283</v>
      </c>
      <c r="E37" s="342"/>
      <c r="F37" s="343"/>
      <c r="G37" s="336" t="s">
        <v>2299</v>
      </c>
      <c r="H37" s="342"/>
      <c r="I37" s="343"/>
    </row>
    <row r="38" spans="1:9">
      <c r="A38" s="340"/>
      <c r="B38" s="149" t="s">
        <v>2284</v>
      </c>
      <c r="C38" s="153">
        <v>1</v>
      </c>
      <c r="D38" s="151" t="s">
        <v>5073</v>
      </c>
      <c r="E38" s="144" t="s">
        <v>2297</v>
      </c>
      <c r="F38" s="145">
        <v>1</v>
      </c>
      <c r="G38" s="151"/>
      <c r="H38" s="144"/>
      <c r="I38" s="145"/>
    </row>
    <row r="39" spans="1:9">
      <c r="A39" s="341"/>
      <c r="B39" s="150" t="s">
        <v>2286</v>
      </c>
      <c r="C39" s="154">
        <v>2</v>
      </c>
      <c r="D39" s="152" t="s">
        <v>2866</v>
      </c>
      <c r="E39" s="146" t="s">
        <v>2287</v>
      </c>
      <c r="F39" s="147" t="s">
        <v>5503</v>
      </c>
      <c r="G39" s="152" t="s">
        <v>2859</v>
      </c>
      <c r="H39" s="146" t="s">
        <v>2287</v>
      </c>
      <c r="I39" s="147" t="s">
        <v>5503</v>
      </c>
    </row>
    <row r="40" spans="1:9">
      <c r="A40" s="339" t="s">
        <v>5504</v>
      </c>
      <c r="B40" s="148"/>
      <c r="C40" s="143" t="s">
        <v>2300</v>
      </c>
      <c r="D40" s="336" t="s">
        <v>2283</v>
      </c>
      <c r="E40" s="342"/>
      <c r="F40" s="343"/>
    </row>
    <row r="41" spans="1:9">
      <c r="A41" s="340"/>
      <c r="B41" s="149" t="s">
        <v>2284</v>
      </c>
      <c r="C41" s="153">
        <v>1</v>
      </c>
      <c r="D41" s="151" t="s">
        <v>4165</v>
      </c>
      <c r="E41" s="144" t="s">
        <v>2297</v>
      </c>
      <c r="F41" s="145">
        <v>1</v>
      </c>
    </row>
    <row r="42" spans="1:9">
      <c r="A42" s="341"/>
      <c r="B42" s="150" t="s">
        <v>2286</v>
      </c>
      <c r="C42" s="154">
        <v>1</v>
      </c>
      <c r="D42" s="152" t="s">
        <v>2863</v>
      </c>
      <c r="E42" s="146" t="s">
        <v>2287</v>
      </c>
      <c r="F42" s="147" t="s">
        <v>5505</v>
      </c>
    </row>
    <row r="43" spans="1:9">
      <c r="A43" s="339" t="s">
        <v>5506</v>
      </c>
      <c r="B43" s="148"/>
      <c r="C43" s="143" t="s">
        <v>2300</v>
      </c>
      <c r="D43" s="336" t="s">
        <v>2283</v>
      </c>
      <c r="E43" s="342"/>
      <c r="F43" s="343"/>
    </row>
    <row r="44" spans="1:9">
      <c r="A44" s="340"/>
      <c r="B44" s="149" t="s">
        <v>2284</v>
      </c>
      <c r="C44" s="153">
        <v>1</v>
      </c>
      <c r="D44" s="151" t="s">
        <v>3265</v>
      </c>
      <c r="E44" s="144" t="s">
        <v>2297</v>
      </c>
      <c r="F44" s="145">
        <v>1</v>
      </c>
    </row>
    <row r="45" spans="1:9">
      <c r="A45" s="341"/>
      <c r="B45" s="150" t="s">
        <v>2286</v>
      </c>
      <c r="C45" s="154">
        <v>1</v>
      </c>
      <c r="D45" s="152" t="s">
        <v>2858</v>
      </c>
      <c r="E45" s="146" t="s">
        <v>2287</v>
      </c>
      <c r="F45" s="147" t="s">
        <v>5507</v>
      </c>
    </row>
    <row r="46" spans="1:9">
      <c r="A46" s="339" t="s">
        <v>5508</v>
      </c>
      <c r="B46" s="148"/>
      <c r="C46" s="143" t="s">
        <v>2300</v>
      </c>
      <c r="D46" s="336" t="s">
        <v>2283</v>
      </c>
      <c r="E46" s="342"/>
      <c r="F46" s="343"/>
      <c r="G46" s="336" t="s">
        <v>2299</v>
      </c>
      <c r="H46" s="342"/>
      <c r="I46" s="343"/>
    </row>
    <row r="47" spans="1:9">
      <c r="A47" s="340"/>
      <c r="B47" s="149" t="s">
        <v>2284</v>
      </c>
      <c r="C47" s="153">
        <v>1</v>
      </c>
      <c r="D47" s="151" t="s">
        <v>4700</v>
      </c>
      <c r="E47" s="144" t="s">
        <v>2297</v>
      </c>
      <c r="F47" s="145">
        <v>1</v>
      </c>
      <c r="G47" s="151"/>
      <c r="H47" s="144"/>
      <c r="I47" s="145"/>
    </row>
    <row r="48" spans="1:9">
      <c r="A48" s="341"/>
      <c r="B48" s="150" t="s">
        <v>2286</v>
      </c>
      <c r="C48" s="154">
        <v>2</v>
      </c>
      <c r="D48" s="152" t="s">
        <v>2848</v>
      </c>
      <c r="E48" s="146" t="s">
        <v>2287</v>
      </c>
      <c r="F48" s="147" t="s">
        <v>5509</v>
      </c>
      <c r="G48" s="152" t="s">
        <v>2857</v>
      </c>
      <c r="H48" s="146" t="s">
        <v>2287</v>
      </c>
      <c r="I48" s="147" t="s">
        <v>5509</v>
      </c>
    </row>
    <row r="49" spans="1:9">
      <c r="A49" s="339" t="s">
        <v>5510</v>
      </c>
      <c r="B49" s="148"/>
      <c r="C49" s="143" t="s">
        <v>2300</v>
      </c>
      <c r="D49" s="336" t="s">
        <v>2283</v>
      </c>
      <c r="E49" s="342"/>
      <c r="F49" s="343"/>
      <c r="G49" s="336" t="s">
        <v>2299</v>
      </c>
      <c r="H49" s="342"/>
      <c r="I49" s="343"/>
    </row>
    <row r="50" spans="1:9">
      <c r="A50" s="340"/>
      <c r="B50" s="149" t="s">
        <v>2284</v>
      </c>
      <c r="C50" s="153">
        <v>1</v>
      </c>
      <c r="D50" s="151" t="s">
        <v>4703</v>
      </c>
      <c r="E50" s="144" t="s">
        <v>2297</v>
      </c>
      <c r="F50" s="145">
        <v>1</v>
      </c>
      <c r="G50" s="151"/>
      <c r="H50" s="144"/>
      <c r="I50" s="145"/>
    </row>
    <row r="51" spans="1:9">
      <c r="A51" s="341"/>
      <c r="B51" s="150" t="s">
        <v>2286</v>
      </c>
      <c r="C51" s="154">
        <v>2</v>
      </c>
      <c r="D51" s="152" t="s">
        <v>2848</v>
      </c>
      <c r="E51" s="146" t="s">
        <v>2287</v>
      </c>
      <c r="F51" s="147" t="s">
        <v>5511</v>
      </c>
      <c r="G51" s="152" t="s">
        <v>2850</v>
      </c>
      <c r="H51" s="146" t="s">
        <v>2287</v>
      </c>
      <c r="I51" s="147" t="s">
        <v>5511</v>
      </c>
    </row>
    <row r="52" spans="1:9">
      <c r="A52" s="339" t="s">
        <v>5512</v>
      </c>
      <c r="B52" s="148"/>
      <c r="C52" s="143" t="s">
        <v>2300</v>
      </c>
      <c r="D52" s="336" t="s">
        <v>2283</v>
      </c>
      <c r="E52" s="342"/>
      <c r="F52" s="343"/>
      <c r="G52" s="336" t="s">
        <v>2299</v>
      </c>
      <c r="H52" s="342"/>
      <c r="I52" s="343"/>
    </row>
    <row r="53" spans="1:9">
      <c r="A53" s="340"/>
      <c r="B53" s="149" t="s">
        <v>2284</v>
      </c>
      <c r="C53" s="153">
        <v>1</v>
      </c>
      <c r="D53" s="151" t="s">
        <v>2451</v>
      </c>
      <c r="E53" s="144" t="s">
        <v>2297</v>
      </c>
      <c r="F53" s="145">
        <v>1</v>
      </c>
      <c r="G53" s="151"/>
      <c r="H53" s="144"/>
      <c r="I53" s="145"/>
    </row>
    <row r="54" spans="1:9">
      <c r="A54" s="341"/>
      <c r="B54" s="150" t="s">
        <v>2286</v>
      </c>
      <c r="C54" s="154">
        <v>2</v>
      </c>
      <c r="D54" s="152" t="s">
        <v>2848</v>
      </c>
      <c r="E54" s="146" t="s">
        <v>2287</v>
      </c>
      <c r="F54" s="147" t="s">
        <v>2452</v>
      </c>
      <c r="G54" s="152" t="s">
        <v>2857</v>
      </c>
      <c r="H54" s="146" t="s">
        <v>2287</v>
      </c>
      <c r="I54" s="147" t="s">
        <v>2452</v>
      </c>
    </row>
    <row r="55" spans="1:9">
      <c r="A55" s="339" t="s">
        <v>5513</v>
      </c>
      <c r="B55" s="148"/>
      <c r="C55" s="143" t="s">
        <v>2300</v>
      </c>
      <c r="D55" s="336" t="s">
        <v>2283</v>
      </c>
      <c r="E55" s="342"/>
      <c r="F55" s="343"/>
      <c r="G55" s="336" t="s">
        <v>2299</v>
      </c>
      <c r="H55" s="342"/>
      <c r="I55" s="343"/>
    </row>
    <row r="56" spans="1:9">
      <c r="A56" s="340"/>
      <c r="B56" s="149" t="s">
        <v>2284</v>
      </c>
      <c r="C56" s="153">
        <v>1</v>
      </c>
      <c r="D56" s="151" t="s">
        <v>2506</v>
      </c>
      <c r="E56" s="144" t="s">
        <v>2297</v>
      </c>
      <c r="F56" s="145">
        <v>1</v>
      </c>
      <c r="G56" s="151"/>
      <c r="H56" s="144"/>
      <c r="I56" s="145"/>
    </row>
    <row r="57" spans="1:9">
      <c r="A57" s="341"/>
      <c r="B57" s="150" t="s">
        <v>2286</v>
      </c>
      <c r="C57" s="154">
        <v>2</v>
      </c>
      <c r="D57" s="152" t="s">
        <v>2848</v>
      </c>
      <c r="E57" s="146" t="s">
        <v>2287</v>
      </c>
      <c r="F57" s="147" t="s">
        <v>2507</v>
      </c>
      <c r="G57" s="152" t="s">
        <v>2850</v>
      </c>
      <c r="H57" s="146" t="s">
        <v>2287</v>
      </c>
      <c r="I57" s="147" t="s">
        <v>2507</v>
      </c>
    </row>
    <row r="58" spans="1:9">
      <c r="A58" s="339" t="s">
        <v>5514</v>
      </c>
      <c r="B58" s="148"/>
      <c r="C58" s="143" t="s">
        <v>2300</v>
      </c>
      <c r="D58" s="336" t="s">
        <v>2283</v>
      </c>
      <c r="E58" s="342"/>
      <c r="F58" s="343"/>
      <c r="G58" s="336" t="s">
        <v>2299</v>
      </c>
      <c r="H58" s="342"/>
      <c r="I58" s="343"/>
    </row>
    <row r="59" spans="1:9">
      <c r="A59" s="340"/>
      <c r="B59" s="149" t="s">
        <v>2284</v>
      </c>
      <c r="C59" s="153">
        <v>1</v>
      </c>
      <c r="D59" s="151" t="s">
        <v>5515</v>
      </c>
      <c r="E59" s="144" t="s">
        <v>2297</v>
      </c>
      <c r="F59" s="145">
        <v>1</v>
      </c>
      <c r="G59" s="151"/>
      <c r="H59" s="144"/>
      <c r="I59" s="145"/>
    </row>
    <row r="60" spans="1:9">
      <c r="A60" s="341"/>
      <c r="B60" s="150" t="s">
        <v>2286</v>
      </c>
      <c r="C60" s="154">
        <v>2</v>
      </c>
      <c r="D60" s="152" t="s">
        <v>2848</v>
      </c>
      <c r="E60" s="146" t="s">
        <v>2287</v>
      </c>
      <c r="F60" s="147" t="s">
        <v>5516</v>
      </c>
      <c r="G60" s="152" t="s">
        <v>2857</v>
      </c>
      <c r="H60" s="146" t="s">
        <v>2287</v>
      </c>
      <c r="I60" s="147" t="s">
        <v>5516</v>
      </c>
    </row>
    <row r="61" spans="1:9">
      <c r="A61" s="339" t="s">
        <v>5517</v>
      </c>
      <c r="B61" s="148"/>
      <c r="C61" s="143" t="s">
        <v>2300</v>
      </c>
      <c r="D61" s="336" t="s">
        <v>2283</v>
      </c>
      <c r="E61" s="342"/>
      <c r="F61" s="343"/>
      <c r="G61" s="336" t="s">
        <v>2299</v>
      </c>
      <c r="H61" s="342"/>
      <c r="I61" s="343"/>
    </row>
    <row r="62" spans="1:9">
      <c r="A62" s="340"/>
      <c r="B62" s="149" t="s">
        <v>2284</v>
      </c>
      <c r="C62" s="153">
        <v>1</v>
      </c>
      <c r="D62" s="151" t="s">
        <v>5518</v>
      </c>
      <c r="E62" s="144" t="s">
        <v>2297</v>
      </c>
      <c r="F62" s="145">
        <v>1</v>
      </c>
      <c r="G62" s="151"/>
      <c r="H62" s="144"/>
      <c r="I62" s="145"/>
    </row>
    <row r="63" spans="1:9">
      <c r="A63" s="341"/>
      <c r="B63" s="150" t="s">
        <v>2286</v>
      </c>
      <c r="C63" s="154">
        <v>2</v>
      </c>
      <c r="D63" s="152" t="s">
        <v>2848</v>
      </c>
      <c r="E63" s="146" t="s">
        <v>2287</v>
      </c>
      <c r="F63" s="147" t="s">
        <v>5519</v>
      </c>
      <c r="G63" s="152" t="s">
        <v>2850</v>
      </c>
      <c r="H63" s="146" t="s">
        <v>2287</v>
      </c>
      <c r="I63" s="147" t="s">
        <v>5519</v>
      </c>
    </row>
    <row r="64" spans="1:9">
      <c r="A64" s="339" t="s">
        <v>5520</v>
      </c>
      <c r="B64" s="148"/>
      <c r="C64" s="143" t="s">
        <v>2300</v>
      </c>
      <c r="D64" s="336" t="s">
        <v>2283</v>
      </c>
      <c r="E64" s="342"/>
      <c r="F64" s="343"/>
      <c r="G64" s="336" t="s">
        <v>2299</v>
      </c>
      <c r="H64" s="342"/>
      <c r="I64" s="343"/>
    </row>
    <row r="65" spans="1:9">
      <c r="A65" s="340"/>
      <c r="B65" s="149" t="s">
        <v>2284</v>
      </c>
      <c r="C65" s="153">
        <v>1</v>
      </c>
      <c r="D65" s="151" t="s">
        <v>5521</v>
      </c>
      <c r="E65" s="144" t="s">
        <v>2297</v>
      </c>
      <c r="F65" s="145">
        <v>1</v>
      </c>
      <c r="G65" s="151"/>
      <c r="H65" s="144"/>
      <c r="I65" s="145"/>
    </row>
    <row r="66" spans="1:9">
      <c r="A66" s="341"/>
      <c r="B66" s="150" t="s">
        <v>2286</v>
      </c>
      <c r="C66" s="154">
        <v>2</v>
      </c>
      <c r="D66" s="152" t="s">
        <v>2848</v>
      </c>
      <c r="E66" s="146" t="s">
        <v>2287</v>
      </c>
      <c r="F66" s="147" t="s">
        <v>5522</v>
      </c>
      <c r="G66" s="152" t="s">
        <v>2857</v>
      </c>
      <c r="H66" s="146" t="s">
        <v>2287</v>
      </c>
      <c r="I66" s="147" t="s">
        <v>5522</v>
      </c>
    </row>
    <row r="67" spans="1:9">
      <c r="A67" s="339" t="s">
        <v>5523</v>
      </c>
      <c r="B67" s="148"/>
      <c r="C67" s="143" t="s">
        <v>2300</v>
      </c>
      <c r="D67" s="336" t="s">
        <v>2283</v>
      </c>
      <c r="E67" s="342"/>
      <c r="F67" s="343"/>
      <c r="G67" s="336" t="s">
        <v>2299</v>
      </c>
      <c r="H67" s="342"/>
      <c r="I67" s="343"/>
    </row>
    <row r="68" spans="1:9">
      <c r="A68" s="340"/>
      <c r="B68" s="149" t="s">
        <v>2284</v>
      </c>
      <c r="C68" s="153">
        <v>1</v>
      </c>
      <c r="D68" s="151" t="s">
        <v>5524</v>
      </c>
      <c r="E68" s="144" t="s">
        <v>2297</v>
      </c>
      <c r="F68" s="145">
        <v>1</v>
      </c>
      <c r="G68" s="151"/>
      <c r="H68" s="144"/>
      <c r="I68" s="145"/>
    </row>
    <row r="69" spans="1:9">
      <c r="A69" s="341"/>
      <c r="B69" s="150" t="s">
        <v>2286</v>
      </c>
      <c r="C69" s="154">
        <v>2</v>
      </c>
      <c r="D69" s="152" t="s">
        <v>2848</v>
      </c>
      <c r="E69" s="146" t="s">
        <v>2287</v>
      </c>
      <c r="F69" s="147" t="s">
        <v>5525</v>
      </c>
      <c r="G69" s="152" t="s">
        <v>2850</v>
      </c>
      <c r="H69" s="146" t="s">
        <v>2287</v>
      </c>
      <c r="I69" s="147" t="s">
        <v>5525</v>
      </c>
    </row>
    <row r="70" spans="1:9">
      <c r="A70" s="339" t="s">
        <v>5526</v>
      </c>
      <c r="B70" s="148"/>
      <c r="C70" s="143" t="s">
        <v>2300</v>
      </c>
      <c r="D70" s="336" t="s">
        <v>2283</v>
      </c>
      <c r="E70" s="342"/>
      <c r="F70" s="343"/>
      <c r="G70" s="336" t="s">
        <v>2299</v>
      </c>
      <c r="H70" s="342"/>
      <c r="I70" s="343"/>
    </row>
    <row r="71" spans="1:9">
      <c r="A71" s="340"/>
      <c r="B71" s="149" t="s">
        <v>2284</v>
      </c>
      <c r="C71" s="153">
        <v>1</v>
      </c>
      <c r="D71" s="151" t="s">
        <v>5527</v>
      </c>
      <c r="E71" s="144" t="s">
        <v>2297</v>
      </c>
      <c r="F71" s="145">
        <v>1</v>
      </c>
      <c r="G71" s="151"/>
      <c r="H71" s="144"/>
      <c r="I71" s="145"/>
    </row>
    <row r="72" spans="1:9">
      <c r="A72" s="341"/>
      <c r="B72" s="150" t="s">
        <v>2286</v>
      </c>
      <c r="C72" s="154">
        <v>2</v>
      </c>
      <c r="D72" s="152" t="s">
        <v>2848</v>
      </c>
      <c r="E72" s="146" t="s">
        <v>2287</v>
      </c>
      <c r="F72" s="147" t="s">
        <v>5528</v>
      </c>
      <c r="G72" s="152" t="s">
        <v>2857</v>
      </c>
      <c r="H72" s="146" t="s">
        <v>2287</v>
      </c>
      <c r="I72" s="147" t="s">
        <v>5528</v>
      </c>
    </row>
    <row r="73" spans="1:9">
      <c r="A73" s="339" t="s">
        <v>5529</v>
      </c>
      <c r="B73" s="148"/>
      <c r="C73" s="143" t="s">
        <v>2300</v>
      </c>
      <c r="D73" s="336" t="s">
        <v>2283</v>
      </c>
      <c r="E73" s="342"/>
      <c r="F73" s="343"/>
      <c r="G73" s="336" t="s">
        <v>2299</v>
      </c>
      <c r="H73" s="342"/>
      <c r="I73" s="343"/>
    </row>
    <row r="74" spans="1:9">
      <c r="A74" s="340"/>
      <c r="B74" s="149" t="s">
        <v>2284</v>
      </c>
      <c r="C74" s="153">
        <v>1</v>
      </c>
      <c r="D74" s="151" t="s">
        <v>5530</v>
      </c>
      <c r="E74" s="144" t="s">
        <v>2297</v>
      </c>
      <c r="F74" s="145">
        <v>1</v>
      </c>
      <c r="G74" s="151"/>
      <c r="H74" s="144"/>
      <c r="I74" s="145"/>
    </row>
    <row r="75" spans="1:9">
      <c r="A75" s="341"/>
      <c r="B75" s="150" t="s">
        <v>2286</v>
      </c>
      <c r="C75" s="154">
        <v>2</v>
      </c>
      <c r="D75" s="152" t="s">
        <v>2848</v>
      </c>
      <c r="E75" s="146" t="s">
        <v>2287</v>
      </c>
      <c r="F75" s="147" t="s">
        <v>5531</v>
      </c>
      <c r="G75" s="152" t="s">
        <v>2850</v>
      </c>
      <c r="H75" s="146" t="s">
        <v>2287</v>
      </c>
      <c r="I75" s="147" t="s">
        <v>5531</v>
      </c>
    </row>
    <row r="76" spans="1:9">
      <c r="A76" s="339" t="s">
        <v>5532</v>
      </c>
      <c r="B76" s="148"/>
      <c r="C76" s="143" t="s">
        <v>2300</v>
      </c>
      <c r="D76" s="336" t="s">
        <v>2283</v>
      </c>
      <c r="E76" s="342"/>
      <c r="F76" s="343"/>
      <c r="G76" s="336" t="s">
        <v>2299</v>
      </c>
      <c r="H76" s="342"/>
      <c r="I76" s="343"/>
    </row>
    <row r="77" spans="1:9">
      <c r="A77" s="340"/>
      <c r="B77" s="149" t="s">
        <v>2284</v>
      </c>
      <c r="C77" s="153">
        <v>1</v>
      </c>
      <c r="D77" s="151" t="s">
        <v>5533</v>
      </c>
      <c r="E77" s="144" t="s">
        <v>2297</v>
      </c>
      <c r="F77" s="145">
        <v>1</v>
      </c>
      <c r="G77" s="151"/>
      <c r="H77" s="144"/>
      <c r="I77" s="145"/>
    </row>
    <row r="78" spans="1:9">
      <c r="A78" s="341"/>
      <c r="B78" s="150" t="s">
        <v>2286</v>
      </c>
      <c r="C78" s="154">
        <v>2</v>
      </c>
      <c r="D78" s="152" t="s">
        <v>2848</v>
      </c>
      <c r="E78" s="146" t="s">
        <v>2287</v>
      </c>
      <c r="F78" s="147" t="s">
        <v>5534</v>
      </c>
      <c r="G78" s="152" t="s">
        <v>2857</v>
      </c>
      <c r="H78" s="146" t="s">
        <v>2287</v>
      </c>
      <c r="I78" s="147" t="s">
        <v>5534</v>
      </c>
    </row>
    <row r="79" spans="1:9">
      <c r="A79" s="339" t="s">
        <v>5535</v>
      </c>
      <c r="B79" s="148"/>
      <c r="C79" s="143" t="s">
        <v>2300</v>
      </c>
      <c r="D79" s="336" t="s">
        <v>2283</v>
      </c>
      <c r="E79" s="342"/>
      <c r="F79" s="343"/>
      <c r="G79" s="336" t="s">
        <v>2299</v>
      </c>
      <c r="H79" s="342"/>
      <c r="I79" s="343"/>
    </row>
    <row r="80" spans="1:9">
      <c r="A80" s="340"/>
      <c r="B80" s="149" t="s">
        <v>2284</v>
      </c>
      <c r="C80" s="153">
        <v>1</v>
      </c>
      <c r="D80" s="151" t="s">
        <v>5536</v>
      </c>
      <c r="E80" s="144" t="s">
        <v>2297</v>
      </c>
      <c r="F80" s="145">
        <v>1</v>
      </c>
      <c r="G80" s="151"/>
      <c r="H80" s="144"/>
      <c r="I80" s="145"/>
    </row>
    <row r="81" spans="1:9">
      <c r="A81" s="341"/>
      <c r="B81" s="150" t="s">
        <v>2286</v>
      </c>
      <c r="C81" s="154">
        <v>2</v>
      </c>
      <c r="D81" s="152" t="s">
        <v>2848</v>
      </c>
      <c r="E81" s="146" t="s">
        <v>2287</v>
      </c>
      <c r="F81" s="147" t="s">
        <v>5537</v>
      </c>
      <c r="G81" s="152" t="s">
        <v>2850</v>
      </c>
      <c r="H81" s="146" t="s">
        <v>2287</v>
      </c>
      <c r="I81" s="147" t="s">
        <v>5537</v>
      </c>
    </row>
    <row r="82" spans="1:9">
      <c r="A82" s="339" t="s">
        <v>5538</v>
      </c>
      <c r="B82" s="148"/>
      <c r="C82" s="143" t="s">
        <v>2300</v>
      </c>
      <c r="D82" s="336" t="s">
        <v>2283</v>
      </c>
      <c r="E82" s="342"/>
      <c r="F82" s="343"/>
      <c r="G82" s="336" t="s">
        <v>2299</v>
      </c>
      <c r="H82" s="342"/>
      <c r="I82" s="343"/>
    </row>
    <row r="83" spans="1:9">
      <c r="A83" s="340"/>
      <c r="B83" s="149" t="s">
        <v>2284</v>
      </c>
      <c r="C83" s="153">
        <v>1</v>
      </c>
      <c r="D83" s="151" t="s">
        <v>5168</v>
      </c>
      <c r="E83" s="144" t="s">
        <v>2297</v>
      </c>
      <c r="F83" s="145">
        <v>1</v>
      </c>
      <c r="G83" s="151"/>
      <c r="H83" s="144"/>
      <c r="I83" s="145"/>
    </row>
    <row r="84" spans="1:9">
      <c r="A84" s="341"/>
      <c r="B84" s="150" t="s">
        <v>2286</v>
      </c>
      <c r="C84" s="154">
        <v>2</v>
      </c>
      <c r="D84" s="152" t="s">
        <v>2848</v>
      </c>
      <c r="E84" s="146" t="s">
        <v>2287</v>
      </c>
      <c r="F84" s="147" t="s">
        <v>2318</v>
      </c>
      <c r="G84" s="152" t="s">
        <v>2849</v>
      </c>
      <c r="H84" s="146" t="s">
        <v>2287</v>
      </c>
      <c r="I84" s="147" t="s">
        <v>2318</v>
      </c>
    </row>
    <row r="85" spans="1:9">
      <c r="A85" s="339" t="s">
        <v>5539</v>
      </c>
      <c r="B85" s="148"/>
      <c r="C85" s="143" t="s">
        <v>2300</v>
      </c>
      <c r="D85" s="336" t="s">
        <v>2283</v>
      </c>
      <c r="E85" s="342"/>
      <c r="F85" s="343"/>
      <c r="G85" s="336" t="s">
        <v>2299</v>
      </c>
      <c r="H85" s="342"/>
      <c r="I85" s="343"/>
    </row>
    <row r="86" spans="1:9">
      <c r="A86" s="340"/>
      <c r="B86" s="149" t="s">
        <v>2284</v>
      </c>
      <c r="C86" s="153">
        <v>1</v>
      </c>
      <c r="D86" s="151" t="s">
        <v>5169</v>
      </c>
      <c r="E86" s="144" t="s">
        <v>2297</v>
      </c>
      <c r="F86" s="145">
        <v>1</v>
      </c>
      <c r="G86" s="151"/>
      <c r="H86" s="144"/>
      <c r="I86" s="145"/>
    </row>
    <row r="87" spans="1:9">
      <c r="A87" s="341"/>
      <c r="B87" s="150" t="s">
        <v>2286</v>
      </c>
      <c r="C87" s="154">
        <v>2</v>
      </c>
      <c r="D87" s="152" t="s">
        <v>2848</v>
      </c>
      <c r="E87" s="146" t="s">
        <v>2287</v>
      </c>
      <c r="F87" s="147" t="s">
        <v>2302</v>
      </c>
      <c r="G87" s="152" t="s">
        <v>2849</v>
      </c>
      <c r="H87" s="146" t="s">
        <v>2287</v>
      </c>
      <c r="I87" s="147" t="s">
        <v>2302</v>
      </c>
    </row>
    <row r="88" spans="1:9">
      <c r="A88" s="339" t="s">
        <v>5540</v>
      </c>
      <c r="B88" s="148"/>
      <c r="C88" s="143" t="s">
        <v>2300</v>
      </c>
      <c r="D88" s="336" t="s">
        <v>2283</v>
      </c>
      <c r="E88" s="342"/>
      <c r="F88" s="343"/>
      <c r="G88" s="336" t="s">
        <v>2299</v>
      </c>
      <c r="H88" s="342"/>
      <c r="I88" s="343"/>
    </row>
    <row r="89" spans="1:9">
      <c r="A89" s="340"/>
      <c r="B89" s="149" t="s">
        <v>2284</v>
      </c>
      <c r="C89" s="153">
        <v>1</v>
      </c>
      <c r="D89" s="151" t="s">
        <v>5171</v>
      </c>
      <c r="E89" s="144" t="s">
        <v>2297</v>
      </c>
      <c r="F89" s="145">
        <v>1</v>
      </c>
      <c r="G89" s="151"/>
      <c r="H89" s="144"/>
      <c r="I89" s="145"/>
    </row>
    <row r="90" spans="1:9">
      <c r="A90" s="341"/>
      <c r="B90" s="150" t="s">
        <v>2286</v>
      </c>
      <c r="C90" s="154">
        <v>2</v>
      </c>
      <c r="D90" s="152" t="s">
        <v>2848</v>
      </c>
      <c r="E90" s="146" t="s">
        <v>2287</v>
      </c>
      <c r="F90" s="147" t="s">
        <v>2319</v>
      </c>
      <c r="G90" s="152" t="s">
        <v>2850</v>
      </c>
      <c r="H90" s="146" t="s">
        <v>2287</v>
      </c>
      <c r="I90" s="147" t="s">
        <v>2319</v>
      </c>
    </row>
    <row r="91" spans="1:9">
      <c r="A91" s="339" t="s">
        <v>5541</v>
      </c>
      <c r="B91" s="148"/>
      <c r="C91" s="143" t="s">
        <v>2300</v>
      </c>
      <c r="D91" s="336" t="s">
        <v>2283</v>
      </c>
      <c r="E91" s="342"/>
      <c r="F91" s="343"/>
      <c r="G91" s="336" t="s">
        <v>2299</v>
      </c>
      <c r="H91" s="342"/>
      <c r="I91" s="343"/>
    </row>
    <row r="92" spans="1:9">
      <c r="A92" s="340"/>
      <c r="B92" s="149" t="s">
        <v>2284</v>
      </c>
      <c r="C92" s="153">
        <v>1</v>
      </c>
      <c r="D92" s="151" t="s">
        <v>5172</v>
      </c>
      <c r="E92" s="144" t="s">
        <v>2297</v>
      </c>
      <c r="F92" s="145">
        <v>1</v>
      </c>
      <c r="G92" s="151"/>
      <c r="H92" s="144"/>
      <c r="I92" s="145"/>
    </row>
    <row r="93" spans="1:9">
      <c r="A93" s="341"/>
      <c r="B93" s="150" t="s">
        <v>2286</v>
      </c>
      <c r="C93" s="154">
        <v>2</v>
      </c>
      <c r="D93" s="152" t="s">
        <v>2848</v>
      </c>
      <c r="E93" s="146" t="s">
        <v>2287</v>
      </c>
      <c r="F93" s="147" t="s">
        <v>2303</v>
      </c>
      <c r="G93" s="152" t="s">
        <v>2850</v>
      </c>
      <c r="H93" s="146" t="s">
        <v>2287</v>
      </c>
      <c r="I93" s="147" t="s">
        <v>2303</v>
      </c>
    </row>
    <row r="94" spans="1:9">
      <c r="A94" s="339" t="s">
        <v>5542</v>
      </c>
      <c r="B94" s="148"/>
      <c r="C94" s="143" t="s">
        <v>2300</v>
      </c>
      <c r="D94" s="336" t="s">
        <v>2283</v>
      </c>
      <c r="E94" s="342"/>
      <c r="F94" s="343"/>
      <c r="G94" s="336" t="s">
        <v>2299</v>
      </c>
      <c r="H94" s="342"/>
      <c r="I94" s="343"/>
    </row>
    <row r="95" spans="1:9">
      <c r="A95" s="340"/>
      <c r="B95" s="149" t="s">
        <v>2284</v>
      </c>
      <c r="C95" s="153">
        <v>1</v>
      </c>
      <c r="D95" s="151" t="s">
        <v>5174</v>
      </c>
      <c r="E95" s="144" t="s">
        <v>2297</v>
      </c>
      <c r="F95" s="145">
        <v>1</v>
      </c>
      <c r="G95" s="151"/>
      <c r="H95" s="144"/>
      <c r="I95" s="145"/>
    </row>
    <row r="96" spans="1:9">
      <c r="A96" s="341"/>
      <c r="B96" s="150" t="s">
        <v>2286</v>
      </c>
      <c r="C96" s="154">
        <v>2</v>
      </c>
      <c r="D96" s="152" t="s">
        <v>2848</v>
      </c>
      <c r="E96" s="146" t="s">
        <v>2287</v>
      </c>
      <c r="F96" s="147" t="s">
        <v>5543</v>
      </c>
      <c r="G96" s="152" t="s">
        <v>2850</v>
      </c>
      <c r="H96" s="146" t="s">
        <v>2287</v>
      </c>
      <c r="I96" s="147" t="s">
        <v>5543</v>
      </c>
    </row>
    <row r="97" spans="1:9">
      <c r="A97" s="339" t="s">
        <v>5544</v>
      </c>
      <c r="B97" s="148"/>
      <c r="C97" s="143" t="s">
        <v>2300</v>
      </c>
      <c r="D97" s="336" t="s">
        <v>2283</v>
      </c>
      <c r="E97" s="342"/>
      <c r="F97" s="343"/>
      <c r="G97" s="336" t="s">
        <v>2299</v>
      </c>
      <c r="H97" s="342"/>
      <c r="I97" s="343"/>
    </row>
    <row r="98" spans="1:9">
      <c r="A98" s="340"/>
      <c r="B98" s="149" t="s">
        <v>2284</v>
      </c>
      <c r="C98" s="153">
        <v>1</v>
      </c>
      <c r="D98" s="151" t="s">
        <v>5173</v>
      </c>
      <c r="E98" s="144" t="s">
        <v>2297</v>
      </c>
      <c r="F98" s="145">
        <v>1</v>
      </c>
      <c r="G98" s="151"/>
      <c r="H98" s="144"/>
      <c r="I98" s="145"/>
    </row>
    <row r="99" spans="1:9">
      <c r="A99" s="341"/>
      <c r="B99" s="150" t="s">
        <v>2286</v>
      </c>
      <c r="C99" s="154">
        <v>2</v>
      </c>
      <c r="D99" s="152" t="s">
        <v>2848</v>
      </c>
      <c r="E99" s="146" t="s">
        <v>2287</v>
      </c>
      <c r="F99" s="147" t="s">
        <v>5545</v>
      </c>
      <c r="G99" s="152" t="s">
        <v>2850</v>
      </c>
      <c r="H99" s="146" t="s">
        <v>2287</v>
      </c>
      <c r="I99" s="147" t="s">
        <v>5545</v>
      </c>
    </row>
    <row r="100" spans="1:9">
      <c r="A100" s="339" t="s">
        <v>5546</v>
      </c>
      <c r="B100" s="148"/>
      <c r="C100" s="143" t="s">
        <v>2300</v>
      </c>
      <c r="D100" s="336" t="s">
        <v>2283</v>
      </c>
      <c r="E100" s="342"/>
      <c r="F100" s="343"/>
      <c r="G100" s="336" t="s">
        <v>2299</v>
      </c>
      <c r="H100" s="342"/>
      <c r="I100" s="343"/>
    </row>
    <row r="101" spans="1:9">
      <c r="A101" s="340"/>
      <c r="B101" s="149" t="s">
        <v>2284</v>
      </c>
      <c r="C101" s="153">
        <v>1</v>
      </c>
      <c r="D101" s="151" t="s">
        <v>5170</v>
      </c>
      <c r="E101" s="144" t="s">
        <v>2297</v>
      </c>
      <c r="F101" s="145">
        <v>1</v>
      </c>
      <c r="G101" s="151"/>
      <c r="H101" s="144"/>
      <c r="I101" s="145"/>
    </row>
    <row r="102" spans="1:9">
      <c r="A102" s="341"/>
      <c r="B102" s="150" t="s">
        <v>2286</v>
      </c>
      <c r="C102" s="154">
        <v>2</v>
      </c>
      <c r="D102" s="152" t="s">
        <v>2848</v>
      </c>
      <c r="E102" s="146" t="s">
        <v>2287</v>
      </c>
      <c r="F102" s="147" t="s">
        <v>5547</v>
      </c>
      <c r="G102" s="152" t="s">
        <v>2849</v>
      </c>
      <c r="H102" s="146" t="s">
        <v>2287</v>
      </c>
      <c r="I102" s="147" t="s">
        <v>5547</v>
      </c>
    </row>
    <row r="103" spans="1:9">
      <c r="A103" s="339" t="s">
        <v>5563</v>
      </c>
      <c r="B103" s="148"/>
      <c r="C103" s="143" t="s">
        <v>2300</v>
      </c>
      <c r="D103" s="336" t="s">
        <v>2283</v>
      </c>
      <c r="E103" s="342"/>
      <c r="F103" s="343"/>
      <c r="G103" s="336" t="s">
        <v>2299</v>
      </c>
      <c r="H103" s="342"/>
      <c r="I103" s="343"/>
    </row>
    <row r="104" spans="1:9">
      <c r="A104" s="340"/>
      <c r="B104" s="149" t="s">
        <v>2284</v>
      </c>
      <c r="C104" s="153">
        <v>1</v>
      </c>
      <c r="D104" s="151" t="s">
        <v>5570</v>
      </c>
      <c r="E104" s="144" t="s">
        <v>2297</v>
      </c>
      <c r="F104" s="145">
        <v>1</v>
      </c>
      <c r="G104" s="151"/>
      <c r="H104" s="144"/>
      <c r="I104" s="145"/>
    </row>
    <row r="105" spans="1:9">
      <c r="A105" s="341"/>
      <c r="B105" s="150" t="s">
        <v>2286</v>
      </c>
      <c r="C105" s="154">
        <v>2</v>
      </c>
      <c r="D105" s="152" t="s">
        <v>2848</v>
      </c>
      <c r="E105" s="146" t="s">
        <v>2287</v>
      </c>
      <c r="F105" s="147" t="s">
        <v>5567</v>
      </c>
      <c r="G105" s="152" t="s">
        <v>5557</v>
      </c>
      <c r="H105" s="146" t="s">
        <v>2287</v>
      </c>
      <c r="I105" s="147" t="s">
        <v>5567</v>
      </c>
    </row>
    <row r="106" spans="1:9">
      <c r="A106" s="339" t="s">
        <v>5564</v>
      </c>
      <c r="B106" s="148"/>
      <c r="C106" s="143" t="s">
        <v>2300</v>
      </c>
      <c r="D106" s="336" t="s">
        <v>2283</v>
      </c>
      <c r="E106" s="342"/>
      <c r="F106" s="343"/>
      <c r="G106" s="336" t="s">
        <v>2299</v>
      </c>
      <c r="H106" s="342"/>
      <c r="I106" s="343"/>
    </row>
    <row r="107" spans="1:9">
      <c r="A107" s="340"/>
      <c r="B107" s="149" t="s">
        <v>2284</v>
      </c>
      <c r="C107" s="153">
        <v>1</v>
      </c>
      <c r="D107" s="151" t="s">
        <v>5571</v>
      </c>
      <c r="E107" s="144" t="s">
        <v>2297</v>
      </c>
      <c r="F107" s="145">
        <v>1</v>
      </c>
      <c r="G107" s="151"/>
      <c r="H107" s="144"/>
      <c r="I107" s="145"/>
    </row>
    <row r="108" spans="1:9">
      <c r="A108" s="341"/>
      <c r="B108" s="150" t="s">
        <v>2286</v>
      </c>
      <c r="C108" s="154">
        <v>2</v>
      </c>
      <c r="D108" s="152" t="s">
        <v>2848</v>
      </c>
      <c r="E108" s="146" t="s">
        <v>2287</v>
      </c>
      <c r="F108" s="147" t="s">
        <v>5568</v>
      </c>
      <c r="G108" s="152" t="s">
        <v>2850</v>
      </c>
      <c r="H108" s="146" t="s">
        <v>2287</v>
      </c>
      <c r="I108" s="147" t="s">
        <v>5568</v>
      </c>
    </row>
    <row r="109" spans="1:9">
      <c r="A109" s="339" t="s">
        <v>5565</v>
      </c>
      <c r="B109" s="148"/>
      <c r="C109" s="143" t="s">
        <v>2300</v>
      </c>
      <c r="D109" s="336" t="s">
        <v>2283</v>
      </c>
      <c r="E109" s="342"/>
      <c r="F109" s="343"/>
      <c r="G109" s="336" t="s">
        <v>2299</v>
      </c>
      <c r="H109" s="342"/>
      <c r="I109" s="343"/>
    </row>
    <row r="110" spans="1:9">
      <c r="A110" s="340"/>
      <c r="B110" s="149" t="s">
        <v>2284</v>
      </c>
      <c r="C110" s="153">
        <v>1</v>
      </c>
      <c r="D110" s="151" t="s">
        <v>5572</v>
      </c>
      <c r="E110" s="155" t="s">
        <v>2297</v>
      </c>
      <c r="F110" s="145">
        <v>1</v>
      </c>
      <c r="G110" s="151"/>
      <c r="H110" s="144"/>
      <c r="I110" s="145"/>
    </row>
    <row r="111" spans="1:9">
      <c r="A111" s="341"/>
      <c r="B111" s="150" t="s">
        <v>2286</v>
      </c>
      <c r="C111" s="154">
        <v>2</v>
      </c>
      <c r="D111" s="152" t="s">
        <v>2848</v>
      </c>
      <c r="E111" s="146" t="s">
        <v>2287</v>
      </c>
      <c r="F111" s="147" t="s">
        <v>5569</v>
      </c>
      <c r="G111" s="152" t="s">
        <v>5557</v>
      </c>
      <c r="H111" s="146" t="s">
        <v>2287</v>
      </c>
      <c r="I111" s="147" t="s">
        <v>5569</v>
      </c>
    </row>
    <row r="112" spans="1:9">
      <c r="A112" s="339" t="s">
        <v>5566</v>
      </c>
      <c r="B112" s="148"/>
      <c r="C112" s="143" t="s">
        <v>2300</v>
      </c>
      <c r="D112" s="336" t="s">
        <v>2283</v>
      </c>
      <c r="E112" s="342"/>
      <c r="F112" s="343"/>
      <c r="G112" s="336" t="s">
        <v>2299</v>
      </c>
      <c r="H112" s="342"/>
      <c r="I112" s="343"/>
    </row>
    <row r="113" spans="1:9">
      <c r="A113" s="340"/>
      <c r="B113" s="149" t="s">
        <v>2284</v>
      </c>
      <c r="C113" s="153">
        <v>1</v>
      </c>
      <c r="D113" s="151" t="s">
        <v>5573</v>
      </c>
      <c r="E113" s="144" t="s">
        <v>2297</v>
      </c>
      <c r="F113" s="145">
        <v>1</v>
      </c>
      <c r="G113" s="151"/>
      <c r="H113" s="144"/>
      <c r="I113" s="145"/>
    </row>
    <row r="114" spans="1:9">
      <c r="A114" s="341"/>
      <c r="B114" s="150" t="s">
        <v>2286</v>
      </c>
      <c r="C114" s="154">
        <v>2</v>
      </c>
      <c r="D114" s="152" t="s">
        <v>2848</v>
      </c>
      <c r="E114" s="146" t="s">
        <v>2287</v>
      </c>
      <c r="F114" s="147" t="s">
        <v>5574</v>
      </c>
      <c r="G114" s="152" t="s">
        <v>2850</v>
      </c>
      <c r="H114" s="146" t="s">
        <v>2287</v>
      </c>
      <c r="I114" s="147" t="s">
        <v>5574</v>
      </c>
    </row>
    <row r="115" spans="1:9">
      <c r="A115" s="339" t="s">
        <v>5576</v>
      </c>
      <c r="B115" s="148"/>
      <c r="C115" s="143" t="s">
        <v>2300</v>
      </c>
      <c r="D115" s="336" t="s">
        <v>2283</v>
      </c>
      <c r="E115" s="342"/>
      <c r="F115" s="343"/>
      <c r="G115" s="336" t="s">
        <v>2299</v>
      </c>
      <c r="H115" s="342"/>
      <c r="I115" s="343"/>
    </row>
    <row r="116" spans="1:9">
      <c r="A116" s="340"/>
      <c r="B116" s="149" t="s">
        <v>2284</v>
      </c>
      <c r="C116" s="153">
        <v>1</v>
      </c>
      <c r="D116" s="151" t="s">
        <v>5577</v>
      </c>
      <c r="E116" s="144" t="s">
        <v>2297</v>
      </c>
      <c r="F116" s="145">
        <v>1</v>
      </c>
      <c r="G116" s="151"/>
      <c r="H116" s="144"/>
      <c r="I116" s="145"/>
    </row>
    <row r="117" spans="1:9">
      <c r="A117" s="341"/>
      <c r="B117" s="150" t="s">
        <v>2286</v>
      </c>
      <c r="C117" s="154">
        <v>2</v>
      </c>
      <c r="D117" s="152" t="s">
        <v>5554</v>
      </c>
      <c r="E117" s="146" t="s">
        <v>2287</v>
      </c>
      <c r="F117" s="147" t="s">
        <v>5578</v>
      </c>
      <c r="G117" s="152" t="s">
        <v>5556</v>
      </c>
      <c r="H117" s="146" t="s">
        <v>2287</v>
      </c>
      <c r="I117" s="147" t="s">
        <v>5578</v>
      </c>
    </row>
    <row r="118" spans="1:9">
      <c r="A118" s="339" t="s">
        <v>5579</v>
      </c>
      <c r="B118" s="148"/>
      <c r="C118" s="143" t="s">
        <v>2300</v>
      </c>
      <c r="D118" s="336" t="s">
        <v>2283</v>
      </c>
      <c r="E118" s="342"/>
      <c r="F118" s="343"/>
    </row>
    <row r="119" spans="1:9">
      <c r="A119" s="340"/>
      <c r="B119" s="149" t="s">
        <v>2284</v>
      </c>
      <c r="C119" s="153">
        <v>1</v>
      </c>
      <c r="D119" s="151" t="s">
        <v>5580</v>
      </c>
      <c r="E119" s="144" t="s">
        <v>2297</v>
      </c>
      <c r="F119" s="145">
        <v>1</v>
      </c>
    </row>
    <row r="120" spans="1:9">
      <c r="A120" s="341"/>
      <c r="B120" s="150" t="s">
        <v>2286</v>
      </c>
      <c r="C120" s="154">
        <v>1</v>
      </c>
      <c r="D120" s="152" t="s">
        <v>5551</v>
      </c>
      <c r="E120" s="146" t="s">
        <v>2287</v>
      </c>
      <c r="F120" s="147" t="s">
        <v>5581</v>
      </c>
    </row>
    <row r="121" spans="1:9">
      <c r="A121" s="339" t="s">
        <v>5582</v>
      </c>
      <c r="B121" s="148"/>
      <c r="C121" s="143" t="s">
        <v>2300</v>
      </c>
      <c r="D121" s="336" t="s">
        <v>2283</v>
      </c>
      <c r="E121" s="342"/>
      <c r="F121" s="343"/>
      <c r="G121" s="336" t="s">
        <v>2299</v>
      </c>
      <c r="H121" s="342"/>
      <c r="I121" s="343"/>
    </row>
    <row r="122" spans="1:9">
      <c r="A122" s="340"/>
      <c r="B122" s="149" t="s">
        <v>2284</v>
      </c>
      <c r="C122" s="153">
        <v>1</v>
      </c>
      <c r="D122" s="151" t="s">
        <v>5586</v>
      </c>
      <c r="E122" s="144" t="s">
        <v>2297</v>
      </c>
      <c r="F122" s="145">
        <v>1</v>
      </c>
      <c r="G122" s="151"/>
      <c r="H122" s="144"/>
      <c r="I122" s="145"/>
    </row>
    <row r="123" spans="1:9">
      <c r="A123" s="341"/>
      <c r="B123" s="150" t="s">
        <v>2286</v>
      </c>
      <c r="C123" s="154">
        <v>2</v>
      </c>
      <c r="D123" s="152" t="s">
        <v>2848</v>
      </c>
      <c r="E123" s="146" t="s">
        <v>2287</v>
      </c>
      <c r="F123" s="147" t="s">
        <v>5590</v>
      </c>
      <c r="G123" s="152" t="s">
        <v>5557</v>
      </c>
      <c r="H123" s="146" t="s">
        <v>2287</v>
      </c>
      <c r="I123" s="147" t="s">
        <v>5590</v>
      </c>
    </row>
    <row r="124" spans="1:9">
      <c r="A124" s="339" t="s">
        <v>5583</v>
      </c>
      <c r="B124" s="148"/>
      <c r="C124" s="143" t="s">
        <v>2300</v>
      </c>
      <c r="D124" s="336" t="s">
        <v>2283</v>
      </c>
      <c r="E124" s="342"/>
      <c r="F124" s="343"/>
      <c r="G124" s="336" t="s">
        <v>2299</v>
      </c>
      <c r="H124" s="342"/>
      <c r="I124" s="343"/>
    </row>
    <row r="125" spans="1:9">
      <c r="A125" s="340"/>
      <c r="B125" s="149" t="s">
        <v>2284</v>
      </c>
      <c r="C125" s="153">
        <v>1</v>
      </c>
      <c r="D125" s="151" t="s">
        <v>5587</v>
      </c>
      <c r="E125" s="144" t="s">
        <v>2297</v>
      </c>
      <c r="F125" s="145">
        <v>1</v>
      </c>
      <c r="G125" s="151"/>
      <c r="H125" s="144"/>
      <c r="I125" s="145"/>
    </row>
    <row r="126" spans="1:9">
      <c r="A126" s="341"/>
      <c r="B126" s="150" t="s">
        <v>2286</v>
      </c>
      <c r="C126" s="154">
        <v>2</v>
      </c>
      <c r="D126" s="152" t="s">
        <v>2848</v>
      </c>
      <c r="E126" s="146" t="s">
        <v>2287</v>
      </c>
      <c r="F126" s="147" t="s">
        <v>5591</v>
      </c>
      <c r="G126" s="152" t="s">
        <v>2850</v>
      </c>
      <c r="H126" s="146" t="s">
        <v>2287</v>
      </c>
      <c r="I126" s="147" t="s">
        <v>5591</v>
      </c>
    </row>
    <row r="127" spans="1:9">
      <c r="A127" s="339" t="s">
        <v>5584</v>
      </c>
      <c r="B127" s="148"/>
      <c r="C127" s="143" t="s">
        <v>2300</v>
      </c>
      <c r="D127" s="336" t="s">
        <v>2283</v>
      </c>
      <c r="E127" s="342"/>
      <c r="F127" s="343"/>
      <c r="G127" s="336" t="s">
        <v>2299</v>
      </c>
      <c r="H127" s="342"/>
      <c r="I127" s="343"/>
    </row>
    <row r="128" spans="1:9">
      <c r="A128" s="340"/>
      <c r="B128" s="149" t="s">
        <v>2284</v>
      </c>
      <c r="C128" s="153">
        <v>1</v>
      </c>
      <c r="D128" s="151" t="s">
        <v>5588</v>
      </c>
      <c r="E128" s="155" t="s">
        <v>2297</v>
      </c>
      <c r="F128" s="145">
        <v>1</v>
      </c>
      <c r="G128" s="151"/>
      <c r="H128" s="144"/>
      <c r="I128" s="145"/>
    </row>
    <row r="129" spans="1:9">
      <c r="A129" s="341"/>
      <c r="B129" s="150" t="s">
        <v>2286</v>
      </c>
      <c r="C129" s="154">
        <v>2</v>
      </c>
      <c r="D129" s="152" t="s">
        <v>2848</v>
      </c>
      <c r="E129" s="146" t="s">
        <v>2287</v>
      </c>
      <c r="F129" s="147" t="s">
        <v>5592</v>
      </c>
      <c r="G129" s="152" t="s">
        <v>5557</v>
      </c>
      <c r="H129" s="146" t="s">
        <v>2287</v>
      </c>
      <c r="I129" s="147" t="s">
        <v>5592</v>
      </c>
    </row>
    <row r="130" spans="1:9">
      <c r="A130" s="339" t="s">
        <v>5585</v>
      </c>
      <c r="B130" s="148"/>
      <c r="C130" s="143" t="s">
        <v>2300</v>
      </c>
      <c r="D130" s="336" t="s">
        <v>2283</v>
      </c>
      <c r="E130" s="342"/>
      <c r="F130" s="343"/>
      <c r="G130" s="336" t="s">
        <v>2299</v>
      </c>
      <c r="H130" s="342"/>
      <c r="I130" s="343"/>
    </row>
    <row r="131" spans="1:9">
      <c r="A131" s="340"/>
      <c r="B131" s="149" t="s">
        <v>2284</v>
      </c>
      <c r="C131" s="153">
        <v>1</v>
      </c>
      <c r="D131" s="151" t="s">
        <v>5589</v>
      </c>
      <c r="E131" s="144" t="s">
        <v>2297</v>
      </c>
      <c r="F131" s="145">
        <v>1</v>
      </c>
      <c r="G131" s="151"/>
      <c r="H131" s="144"/>
      <c r="I131" s="145"/>
    </row>
    <row r="132" spans="1:9">
      <c r="A132" s="341"/>
      <c r="B132" s="150" t="s">
        <v>2286</v>
      </c>
      <c r="C132" s="154">
        <v>2</v>
      </c>
      <c r="D132" s="152" t="s">
        <v>2848</v>
      </c>
      <c r="E132" s="146" t="s">
        <v>2287</v>
      </c>
      <c r="F132" s="147" t="s">
        <v>5593</v>
      </c>
      <c r="G132" s="152" t="s">
        <v>2850</v>
      </c>
      <c r="H132" s="146" t="s">
        <v>2287</v>
      </c>
      <c r="I132" s="147" t="s">
        <v>5593</v>
      </c>
    </row>
    <row r="133" spans="1:9">
      <c r="A133" s="339" t="s">
        <v>8196</v>
      </c>
      <c r="B133" s="148"/>
      <c r="C133" s="143" t="s">
        <v>2300</v>
      </c>
      <c r="D133" s="336" t="s">
        <v>2283</v>
      </c>
      <c r="E133" s="342"/>
      <c r="F133" s="343"/>
    </row>
    <row r="134" spans="1:9">
      <c r="A134" s="340"/>
      <c r="B134" s="149" t="s">
        <v>2284</v>
      </c>
      <c r="C134" s="153">
        <v>1</v>
      </c>
      <c r="D134" s="151" t="s">
        <v>8197</v>
      </c>
      <c r="E134" s="144" t="s">
        <v>2297</v>
      </c>
      <c r="F134" s="145">
        <v>1</v>
      </c>
    </row>
    <row r="135" spans="1:9">
      <c r="A135" s="341"/>
      <c r="B135" s="150" t="s">
        <v>2286</v>
      </c>
      <c r="C135" s="154">
        <v>1</v>
      </c>
      <c r="D135" s="152" t="s">
        <v>5550</v>
      </c>
      <c r="E135" s="146" t="s">
        <v>2287</v>
      </c>
      <c r="F135" s="147" t="s">
        <v>8198</v>
      </c>
    </row>
    <row r="136" spans="1:9">
      <c r="A136" s="339" t="s">
        <v>8199</v>
      </c>
      <c r="B136" s="148"/>
      <c r="C136" s="143" t="s">
        <v>2300</v>
      </c>
      <c r="D136" s="336" t="s">
        <v>2283</v>
      </c>
      <c r="E136" s="342"/>
      <c r="F136" s="343"/>
      <c r="G136" s="336" t="s">
        <v>2299</v>
      </c>
      <c r="H136" s="342"/>
      <c r="I136" s="343"/>
    </row>
    <row r="137" spans="1:9">
      <c r="A137" s="340"/>
      <c r="B137" s="149" t="s">
        <v>2284</v>
      </c>
      <c r="C137" s="153">
        <v>1</v>
      </c>
      <c r="D137" s="151" t="s">
        <v>8200</v>
      </c>
      <c r="E137" s="144" t="s">
        <v>2297</v>
      </c>
      <c r="F137" s="145">
        <v>1</v>
      </c>
      <c r="G137" s="151"/>
      <c r="H137" s="144"/>
      <c r="I137" s="145"/>
    </row>
    <row r="138" spans="1:9">
      <c r="A138" s="341"/>
      <c r="B138" s="150" t="s">
        <v>2286</v>
      </c>
      <c r="C138" s="154">
        <v>2</v>
      </c>
      <c r="D138" s="152" t="s">
        <v>2963</v>
      </c>
      <c r="E138" s="146" t="s">
        <v>2287</v>
      </c>
      <c r="F138" s="147" t="s">
        <v>8201</v>
      </c>
      <c r="G138" s="152" t="s">
        <v>2856</v>
      </c>
      <c r="H138" s="146" t="s">
        <v>2287</v>
      </c>
      <c r="I138" s="147" t="s">
        <v>8201</v>
      </c>
    </row>
    <row r="139" spans="1:9">
      <c r="A139" s="339" t="s">
        <v>8202</v>
      </c>
      <c r="B139" s="148"/>
      <c r="C139" s="143" t="s">
        <v>2300</v>
      </c>
      <c r="D139" s="336" t="s">
        <v>2283</v>
      </c>
      <c r="E139" s="342"/>
      <c r="F139" s="343"/>
      <c r="G139" s="336" t="s">
        <v>2299</v>
      </c>
      <c r="H139" s="342"/>
      <c r="I139" s="343"/>
    </row>
    <row r="140" spans="1:9">
      <c r="A140" s="340"/>
      <c r="B140" s="149" t="s">
        <v>2284</v>
      </c>
      <c r="C140" s="153">
        <v>1</v>
      </c>
      <c r="D140" s="151" t="s">
        <v>8203</v>
      </c>
      <c r="E140" s="144" t="s">
        <v>2297</v>
      </c>
      <c r="F140" s="145">
        <v>1</v>
      </c>
      <c r="G140" s="151"/>
      <c r="H140" s="144"/>
      <c r="I140" s="145"/>
    </row>
    <row r="141" spans="1:9">
      <c r="A141" s="341"/>
      <c r="B141" s="150" t="s">
        <v>2286</v>
      </c>
      <c r="C141" s="154">
        <v>2</v>
      </c>
      <c r="D141" s="152" t="s">
        <v>2963</v>
      </c>
      <c r="E141" s="146" t="s">
        <v>2287</v>
      </c>
      <c r="F141" s="147" t="s">
        <v>2454</v>
      </c>
      <c r="G141" s="152" t="s">
        <v>2856</v>
      </c>
      <c r="H141" s="146" t="s">
        <v>2287</v>
      </c>
      <c r="I141" s="147" t="s">
        <v>2454</v>
      </c>
    </row>
    <row r="142" spans="1:9">
      <c r="A142" s="339" t="s">
        <v>8204</v>
      </c>
      <c r="B142" s="148"/>
      <c r="C142" s="143" t="s">
        <v>2300</v>
      </c>
      <c r="D142" s="336" t="s">
        <v>2283</v>
      </c>
      <c r="E142" s="342"/>
      <c r="F142" s="343"/>
      <c r="G142" s="336" t="s">
        <v>2299</v>
      </c>
      <c r="H142" s="342"/>
      <c r="I142" s="343"/>
    </row>
    <row r="143" spans="1:9">
      <c r="A143" s="340"/>
      <c r="B143" s="149" t="s">
        <v>2284</v>
      </c>
      <c r="C143" s="153">
        <v>1</v>
      </c>
      <c r="D143" s="151" t="s">
        <v>8205</v>
      </c>
      <c r="E143" s="144" t="s">
        <v>2297</v>
      </c>
      <c r="F143" s="145">
        <v>1</v>
      </c>
      <c r="G143" s="151"/>
      <c r="H143" s="144"/>
      <c r="I143" s="145"/>
    </row>
    <row r="144" spans="1:9">
      <c r="A144" s="341"/>
      <c r="B144" s="150" t="s">
        <v>2286</v>
      </c>
      <c r="C144" s="154">
        <v>2</v>
      </c>
      <c r="D144" s="152" t="s">
        <v>2963</v>
      </c>
      <c r="E144" s="146" t="s">
        <v>2287</v>
      </c>
      <c r="F144" s="147" t="s">
        <v>2455</v>
      </c>
      <c r="G144" s="152" t="s">
        <v>2856</v>
      </c>
      <c r="H144" s="146" t="s">
        <v>2287</v>
      </c>
      <c r="I144" s="147" t="s">
        <v>2455</v>
      </c>
    </row>
    <row r="145" spans="1:9">
      <c r="A145" s="339" t="s">
        <v>8206</v>
      </c>
      <c r="B145" s="148"/>
      <c r="C145" s="143" t="s">
        <v>2300</v>
      </c>
      <c r="D145" s="336" t="s">
        <v>2283</v>
      </c>
      <c r="E145" s="342"/>
      <c r="F145" s="343"/>
      <c r="G145" s="336" t="s">
        <v>2299</v>
      </c>
      <c r="H145" s="342"/>
      <c r="I145" s="343"/>
    </row>
    <row r="146" spans="1:9">
      <c r="A146" s="340"/>
      <c r="B146" s="149" t="s">
        <v>2284</v>
      </c>
      <c r="C146" s="153">
        <v>1</v>
      </c>
      <c r="D146" s="151" t="s">
        <v>8207</v>
      </c>
      <c r="E146" s="144" t="s">
        <v>2297</v>
      </c>
      <c r="F146" s="145">
        <v>1</v>
      </c>
      <c r="G146" s="151"/>
      <c r="H146" s="144"/>
      <c r="I146" s="145"/>
    </row>
    <row r="147" spans="1:9">
      <c r="A147" s="341"/>
      <c r="B147" s="150" t="s">
        <v>2286</v>
      </c>
      <c r="C147" s="154">
        <v>2</v>
      </c>
      <c r="D147" s="152" t="s">
        <v>2963</v>
      </c>
      <c r="E147" s="146" t="s">
        <v>2287</v>
      </c>
      <c r="F147" s="147" t="s">
        <v>8208</v>
      </c>
      <c r="G147" s="152" t="s">
        <v>2856</v>
      </c>
      <c r="H147" s="146" t="s">
        <v>2287</v>
      </c>
      <c r="I147" s="147" t="s">
        <v>8208</v>
      </c>
    </row>
    <row r="148" spans="1:9">
      <c r="A148" s="339" t="s">
        <v>8209</v>
      </c>
      <c r="B148" s="148"/>
      <c r="C148" s="143" t="s">
        <v>2300</v>
      </c>
      <c r="D148" s="336" t="s">
        <v>2283</v>
      </c>
      <c r="E148" s="342"/>
      <c r="F148" s="343"/>
    </row>
    <row r="149" spans="1:9">
      <c r="A149" s="340"/>
      <c r="B149" s="149" t="s">
        <v>2284</v>
      </c>
      <c r="C149" s="153">
        <v>1</v>
      </c>
      <c r="D149" s="151" t="s">
        <v>8210</v>
      </c>
      <c r="E149" s="144" t="s">
        <v>2297</v>
      </c>
      <c r="F149" s="145">
        <v>1</v>
      </c>
    </row>
    <row r="150" spans="1:9">
      <c r="A150" s="341"/>
      <c r="B150" s="150" t="s">
        <v>2286</v>
      </c>
      <c r="C150" s="154">
        <v>1</v>
      </c>
      <c r="D150" s="152" t="s">
        <v>5560</v>
      </c>
      <c r="E150" s="146" t="s">
        <v>2287</v>
      </c>
      <c r="F150" s="147" t="s">
        <v>8198</v>
      </c>
    </row>
    <row r="151" spans="1:9">
      <c r="A151" s="339" t="s">
        <v>8211</v>
      </c>
      <c r="B151" s="148"/>
      <c r="C151" s="143" t="s">
        <v>2300</v>
      </c>
      <c r="D151" s="336" t="s">
        <v>2283</v>
      </c>
      <c r="E151" s="342"/>
      <c r="F151" s="343"/>
      <c r="G151" s="336" t="s">
        <v>2299</v>
      </c>
      <c r="H151" s="342"/>
      <c r="I151" s="343"/>
    </row>
    <row r="152" spans="1:9">
      <c r="A152" s="340"/>
      <c r="B152" s="149" t="s">
        <v>2284</v>
      </c>
      <c r="C152" s="153">
        <v>1</v>
      </c>
      <c r="D152" s="151" t="s">
        <v>8212</v>
      </c>
      <c r="E152" s="144" t="s">
        <v>2297</v>
      </c>
      <c r="F152" s="145">
        <v>1</v>
      </c>
      <c r="G152" s="151"/>
      <c r="H152" s="144"/>
      <c r="I152" s="145"/>
    </row>
    <row r="153" spans="1:9">
      <c r="A153" s="341"/>
      <c r="B153" s="150" t="s">
        <v>2286</v>
      </c>
      <c r="C153" s="154">
        <v>2</v>
      </c>
      <c r="D153" s="152" t="s">
        <v>5562</v>
      </c>
      <c r="E153" s="146" t="s">
        <v>2287</v>
      </c>
      <c r="F153" s="147" t="s">
        <v>8213</v>
      </c>
      <c r="G153" s="152" t="s">
        <v>5561</v>
      </c>
      <c r="H153" s="146" t="s">
        <v>2287</v>
      </c>
      <c r="I153" s="147" t="s">
        <v>8213</v>
      </c>
    </row>
    <row r="154" spans="1:9">
      <c r="A154" s="339" t="s">
        <v>8214</v>
      </c>
      <c r="B154" s="148"/>
      <c r="C154" s="143" t="s">
        <v>2300</v>
      </c>
      <c r="D154" s="336" t="s">
        <v>2283</v>
      </c>
      <c r="E154" s="342"/>
      <c r="F154" s="343"/>
      <c r="G154" s="336" t="s">
        <v>2299</v>
      </c>
      <c r="H154" s="342"/>
      <c r="I154" s="343"/>
    </row>
    <row r="155" spans="1:9">
      <c r="A155" s="340"/>
      <c r="B155" s="149" t="s">
        <v>2284</v>
      </c>
      <c r="C155" s="153">
        <v>1</v>
      </c>
      <c r="D155" s="151" t="s">
        <v>8215</v>
      </c>
      <c r="E155" s="144" t="s">
        <v>2285</v>
      </c>
      <c r="F155" s="145">
        <v>1</v>
      </c>
      <c r="G155" s="151"/>
      <c r="H155" s="144"/>
      <c r="I155" s="145"/>
    </row>
    <row r="156" spans="1:9">
      <c r="A156" s="341"/>
      <c r="B156" s="150" t="s">
        <v>2286</v>
      </c>
      <c r="C156" s="154">
        <v>2</v>
      </c>
      <c r="D156" s="152" t="s">
        <v>5562</v>
      </c>
      <c r="E156" s="146" t="s">
        <v>2287</v>
      </c>
      <c r="F156" s="147" t="s">
        <v>8216</v>
      </c>
      <c r="G156" s="152" t="s">
        <v>5561</v>
      </c>
      <c r="H156" s="146" t="s">
        <v>2287</v>
      </c>
      <c r="I156" s="147" t="s">
        <v>8216</v>
      </c>
    </row>
    <row r="157" spans="1:9">
      <c r="A157" s="339" t="s">
        <v>8217</v>
      </c>
      <c r="B157" s="148"/>
      <c r="C157" s="143" t="s">
        <v>2300</v>
      </c>
      <c r="D157" s="336" t="s">
        <v>2283</v>
      </c>
      <c r="E157" s="342"/>
      <c r="F157" s="343"/>
    </row>
    <row r="158" spans="1:9">
      <c r="A158" s="340"/>
      <c r="B158" s="149" t="s">
        <v>2284</v>
      </c>
      <c r="C158" s="153">
        <v>1</v>
      </c>
      <c r="D158" s="151" t="s">
        <v>8218</v>
      </c>
      <c r="E158" s="144" t="s">
        <v>2297</v>
      </c>
      <c r="F158" s="145">
        <v>1</v>
      </c>
    </row>
    <row r="159" spans="1:9">
      <c r="A159" s="341"/>
      <c r="B159" s="150" t="s">
        <v>2286</v>
      </c>
      <c r="C159" s="154">
        <v>1</v>
      </c>
      <c r="D159" s="152" t="s">
        <v>5559</v>
      </c>
      <c r="E159" s="146" t="s">
        <v>2287</v>
      </c>
      <c r="F159" s="147">
        <v>1</v>
      </c>
    </row>
    <row r="160" spans="1:9">
      <c r="A160" s="339" t="s">
        <v>8348</v>
      </c>
      <c r="B160" s="148"/>
      <c r="C160" s="143" t="s">
        <v>2300</v>
      </c>
      <c r="D160" s="336" t="s">
        <v>2283</v>
      </c>
      <c r="E160" s="342"/>
      <c r="F160" s="343"/>
    </row>
    <row r="161" spans="1:9">
      <c r="A161" s="340"/>
      <c r="B161" s="149" t="s">
        <v>2284</v>
      </c>
      <c r="C161" s="153">
        <v>1</v>
      </c>
      <c r="D161" s="250" t="s">
        <v>8349</v>
      </c>
      <c r="E161" s="144" t="s">
        <v>2297</v>
      </c>
      <c r="F161" s="145">
        <v>1</v>
      </c>
    </row>
    <row r="162" spans="1:9">
      <c r="A162" s="341"/>
      <c r="B162" s="150" t="s">
        <v>2286</v>
      </c>
      <c r="C162" s="154">
        <v>1</v>
      </c>
      <c r="D162" s="152" t="s">
        <v>5555</v>
      </c>
      <c r="E162" s="146" t="s">
        <v>2287</v>
      </c>
      <c r="F162" s="147" t="s">
        <v>8350</v>
      </c>
    </row>
    <row r="163" spans="1:9">
      <c r="A163" s="339" t="s">
        <v>8351</v>
      </c>
      <c r="B163" s="148"/>
      <c r="C163" s="143" t="s">
        <v>2300</v>
      </c>
      <c r="D163" s="336" t="s">
        <v>2283</v>
      </c>
      <c r="E163" s="342"/>
      <c r="F163" s="343"/>
    </row>
    <row r="164" spans="1:9">
      <c r="A164" s="340"/>
      <c r="B164" s="149" t="s">
        <v>2284</v>
      </c>
      <c r="C164" s="153">
        <v>1</v>
      </c>
      <c r="D164" t="s">
        <v>8352</v>
      </c>
      <c r="E164" s="144" t="s">
        <v>2297</v>
      </c>
      <c r="F164" s="145">
        <v>1</v>
      </c>
    </row>
    <row r="165" spans="1:9">
      <c r="A165" s="341"/>
      <c r="B165" s="150" t="s">
        <v>2286</v>
      </c>
      <c r="C165" s="154">
        <v>1</v>
      </c>
      <c r="D165" s="152" t="s">
        <v>5558</v>
      </c>
      <c r="E165" s="146" t="s">
        <v>2287</v>
      </c>
      <c r="F165" s="147" t="s">
        <v>8353</v>
      </c>
    </row>
    <row r="166" spans="1:9">
      <c r="A166" s="339" t="s">
        <v>8354</v>
      </c>
      <c r="B166" s="148"/>
      <c r="C166" s="143" t="s">
        <v>2300</v>
      </c>
      <c r="D166" s="336" t="s">
        <v>2283</v>
      </c>
      <c r="E166" s="342"/>
      <c r="F166" s="343"/>
    </row>
    <row r="167" spans="1:9">
      <c r="A167" s="340"/>
      <c r="B167" s="149" t="s">
        <v>2284</v>
      </c>
      <c r="C167" s="153">
        <v>1</v>
      </c>
      <c r="D167" t="s">
        <v>8352</v>
      </c>
      <c r="E167" s="144" t="s">
        <v>2297</v>
      </c>
      <c r="F167" s="145">
        <v>1</v>
      </c>
    </row>
    <row r="168" spans="1:9">
      <c r="A168" s="341"/>
      <c r="B168" s="150" t="s">
        <v>2286</v>
      </c>
      <c r="C168" s="154">
        <v>1</v>
      </c>
      <c r="D168" s="152" t="s">
        <v>5558</v>
      </c>
      <c r="E168" s="146" t="s">
        <v>2287</v>
      </c>
      <c r="F168" s="147" t="s">
        <v>8353</v>
      </c>
    </row>
    <row r="169" spans="1:9">
      <c r="A169" s="339" t="s">
        <v>8355</v>
      </c>
      <c r="B169" s="148"/>
      <c r="C169" s="143" t="s">
        <v>2300</v>
      </c>
      <c r="D169" s="336" t="s">
        <v>2283</v>
      </c>
      <c r="E169" s="342"/>
      <c r="F169" s="343"/>
      <c r="G169" s="336" t="s">
        <v>2299</v>
      </c>
      <c r="H169" s="342"/>
      <c r="I169" s="343"/>
    </row>
    <row r="170" spans="1:9">
      <c r="A170" s="340"/>
      <c r="B170" s="149" t="s">
        <v>2284</v>
      </c>
      <c r="C170" s="153">
        <v>1</v>
      </c>
      <c r="D170" s="151" t="s">
        <v>8356</v>
      </c>
      <c r="E170" s="144" t="s">
        <v>2297</v>
      </c>
      <c r="F170" s="145">
        <v>1</v>
      </c>
      <c r="G170" s="151"/>
      <c r="H170" s="144"/>
      <c r="I170" s="145"/>
    </row>
    <row r="171" spans="1:9">
      <c r="A171" s="341"/>
      <c r="B171" s="150" t="s">
        <v>2286</v>
      </c>
      <c r="C171" s="154">
        <v>2</v>
      </c>
      <c r="D171" s="152" t="s">
        <v>2848</v>
      </c>
      <c r="E171" s="146" t="s">
        <v>2287</v>
      </c>
      <c r="F171" s="147" t="s">
        <v>8357</v>
      </c>
      <c r="G171" s="152" t="s">
        <v>2850</v>
      </c>
      <c r="H171" s="146" t="s">
        <v>2287</v>
      </c>
      <c r="I171" s="147" t="s">
        <v>8357</v>
      </c>
    </row>
    <row r="172" spans="1:9">
      <c r="A172" s="339" t="s">
        <v>8358</v>
      </c>
      <c r="B172" s="148"/>
      <c r="C172" s="143" t="s">
        <v>2300</v>
      </c>
      <c r="D172" s="336" t="s">
        <v>2283</v>
      </c>
      <c r="E172" s="342"/>
      <c r="F172" s="343"/>
      <c r="G172" s="336" t="s">
        <v>2299</v>
      </c>
      <c r="H172" s="342"/>
      <c r="I172" s="343"/>
    </row>
    <row r="173" spans="1:9">
      <c r="A173" s="340"/>
      <c r="B173" s="149" t="s">
        <v>2284</v>
      </c>
      <c r="C173" s="153">
        <v>1</v>
      </c>
      <c r="D173" s="151" t="s">
        <v>8359</v>
      </c>
      <c r="E173" s="144" t="s">
        <v>2297</v>
      </c>
      <c r="F173" s="145">
        <v>1</v>
      </c>
      <c r="G173" s="151"/>
      <c r="H173" s="144"/>
      <c r="I173" s="145"/>
    </row>
    <row r="174" spans="1:9">
      <c r="A174" s="341"/>
      <c r="B174" s="150" t="s">
        <v>2286</v>
      </c>
      <c r="C174" s="154">
        <v>2</v>
      </c>
      <c r="D174" s="152" t="s">
        <v>2848</v>
      </c>
      <c r="E174" s="146" t="s">
        <v>2287</v>
      </c>
      <c r="F174" s="147" t="s">
        <v>8360</v>
      </c>
      <c r="G174" s="152" t="s">
        <v>2857</v>
      </c>
      <c r="H174" s="146" t="s">
        <v>2287</v>
      </c>
      <c r="I174" s="147" t="s">
        <v>8360</v>
      </c>
    </row>
    <row r="175" spans="1:9">
      <c r="A175" s="339" t="s">
        <v>8361</v>
      </c>
      <c r="B175" s="148"/>
      <c r="C175" s="143" t="s">
        <v>2300</v>
      </c>
      <c r="D175" s="336" t="s">
        <v>2283</v>
      </c>
      <c r="E175" s="342"/>
      <c r="F175" s="343"/>
      <c r="G175" s="336" t="s">
        <v>2299</v>
      </c>
      <c r="H175" s="342"/>
      <c r="I175" s="343"/>
    </row>
    <row r="176" spans="1:9">
      <c r="A176" s="340"/>
      <c r="B176" s="149" t="s">
        <v>2284</v>
      </c>
      <c r="C176" s="153">
        <v>1</v>
      </c>
      <c r="D176" s="151" t="s">
        <v>8362</v>
      </c>
      <c r="E176" s="144" t="s">
        <v>2297</v>
      </c>
      <c r="F176" s="145">
        <v>1</v>
      </c>
      <c r="G176" s="151"/>
      <c r="H176" s="144"/>
      <c r="I176" s="145"/>
    </row>
    <row r="177" spans="1:9">
      <c r="A177" s="341"/>
      <c r="B177" s="150" t="s">
        <v>2286</v>
      </c>
      <c r="C177" s="154">
        <v>2</v>
      </c>
      <c r="D177" s="152" t="s">
        <v>2963</v>
      </c>
      <c r="E177" s="146" t="s">
        <v>2287</v>
      </c>
      <c r="F177" s="147" t="s">
        <v>8363</v>
      </c>
      <c r="G177" s="152" t="s">
        <v>2856</v>
      </c>
      <c r="H177" s="146" t="s">
        <v>2287</v>
      </c>
      <c r="I177" s="147" t="s">
        <v>8363</v>
      </c>
    </row>
    <row r="178" spans="1:9">
      <c r="A178" s="339" t="s">
        <v>8364</v>
      </c>
      <c r="B178" s="148"/>
      <c r="C178" s="143" t="s">
        <v>2300</v>
      </c>
      <c r="D178" s="336" t="s">
        <v>2283</v>
      </c>
      <c r="E178" s="342"/>
      <c r="F178" s="343"/>
    </row>
    <row r="179" spans="1:9">
      <c r="A179" s="340"/>
      <c r="B179" s="149" t="s">
        <v>2284</v>
      </c>
      <c r="C179" s="153">
        <v>1</v>
      </c>
      <c r="D179" s="151" t="s">
        <v>8365</v>
      </c>
      <c r="E179" s="144" t="s">
        <v>2297</v>
      </c>
      <c r="F179" s="145">
        <v>1</v>
      </c>
    </row>
    <row r="180" spans="1:9">
      <c r="A180" s="341"/>
      <c r="B180" s="150" t="s">
        <v>2286</v>
      </c>
      <c r="C180" s="154">
        <v>1</v>
      </c>
      <c r="D180" s="152" t="s">
        <v>5550</v>
      </c>
      <c r="E180" s="146" t="s">
        <v>2287</v>
      </c>
      <c r="F180" s="147" t="s">
        <v>8366</v>
      </c>
    </row>
    <row r="181" spans="1:9">
      <c r="A181" s="339" t="s">
        <v>8367</v>
      </c>
      <c r="B181" s="148"/>
      <c r="C181" s="143" t="s">
        <v>2300</v>
      </c>
      <c r="D181" s="336" t="s">
        <v>2283</v>
      </c>
      <c r="E181" s="342"/>
      <c r="F181" s="343"/>
    </row>
    <row r="182" spans="1:9">
      <c r="A182" s="340"/>
      <c r="B182" s="149" t="s">
        <v>2284</v>
      </c>
      <c r="C182" s="153">
        <v>1</v>
      </c>
      <c r="D182" s="151" t="s">
        <v>8368</v>
      </c>
      <c r="E182" s="144" t="s">
        <v>2297</v>
      </c>
      <c r="F182" s="145">
        <v>1</v>
      </c>
    </row>
    <row r="183" spans="1:9">
      <c r="A183" s="341"/>
      <c r="B183" s="150" t="s">
        <v>2286</v>
      </c>
      <c r="C183" s="154">
        <v>1</v>
      </c>
      <c r="D183" s="152" t="s">
        <v>5550</v>
      </c>
      <c r="E183" s="146" t="s">
        <v>2287</v>
      </c>
      <c r="F183" s="147" t="s">
        <v>8369</v>
      </c>
    </row>
    <row r="184" spans="1:9">
      <c r="A184" s="339" t="s">
        <v>8370</v>
      </c>
      <c r="B184" s="148"/>
      <c r="C184" s="143" t="s">
        <v>2300</v>
      </c>
      <c r="D184" s="336" t="s">
        <v>2283</v>
      </c>
      <c r="E184" s="342"/>
      <c r="F184" s="343"/>
    </row>
    <row r="185" spans="1:9">
      <c r="A185" s="340"/>
      <c r="B185" s="149" t="s">
        <v>2284</v>
      </c>
      <c r="C185" s="153">
        <v>1</v>
      </c>
      <c r="D185" s="151" t="s">
        <v>8371</v>
      </c>
      <c r="E185" s="144" t="s">
        <v>2297</v>
      </c>
      <c r="F185" s="145">
        <v>1</v>
      </c>
    </row>
    <row r="186" spans="1:9">
      <c r="A186" s="341"/>
      <c r="B186" s="150" t="s">
        <v>2286</v>
      </c>
      <c r="C186" s="154">
        <v>1</v>
      </c>
      <c r="D186" s="152" t="s">
        <v>5552</v>
      </c>
      <c r="E186" s="146" t="s">
        <v>2287</v>
      </c>
      <c r="F186" s="147" t="s">
        <v>8372</v>
      </c>
    </row>
    <row r="187" spans="1:9">
      <c r="A187" s="339" t="s">
        <v>8373</v>
      </c>
      <c r="B187" s="148"/>
      <c r="C187" s="143" t="s">
        <v>2300</v>
      </c>
      <c r="D187" s="336" t="s">
        <v>2283</v>
      </c>
      <c r="E187" s="342"/>
      <c r="F187" s="343"/>
    </row>
    <row r="188" spans="1:9">
      <c r="A188" s="340"/>
      <c r="B188" s="149" t="s">
        <v>2284</v>
      </c>
      <c r="C188" s="153">
        <v>1</v>
      </c>
      <c r="D188" s="151" t="s">
        <v>8374</v>
      </c>
      <c r="E188" s="144" t="s">
        <v>2297</v>
      </c>
      <c r="F188" s="145">
        <v>1</v>
      </c>
    </row>
    <row r="189" spans="1:9">
      <c r="A189" s="341"/>
      <c r="B189" s="150" t="s">
        <v>2286</v>
      </c>
      <c r="C189" s="154">
        <v>1</v>
      </c>
      <c r="D189" s="152" t="s">
        <v>5551</v>
      </c>
      <c r="E189" s="146" t="s">
        <v>2287</v>
      </c>
      <c r="F189" s="147" t="s">
        <v>8375</v>
      </c>
    </row>
    <row r="190" spans="1:9">
      <c r="A190" s="339" t="s">
        <v>8378</v>
      </c>
      <c r="B190" s="148"/>
      <c r="C190" s="143" t="s">
        <v>2300</v>
      </c>
      <c r="D190" s="336" t="s">
        <v>2283</v>
      </c>
      <c r="E190" s="342"/>
      <c r="F190" s="343"/>
    </row>
    <row r="191" spans="1:9">
      <c r="A191" s="340"/>
      <c r="B191" s="149" t="s">
        <v>2284</v>
      </c>
      <c r="C191" s="153">
        <v>1</v>
      </c>
      <c r="D191" s="151" t="s">
        <v>8376</v>
      </c>
      <c r="E191" s="144" t="s">
        <v>2297</v>
      </c>
      <c r="F191" s="145">
        <v>1</v>
      </c>
    </row>
    <row r="192" spans="1:9">
      <c r="A192" s="341"/>
      <c r="B192" s="150" t="s">
        <v>2286</v>
      </c>
      <c r="C192" s="154">
        <v>1</v>
      </c>
      <c r="D192" s="152" t="s">
        <v>5551</v>
      </c>
      <c r="E192" s="146" t="s">
        <v>2287</v>
      </c>
      <c r="F192" s="147" t="s">
        <v>8377</v>
      </c>
    </row>
    <row r="193" spans="1:15">
      <c r="A193" s="339" t="s">
        <v>8379</v>
      </c>
      <c r="B193" s="148"/>
      <c r="C193" s="143" t="s">
        <v>2300</v>
      </c>
      <c r="D193" s="336" t="s">
        <v>2283</v>
      </c>
      <c r="E193" s="342"/>
      <c r="F193" s="343"/>
      <c r="G193" s="336" t="s">
        <v>2299</v>
      </c>
      <c r="H193" s="342"/>
      <c r="I193" s="343"/>
    </row>
    <row r="194" spans="1:15">
      <c r="A194" s="340"/>
      <c r="B194" s="149" t="s">
        <v>2284</v>
      </c>
      <c r="C194" s="153">
        <v>1</v>
      </c>
      <c r="D194" s="151" t="s">
        <v>8380</v>
      </c>
      <c r="E194" s="144" t="s">
        <v>2297</v>
      </c>
      <c r="F194" s="145">
        <v>1</v>
      </c>
      <c r="G194" s="151"/>
      <c r="H194" s="144"/>
      <c r="I194" s="145"/>
    </row>
    <row r="195" spans="1:15">
      <c r="A195" s="341"/>
      <c r="B195" s="150" t="s">
        <v>2286</v>
      </c>
      <c r="C195" s="154">
        <v>2</v>
      </c>
      <c r="D195" s="152" t="s">
        <v>5553</v>
      </c>
      <c r="E195" s="146" t="s">
        <v>2287</v>
      </c>
      <c r="F195" s="147" t="s">
        <v>8381</v>
      </c>
      <c r="G195" s="152" t="s">
        <v>2860</v>
      </c>
      <c r="H195" s="146" t="s">
        <v>2287</v>
      </c>
      <c r="I195" s="147" t="s">
        <v>8381</v>
      </c>
    </row>
    <row r="196" spans="1:15">
      <c r="A196" s="339" t="s">
        <v>8382</v>
      </c>
      <c r="B196" s="148"/>
      <c r="C196" s="143" t="s">
        <v>2300</v>
      </c>
      <c r="D196" s="336" t="s">
        <v>2283</v>
      </c>
      <c r="E196" s="342"/>
      <c r="F196" s="343"/>
      <c r="G196" s="336" t="s">
        <v>2299</v>
      </c>
      <c r="H196" s="342"/>
      <c r="I196" s="343"/>
    </row>
    <row r="197" spans="1:15">
      <c r="A197" s="340"/>
      <c r="B197" s="149" t="s">
        <v>2284</v>
      </c>
      <c r="C197" s="153">
        <v>1</v>
      </c>
      <c r="D197" s="151" t="s">
        <v>8383</v>
      </c>
      <c r="E197" s="144" t="s">
        <v>2297</v>
      </c>
      <c r="F197" s="145">
        <v>1</v>
      </c>
      <c r="G197" s="151"/>
      <c r="H197" s="144"/>
      <c r="I197" s="145"/>
    </row>
    <row r="198" spans="1:15">
      <c r="A198" s="341"/>
      <c r="B198" s="150" t="s">
        <v>2286</v>
      </c>
      <c r="C198" s="154">
        <v>2</v>
      </c>
      <c r="D198" s="152" t="s">
        <v>2963</v>
      </c>
      <c r="E198" s="146" t="s">
        <v>2287</v>
      </c>
      <c r="F198" s="147" t="s">
        <v>8384</v>
      </c>
      <c r="G198" s="152" t="s">
        <v>2856</v>
      </c>
      <c r="H198" s="146" t="s">
        <v>2287</v>
      </c>
      <c r="I198" s="147" t="s">
        <v>8384</v>
      </c>
    </row>
    <row r="199" spans="1:15">
      <c r="A199" s="339" t="s">
        <v>8451</v>
      </c>
      <c r="B199" s="148"/>
      <c r="C199" s="143" t="s">
        <v>2300</v>
      </c>
      <c r="D199" s="336" t="s">
        <v>2283</v>
      </c>
      <c r="E199" s="342"/>
      <c r="F199" s="343"/>
    </row>
    <row r="200" spans="1:15">
      <c r="A200" s="340"/>
      <c r="B200" s="149" t="s">
        <v>2284</v>
      </c>
      <c r="C200" s="153">
        <v>1</v>
      </c>
      <c r="D200" s="151" t="s">
        <v>8452</v>
      </c>
      <c r="E200" s="144" t="s">
        <v>2297</v>
      </c>
      <c r="F200" s="145">
        <v>1</v>
      </c>
    </row>
    <row r="201" spans="1:15">
      <c r="A201" s="341"/>
      <c r="B201" s="150" t="s">
        <v>2286</v>
      </c>
      <c r="C201" s="154">
        <v>1</v>
      </c>
      <c r="D201" s="152" t="s">
        <v>5559</v>
      </c>
      <c r="E201" s="146" t="s">
        <v>2287</v>
      </c>
      <c r="F201" s="147">
        <v>1</v>
      </c>
    </row>
    <row r="202" spans="1:15">
      <c r="A202" s="339" t="s">
        <v>8491</v>
      </c>
      <c r="B202" s="148"/>
      <c r="C202" s="143" t="s">
        <v>2300</v>
      </c>
      <c r="D202" s="336" t="s">
        <v>2283</v>
      </c>
      <c r="E202" s="342"/>
      <c r="F202" s="343"/>
    </row>
    <row r="203" spans="1:15" ht="105">
      <c r="A203" s="340"/>
      <c r="B203" s="149" t="s">
        <v>2284</v>
      </c>
      <c r="C203" s="153">
        <v>1</v>
      </c>
      <c r="D203" s="288" t="s">
        <v>8492</v>
      </c>
      <c r="E203" s="144" t="s">
        <v>2297</v>
      </c>
      <c r="F203" s="145">
        <v>1</v>
      </c>
    </row>
    <row r="204" spans="1:15">
      <c r="A204" s="341"/>
      <c r="B204" s="150" t="s">
        <v>2286</v>
      </c>
      <c r="C204" s="154">
        <v>1</v>
      </c>
      <c r="D204" s="152" t="s">
        <v>5559</v>
      </c>
      <c r="E204" s="146" t="s">
        <v>2287</v>
      </c>
      <c r="F204" s="147">
        <v>1</v>
      </c>
    </row>
    <row r="205" spans="1:15">
      <c r="A205" s="339" t="s">
        <v>8553</v>
      </c>
      <c r="B205" s="148"/>
      <c r="C205" s="311" t="s">
        <v>2300</v>
      </c>
      <c r="D205" s="336" t="s">
        <v>2283</v>
      </c>
      <c r="E205" s="337"/>
      <c r="F205" s="338"/>
      <c r="G205" s="336" t="s">
        <v>2299</v>
      </c>
      <c r="H205" s="337"/>
      <c r="I205" s="338"/>
    </row>
    <row r="206" spans="1:15">
      <c r="A206" s="340"/>
      <c r="B206" s="149" t="s">
        <v>2284</v>
      </c>
      <c r="C206" s="153">
        <v>1</v>
      </c>
      <c r="D206" s="151" t="s">
        <v>8554</v>
      </c>
      <c r="E206" s="310" t="s">
        <v>2297</v>
      </c>
      <c r="F206" s="145">
        <v>1</v>
      </c>
      <c r="G206" s="151"/>
      <c r="H206" s="310"/>
      <c r="I206" s="145"/>
    </row>
    <row r="207" spans="1:15">
      <c r="A207" s="341"/>
      <c r="B207" s="150" t="s">
        <v>2286</v>
      </c>
      <c r="C207" s="154">
        <v>2</v>
      </c>
      <c r="D207" s="152" t="s">
        <v>2866</v>
      </c>
      <c r="E207" s="146" t="s">
        <v>2287</v>
      </c>
      <c r="F207" s="147" t="s">
        <v>8555</v>
      </c>
      <c r="G207" s="152" t="s">
        <v>2859</v>
      </c>
      <c r="H207" s="146" t="s">
        <v>2287</v>
      </c>
      <c r="I207" s="147" t="s">
        <v>8555</v>
      </c>
    </row>
    <row r="208" spans="1:15">
      <c r="A208" s="339" t="s">
        <v>9929</v>
      </c>
      <c r="B208" s="148"/>
      <c r="C208" s="311" t="s">
        <v>2300</v>
      </c>
      <c r="D208" s="336" t="s">
        <v>2283</v>
      </c>
      <c r="E208" s="337"/>
      <c r="F208" s="338"/>
      <c r="G208" s="336" t="s">
        <v>2299</v>
      </c>
      <c r="H208" s="337"/>
      <c r="I208" s="338"/>
      <c r="J208" s="336" t="s">
        <v>2322</v>
      </c>
      <c r="K208" s="337"/>
      <c r="L208" s="338"/>
      <c r="M208" s="336" t="s">
        <v>9932</v>
      </c>
      <c r="N208" s="337"/>
      <c r="O208" s="338"/>
    </row>
    <row r="209" spans="1:15">
      <c r="A209" s="340"/>
      <c r="B209" s="149" t="s">
        <v>2284</v>
      </c>
      <c r="C209" s="153">
        <v>1</v>
      </c>
      <c r="D209" s="151" t="s">
        <v>9930</v>
      </c>
      <c r="E209" s="310" t="s">
        <v>2297</v>
      </c>
      <c r="F209" s="145">
        <v>1</v>
      </c>
      <c r="G209" s="151"/>
      <c r="H209" s="310"/>
      <c r="I209" s="145"/>
      <c r="J209" s="151"/>
      <c r="K209" s="310"/>
      <c r="L209" s="145"/>
      <c r="M209" s="151"/>
      <c r="N209" s="310"/>
      <c r="O209" s="145"/>
    </row>
    <row r="210" spans="1:15">
      <c r="A210" s="341"/>
      <c r="B210" s="150" t="s">
        <v>2286</v>
      </c>
      <c r="C210" s="154">
        <v>4</v>
      </c>
      <c r="D210" s="152" t="s">
        <v>9927</v>
      </c>
      <c r="E210" s="146" t="s">
        <v>2287</v>
      </c>
      <c r="F210" s="147" t="s">
        <v>9931</v>
      </c>
      <c r="G210" s="152" t="s">
        <v>9926</v>
      </c>
      <c r="H210" s="146" t="s">
        <v>2287</v>
      </c>
      <c r="I210" s="147">
        <v>1</v>
      </c>
      <c r="J210" s="152" t="s">
        <v>9925</v>
      </c>
      <c r="K210" s="146" t="s">
        <v>2287</v>
      </c>
      <c r="L210" s="147">
        <v>1</v>
      </c>
      <c r="M210" s="152" t="s">
        <v>9342</v>
      </c>
      <c r="N210" s="146" t="s">
        <v>2287</v>
      </c>
      <c r="O210" s="14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1"/>
  <sheetViews>
    <sheetView workbookViewId="0"/>
  </sheetViews>
  <sheetFormatPr baseColWidth="10" defaultRowHeight="15"/>
  <sheetData>
    <row r="1" spans="1:20">
      <c r="A1" s="344" t="s">
        <v>14</v>
      </c>
      <c r="B1" s="344"/>
      <c r="C1" s="344"/>
      <c r="D1" s="344"/>
      <c r="E1" s="12" t="s">
        <v>15</v>
      </c>
    </row>
    <row r="3" spans="1:20" ht="22.5">
      <c r="A3" s="56" t="s">
        <v>23</v>
      </c>
      <c r="B3" s="57" t="s">
        <v>17</v>
      </c>
      <c r="C3" s="57" t="s">
        <v>24</v>
      </c>
      <c r="D3" s="57" t="s">
        <v>2354</v>
      </c>
      <c r="E3" s="36" t="s">
        <v>255</v>
      </c>
      <c r="F3" s="36" t="s">
        <v>25</v>
      </c>
      <c r="G3" s="57" t="s">
        <v>1362</v>
      </c>
      <c r="H3" s="57" t="s">
        <v>1</v>
      </c>
      <c r="I3" s="58" t="s">
        <v>2</v>
      </c>
      <c r="J3" s="58" t="s">
        <v>2033</v>
      </c>
      <c r="K3" s="58" t="s">
        <v>2355</v>
      </c>
      <c r="L3" s="58" t="s">
        <v>2034</v>
      </c>
      <c r="M3" s="58" t="s">
        <v>2036</v>
      </c>
      <c r="N3" s="58" t="s">
        <v>2037</v>
      </c>
      <c r="O3" s="58" t="s">
        <v>2035</v>
      </c>
      <c r="P3" s="59" t="s">
        <v>9</v>
      </c>
      <c r="Q3" s="60" t="s">
        <v>10</v>
      </c>
      <c r="R3" s="10" t="s">
        <v>11</v>
      </c>
      <c r="S3" s="10" t="s">
        <v>13</v>
      </c>
      <c r="T3" s="10" t="s">
        <v>3162</v>
      </c>
    </row>
    <row r="4" spans="1:20">
      <c r="A4" s="86"/>
      <c r="B4" s="7">
        <v>0.37</v>
      </c>
      <c r="C4" s="139">
        <v>26626</v>
      </c>
      <c r="D4" s="5" t="str">
        <f>IF(ISTEXT(A4),VLOOKUP(A4,DOUsPOWERSTORAGE,5,FALSE),"")</f>
        <v/>
      </c>
      <c r="E4" s="7" t="str">
        <f>IF(ISTEXT(A4),"3 años 7x24x4","")</f>
        <v/>
      </c>
      <c r="F4" s="7" t="str">
        <f>IF(ISNUMBER(VLOOKUP(A4,DOUsPOWERSTORAGE,6+MATCH(SUBSTITUTE(SUBSTITUTE(CONCATENATE(D4," a ",E4),"Years","años")," SDS","xSDS"),TiposModeloDOUSorage,0),FALSE)),IF(VLOOKUP(A4,DOUsPOWERSTORAGE,6+MATCH(SUBSTITUTE(SUBSTITUTE(CONCATENATE(D4," a ",E4),"Years","años")," SDS","xSDS"),TiposModeloDOUSorage,0),FALSE)="N/A","",VLOOKUP(A4,DOUsPOWERSTORAGE,MATCH(CONCATENATE("Part Number ",RIGHT(E4,LEN(E4)-(SEARCH("Years",E4)+LEN("Years")))),TiposModeloDOUSorage,0)+6)),"")</f>
        <v/>
      </c>
      <c r="G4" s="6" t="str">
        <f>IF(ISTEXT(VLOOKUP(A4,DOUsPOWERSTORAGE,4,FALSE)),VLOOKUP(A4,DOUsPOWERSTORAGE,4,FALSE),"")</f>
        <v/>
      </c>
      <c r="H4" s="7"/>
      <c r="I4" s="40"/>
      <c r="J4" s="140"/>
      <c r="K4" s="140" t="str">
        <f>IF(ISNUMBER(J4),IF(VLOOKUP(A4,DOUsPOWERSTORAGE,6,FALSE)&gt;J4,J4,VLOOKUP(A4,DOUsPOWERSTORAGE,6,FALSE)),"")</f>
        <v/>
      </c>
      <c r="L4" s="45" t="str">
        <f>IF(AND(ISNUMBER(I4),ISNUMBER(J4),J4&lt;K4),I4*(1-J4),IF(AND(ISNUMBER(I4),ISNUMBER(J4),ISNUMBER(K4),J4&gt;=K4),I4*(1-K4),""))</f>
        <v/>
      </c>
      <c r="M4" s="140" t="str">
        <f>IF(ISNUMBER(VLOOKUP(A4,DOUsPOWERSTORAGE,6+MATCH(SUBSTITUTE(SUBSTITUTE(CONCATENATE(D4," a ",E4),"Years","años")," SDS","xSDS"),TiposModeloDOUSorage,0),FALSE)),VLOOKUP(A4,DOUsPOWERSTORAGE,6+MATCH(SUBSTITUTE(SUBSTITUTE(CONCATENATE(D4," a ",E4),"Years","años")," SDS","xSDS"),TiposModeloDOUSorage,0),FALSE),"")</f>
        <v/>
      </c>
      <c r="N4" s="40" t="str">
        <f>IF(AND(ISNUMBER(L4),ISNUMBER(M4)),L4*M4,"")</f>
        <v/>
      </c>
      <c r="O4" s="40" t="str">
        <f>IF(AND(ISNUMBER(H4),ISNUMBER(N4)),H4*N4,"")</f>
        <v/>
      </c>
      <c r="P4" s="89" t="str">
        <f>IF(AND(ISNUMBER(H4),ISNUMBER(O4)),20%,"")</f>
        <v/>
      </c>
      <c r="Q4" s="45" t="str">
        <f>IF(AND(ISNUMBER(N4),ISNUMBER(P4)),N4/(1-P4),"")</f>
        <v/>
      </c>
      <c r="R4" s="141" t="str">
        <f>IF(AND(ISNUMBER(Q4),ISNUMBER(H4)),Q4*H4,"")</f>
        <v/>
      </c>
      <c r="S4" s="179"/>
      <c r="T4" s="182"/>
    </row>
    <row r="5" spans="1:20">
      <c r="A5" s="86"/>
      <c r="B5" s="7">
        <v>0.37</v>
      </c>
      <c r="C5" s="139">
        <v>26626</v>
      </c>
      <c r="D5" s="5" t="str">
        <f>IF(ISTEXT(A5),VLOOKUP(A5,DOUsPOWERSTORAGE,5,FALSE),"")</f>
        <v/>
      </c>
      <c r="E5" s="7" t="str">
        <f t="shared" ref="E5:E10" si="0">IF(ISTEXT(A5),"3 años 7x24x4","")</f>
        <v/>
      </c>
      <c r="F5" s="7" t="str">
        <f>IF(ISNUMBER(VLOOKUP(A5,DOUsPOWERSTORAGE,6+MATCH(SUBSTITUTE(SUBSTITUTE(CONCATENATE(D5," a ",E5),"Years","años")," SDS","xSDS"),TiposModeloDOUSorage,0),FALSE)),IF(VLOOKUP(A5,DOUsPOWERSTORAGE,6+MATCH(SUBSTITUTE(SUBSTITUTE(CONCATENATE(D5," a ",E5),"Years","años")," SDS","xSDS"),TiposModeloDOUSorage,0),FALSE)="N/A","",VLOOKUP(A5,DOUsPOWERSTORAGE,MATCH(CONCATENATE("Part Number ",RIGHT(E5,LEN(E5)-(SEARCH("Years",E5)+LEN("Years")))),TiposModeloDOUSorage,0)+6)),"")</f>
        <v/>
      </c>
      <c r="G5" s="6" t="str">
        <f>IF(ISTEXT(VLOOKUP(A5,DOUsPOWERSTORAGE,4,FALSE)),VLOOKUP(A5,DOUsPOWERSTORAGE,4,FALSE),"")</f>
        <v/>
      </c>
      <c r="H5" s="7"/>
      <c r="I5" s="40"/>
      <c r="J5" s="140"/>
      <c r="K5" s="140" t="str">
        <f>IF(ISNUMBER(J5),IF(VLOOKUP(A5,DOUsPOWERSTORAGE,6,FALSE)&gt;J5,J5,VLOOKUP(A5,DOUsPOWERSTORAGE,6,FALSE)),"")</f>
        <v/>
      </c>
      <c r="L5" s="45" t="str">
        <f t="shared" ref="L5:L10" si="1">IF(AND(ISNUMBER(I5),ISNUMBER(J5),J5&lt;K5),I5*(1-J5),IF(AND(ISNUMBER(I5),ISNUMBER(J5),ISNUMBER(K5),J5&gt;=K5),I5*(1-K5),""))</f>
        <v/>
      </c>
      <c r="M5" s="140" t="str">
        <f>IF(ISNUMBER(VLOOKUP(A5,DOUsPOWERSTORAGE,6+MATCH(SUBSTITUTE(SUBSTITUTE(CONCATENATE(D5," a ",E5),"Years","años")," SDS","xSDS"),TiposModeloDOUSorage,0),FALSE)),VLOOKUP(A5,DOUsPOWERSTORAGE,6+MATCH(SUBSTITUTE(SUBSTITUTE(CONCATENATE(D5," a ",E5),"Years","años")," SDS","xSDS"),TiposModeloDOUSorage,0),FALSE),"")</f>
        <v/>
      </c>
      <c r="N5" s="40" t="str">
        <f t="shared" ref="N5:N10" si="2">IF(AND(ISNUMBER(L5),ISNUMBER(M5)),L5*M5,"")</f>
        <v/>
      </c>
      <c r="O5" s="40" t="str">
        <f t="shared" ref="O5:O10" si="3">IF(AND(ISNUMBER(H5),ISNUMBER(N5)),H5*N5,"")</f>
        <v/>
      </c>
      <c r="P5" s="89" t="str">
        <f t="shared" ref="P5:P10" si="4">IF(AND(ISNUMBER(H5),ISNUMBER(O5)),20%,"")</f>
        <v/>
      </c>
      <c r="Q5" s="45" t="str">
        <f t="shared" ref="Q5:Q10" si="5">IF(AND(ISNUMBER(N5),ISNUMBER(P5)),N5/(1-P5),"")</f>
        <v/>
      </c>
      <c r="R5" s="141" t="str">
        <f t="shared" ref="R5:R10" si="6">IF(AND(ISNUMBER(Q5),ISNUMBER(H5)),Q5*H5,"")</f>
        <v/>
      </c>
      <c r="S5" s="179"/>
      <c r="T5" s="182"/>
    </row>
    <row r="6" spans="1:20">
      <c r="A6" s="86"/>
      <c r="B6" s="7">
        <v>0.37</v>
      </c>
      <c r="C6" s="139">
        <v>26626</v>
      </c>
      <c r="D6" s="5" t="str">
        <f>IF(ISTEXT(A6),VLOOKUP(A6,DOUsPOWERSTORAGE,5,FALSE),"")</f>
        <v/>
      </c>
      <c r="E6" s="7" t="str">
        <f t="shared" si="0"/>
        <v/>
      </c>
      <c r="F6" s="7" t="str">
        <f>IF(ISNUMBER(VLOOKUP(A6,DOUsPOWERSTORAGE,6+MATCH(SUBSTITUTE(SUBSTITUTE(CONCATENATE(D6," a ",E6),"Years","años")," SDS","xSDS"),TiposModeloDOUSorage,0),FALSE)),IF(VLOOKUP(A6,DOUsPOWERSTORAGE,6+MATCH(SUBSTITUTE(SUBSTITUTE(CONCATENATE(D6," a ",E6),"Years","años")," SDS","xSDS"),TiposModeloDOUSorage,0),FALSE)="N/A","",VLOOKUP(A6,DOUsPOWERSTORAGE,MATCH(CONCATENATE("Part Number ",RIGHT(E6,LEN(E6)-(SEARCH("Years",E6)+LEN("Years")))),TiposModeloDOUSorage,0)+6)),"")</f>
        <v/>
      </c>
      <c r="G6" s="6" t="str">
        <f>IF(ISTEXT(VLOOKUP(A6,DOUsPOWERSTORAGE,4,FALSE)),VLOOKUP(A6,DOUsPOWERSTORAGE,4,FALSE),"")</f>
        <v/>
      </c>
      <c r="H6" s="7"/>
      <c r="I6" s="40"/>
      <c r="J6" s="140"/>
      <c r="K6" s="140" t="str">
        <f>IF(ISNUMBER(J6),IF(VLOOKUP(A6,DOUsPOWERSTORAGE,6,FALSE)&gt;J6,J6,VLOOKUP(A6,DOUsPOWERSTORAGE,6,FALSE)),"")</f>
        <v/>
      </c>
      <c r="L6" s="45" t="str">
        <f t="shared" si="1"/>
        <v/>
      </c>
      <c r="M6" s="140" t="str">
        <f>IF(ISNUMBER(VLOOKUP(A6,DOUsPOWERSTORAGE,6+MATCH(SUBSTITUTE(SUBSTITUTE(CONCATENATE(D6," a ",E6),"Years","años")," SDS","xSDS"),TiposModeloDOUSorage,0),FALSE)),VLOOKUP(A6,DOUsPOWERSTORAGE,6+MATCH(SUBSTITUTE(SUBSTITUTE(CONCATENATE(D6," a ",E6),"Years","años")," SDS","xSDS"),TiposModeloDOUSorage,0),FALSE),"")</f>
        <v/>
      </c>
      <c r="N6" s="40" t="str">
        <f t="shared" si="2"/>
        <v/>
      </c>
      <c r="O6" s="40" t="str">
        <f t="shared" si="3"/>
        <v/>
      </c>
      <c r="P6" s="89" t="str">
        <f t="shared" si="4"/>
        <v/>
      </c>
      <c r="Q6" s="45" t="str">
        <f t="shared" si="5"/>
        <v/>
      </c>
      <c r="R6" s="141" t="str">
        <f t="shared" si="6"/>
        <v/>
      </c>
      <c r="S6" s="179"/>
      <c r="T6" s="182"/>
    </row>
    <row r="7" spans="1:20">
      <c r="A7" s="86"/>
      <c r="B7" s="7">
        <v>0.37</v>
      </c>
      <c r="C7" s="139">
        <v>26626</v>
      </c>
      <c r="D7" s="5" t="str">
        <f>IF(ISTEXT(A7),VLOOKUP(A7,DOUsPOWERSTORAGE,5,FALSE),"")</f>
        <v/>
      </c>
      <c r="E7" s="7" t="str">
        <f t="shared" si="0"/>
        <v/>
      </c>
      <c r="F7" s="7" t="str">
        <f>IF(ISNUMBER(VLOOKUP(A7,DOUsPOWERSTORAGE,6+MATCH(SUBSTITUTE(SUBSTITUTE(CONCATENATE(D7," a ",E7),"Years","años")," SDS","xSDS"),TiposModeloDOUSorage,0),FALSE)),IF(VLOOKUP(A7,DOUsPOWERSTORAGE,6+MATCH(SUBSTITUTE(SUBSTITUTE(CONCATENATE(D7," a ",E7),"Years","años")," SDS","xSDS"),TiposModeloDOUSorage,0),FALSE)="N/A","",VLOOKUP(A7,DOUsPOWERSTORAGE,MATCH(CONCATENATE("Part Number ",RIGHT(E7,LEN(E7)-(SEARCH("Years",E7)+LEN("Years")))),TiposModeloDOUSorage,0)+6)),"")</f>
        <v/>
      </c>
      <c r="G7" s="6" t="str">
        <f>IF(ISTEXT(VLOOKUP(A7,DOUsPOWERSTORAGE,4,FALSE)),VLOOKUP(A7,DOUsPOWERSTORAGE,4,FALSE),"")</f>
        <v/>
      </c>
      <c r="H7" s="7"/>
      <c r="I7" s="40"/>
      <c r="J7" s="140"/>
      <c r="K7" s="140" t="str">
        <f>IF(ISNUMBER(J7),IF(VLOOKUP(A7,DOUsPOWERSTORAGE,6,FALSE)&gt;J7,J7,VLOOKUP(A7,DOUsPOWERSTORAGE,6,FALSE)),"")</f>
        <v/>
      </c>
      <c r="L7" s="45" t="str">
        <f t="shared" si="1"/>
        <v/>
      </c>
      <c r="M7" s="140" t="str">
        <f>IF(ISNUMBER(VLOOKUP(A7,DOUsPOWERSTORAGE,6+MATCH(SUBSTITUTE(SUBSTITUTE(CONCATENATE(D7," a ",E7),"Years","años")," SDS","xSDS"),TiposModeloDOUSorage,0),FALSE)),VLOOKUP(A7,DOUsPOWERSTORAGE,6+MATCH(SUBSTITUTE(SUBSTITUTE(CONCATENATE(D7," a ",E7),"Years","años")," SDS","xSDS"),TiposModeloDOUSorage,0),FALSE),"")</f>
        <v/>
      </c>
      <c r="N7" s="40" t="str">
        <f t="shared" si="2"/>
        <v/>
      </c>
      <c r="O7" s="40" t="str">
        <f t="shared" si="3"/>
        <v/>
      </c>
      <c r="P7" s="89" t="str">
        <f t="shared" si="4"/>
        <v/>
      </c>
      <c r="Q7" s="45" t="str">
        <f t="shared" si="5"/>
        <v/>
      </c>
      <c r="R7" s="141" t="str">
        <f t="shared" si="6"/>
        <v/>
      </c>
      <c r="S7" s="179"/>
      <c r="T7" s="182"/>
    </row>
    <row r="8" spans="1:20">
      <c r="A8" s="86"/>
      <c r="B8" s="7">
        <v>0.37</v>
      </c>
      <c r="C8" s="139">
        <v>26626</v>
      </c>
      <c r="D8" s="5" t="str">
        <f>IF(ISTEXT(A8),VLOOKUP(A8,DOUsPOWERSTORAGE,5,FALSE),"")</f>
        <v/>
      </c>
      <c r="E8" s="7" t="str">
        <f t="shared" si="0"/>
        <v/>
      </c>
      <c r="F8" s="7" t="str">
        <f>IF(ISNUMBER(VLOOKUP(A8,DOUsPOWERSTORAGE,6+MATCH(SUBSTITUTE(SUBSTITUTE(CONCATENATE(D8," a ",E8),"Years","años")," SDS","xSDS"),TiposModeloDOUSorage,0),FALSE)),IF(VLOOKUP(A8,DOUsPOWERSTORAGE,6+MATCH(SUBSTITUTE(SUBSTITUTE(CONCATENATE(D8," a ",E8),"Years","años")," SDS","xSDS"),TiposModeloDOUSorage,0),FALSE)="N/A","",VLOOKUP(A8,DOUsPOWERSTORAGE,MATCH(CONCATENATE("Part Number ",RIGHT(E8,LEN(E8)-(SEARCH("Years",E8)+LEN("Years")))),TiposModeloDOUSorage,0)+6)),"")</f>
        <v/>
      </c>
      <c r="G8" s="6" t="str">
        <f>IF(ISTEXT(VLOOKUP(A8,DOUsPOWERSTORAGE,4,FALSE)),VLOOKUP(A8,DOUsPOWERSTORAGE,4,FALSE),"")</f>
        <v/>
      </c>
      <c r="H8" s="7"/>
      <c r="I8" s="40"/>
      <c r="J8" s="140"/>
      <c r="K8" s="140" t="str">
        <f>IF(ISNUMBER(J8),IF(VLOOKUP(A8,DOUsPOWERSTORAGE,6,FALSE)&gt;J8,J8,VLOOKUP(A8,DOUsPOWERSTORAGE,6,FALSE)),"")</f>
        <v/>
      </c>
      <c r="L8" s="45" t="str">
        <f t="shared" si="1"/>
        <v/>
      </c>
      <c r="M8" s="140" t="str">
        <f>IF(ISNUMBER(VLOOKUP(A8,DOUsPOWERSTORAGE,6+MATCH(SUBSTITUTE(SUBSTITUTE(CONCATENATE(D8," a ",E8),"Years","años")," SDS","xSDS"),TiposModeloDOUSorage,0),FALSE)),VLOOKUP(A8,DOUsPOWERSTORAGE,6+MATCH(SUBSTITUTE(SUBSTITUTE(CONCATENATE(D8," a ",E8),"Years","años")," SDS","xSDS"),TiposModeloDOUSorage,0),FALSE),"")</f>
        <v/>
      </c>
      <c r="N8" s="40" t="str">
        <f t="shared" si="2"/>
        <v/>
      </c>
      <c r="O8" s="40" t="str">
        <f t="shared" si="3"/>
        <v/>
      </c>
      <c r="P8" s="89" t="str">
        <f t="shared" si="4"/>
        <v/>
      </c>
      <c r="Q8" s="45" t="str">
        <f t="shared" si="5"/>
        <v/>
      </c>
      <c r="R8" s="141" t="str">
        <f t="shared" si="6"/>
        <v/>
      </c>
      <c r="S8" s="179"/>
      <c r="T8" s="182"/>
    </row>
    <row r="9" spans="1:20">
      <c r="A9" s="86"/>
      <c r="B9" s="7">
        <v>0.37</v>
      </c>
      <c r="C9" s="139">
        <v>26626</v>
      </c>
      <c r="D9" s="5" t="str">
        <f>IF(ISTEXT(A9),VLOOKUP(A9,DOUsPOWERSTORAGE,5,FALSE),"")</f>
        <v/>
      </c>
      <c r="E9" s="7" t="str">
        <f t="shared" si="0"/>
        <v/>
      </c>
      <c r="F9" s="7" t="str">
        <f>IF(ISNUMBER(VLOOKUP(A9,DOUsPOWERSTORAGE,6+MATCH(SUBSTITUTE(SUBSTITUTE(CONCATENATE(D9," a ",E9),"Years","años")," SDS","xSDS"),TiposModeloDOUSorage,0),FALSE)),IF(VLOOKUP(A9,DOUsPOWERSTORAGE,6+MATCH(SUBSTITUTE(SUBSTITUTE(CONCATENATE(D9," a ",E9),"Years","años")," SDS","xSDS"),TiposModeloDOUSorage,0),FALSE)="N/A","",VLOOKUP(A9,DOUsPOWERSTORAGE,MATCH(CONCATENATE("Part Number ",RIGHT(E9,LEN(E9)-(SEARCH("Years",E9)+LEN("Years")))),TiposModeloDOUSorage,0)+6)),"")</f>
        <v/>
      </c>
      <c r="G9" s="6" t="str">
        <f>IF(ISTEXT(VLOOKUP(A9,DOUsPOWERSTORAGE,4,FALSE)),VLOOKUP(A9,DOUsPOWERSTORAGE,4,FALSE),"")</f>
        <v/>
      </c>
      <c r="H9" s="7"/>
      <c r="I9" s="40"/>
      <c r="J9" s="140"/>
      <c r="K9" s="140" t="str">
        <f>IF(ISNUMBER(J9),IF(VLOOKUP(A9,DOUsPOWERSTORAGE,6,FALSE)&gt;J9,J9,VLOOKUP(A9,DOUsPOWERSTORAGE,6,FALSE)),"")</f>
        <v/>
      </c>
      <c r="L9" s="45" t="str">
        <f t="shared" si="1"/>
        <v/>
      </c>
      <c r="M9" s="140" t="str">
        <f>IF(ISNUMBER(VLOOKUP(A9,DOUsPOWERSTORAGE,6+MATCH(SUBSTITUTE(SUBSTITUTE(CONCATENATE(D9," a ",E9),"Years","años")," SDS","xSDS"),TiposModeloDOUSorage,0),FALSE)),VLOOKUP(A9,DOUsPOWERSTORAGE,6+MATCH(SUBSTITUTE(SUBSTITUTE(CONCATENATE(D9," a ",E9),"Years","años")," SDS","xSDS"),TiposModeloDOUSorage,0),FALSE),"")</f>
        <v/>
      </c>
      <c r="N9" s="40" t="str">
        <f t="shared" si="2"/>
        <v/>
      </c>
      <c r="O9" s="40" t="str">
        <f t="shared" si="3"/>
        <v/>
      </c>
      <c r="P9" s="89" t="str">
        <f t="shared" si="4"/>
        <v/>
      </c>
      <c r="Q9" s="45" t="str">
        <f t="shared" si="5"/>
        <v/>
      </c>
      <c r="R9" s="141" t="str">
        <f t="shared" si="6"/>
        <v/>
      </c>
      <c r="S9" s="179"/>
      <c r="T9" s="182"/>
    </row>
    <row r="10" spans="1:20">
      <c r="A10" s="86"/>
      <c r="B10" s="7">
        <v>0.37</v>
      </c>
      <c r="C10" s="139">
        <v>26626</v>
      </c>
      <c r="D10" s="5" t="str">
        <f>IF(ISTEXT(A10),VLOOKUP(A10,DOUsPOWERSTORAGE,5,FALSE),"")</f>
        <v/>
      </c>
      <c r="E10" s="7" t="str">
        <f t="shared" si="0"/>
        <v/>
      </c>
      <c r="F10" s="7" t="str">
        <f>IF(ISNUMBER(VLOOKUP(A10,DOUsPOWERSTORAGE,6+MATCH(SUBSTITUTE(SUBSTITUTE(CONCATENATE(D10," a ",E10),"Years","años")," SDS","xSDS"),TiposModeloDOUSorage,0),FALSE)),IF(VLOOKUP(A10,DOUsPOWERSTORAGE,6+MATCH(SUBSTITUTE(SUBSTITUTE(CONCATENATE(D10," a ",E10),"Years","años")," SDS","xSDS"),TiposModeloDOUSorage,0),FALSE)="N/A","",VLOOKUP(A10,DOUsPOWERSTORAGE,MATCH(CONCATENATE("Part Number ",RIGHT(E10,LEN(E10)-(SEARCH("Years",E10)+LEN("Years")))),TiposModeloDOUSorage,0)+6)),"")</f>
        <v/>
      </c>
      <c r="G10" s="6" t="str">
        <f>IF(ISTEXT(VLOOKUP(A10,DOUsPOWERSTORAGE,4,FALSE)),VLOOKUP(A10,DOUsPOWERSTORAGE,4,FALSE),"")</f>
        <v/>
      </c>
      <c r="H10" s="7"/>
      <c r="I10" s="40"/>
      <c r="J10" s="140"/>
      <c r="K10" s="140" t="str">
        <f>IF(ISNUMBER(J10),IF(VLOOKUP(A10,DOUsPOWERSTORAGE,6,FALSE)&gt;J10,J10,VLOOKUP(A10,DOUsPOWERSTORAGE,6,FALSE)),"")</f>
        <v/>
      </c>
      <c r="L10" s="45" t="str">
        <f t="shared" si="1"/>
        <v/>
      </c>
      <c r="M10" s="140" t="str">
        <f>IF(ISNUMBER(VLOOKUP(A10,DOUsPOWERSTORAGE,6+MATCH(SUBSTITUTE(SUBSTITUTE(CONCATENATE(D10," a ",E10),"Years","años")," SDS","xSDS"),TiposModeloDOUSorage,0),FALSE)),VLOOKUP(A10,DOUsPOWERSTORAGE,6+MATCH(SUBSTITUTE(SUBSTITUTE(CONCATENATE(D10," a ",E10),"Years","años")," SDS","xSDS"),TiposModeloDOUSorage,0),FALSE),"")</f>
        <v/>
      </c>
      <c r="N10" s="40" t="str">
        <f t="shared" si="2"/>
        <v/>
      </c>
      <c r="O10" s="40" t="str">
        <f t="shared" si="3"/>
        <v/>
      </c>
      <c r="P10" s="89" t="str">
        <f t="shared" si="4"/>
        <v/>
      </c>
      <c r="Q10" s="45" t="str">
        <f t="shared" si="5"/>
        <v/>
      </c>
      <c r="R10" s="141" t="str">
        <f t="shared" si="6"/>
        <v/>
      </c>
      <c r="S10" s="179"/>
      <c r="T10" s="182"/>
    </row>
    <row r="11" spans="1:20">
      <c r="A11" s="86"/>
      <c r="B11" s="7">
        <v>0.37</v>
      </c>
      <c r="C11" s="139">
        <v>26626</v>
      </c>
      <c r="D11" s="5" t="str">
        <f t="shared" ref="D11:D19" si="7">IF(ISTEXT(A11),VLOOKUP(A11,DOUsPOWERSTORAGE,5,FALSE),"")</f>
        <v/>
      </c>
      <c r="E11" s="7" t="str">
        <f t="shared" ref="E11:E19" si="8">IF(ISTEXT(A11),"3 años 7x24x4","")</f>
        <v/>
      </c>
      <c r="F11" s="7" t="str">
        <f t="shared" ref="F11:F19" si="9">IF(ISNUMBER(VLOOKUP(A11,DOUsPOWERSTORAGE,6+MATCH(SUBSTITUTE(SUBSTITUTE(CONCATENATE(D11," a ",E11),"Years","años")," SDS","xSDS"),TiposModeloDOUSorage,0),FALSE)),IF(VLOOKUP(A11,DOUsPOWERSTORAGE,6+MATCH(SUBSTITUTE(SUBSTITUTE(CONCATENATE(D11," a ",E11),"Years","años")," SDS","xSDS"),TiposModeloDOUSorage,0),FALSE)="N/A","",VLOOKUP(A11,DOUsPOWERSTORAGE,MATCH(CONCATENATE("Part Number ",RIGHT(E11,LEN(E11)-(SEARCH("Years",E11)+LEN("Years")))),TiposModeloDOUSorage,0)+6)),"")</f>
        <v/>
      </c>
      <c r="G11" s="6" t="str">
        <f t="shared" ref="G11:G19" si="10">IF(ISTEXT(VLOOKUP(A11,DOUsPOWERSTORAGE,4,FALSE)),VLOOKUP(A11,DOUsPOWERSTORAGE,4,FALSE),"")</f>
        <v/>
      </c>
      <c r="H11" s="7"/>
      <c r="I11" s="40"/>
      <c r="J11" s="140"/>
      <c r="K11" s="140" t="str">
        <f>IF(ISNUMBER(J11),IF(VLOOKUP(A11,DOUsPOWERSTORAGE,6,FALSE)&gt;J11,J11,VLOOKUP(A11,DOUsPOWERSTORAGE,6,FALSE)),"")</f>
        <v/>
      </c>
      <c r="L11" s="45" t="str">
        <f t="shared" ref="L11:L19" si="11">IF(AND(ISNUMBER(I11),ISNUMBER(J11),J11&lt;K11),I11*(1-J11),IF(AND(ISNUMBER(I11),ISNUMBER(J11),ISNUMBER(K11),J11&gt;=K11),I11*(1-K11),""))</f>
        <v/>
      </c>
      <c r="M11" s="140" t="str">
        <f>IF(ISNUMBER(VLOOKUP(A11,DOUsPOWERSTORAGE,6+MATCH(SUBSTITUTE(SUBSTITUTE(CONCATENATE(D11," a ",E11),"Years","años")," SDS","xSDS"),TiposModeloDOUSorage,0),FALSE)),VLOOKUP(A11,DOUsPOWERSTORAGE,6+MATCH(SUBSTITUTE(SUBSTITUTE(CONCATENATE(D11," a ",E11),"Years","años")," SDS","xSDS"),TiposModeloDOUSorage,0),FALSE),"")</f>
        <v/>
      </c>
      <c r="N11" s="40" t="str">
        <f t="shared" ref="N11:N19" si="12">IF(AND(ISNUMBER(L11),ISNUMBER(M11)),L11*M11,"")</f>
        <v/>
      </c>
      <c r="O11" s="40" t="str">
        <f t="shared" ref="O11:O19" si="13">IF(AND(ISNUMBER(H11),ISNUMBER(N11)),H11*N11,"")</f>
        <v/>
      </c>
      <c r="P11" s="89" t="str">
        <f t="shared" ref="P11:P19" si="14">IF(AND(ISNUMBER(H11),ISNUMBER(O11)),20%,"")</f>
        <v/>
      </c>
      <c r="Q11" s="45" t="str">
        <f t="shared" ref="Q11:Q19" si="15">IF(AND(ISNUMBER(N11),ISNUMBER(P11)),N11/(1-P11),"")</f>
        <v/>
      </c>
      <c r="R11" s="141" t="str">
        <f t="shared" ref="R11:R19" si="16">IF(AND(ISNUMBER(Q11),ISNUMBER(H11)),Q11*H11,"")</f>
        <v/>
      </c>
      <c r="S11" s="179"/>
      <c r="T11" s="182"/>
    </row>
    <row r="12" spans="1:20">
      <c r="A12" s="86"/>
      <c r="B12" s="7">
        <v>0.37</v>
      </c>
      <c r="C12" s="139">
        <v>26626</v>
      </c>
      <c r="D12" s="5" t="str">
        <f t="shared" si="7"/>
        <v/>
      </c>
      <c r="E12" s="7" t="str">
        <f t="shared" si="8"/>
        <v/>
      </c>
      <c r="F12" s="7" t="str">
        <f t="shared" si="9"/>
        <v/>
      </c>
      <c r="G12" s="6" t="str">
        <f t="shared" si="10"/>
        <v/>
      </c>
      <c r="H12" s="7"/>
      <c r="I12" s="40"/>
      <c r="J12" s="140"/>
      <c r="K12" s="140" t="str">
        <f t="shared" ref="K12:K19" si="17">IF(ISNUMBER(J12),IF(VLOOKUP(A12,DOUsPOWERSTORAGE,6,FALSE)&gt;J12,J12,VLOOKUP(A12,DOUsPOWERSTORAGE,6,FALSE)),"")</f>
        <v/>
      </c>
      <c r="L12" s="45" t="str">
        <f t="shared" si="11"/>
        <v/>
      </c>
      <c r="M12" s="140" t="str">
        <f t="shared" ref="M12:M19" si="18">IF(ISNUMBER(VLOOKUP(A12,DOUsPOWERSTORAGE,6+MATCH(SUBSTITUTE(SUBSTITUTE(CONCATENATE(D12," a ",E12),"Years","años")," SDS","xSDS"),TiposModeloDOUSorage,0),FALSE)),VLOOKUP(A12,DOUsPOWERSTORAGE,6+MATCH(SUBSTITUTE(SUBSTITUTE(CONCATENATE(D12," a ",E12),"Years","años")," SDS","xSDS"),TiposModeloDOUSorage,0),FALSE),"")</f>
        <v/>
      </c>
      <c r="N12" s="40" t="str">
        <f t="shared" si="12"/>
        <v/>
      </c>
      <c r="O12" s="40" t="str">
        <f t="shared" si="13"/>
        <v/>
      </c>
      <c r="P12" s="89" t="str">
        <f t="shared" si="14"/>
        <v/>
      </c>
      <c r="Q12" s="45" t="str">
        <f t="shared" si="15"/>
        <v/>
      </c>
      <c r="R12" s="141" t="str">
        <f t="shared" si="16"/>
        <v/>
      </c>
      <c r="S12" s="179"/>
      <c r="T12" s="182"/>
    </row>
    <row r="13" spans="1:20">
      <c r="A13" s="86"/>
      <c r="B13" s="7">
        <v>0.37</v>
      </c>
      <c r="C13" s="139">
        <v>26626</v>
      </c>
      <c r="D13" s="5" t="str">
        <f t="shared" si="7"/>
        <v/>
      </c>
      <c r="E13" s="7" t="str">
        <f t="shared" si="8"/>
        <v/>
      </c>
      <c r="F13" s="7" t="str">
        <f t="shared" si="9"/>
        <v/>
      </c>
      <c r="G13" s="6" t="str">
        <f t="shared" si="10"/>
        <v/>
      </c>
      <c r="H13" s="7"/>
      <c r="I13" s="40"/>
      <c r="J13" s="140"/>
      <c r="K13" s="140" t="str">
        <f t="shared" si="17"/>
        <v/>
      </c>
      <c r="L13" s="45" t="str">
        <f t="shared" si="11"/>
        <v/>
      </c>
      <c r="M13" s="140" t="str">
        <f t="shared" si="18"/>
        <v/>
      </c>
      <c r="N13" s="40" t="str">
        <f t="shared" si="12"/>
        <v/>
      </c>
      <c r="O13" s="40" t="str">
        <f t="shared" si="13"/>
        <v/>
      </c>
      <c r="P13" s="89" t="str">
        <f t="shared" si="14"/>
        <v/>
      </c>
      <c r="Q13" s="45" t="str">
        <f t="shared" si="15"/>
        <v/>
      </c>
      <c r="R13" s="141" t="str">
        <f t="shared" si="16"/>
        <v/>
      </c>
      <c r="S13" s="179"/>
      <c r="T13" s="182"/>
    </row>
    <row r="14" spans="1:20">
      <c r="A14" s="86"/>
      <c r="B14" s="7">
        <v>0.37</v>
      </c>
      <c r="C14" s="139">
        <v>26626</v>
      </c>
      <c r="D14" s="5" t="str">
        <f t="shared" si="7"/>
        <v/>
      </c>
      <c r="E14" s="7" t="str">
        <f t="shared" si="8"/>
        <v/>
      </c>
      <c r="F14" s="7" t="str">
        <f t="shared" si="9"/>
        <v/>
      </c>
      <c r="G14" s="6" t="str">
        <f t="shared" si="10"/>
        <v/>
      </c>
      <c r="H14" s="7"/>
      <c r="I14" s="40"/>
      <c r="J14" s="140"/>
      <c r="K14" s="140" t="str">
        <f t="shared" si="17"/>
        <v/>
      </c>
      <c r="L14" s="45" t="str">
        <f t="shared" si="11"/>
        <v/>
      </c>
      <c r="M14" s="140" t="str">
        <f t="shared" si="18"/>
        <v/>
      </c>
      <c r="N14" s="40" t="str">
        <f t="shared" si="12"/>
        <v/>
      </c>
      <c r="O14" s="40" t="str">
        <f t="shared" si="13"/>
        <v/>
      </c>
      <c r="P14" s="89" t="str">
        <f t="shared" si="14"/>
        <v/>
      </c>
      <c r="Q14" s="45" t="str">
        <f t="shared" si="15"/>
        <v/>
      </c>
      <c r="R14" s="141" t="str">
        <f t="shared" si="16"/>
        <v/>
      </c>
      <c r="S14" s="179"/>
      <c r="T14" s="182"/>
    </row>
    <row r="15" spans="1:20">
      <c r="A15" s="86"/>
      <c r="B15" s="7">
        <v>0.37</v>
      </c>
      <c r="C15" s="139">
        <v>26626</v>
      </c>
      <c r="D15" s="5" t="str">
        <f t="shared" si="7"/>
        <v/>
      </c>
      <c r="E15" s="7" t="str">
        <f t="shared" si="8"/>
        <v/>
      </c>
      <c r="F15" s="7" t="str">
        <f t="shared" si="9"/>
        <v/>
      </c>
      <c r="G15" s="6" t="str">
        <f t="shared" si="10"/>
        <v/>
      </c>
      <c r="H15" s="7"/>
      <c r="I15" s="40"/>
      <c r="J15" s="140"/>
      <c r="K15" s="140" t="str">
        <f t="shared" si="17"/>
        <v/>
      </c>
      <c r="L15" s="45" t="str">
        <f t="shared" si="11"/>
        <v/>
      </c>
      <c r="M15" s="140" t="str">
        <f t="shared" si="18"/>
        <v/>
      </c>
      <c r="N15" s="40" t="str">
        <f t="shared" si="12"/>
        <v/>
      </c>
      <c r="O15" s="40" t="str">
        <f t="shared" si="13"/>
        <v/>
      </c>
      <c r="P15" s="89" t="str">
        <f t="shared" si="14"/>
        <v/>
      </c>
      <c r="Q15" s="45" t="str">
        <f t="shared" si="15"/>
        <v/>
      </c>
      <c r="R15" s="141" t="str">
        <f t="shared" si="16"/>
        <v/>
      </c>
      <c r="S15" s="179"/>
      <c r="T15" s="182"/>
    </row>
    <row r="16" spans="1:20">
      <c r="A16" s="86"/>
      <c r="B16" s="7">
        <v>0.37</v>
      </c>
      <c r="C16" s="139">
        <v>26626</v>
      </c>
      <c r="D16" s="5" t="str">
        <f t="shared" si="7"/>
        <v/>
      </c>
      <c r="E16" s="7" t="str">
        <f t="shared" si="8"/>
        <v/>
      </c>
      <c r="F16" s="7" t="str">
        <f t="shared" si="9"/>
        <v/>
      </c>
      <c r="G16" s="6" t="str">
        <f t="shared" si="10"/>
        <v/>
      </c>
      <c r="H16" s="7"/>
      <c r="I16" s="40"/>
      <c r="J16" s="140"/>
      <c r="K16" s="140" t="str">
        <f t="shared" si="17"/>
        <v/>
      </c>
      <c r="L16" s="45" t="str">
        <f t="shared" si="11"/>
        <v/>
      </c>
      <c r="M16" s="140" t="str">
        <f t="shared" si="18"/>
        <v/>
      </c>
      <c r="N16" s="40" t="str">
        <f t="shared" si="12"/>
        <v/>
      </c>
      <c r="O16" s="40" t="str">
        <f t="shared" si="13"/>
        <v/>
      </c>
      <c r="P16" s="89" t="str">
        <f t="shared" si="14"/>
        <v/>
      </c>
      <c r="Q16" s="45" t="str">
        <f t="shared" si="15"/>
        <v/>
      </c>
      <c r="R16" s="141" t="str">
        <f t="shared" si="16"/>
        <v/>
      </c>
      <c r="S16" s="179"/>
      <c r="T16" s="182"/>
    </row>
    <row r="17" spans="1:20">
      <c r="A17" s="86"/>
      <c r="B17" s="7">
        <v>0.37</v>
      </c>
      <c r="C17" s="139">
        <v>26626</v>
      </c>
      <c r="D17" s="5" t="str">
        <f t="shared" si="7"/>
        <v/>
      </c>
      <c r="E17" s="7" t="str">
        <f t="shared" si="8"/>
        <v/>
      </c>
      <c r="F17" s="7" t="str">
        <f t="shared" si="9"/>
        <v/>
      </c>
      <c r="G17" s="6" t="str">
        <f t="shared" si="10"/>
        <v/>
      </c>
      <c r="H17" s="7"/>
      <c r="I17" s="40"/>
      <c r="J17" s="140"/>
      <c r="K17" s="140" t="str">
        <f t="shared" si="17"/>
        <v/>
      </c>
      <c r="L17" s="45" t="str">
        <f t="shared" si="11"/>
        <v/>
      </c>
      <c r="M17" s="140" t="str">
        <f t="shared" si="18"/>
        <v/>
      </c>
      <c r="N17" s="40" t="str">
        <f t="shared" si="12"/>
        <v/>
      </c>
      <c r="O17" s="40" t="str">
        <f t="shared" si="13"/>
        <v/>
      </c>
      <c r="P17" s="89" t="str">
        <f t="shared" si="14"/>
        <v/>
      </c>
      <c r="Q17" s="45" t="str">
        <f t="shared" si="15"/>
        <v/>
      </c>
      <c r="R17" s="141" t="str">
        <f t="shared" si="16"/>
        <v/>
      </c>
      <c r="S17" s="179"/>
      <c r="T17" s="182"/>
    </row>
    <row r="18" spans="1:20">
      <c r="A18" s="86"/>
      <c r="B18" s="7">
        <v>0.37</v>
      </c>
      <c r="C18" s="139">
        <v>26626</v>
      </c>
      <c r="D18" s="5" t="str">
        <f t="shared" si="7"/>
        <v/>
      </c>
      <c r="E18" s="7" t="str">
        <f t="shared" si="8"/>
        <v/>
      </c>
      <c r="F18" s="7" t="str">
        <f t="shared" si="9"/>
        <v/>
      </c>
      <c r="G18" s="6" t="str">
        <f t="shared" si="10"/>
        <v/>
      </c>
      <c r="H18" s="7"/>
      <c r="I18" s="40"/>
      <c r="J18" s="140"/>
      <c r="K18" s="140" t="str">
        <f t="shared" si="17"/>
        <v/>
      </c>
      <c r="L18" s="45" t="str">
        <f t="shared" si="11"/>
        <v/>
      </c>
      <c r="M18" s="140" t="str">
        <f t="shared" si="18"/>
        <v/>
      </c>
      <c r="N18" s="40" t="str">
        <f t="shared" si="12"/>
        <v/>
      </c>
      <c r="O18" s="40" t="str">
        <f t="shared" si="13"/>
        <v/>
      </c>
      <c r="P18" s="89" t="str">
        <f t="shared" si="14"/>
        <v/>
      </c>
      <c r="Q18" s="45" t="str">
        <f t="shared" si="15"/>
        <v/>
      </c>
      <c r="R18" s="141" t="str">
        <f t="shared" si="16"/>
        <v/>
      </c>
      <c r="S18" s="179"/>
      <c r="T18" s="182"/>
    </row>
    <row r="19" spans="1:20">
      <c r="A19" s="86"/>
      <c r="B19" s="7">
        <v>0.37</v>
      </c>
      <c r="C19" s="139">
        <v>26626</v>
      </c>
      <c r="D19" s="5" t="str">
        <f t="shared" si="7"/>
        <v/>
      </c>
      <c r="E19" s="7" t="str">
        <f t="shared" si="8"/>
        <v/>
      </c>
      <c r="F19" s="7" t="str">
        <f t="shared" si="9"/>
        <v/>
      </c>
      <c r="G19" s="6" t="str">
        <f t="shared" si="10"/>
        <v/>
      </c>
      <c r="H19" s="7"/>
      <c r="I19" s="40"/>
      <c r="J19" s="140"/>
      <c r="K19" s="140" t="str">
        <f t="shared" si="17"/>
        <v/>
      </c>
      <c r="L19" s="45" t="str">
        <f t="shared" si="11"/>
        <v/>
      </c>
      <c r="M19" s="140" t="str">
        <f t="shared" si="18"/>
        <v/>
      </c>
      <c r="N19" s="40" t="str">
        <f t="shared" si="12"/>
        <v/>
      </c>
      <c r="O19" s="40" t="str">
        <f t="shared" si="13"/>
        <v/>
      </c>
      <c r="P19" s="89" t="str">
        <f t="shared" si="14"/>
        <v/>
      </c>
      <c r="Q19" s="45" t="str">
        <f t="shared" si="15"/>
        <v/>
      </c>
      <c r="R19" s="141" t="str">
        <f t="shared" si="16"/>
        <v/>
      </c>
      <c r="S19" s="180"/>
      <c r="T19" s="181"/>
    </row>
    <row r="20" spans="1:20">
      <c r="A20" s="345" t="s">
        <v>12</v>
      </c>
      <c r="B20" s="346"/>
      <c r="C20" s="346"/>
      <c r="D20" s="346"/>
      <c r="E20" s="346"/>
      <c r="F20" s="346"/>
      <c r="G20" s="346"/>
      <c r="H20" s="347"/>
      <c r="I20" s="142">
        <v>0</v>
      </c>
      <c r="J20" s="97"/>
      <c r="K20" s="97"/>
      <c r="L20" s="97"/>
      <c r="M20" s="97"/>
      <c r="N20" s="98"/>
      <c r="O20" s="98">
        <f>SUM(O4:O19)</f>
        <v>0</v>
      </c>
      <c r="P20" s="135" t="str">
        <f>IF(ISNUMBER(1-(O20/R20)),1-(O20/R20),"")</f>
        <v/>
      </c>
      <c r="Q20" s="98"/>
      <c r="R20" s="99">
        <f>SUM(R4:R19)</f>
        <v>0</v>
      </c>
      <c r="S20" s="100"/>
      <c r="T20" s="100"/>
    </row>
    <row r="21" spans="1:20">
      <c r="A21" s="348"/>
      <c r="B21" s="349"/>
      <c r="C21" s="349"/>
      <c r="D21" s="349"/>
      <c r="E21" s="349"/>
      <c r="F21" s="349"/>
      <c r="G21" s="349"/>
      <c r="H21" s="350"/>
      <c r="I21" s="101"/>
      <c r="J21" s="102"/>
      <c r="K21" s="102"/>
      <c r="L21" s="102"/>
      <c r="M21" s="102"/>
      <c r="N21" s="103"/>
      <c r="O21" s="103"/>
      <c r="P21" s="104"/>
      <c r="Q21" s="105"/>
      <c r="R21" s="106"/>
      <c r="S21" s="107"/>
      <c r="T21" s="5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0"/>
  <sheetViews>
    <sheetView workbookViewId="0"/>
  </sheetViews>
  <sheetFormatPr baseColWidth="10" defaultRowHeight="15"/>
  <sheetData>
    <row r="1" spans="1:10">
      <c r="B1" s="321"/>
    </row>
    <row r="2" spans="1:10">
      <c r="A2" s="13"/>
      <c r="B2" s="13"/>
      <c r="C2" s="13"/>
      <c r="D2" s="12"/>
    </row>
    <row r="3" spans="1:10" ht="45">
      <c r="A3" s="14" t="s">
        <v>23</v>
      </c>
      <c r="B3" s="14" t="s">
        <v>26</v>
      </c>
      <c r="C3" s="14" t="s">
        <v>27</v>
      </c>
      <c r="D3" s="15" t="s">
        <v>1362</v>
      </c>
      <c r="E3" s="14" t="s">
        <v>28</v>
      </c>
      <c r="F3" s="14" t="s">
        <v>29</v>
      </c>
      <c r="G3" s="14" t="s">
        <v>30</v>
      </c>
      <c r="H3" s="14" t="s">
        <v>2359</v>
      </c>
      <c r="I3" s="14" t="s">
        <v>256</v>
      </c>
      <c r="J3" s="14" t="s">
        <v>2356</v>
      </c>
    </row>
    <row r="4" spans="1:10">
      <c r="A4" s="16" t="s">
        <v>2554</v>
      </c>
      <c r="B4" s="16" t="s">
        <v>2554</v>
      </c>
      <c r="D4" t="s">
        <v>2555</v>
      </c>
      <c r="E4" s="17">
        <v>0.01</v>
      </c>
      <c r="F4" s="17">
        <v>0.1</v>
      </c>
      <c r="G4" s="17">
        <v>0.1</v>
      </c>
      <c r="H4" s="17">
        <v>0.21</v>
      </c>
      <c r="I4" t="s">
        <v>2556</v>
      </c>
      <c r="J4" t="str">
        <f t="shared" ref="J4:J18" si="0">CONCATENATE(A4," ",D4)</f>
        <v>8271 IBM Flex System x240 Compute Node</v>
      </c>
    </row>
    <row r="5" spans="1:10">
      <c r="A5" s="16" t="s">
        <v>2557</v>
      </c>
      <c r="B5" s="16" t="s">
        <v>2557</v>
      </c>
      <c r="D5" t="s">
        <v>2558</v>
      </c>
      <c r="E5" s="17">
        <v>7.0000000000000007E-2</v>
      </c>
      <c r="F5" s="17">
        <v>0.1</v>
      </c>
      <c r="G5" s="17">
        <v>0.1</v>
      </c>
      <c r="H5" s="17">
        <v>0.27</v>
      </c>
      <c r="I5" t="s">
        <v>2556</v>
      </c>
      <c r="J5" t="str">
        <f t="shared" si="0"/>
        <v>8737 IBM Flex System Enterprise Chassis</v>
      </c>
    </row>
    <row r="6" spans="1:10">
      <c r="A6" s="16" t="s">
        <v>2559</v>
      </c>
      <c r="B6" s="16" t="s">
        <v>2559</v>
      </c>
      <c r="D6" t="s">
        <v>2560</v>
      </c>
      <c r="E6" s="17">
        <v>0.01</v>
      </c>
      <c r="F6" s="17">
        <v>0.1</v>
      </c>
      <c r="G6" s="17">
        <v>0.1</v>
      </c>
      <c r="H6" s="17">
        <v>0.21</v>
      </c>
      <c r="I6" t="s">
        <v>2556</v>
      </c>
      <c r="J6" t="str">
        <f t="shared" si="0"/>
        <v>8731 IBM Flex System Manager Node</v>
      </c>
    </row>
    <row r="7" spans="1:10">
      <c r="A7" s="16" t="s">
        <v>2561</v>
      </c>
      <c r="B7" s="16" t="s">
        <v>2562</v>
      </c>
      <c r="C7" t="s">
        <v>2563</v>
      </c>
      <c r="D7" t="s">
        <v>2564</v>
      </c>
      <c r="E7" s="17">
        <v>0.05</v>
      </c>
      <c r="F7" s="17">
        <v>7.0000000000000007E-2</v>
      </c>
      <c r="G7" s="17">
        <v>7.0000000000000007E-2</v>
      </c>
      <c r="H7" s="17">
        <v>0.19</v>
      </c>
      <c r="I7" t="s">
        <v>2556</v>
      </c>
      <c r="J7" t="str">
        <f t="shared" si="0"/>
        <v>9363-RC4 IBM 42U Slim Rack</v>
      </c>
    </row>
    <row r="8" spans="1:10">
      <c r="A8" s="16" t="s">
        <v>2867</v>
      </c>
      <c r="B8" s="16" t="s">
        <v>2565</v>
      </c>
      <c r="C8" t="s">
        <v>2868</v>
      </c>
      <c r="D8" t="s">
        <v>2566</v>
      </c>
      <c r="E8" s="17">
        <v>7.0000000000000007E-2</v>
      </c>
      <c r="F8" s="17">
        <v>0.1</v>
      </c>
      <c r="G8" s="17">
        <v>0.1</v>
      </c>
      <c r="H8" s="17">
        <v>0.27</v>
      </c>
      <c r="I8" t="s">
        <v>2556</v>
      </c>
      <c r="J8" t="str">
        <f t="shared" si="0"/>
        <v>1164-95X IBM Rear Door Heat Exchanger</v>
      </c>
    </row>
    <row r="9" spans="1:10">
      <c r="A9" s="16" t="s">
        <v>2869</v>
      </c>
      <c r="B9" s="16" t="s">
        <v>2557</v>
      </c>
      <c r="C9" t="s">
        <v>2870</v>
      </c>
      <c r="D9" t="s">
        <v>2555</v>
      </c>
      <c r="E9" s="17">
        <v>0.05</v>
      </c>
      <c r="F9" s="17">
        <v>7.0000000000000007E-2</v>
      </c>
      <c r="G9" s="17">
        <v>7.0000000000000007E-2</v>
      </c>
      <c r="H9" s="17">
        <v>0.19</v>
      </c>
      <c r="I9" t="s">
        <v>2556</v>
      </c>
      <c r="J9" t="str">
        <f t="shared" si="0"/>
        <v>8737-15X IBM Flex System x240 Compute Node</v>
      </c>
    </row>
    <row r="10" spans="1:10">
      <c r="A10" s="16" t="s">
        <v>2505</v>
      </c>
      <c r="B10" s="16" t="s">
        <v>2567</v>
      </c>
      <c r="C10" t="s">
        <v>2888</v>
      </c>
      <c r="D10" t="s">
        <v>2887</v>
      </c>
      <c r="E10" s="17">
        <v>0.05</v>
      </c>
      <c r="F10" s="17">
        <v>0.05</v>
      </c>
      <c r="G10" s="17">
        <v>0.05</v>
      </c>
      <c r="H10" s="17">
        <v>0.15</v>
      </c>
      <c r="I10" t="s">
        <v>2556</v>
      </c>
      <c r="J10" t="str">
        <f t="shared" si="0"/>
        <v>7893-92X IBM Flex System Enterprise Chassis IBM F</v>
      </c>
    </row>
    <row r="11" spans="1:10">
      <c r="A11" s="16" t="s">
        <v>2500</v>
      </c>
      <c r="B11" s="16" t="s">
        <v>2568</v>
      </c>
      <c r="C11" t="s">
        <v>2882</v>
      </c>
      <c r="D11" t="s">
        <v>2564</v>
      </c>
      <c r="E11" s="17">
        <v>0.05</v>
      </c>
      <c r="F11" s="17">
        <v>0.05</v>
      </c>
      <c r="G11" s="17">
        <v>0.05</v>
      </c>
      <c r="H11" s="17">
        <v>0.15</v>
      </c>
      <c r="I11" t="s">
        <v>2556</v>
      </c>
      <c r="J11" t="str">
        <f t="shared" si="0"/>
        <v>7953-94X IBM 42U Slim Rack</v>
      </c>
    </row>
    <row r="12" spans="1:10">
      <c r="A12" s="16" t="s">
        <v>2502</v>
      </c>
      <c r="B12" s="16" t="s">
        <v>2569</v>
      </c>
      <c r="C12" s="16" t="s">
        <v>2501</v>
      </c>
      <c r="D12" t="s">
        <v>2570</v>
      </c>
      <c r="E12" s="17">
        <v>0.27</v>
      </c>
      <c r="F12" s="17">
        <v>0.05</v>
      </c>
      <c r="G12" s="17">
        <v>0.05</v>
      </c>
      <c r="H12" s="17">
        <v>0.37</v>
      </c>
      <c r="I12" t="s">
        <v>2556</v>
      </c>
      <c r="J12" t="str">
        <f t="shared" si="0"/>
        <v>7955-01M IBM Flex System Manager</v>
      </c>
    </row>
    <row r="13" spans="1:10">
      <c r="A13" s="16" t="s">
        <v>2498</v>
      </c>
      <c r="B13" s="16" t="s">
        <v>2571</v>
      </c>
      <c r="C13" s="16" t="s">
        <v>2572</v>
      </c>
      <c r="D13" t="s">
        <v>2573</v>
      </c>
      <c r="E13" s="17">
        <v>0.27</v>
      </c>
      <c r="F13" s="17">
        <v>0.05</v>
      </c>
      <c r="G13" s="17">
        <v>0.05</v>
      </c>
      <c r="H13" s="17">
        <v>0.37</v>
      </c>
      <c r="I13" t="s">
        <v>2556</v>
      </c>
      <c r="J13" t="str">
        <f>CONCATENATE(A13," ",D13)</f>
        <v>7895-22X IBM Flex System p260 Compute Node</v>
      </c>
    </row>
    <row r="14" spans="1:10">
      <c r="A14" s="16" t="s">
        <v>2509</v>
      </c>
      <c r="B14" s="16" t="s">
        <v>2571</v>
      </c>
      <c r="C14" s="16" t="s">
        <v>2877</v>
      </c>
      <c r="D14" t="s">
        <v>2878</v>
      </c>
      <c r="E14" s="17">
        <v>0.27</v>
      </c>
      <c r="F14" s="17">
        <v>0.05</v>
      </c>
      <c r="G14" s="17">
        <v>0.05</v>
      </c>
      <c r="H14" s="17">
        <v>0.37</v>
      </c>
      <c r="I14" t="s">
        <v>2556</v>
      </c>
      <c r="J14" t="str">
        <f t="shared" si="0"/>
        <v>7895-23X IBM Flex System p260+</v>
      </c>
    </row>
    <row r="15" spans="1:10">
      <c r="A15" s="16" t="s">
        <v>2499</v>
      </c>
      <c r="B15" s="16" t="s">
        <v>2571</v>
      </c>
      <c r="C15" s="16" t="s">
        <v>2574</v>
      </c>
      <c r="D15" t="s">
        <v>2575</v>
      </c>
      <c r="E15" s="17">
        <v>0.27</v>
      </c>
      <c r="F15" s="17">
        <v>0.05</v>
      </c>
      <c r="G15" s="17">
        <v>0.05</v>
      </c>
      <c r="H15" s="17">
        <v>0.37</v>
      </c>
      <c r="I15" t="s">
        <v>2556</v>
      </c>
      <c r="J15" t="str">
        <f t="shared" si="0"/>
        <v>7895-42X IBM Flex System p460 Compute Node</v>
      </c>
    </row>
    <row r="16" spans="1:10">
      <c r="A16" s="16" t="s">
        <v>2879</v>
      </c>
      <c r="B16" s="16" t="s">
        <v>2571</v>
      </c>
      <c r="C16" s="16" t="s">
        <v>2880</v>
      </c>
      <c r="D16" t="s">
        <v>2881</v>
      </c>
      <c r="E16" s="17">
        <v>0.27</v>
      </c>
      <c r="F16" s="17">
        <v>0.05</v>
      </c>
      <c r="G16" s="17">
        <v>0.05</v>
      </c>
      <c r="H16" s="17">
        <v>0.37</v>
      </c>
      <c r="I16" t="s">
        <v>2556</v>
      </c>
      <c r="J16" t="str">
        <f>CONCATENATE(A16," ",D16)</f>
        <v>7895-43X IBM Flex System p460+</v>
      </c>
    </row>
    <row r="17" spans="1:10">
      <c r="A17" s="16" t="s">
        <v>2883</v>
      </c>
      <c r="B17" s="16" t="s">
        <v>2884</v>
      </c>
      <c r="C17" s="16" t="s">
        <v>2885</v>
      </c>
      <c r="D17" t="s">
        <v>2886</v>
      </c>
      <c r="E17" s="17">
        <v>0.27</v>
      </c>
      <c r="F17" s="17">
        <v>0.05</v>
      </c>
      <c r="G17" s="17">
        <v>0.05</v>
      </c>
      <c r="H17" s="17">
        <v>0.37</v>
      </c>
      <c r="I17" t="s">
        <v>2556</v>
      </c>
      <c r="J17" t="str">
        <f>CONCATENATE(A17," ",D17)</f>
        <v>7854-24X IBM Flex System p270+</v>
      </c>
    </row>
    <row r="18" spans="1:10">
      <c r="A18" s="16" t="s">
        <v>2871</v>
      </c>
      <c r="B18" s="16" t="s">
        <v>2871</v>
      </c>
      <c r="D18" t="s">
        <v>2872</v>
      </c>
      <c r="E18" s="17">
        <v>0.05</v>
      </c>
      <c r="F18" s="17">
        <v>7.0000000000000007E-2</v>
      </c>
      <c r="G18" s="17">
        <v>7.0000000000000007E-2</v>
      </c>
      <c r="H18" s="17">
        <v>0.19</v>
      </c>
      <c r="I18" t="s">
        <v>2556</v>
      </c>
      <c r="J18" t="str">
        <f t="shared" si="0"/>
        <v>7906 IBM Flex System x220 Compute Node</v>
      </c>
    </row>
    <row r="19" spans="1:10">
      <c r="A19" s="16" t="s">
        <v>2873</v>
      </c>
      <c r="B19" s="16" t="s">
        <v>2873</v>
      </c>
      <c r="D19" t="s">
        <v>2875</v>
      </c>
      <c r="E19" s="17">
        <v>0.05</v>
      </c>
      <c r="F19" s="17">
        <v>7.0000000000000007E-2</v>
      </c>
      <c r="G19" s="17">
        <v>7.0000000000000007E-2</v>
      </c>
      <c r="H19" s="17">
        <v>0.19</v>
      </c>
      <c r="I19" t="s">
        <v>2556</v>
      </c>
      <c r="J19" t="str">
        <f>CONCATENATE(A19," ",D19)</f>
        <v>7916 IBM Flex System x222 Compute Node</v>
      </c>
    </row>
    <row r="20" spans="1:10">
      <c r="A20" s="16" t="s">
        <v>2876</v>
      </c>
      <c r="B20" s="16" t="s">
        <v>2876</v>
      </c>
      <c r="D20" t="s">
        <v>2874</v>
      </c>
      <c r="E20" s="17">
        <v>0.05</v>
      </c>
      <c r="F20" s="17">
        <v>7.0000000000000007E-2</v>
      </c>
      <c r="G20" s="17">
        <v>7.0000000000000007E-2</v>
      </c>
      <c r="H20" s="17">
        <v>0.19</v>
      </c>
      <c r="I20" t="s">
        <v>2556</v>
      </c>
      <c r="J20" t="str">
        <f>CONCATENATE(A20," ",D20)</f>
        <v>7917 IBM Flex System x440 Compute Node</v>
      </c>
    </row>
    <row r="21" spans="1:10">
      <c r="A21" t="s">
        <v>9999</v>
      </c>
      <c r="B21" s="322" t="s">
        <v>10000</v>
      </c>
      <c r="C21" s="322" t="s">
        <v>2922</v>
      </c>
      <c r="D21" t="s">
        <v>10001</v>
      </c>
      <c r="E21" s="17">
        <v>0.5</v>
      </c>
      <c r="F21" s="17">
        <v>0</v>
      </c>
      <c r="G21" s="17">
        <v>0</v>
      </c>
      <c r="H21" s="17">
        <v>0.5</v>
      </c>
      <c r="I21" t="s">
        <v>75</v>
      </c>
      <c r="J21" t="s">
        <v>10002</v>
      </c>
    </row>
    <row r="22" spans="1:10">
      <c r="A22" t="s">
        <v>2923</v>
      </c>
      <c r="B22" s="322" t="s">
        <v>3061</v>
      </c>
      <c r="C22" s="322" t="s">
        <v>2922</v>
      </c>
      <c r="D22" t="s">
        <v>10003</v>
      </c>
      <c r="E22" s="17">
        <v>0.45</v>
      </c>
      <c r="F22" s="17">
        <v>0</v>
      </c>
      <c r="G22" s="17">
        <v>0</v>
      </c>
      <c r="H22" s="17">
        <v>0.45</v>
      </c>
      <c r="I22" t="s">
        <v>75</v>
      </c>
      <c r="J22" t="s">
        <v>10004</v>
      </c>
    </row>
    <row r="23" spans="1:10">
      <c r="A23" t="s">
        <v>2967</v>
      </c>
      <c r="B23" s="322" t="s">
        <v>83</v>
      </c>
      <c r="C23" s="322" t="s">
        <v>3020</v>
      </c>
      <c r="D23" t="s">
        <v>10005</v>
      </c>
      <c r="E23" s="17">
        <v>0.2</v>
      </c>
      <c r="F23" s="17">
        <v>0</v>
      </c>
      <c r="G23" s="17">
        <v>0</v>
      </c>
      <c r="H23" s="17">
        <v>0.2</v>
      </c>
      <c r="I23" t="s">
        <v>75</v>
      </c>
      <c r="J23" t="s">
        <v>10006</v>
      </c>
    </row>
    <row r="24" spans="1:10">
      <c r="A24" t="s">
        <v>2968</v>
      </c>
      <c r="B24" s="322" t="s">
        <v>83</v>
      </c>
      <c r="C24" s="322" t="s">
        <v>3021</v>
      </c>
      <c r="D24" t="s">
        <v>10007</v>
      </c>
      <c r="E24" s="17">
        <v>0.2</v>
      </c>
      <c r="F24" s="17">
        <v>0</v>
      </c>
      <c r="G24" s="17">
        <v>0</v>
      </c>
      <c r="H24" s="17">
        <v>0.2</v>
      </c>
      <c r="I24" t="s">
        <v>75</v>
      </c>
      <c r="J24" t="s">
        <v>10008</v>
      </c>
    </row>
    <row r="25" spans="1:10">
      <c r="A25" t="s">
        <v>10009</v>
      </c>
      <c r="B25" s="322" t="s">
        <v>10010</v>
      </c>
      <c r="C25" s="322" t="s">
        <v>2470</v>
      </c>
      <c r="D25" t="s">
        <v>10011</v>
      </c>
      <c r="E25" s="17">
        <v>0.6</v>
      </c>
      <c r="F25" s="17">
        <v>0</v>
      </c>
      <c r="G25" s="17">
        <v>0</v>
      </c>
      <c r="H25" s="17">
        <v>0.6</v>
      </c>
      <c r="I25" t="s">
        <v>75</v>
      </c>
      <c r="J25" t="s">
        <v>10012</v>
      </c>
    </row>
    <row r="26" spans="1:10">
      <c r="A26" t="s">
        <v>10013</v>
      </c>
      <c r="B26" s="322" t="s">
        <v>10010</v>
      </c>
      <c r="C26" s="322" t="s">
        <v>2576</v>
      </c>
      <c r="D26" t="s">
        <v>10014</v>
      </c>
      <c r="E26" s="17">
        <v>0.6</v>
      </c>
      <c r="F26" s="17">
        <v>0</v>
      </c>
      <c r="G26" s="17">
        <v>0</v>
      </c>
      <c r="H26" s="17">
        <v>0.6</v>
      </c>
      <c r="I26" t="s">
        <v>75</v>
      </c>
      <c r="J26" t="s">
        <v>10015</v>
      </c>
    </row>
    <row r="27" spans="1:10">
      <c r="A27" t="s">
        <v>3122</v>
      </c>
      <c r="B27" s="322" t="s">
        <v>10010</v>
      </c>
      <c r="C27" s="322" t="s">
        <v>2471</v>
      </c>
      <c r="D27" t="s">
        <v>10016</v>
      </c>
      <c r="E27" s="17">
        <v>0.6</v>
      </c>
      <c r="F27" s="17">
        <v>0</v>
      </c>
      <c r="G27" s="17">
        <v>0</v>
      </c>
      <c r="H27" s="17">
        <v>0.6</v>
      </c>
      <c r="I27" t="s">
        <v>75</v>
      </c>
      <c r="J27" t="s">
        <v>10017</v>
      </c>
    </row>
    <row r="28" spans="1:10">
      <c r="A28" t="s">
        <v>3123</v>
      </c>
      <c r="B28" s="322" t="s">
        <v>10010</v>
      </c>
      <c r="C28" s="322" t="s">
        <v>2202</v>
      </c>
      <c r="D28" t="s">
        <v>10018</v>
      </c>
      <c r="E28" s="17">
        <v>0.6</v>
      </c>
      <c r="F28" s="17">
        <v>0</v>
      </c>
      <c r="G28" s="17">
        <v>0</v>
      </c>
      <c r="H28" s="17">
        <v>0.6</v>
      </c>
      <c r="I28" t="s">
        <v>75</v>
      </c>
      <c r="J28" t="s">
        <v>10019</v>
      </c>
    </row>
    <row r="29" spans="1:10">
      <c r="A29" t="s">
        <v>10020</v>
      </c>
      <c r="B29" s="322" t="s">
        <v>10010</v>
      </c>
      <c r="C29" s="322" t="s">
        <v>3124</v>
      </c>
      <c r="D29" t="s">
        <v>10021</v>
      </c>
      <c r="E29" s="17">
        <v>0.6</v>
      </c>
      <c r="F29" s="17">
        <v>0</v>
      </c>
      <c r="G29" s="17">
        <v>0</v>
      </c>
      <c r="H29" s="17">
        <v>0.6</v>
      </c>
      <c r="I29" t="s">
        <v>75</v>
      </c>
      <c r="J29" t="s">
        <v>10022</v>
      </c>
    </row>
    <row r="30" spans="1:10">
      <c r="A30" t="s">
        <v>10023</v>
      </c>
      <c r="B30" s="322" t="s">
        <v>10010</v>
      </c>
      <c r="C30" s="322" t="s">
        <v>3125</v>
      </c>
      <c r="D30" t="s">
        <v>10024</v>
      </c>
      <c r="E30" s="17">
        <v>0.6</v>
      </c>
      <c r="F30" s="17">
        <v>0</v>
      </c>
      <c r="G30" s="17">
        <v>0</v>
      </c>
      <c r="H30" s="17">
        <v>0.6</v>
      </c>
      <c r="I30" t="s">
        <v>75</v>
      </c>
      <c r="J30" t="s">
        <v>10025</v>
      </c>
    </row>
    <row r="31" spans="1:10">
      <c r="A31" t="s">
        <v>10026</v>
      </c>
      <c r="B31" s="322" t="s">
        <v>3080</v>
      </c>
      <c r="C31" s="322" t="s">
        <v>10027</v>
      </c>
      <c r="D31" t="s">
        <v>2482</v>
      </c>
      <c r="E31" s="17">
        <v>0.61</v>
      </c>
      <c r="F31" s="17">
        <v>0.05</v>
      </c>
      <c r="G31" s="17">
        <v>0.05</v>
      </c>
      <c r="H31" s="17">
        <v>0.71</v>
      </c>
      <c r="I31" t="s">
        <v>75</v>
      </c>
      <c r="J31" t="s">
        <v>10028</v>
      </c>
    </row>
    <row r="32" spans="1:10">
      <c r="A32" t="s">
        <v>160</v>
      </c>
      <c r="B32" s="322" t="s">
        <v>3081</v>
      </c>
      <c r="C32" s="322" t="s">
        <v>2188</v>
      </c>
      <c r="D32" t="s">
        <v>10029</v>
      </c>
      <c r="E32" s="17">
        <v>0.61</v>
      </c>
      <c r="F32" s="17">
        <v>0.05</v>
      </c>
      <c r="G32" s="17">
        <v>0.05</v>
      </c>
      <c r="H32" s="17">
        <v>0.71</v>
      </c>
      <c r="I32" t="s">
        <v>75</v>
      </c>
      <c r="J32" t="s">
        <v>10030</v>
      </c>
    </row>
    <row r="33" spans="1:10">
      <c r="A33" t="s">
        <v>3008</v>
      </c>
      <c r="B33" s="322" t="s">
        <v>3081</v>
      </c>
      <c r="C33" s="322" t="s">
        <v>3082</v>
      </c>
      <c r="D33" t="s">
        <v>10031</v>
      </c>
      <c r="E33" s="17">
        <v>0.61</v>
      </c>
      <c r="F33" s="17">
        <v>0.05</v>
      </c>
      <c r="G33" s="17">
        <v>0.05</v>
      </c>
      <c r="H33" s="17">
        <v>0.71</v>
      </c>
      <c r="I33" t="s">
        <v>75</v>
      </c>
      <c r="J33" t="s">
        <v>10032</v>
      </c>
    </row>
    <row r="34" spans="1:10">
      <c r="A34" t="s">
        <v>2238</v>
      </c>
      <c r="B34" s="322" t="s">
        <v>3081</v>
      </c>
      <c r="C34" s="322" t="s">
        <v>2189</v>
      </c>
      <c r="D34" t="s">
        <v>10031</v>
      </c>
      <c r="E34" s="17">
        <v>0.61</v>
      </c>
      <c r="F34" s="17">
        <v>0.05</v>
      </c>
      <c r="G34" s="17">
        <v>0.05</v>
      </c>
      <c r="H34" s="17">
        <v>0.71</v>
      </c>
      <c r="I34" t="s">
        <v>75</v>
      </c>
      <c r="J34" t="s">
        <v>10033</v>
      </c>
    </row>
    <row r="35" spans="1:10">
      <c r="A35" t="s">
        <v>161</v>
      </c>
      <c r="B35" s="322" t="s">
        <v>3081</v>
      </c>
      <c r="C35" s="322" t="s">
        <v>2190</v>
      </c>
      <c r="D35" t="s">
        <v>10034</v>
      </c>
      <c r="E35" s="17">
        <v>0.61</v>
      </c>
      <c r="F35" s="17">
        <v>0.05</v>
      </c>
      <c r="G35" s="17">
        <v>0.05</v>
      </c>
      <c r="H35" s="17">
        <v>0.71</v>
      </c>
      <c r="I35" t="s">
        <v>75</v>
      </c>
      <c r="J35" t="s">
        <v>10035</v>
      </c>
    </row>
    <row r="36" spans="1:10">
      <c r="A36" t="s">
        <v>3009</v>
      </c>
      <c r="B36" s="322" t="s">
        <v>3081</v>
      </c>
      <c r="C36" s="322" t="s">
        <v>3031</v>
      </c>
      <c r="D36" t="s">
        <v>10034</v>
      </c>
      <c r="E36" s="17">
        <v>0.61</v>
      </c>
      <c r="F36" s="17">
        <v>0.05</v>
      </c>
      <c r="G36" s="17">
        <v>0.05</v>
      </c>
      <c r="H36" s="17">
        <v>0.71</v>
      </c>
      <c r="I36" t="s">
        <v>75</v>
      </c>
      <c r="J36" t="s">
        <v>10036</v>
      </c>
    </row>
    <row r="37" spans="1:10">
      <c r="A37" t="s">
        <v>3010</v>
      </c>
      <c r="B37" s="322" t="s">
        <v>3081</v>
      </c>
      <c r="C37" s="322" t="s">
        <v>3083</v>
      </c>
      <c r="D37" t="s">
        <v>10037</v>
      </c>
      <c r="E37" s="17">
        <v>0.61</v>
      </c>
      <c r="F37" s="17">
        <v>0.05</v>
      </c>
      <c r="G37" s="17">
        <v>0.05</v>
      </c>
      <c r="H37" s="17">
        <v>0.71</v>
      </c>
      <c r="I37" t="s">
        <v>75</v>
      </c>
      <c r="J37" t="s">
        <v>10038</v>
      </c>
    </row>
    <row r="38" spans="1:10">
      <c r="A38" t="s">
        <v>2889</v>
      </c>
      <c r="B38" s="322" t="s">
        <v>10039</v>
      </c>
      <c r="C38" s="322" t="s">
        <v>2470</v>
      </c>
      <c r="D38" t="s">
        <v>10040</v>
      </c>
      <c r="E38" s="17">
        <v>0.73</v>
      </c>
      <c r="F38" s="17">
        <v>0</v>
      </c>
      <c r="G38" s="17">
        <v>0</v>
      </c>
      <c r="H38" s="17">
        <v>0.73</v>
      </c>
      <c r="I38" t="s">
        <v>75</v>
      </c>
      <c r="J38" t="s">
        <v>10041</v>
      </c>
    </row>
    <row r="39" spans="1:10">
      <c r="A39" t="s">
        <v>2892</v>
      </c>
      <c r="B39" s="322" t="s">
        <v>10039</v>
      </c>
      <c r="C39" s="322" t="s">
        <v>2576</v>
      </c>
      <c r="D39" t="s">
        <v>10042</v>
      </c>
      <c r="E39" s="17">
        <v>0.73</v>
      </c>
      <c r="F39" s="17">
        <v>0</v>
      </c>
      <c r="G39" s="17">
        <v>0</v>
      </c>
      <c r="H39" s="17">
        <v>0.73</v>
      </c>
      <c r="I39" t="s">
        <v>75</v>
      </c>
      <c r="J39" t="s">
        <v>10043</v>
      </c>
    </row>
    <row r="40" spans="1:10">
      <c r="A40" t="s">
        <v>2893</v>
      </c>
      <c r="B40" s="322" t="s">
        <v>10039</v>
      </c>
      <c r="C40" s="322" t="s">
        <v>2471</v>
      </c>
      <c r="D40" t="s">
        <v>10044</v>
      </c>
      <c r="E40" s="17">
        <v>0.73</v>
      </c>
      <c r="F40" s="17">
        <v>0</v>
      </c>
      <c r="G40" s="17">
        <v>0</v>
      </c>
      <c r="H40" s="17">
        <v>0.73</v>
      </c>
      <c r="I40" t="s">
        <v>75</v>
      </c>
      <c r="J40" t="s">
        <v>10045</v>
      </c>
    </row>
    <row r="41" spans="1:10">
      <c r="A41" t="s">
        <v>2894</v>
      </c>
      <c r="B41" s="322" t="s">
        <v>10039</v>
      </c>
      <c r="C41" s="322" t="s">
        <v>2202</v>
      </c>
      <c r="D41" t="s">
        <v>10046</v>
      </c>
      <c r="E41" s="17">
        <v>0.73</v>
      </c>
      <c r="F41" s="17">
        <v>0</v>
      </c>
      <c r="G41" s="17">
        <v>0</v>
      </c>
      <c r="H41" s="17">
        <v>0.73</v>
      </c>
      <c r="I41" t="s">
        <v>75</v>
      </c>
      <c r="J41" t="s">
        <v>10047</v>
      </c>
    </row>
    <row r="42" spans="1:10">
      <c r="A42" t="s">
        <v>2940</v>
      </c>
      <c r="B42" s="322" t="s">
        <v>10048</v>
      </c>
      <c r="C42" s="322" t="s">
        <v>2470</v>
      </c>
      <c r="D42" t="s">
        <v>10049</v>
      </c>
      <c r="E42" s="17">
        <v>0.73</v>
      </c>
      <c r="F42" s="17">
        <v>0</v>
      </c>
      <c r="G42" s="17">
        <v>0</v>
      </c>
      <c r="H42" s="17">
        <v>0.73</v>
      </c>
      <c r="I42" t="s">
        <v>75</v>
      </c>
      <c r="J42" t="s">
        <v>10050</v>
      </c>
    </row>
    <row r="43" spans="1:10">
      <c r="A43" t="s">
        <v>2941</v>
      </c>
      <c r="B43" s="322" t="s">
        <v>10048</v>
      </c>
      <c r="C43" s="322" t="s">
        <v>2576</v>
      </c>
      <c r="D43" t="s">
        <v>10051</v>
      </c>
      <c r="E43" s="17">
        <v>0.73</v>
      </c>
      <c r="F43" s="17">
        <v>0</v>
      </c>
      <c r="G43" s="17">
        <v>0</v>
      </c>
      <c r="H43" s="17">
        <v>0.73</v>
      </c>
      <c r="I43" t="s">
        <v>75</v>
      </c>
      <c r="J43" t="s">
        <v>10052</v>
      </c>
    </row>
    <row r="44" spans="1:10">
      <c r="A44" t="s">
        <v>2942</v>
      </c>
      <c r="B44" s="322" t="s">
        <v>10048</v>
      </c>
      <c r="C44" s="322" t="s">
        <v>2471</v>
      </c>
      <c r="D44" t="s">
        <v>10053</v>
      </c>
      <c r="E44" s="17">
        <v>0.73</v>
      </c>
      <c r="F44" s="17">
        <v>0</v>
      </c>
      <c r="G44" s="17">
        <v>0</v>
      </c>
      <c r="H44" s="17">
        <v>0.73</v>
      </c>
      <c r="I44" t="s">
        <v>75</v>
      </c>
      <c r="J44" t="s">
        <v>10054</v>
      </c>
    </row>
    <row r="45" spans="1:10">
      <c r="A45" t="s">
        <v>2943</v>
      </c>
      <c r="B45" s="322" t="s">
        <v>10048</v>
      </c>
      <c r="C45" s="322" t="s">
        <v>2202</v>
      </c>
      <c r="D45" t="s">
        <v>10055</v>
      </c>
      <c r="E45" s="17">
        <v>0.73</v>
      </c>
      <c r="F45" s="17">
        <v>0</v>
      </c>
      <c r="G45" s="17">
        <v>0</v>
      </c>
      <c r="H45" s="17">
        <v>0.73</v>
      </c>
      <c r="I45" t="s">
        <v>75</v>
      </c>
      <c r="J45" t="s">
        <v>10056</v>
      </c>
    </row>
    <row r="46" spans="1:10">
      <c r="A46" t="s">
        <v>2971</v>
      </c>
      <c r="B46" s="322" t="s">
        <v>85</v>
      </c>
      <c r="C46" s="322" t="s">
        <v>3024</v>
      </c>
      <c r="D46" t="s">
        <v>10057</v>
      </c>
      <c r="E46" s="17">
        <v>0.33</v>
      </c>
      <c r="F46" s="17">
        <v>0</v>
      </c>
      <c r="G46" s="17">
        <v>0</v>
      </c>
      <c r="H46" s="17">
        <v>0.33</v>
      </c>
      <c r="I46" t="s">
        <v>75</v>
      </c>
      <c r="J46" t="s">
        <v>10058</v>
      </c>
    </row>
    <row r="47" spans="1:10">
      <c r="A47" t="s">
        <v>10059</v>
      </c>
      <c r="B47" s="322" t="s">
        <v>10060</v>
      </c>
      <c r="C47" s="322" t="s">
        <v>10061</v>
      </c>
      <c r="D47" t="s">
        <v>10062</v>
      </c>
      <c r="E47" s="17">
        <v>0.5</v>
      </c>
      <c r="F47" s="17">
        <v>0.05</v>
      </c>
      <c r="G47" s="17">
        <v>0</v>
      </c>
      <c r="H47" s="17">
        <v>0.55000000000000004</v>
      </c>
      <c r="I47" t="s">
        <v>75</v>
      </c>
      <c r="J47" t="s">
        <v>10063</v>
      </c>
    </row>
    <row r="48" spans="1:10">
      <c r="A48" t="s">
        <v>10064</v>
      </c>
      <c r="B48" s="322" t="s">
        <v>3030</v>
      </c>
      <c r="C48" s="322" t="s">
        <v>3031</v>
      </c>
      <c r="D48" t="s">
        <v>10065</v>
      </c>
      <c r="E48" s="17">
        <v>0.5</v>
      </c>
      <c r="F48" s="17">
        <v>0.05</v>
      </c>
      <c r="G48" s="17">
        <v>0.05</v>
      </c>
      <c r="H48" s="17">
        <v>0.6</v>
      </c>
      <c r="I48" t="s">
        <v>75</v>
      </c>
      <c r="J48" t="s">
        <v>10066</v>
      </c>
    </row>
    <row r="49" spans="1:10">
      <c r="A49" t="s">
        <v>10067</v>
      </c>
      <c r="B49" s="322" t="s">
        <v>3030</v>
      </c>
      <c r="C49" s="322" t="s">
        <v>10068</v>
      </c>
      <c r="D49" t="s">
        <v>10069</v>
      </c>
      <c r="E49" s="17">
        <v>0.5</v>
      </c>
      <c r="F49" s="17">
        <v>0.05</v>
      </c>
      <c r="G49" s="17">
        <v>0.05</v>
      </c>
      <c r="H49" s="17">
        <v>0.6</v>
      </c>
      <c r="I49" t="s">
        <v>75</v>
      </c>
      <c r="J49" t="s">
        <v>10070</v>
      </c>
    </row>
    <row r="50" spans="1:10">
      <c r="A50" t="s">
        <v>86</v>
      </c>
      <c r="B50" s="322" t="s">
        <v>5149</v>
      </c>
      <c r="C50" s="322" t="s">
        <v>3037</v>
      </c>
      <c r="D50" t="s">
        <v>222</v>
      </c>
      <c r="E50" s="17">
        <v>0.45</v>
      </c>
      <c r="F50" s="17">
        <v>0.05</v>
      </c>
      <c r="G50" s="17">
        <v>0.05</v>
      </c>
      <c r="H50" s="17">
        <v>0.55000000000000004</v>
      </c>
      <c r="I50" t="s">
        <v>75</v>
      </c>
      <c r="J50" t="s">
        <v>3038</v>
      </c>
    </row>
    <row r="51" spans="1:10">
      <c r="A51" t="s">
        <v>223</v>
      </c>
      <c r="B51" s="322" t="s">
        <v>3025</v>
      </c>
      <c r="C51" s="322" t="s">
        <v>3026</v>
      </c>
      <c r="D51" t="s">
        <v>2015</v>
      </c>
      <c r="E51" s="17">
        <v>0.6</v>
      </c>
      <c r="F51" s="17">
        <v>0</v>
      </c>
      <c r="G51" s="17">
        <v>0</v>
      </c>
      <c r="H51" s="17">
        <v>0.6</v>
      </c>
      <c r="I51" t="s">
        <v>75</v>
      </c>
      <c r="J51" t="s">
        <v>3027</v>
      </c>
    </row>
    <row r="52" spans="1:10">
      <c r="A52" t="s">
        <v>2972</v>
      </c>
      <c r="B52" s="322" t="s">
        <v>3040</v>
      </c>
      <c r="C52" s="322" t="s">
        <v>3041</v>
      </c>
      <c r="D52" t="s">
        <v>10071</v>
      </c>
      <c r="E52" s="17">
        <v>0.45</v>
      </c>
      <c r="F52" s="17">
        <v>0.05</v>
      </c>
      <c r="G52" s="17">
        <v>0.05</v>
      </c>
      <c r="H52" s="17">
        <v>0.55000000000000004</v>
      </c>
      <c r="I52" t="s">
        <v>75</v>
      </c>
      <c r="J52" t="s">
        <v>10072</v>
      </c>
    </row>
    <row r="53" spans="1:10">
      <c r="A53" t="s">
        <v>10073</v>
      </c>
      <c r="B53" s="322" t="s">
        <v>3040</v>
      </c>
      <c r="C53" s="322" t="s">
        <v>10074</v>
      </c>
      <c r="D53" t="s">
        <v>10075</v>
      </c>
      <c r="E53" s="17">
        <v>0.45</v>
      </c>
      <c r="F53" s="17">
        <v>0.05</v>
      </c>
      <c r="G53" s="17">
        <v>0.05</v>
      </c>
      <c r="H53" s="17">
        <v>0.55000000000000004</v>
      </c>
      <c r="I53" t="s">
        <v>75</v>
      </c>
      <c r="J53" t="s">
        <v>10076</v>
      </c>
    </row>
    <row r="54" spans="1:10">
      <c r="A54" t="s">
        <v>10077</v>
      </c>
      <c r="B54" s="322" t="s">
        <v>3040</v>
      </c>
      <c r="C54" s="322" t="s">
        <v>73</v>
      </c>
      <c r="D54" t="s">
        <v>10078</v>
      </c>
      <c r="E54" s="17">
        <v>0.2</v>
      </c>
      <c r="F54" s="17">
        <v>0</v>
      </c>
      <c r="G54" s="17">
        <v>0</v>
      </c>
      <c r="H54" s="17">
        <v>0.2</v>
      </c>
      <c r="I54" t="s">
        <v>75</v>
      </c>
      <c r="J54" t="s">
        <v>10079</v>
      </c>
    </row>
    <row r="55" spans="1:10">
      <c r="A55" t="s">
        <v>2973</v>
      </c>
      <c r="B55" s="322" t="s">
        <v>3042</v>
      </c>
      <c r="C55" s="322" t="s">
        <v>3041</v>
      </c>
      <c r="D55" t="s">
        <v>10071</v>
      </c>
      <c r="E55" s="17">
        <v>0.45</v>
      </c>
      <c r="F55" s="17">
        <v>0.05</v>
      </c>
      <c r="G55" s="17">
        <v>0.05</v>
      </c>
      <c r="H55" s="17">
        <v>0.55000000000000004</v>
      </c>
      <c r="I55" t="s">
        <v>75</v>
      </c>
      <c r="J55" t="s">
        <v>10080</v>
      </c>
    </row>
    <row r="56" spans="1:10">
      <c r="A56" t="s">
        <v>10081</v>
      </c>
      <c r="B56" s="322" t="s">
        <v>3042</v>
      </c>
      <c r="C56" s="322" t="s">
        <v>10074</v>
      </c>
      <c r="D56" t="s">
        <v>10075</v>
      </c>
      <c r="E56" s="17">
        <v>0.45</v>
      </c>
      <c r="F56" s="17">
        <v>0.05</v>
      </c>
      <c r="G56" s="17">
        <v>0.05</v>
      </c>
      <c r="H56" s="17">
        <v>0.55000000000000004</v>
      </c>
      <c r="I56" t="s">
        <v>75</v>
      </c>
      <c r="J56" t="s">
        <v>10082</v>
      </c>
    </row>
    <row r="57" spans="1:10">
      <c r="A57" t="s">
        <v>2974</v>
      </c>
      <c r="B57" s="322" t="s">
        <v>3043</v>
      </c>
      <c r="C57" s="322" t="s">
        <v>3041</v>
      </c>
      <c r="D57" t="s">
        <v>10071</v>
      </c>
      <c r="E57" s="17">
        <v>0.45</v>
      </c>
      <c r="F57" s="17">
        <v>0.05</v>
      </c>
      <c r="G57" s="17">
        <v>0.05</v>
      </c>
      <c r="H57" s="17">
        <v>0.55000000000000004</v>
      </c>
      <c r="I57" t="s">
        <v>75</v>
      </c>
      <c r="J57" t="s">
        <v>10083</v>
      </c>
    </row>
    <row r="58" spans="1:10">
      <c r="A58" t="s">
        <v>10084</v>
      </c>
      <c r="B58" s="322" t="s">
        <v>3043</v>
      </c>
      <c r="C58" s="322" t="s">
        <v>10074</v>
      </c>
      <c r="D58" t="s">
        <v>10075</v>
      </c>
      <c r="E58" s="17">
        <v>0.45</v>
      </c>
      <c r="F58" s="17">
        <v>0.05</v>
      </c>
      <c r="G58" s="17">
        <v>0.05</v>
      </c>
      <c r="H58" s="17">
        <v>0.55000000000000004</v>
      </c>
      <c r="I58" t="s">
        <v>75</v>
      </c>
      <c r="J58" t="s">
        <v>10085</v>
      </c>
    </row>
    <row r="59" spans="1:10">
      <c r="A59" t="s">
        <v>2975</v>
      </c>
      <c r="B59" s="322" t="s">
        <v>3044</v>
      </c>
      <c r="C59" s="322" t="s">
        <v>3041</v>
      </c>
      <c r="D59" t="s">
        <v>10071</v>
      </c>
      <c r="E59" s="17">
        <v>0.45</v>
      </c>
      <c r="F59" s="17">
        <v>0.05</v>
      </c>
      <c r="G59" s="17">
        <v>0.05</v>
      </c>
      <c r="H59" s="17">
        <v>0.55000000000000004</v>
      </c>
      <c r="I59" t="s">
        <v>75</v>
      </c>
      <c r="J59" t="s">
        <v>10086</v>
      </c>
    </row>
    <row r="60" spans="1:10">
      <c r="A60" t="s">
        <v>10087</v>
      </c>
      <c r="B60" s="322" t="s">
        <v>3044</v>
      </c>
      <c r="C60" s="322" t="s">
        <v>10074</v>
      </c>
      <c r="D60" t="s">
        <v>10075</v>
      </c>
      <c r="E60" s="17">
        <v>0.45</v>
      </c>
      <c r="F60" s="17">
        <v>0.05</v>
      </c>
      <c r="G60" s="17">
        <v>0.05</v>
      </c>
      <c r="H60" s="17">
        <v>0.55000000000000004</v>
      </c>
      <c r="I60" t="s">
        <v>75</v>
      </c>
      <c r="J60" t="s">
        <v>10088</v>
      </c>
    </row>
    <row r="61" spans="1:10">
      <c r="A61" t="s">
        <v>162</v>
      </c>
      <c r="B61" s="322" t="s">
        <v>87</v>
      </c>
      <c r="C61" s="322" t="s">
        <v>2193</v>
      </c>
      <c r="D61" t="s">
        <v>10089</v>
      </c>
      <c r="E61" s="17">
        <v>0.43</v>
      </c>
      <c r="F61" s="17">
        <v>0</v>
      </c>
      <c r="G61" s="17">
        <v>0</v>
      </c>
      <c r="H61" s="17">
        <v>0.43</v>
      </c>
      <c r="I61" t="s">
        <v>75</v>
      </c>
      <c r="J61" t="s">
        <v>10090</v>
      </c>
    </row>
    <row r="62" spans="1:10">
      <c r="A62" t="s">
        <v>2524</v>
      </c>
      <c r="B62" s="322" t="s">
        <v>87</v>
      </c>
      <c r="C62" s="322" t="s">
        <v>2526</v>
      </c>
      <c r="D62" t="s">
        <v>10091</v>
      </c>
      <c r="E62" s="17">
        <v>0.55000000000000004</v>
      </c>
      <c r="F62" s="17">
        <v>0</v>
      </c>
      <c r="G62" s="17">
        <v>0</v>
      </c>
      <c r="H62" s="17">
        <v>0.55000000000000004</v>
      </c>
      <c r="I62" t="s">
        <v>75</v>
      </c>
      <c r="J62" t="s">
        <v>10092</v>
      </c>
    </row>
    <row r="63" spans="1:10">
      <c r="A63" t="s">
        <v>2898</v>
      </c>
      <c r="B63" s="322" t="s">
        <v>87</v>
      </c>
      <c r="C63" s="322" t="s">
        <v>2897</v>
      </c>
      <c r="D63" t="s">
        <v>10091</v>
      </c>
      <c r="E63" s="17">
        <v>0.55000000000000004</v>
      </c>
      <c r="F63" s="17">
        <v>0</v>
      </c>
      <c r="G63" s="17">
        <v>0</v>
      </c>
      <c r="H63" s="17">
        <v>0.55000000000000004</v>
      </c>
      <c r="I63" t="s">
        <v>75</v>
      </c>
      <c r="J63" t="s">
        <v>10093</v>
      </c>
    </row>
    <row r="64" spans="1:10">
      <c r="A64" t="s">
        <v>10094</v>
      </c>
      <c r="B64" s="322" t="s">
        <v>87</v>
      </c>
      <c r="C64" s="322" t="s">
        <v>10095</v>
      </c>
      <c r="D64" t="s">
        <v>10096</v>
      </c>
      <c r="E64" s="17">
        <v>0.55000000000000004</v>
      </c>
      <c r="F64" s="17">
        <v>0</v>
      </c>
      <c r="G64" s="17">
        <v>0</v>
      </c>
      <c r="H64" s="17">
        <v>0.55000000000000004</v>
      </c>
      <c r="I64" t="s">
        <v>75</v>
      </c>
      <c r="J64" t="s">
        <v>10097</v>
      </c>
    </row>
    <row r="65" spans="1:10">
      <c r="A65" t="s">
        <v>2243</v>
      </c>
      <c r="B65" s="322" t="s">
        <v>87</v>
      </c>
      <c r="C65" s="322" t="s">
        <v>2199</v>
      </c>
      <c r="D65" t="s">
        <v>10098</v>
      </c>
      <c r="E65" s="17">
        <v>0.6</v>
      </c>
      <c r="F65" s="17">
        <v>0</v>
      </c>
      <c r="G65" s="17">
        <v>0</v>
      </c>
      <c r="H65" s="17">
        <v>0.6</v>
      </c>
      <c r="I65" t="s">
        <v>75</v>
      </c>
      <c r="J65" t="s">
        <v>10099</v>
      </c>
    </row>
    <row r="66" spans="1:10">
      <c r="A66" t="s">
        <v>10100</v>
      </c>
      <c r="B66" s="322" t="s">
        <v>87</v>
      </c>
      <c r="C66" s="322" t="s">
        <v>10101</v>
      </c>
      <c r="D66" t="s">
        <v>10102</v>
      </c>
      <c r="E66" s="17">
        <v>0.6</v>
      </c>
      <c r="F66" s="17">
        <v>0</v>
      </c>
      <c r="G66" s="17">
        <v>0</v>
      </c>
      <c r="H66" s="17">
        <v>0.6</v>
      </c>
      <c r="I66" t="s">
        <v>75</v>
      </c>
      <c r="J66" t="s">
        <v>10103</v>
      </c>
    </row>
    <row r="67" spans="1:10">
      <c r="A67" t="s">
        <v>3156</v>
      </c>
      <c r="B67" s="322" t="s">
        <v>87</v>
      </c>
      <c r="C67" s="322" t="s">
        <v>3158</v>
      </c>
      <c r="D67" t="s">
        <v>4997</v>
      </c>
      <c r="E67" s="17">
        <v>0.55000000000000004</v>
      </c>
      <c r="F67" s="17">
        <v>0</v>
      </c>
      <c r="G67" s="17">
        <v>0</v>
      </c>
      <c r="H67" s="17">
        <v>0.55000000000000004</v>
      </c>
      <c r="I67" t="s">
        <v>75</v>
      </c>
      <c r="J67" t="s">
        <v>5577</v>
      </c>
    </row>
    <row r="68" spans="1:10">
      <c r="A68" t="s">
        <v>2992</v>
      </c>
      <c r="B68" s="322" t="s">
        <v>3053</v>
      </c>
      <c r="C68" s="322" t="s">
        <v>3054</v>
      </c>
      <c r="D68" t="s">
        <v>10104</v>
      </c>
      <c r="E68" s="17">
        <v>0.62</v>
      </c>
      <c r="F68" s="17">
        <v>0</v>
      </c>
      <c r="G68" s="17">
        <v>0</v>
      </c>
      <c r="H68" s="17">
        <v>0.62</v>
      </c>
      <c r="I68" t="s">
        <v>75</v>
      </c>
      <c r="J68" t="s">
        <v>10105</v>
      </c>
    </row>
    <row r="69" spans="1:10">
      <c r="A69" t="s">
        <v>2993</v>
      </c>
      <c r="B69" s="322" t="s">
        <v>3053</v>
      </c>
      <c r="C69" s="322" t="s">
        <v>3055</v>
      </c>
      <c r="D69" t="s">
        <v>10106</v>
      </c>
      <c r="E69" s="17">
        <v>0.62</v>
      </c>
      <c r="F69" s="17">
        <v>0</v>
      </c>
      <c r="G69" s="17">
        <v>0</v>
      </c>
      <c r="H69" s="17">
        <v>0.62</v>
      </c>
      <c r="I69" t="s">
        <v>75</v>
      </c>
      <c r="J69" t="s">
        <v>10107</v>
      </c>
    </row>
    <row r="70" spans="1:10">
      <c r="A70" t="s">
        <v>2927</v>
      </c>
      <c r="B70" s="322" t="s">
        <v>92</v>
      </c>
      <c r="C70" s="322" t="s">
        <v>2926</v>
      </c>
      <c r="D70" t="s">
        <v>10108</v>
      </c>
      <c r="E70" s="17">
        <v>0.5</v>
      </c>
      <c r="F70" s="17">
        <v>0.05</v>
      </c>
      <c r="G70" s="17">
        <v>0.05</v>
      </c>
      <c r="H70" s="17">
        <v>0.6</v>
      </c>
      <c r="I70" t="s">
        <v>75</v>
      </c>
      <c r="J70" t="s">
        <v>10109</v>
      </c>
    </row>
    <row r="71" spans="1:10">
      <c r="A71" t="s">
        <v>2960</v>
      </c>
      <c r="B71" s="322" t="s">
        <v>94</v>
      </c>
      <c r="C71" s="322" t="s">
        <v>2926</v>
      </c>
      <c r="D71" t="s">
        <v>10110</v>
      </c>
      <c r="E71" s="17">
        <v>0.5</v>
      </c>
      <c r="F71" s="17">
        <v>0.05</v>
      </c>
      <c r="G71" s="17">
        <v>0.05</v>
      </c>
      <c r="H71" s="17">
        <v>0.6</v>
      </c>
      <c r="I71" t="s">
        <v>75</v>
      </c>
      <c r="J71" t="s">
        <v>10111</v>
      </c>
    </row>
    <row r="72" spans="1:10">
      <c r="A72" t="s">
        <v>10112</v>
      </c>
      <c r="B72" s="322" t="s">
        <v>92</v>
      </c>
      <c r="C72" s="322" t="s">
        <v>10113</v>
      </c>
      <c r="D72" t="s">
        <v>10114</v>
      </c>
      <c r="E72" s="17">
        <v>0.5</v>
      </c>
      <c r="F72" s="17">
        <v>0.05</v>
      </c>
      <c r="G72" s="17">
        <v>0.05</v>
      </c>
      <c r="H72" s="17">
        <v>0.6</v>
      </c>
      <c r="I72" t="s">
        <v>75</v>
      </c>
      <c r="J72" t="s">
        <v>10115</v>
      </c>
    </row>
    <row r="73" spans="1:10">
      <c r="A73" t="s">
        <v>10116</v>
      </c>
      <c r="B73" s="322" t="s">
        <v>94</v>
      </c>
      <c r="C73" s="322" t="s">
        <v>10113</v>
      </c>
      <c r="D73" t="s">
        <v>10117</v>
      </c>
      <c r="E73" s="17">
        <v>0.5</v>
      </c>
      <c r="F73" s="17">
        <v>0.05</v>
      </c>
      <c r="G73" s="17">
        <v>0.05</v>
      </c>
      <c r="H73" s="17">
        <v>0.6</v>
      </c>
      <c r="I73" t="s">
        <v>75</v>
      </c>
      <c r="J73" t="s">
        <v>10118</v>
      </c>
    </row>
    <row r="74" spans="1:10">
      <c r="A74" t="s">
        <v>10119</v>
      </c>
      <c r="B74" s="322" t="s">
        <v>10120</v>
      </c>
      <c r="C74" s="322" t="s">
        <v>10121</v>
      </c>
      <c r="D74" t="s">
        <v>10122</v>
      </c>
      <c r="E74" s="17">
        <v>0.45</v>
      </c>
      <c r="F74" s="17">
        <v>0.05</v>
      </c>
      <c r="G74" s="17">
        <v>0.05</v>
      </c>
      <c r="H74" s="17">
        <v>0.55000000000000004</v>
      </c>
      <c r="I74" t="s">
        <v>75</v>
      </c>
      <c r="J74" t="s">
        <v>10123</v>
      </c>
    </row>
    <row r="75" spans="1:10">
      <c r="A75" t="s">
        <v>10124</v>
      </c>
      <c r="B75" s="322" t="s">
        <v>10120</v>
      </c>
      <c r="C75" s="322" t="s">
        <v>10125</v>
      </c>
      <c r="D75" t="s">
        <v>10126</v>
      </c>
      <c r="E75" s="17">
        <v>0.45</v>
      </c>
      <c r="F75" s="17">
        <v>0.05</v>
      </c>
      <c r="G75" s="17">
        <v>0.05</v>
      </c>
      <c r="H75" s="17">
        <v>0.55000000000000004</v>
      </c>
      <c r="I75" t="s">
        <v>75</v>
      </c>
      <c r="J75" t="s">
        <v>10127</v>
      </c>
    </row>
    <row r="76" spans="1:10">
      <c r="A76" t="s">
        <v>10128</v>
      </c>
      <c r="B76" s="322" t="s">
        <v>10129</v>
      </c>
      <c r="C76" s="322" t="s">
        <v>10121</v>
      </c>
      <c r="D76" t="s">
        <v>10122</v>
      </c>
      <c r="E76" s="17">
        <v>0.45</v>
      </c>
      <c r="F76" s="17">
        <v>0.05</v>
      </c>
      <c r="G76" s="17">
        <v>0.05</v>
      </c>
      <c r="H76" s="17">
        <v>0.55000000000000004</v>
      </c>
      <c r="I76" t="s">
        <v>75</v>
      </c>
      <c r="J76" t="s">
        <v>10130</v>
      </c>
    </row>
    <row r="77" spans="1:10">
      <c r="A77" t="s">
        <v>10131</v>
      </c>
      <c r="B77" s="322" t="s">
        <v>10129</v>
      </c>
      <c r="C77" s="322" t="s">
        <v>10125</v>
      </c>
      <c r="D77" t="s">
        <v>10126</v>
      </c>
      <c r="E77" s="17">
        <v>0.45</v>
      </c>
      <c r="F77" s="17">
        <v>0.05</v>
      </c>
      <c r="G77" s="17">
        <v>0.05</v>
      </c>
      <c r="H77" s="17">
        <v>0.55000000000000004</v>
      </c>
      <c r="I77" t="s">
        <v>75</v>
      </c>
      <c r="J77" t="s">
        <v>10132</v>
      </c>
    </row>
    <row r="78" spans="1:10">
      <c r="A78" t="s">
        <v>10133</v>
      </c>
      <c r="B78" s="322" t="s">
        <v>10134</v>
      </c>
      <c r="C78" s="322" t="s">
        <v>10121</v>
      </c>
      <c r="D78" t="s">
        <v>10122</v>
      </c>
      <c r="E78" s="17">
        <v>0.45</v>
      </c>
      <c r="F78" s="17">
        <v>0.05</v>
      </c>
      <c r="G78" s="17">
        <v>0.05</v>
      </c>
      <c r="H78" s="17">
        <v>0.55000000000000004</v>
      </c>
      <c r="I78" t="s">
        <v>75</v>
      </c>
      <c r="J78" t="s">
        <v>10135</v>
      </c>
    </row>
    <row r="79" spans="1:10">
      <c r="A79" t="s">
        <v>10136</v>
      </c>
      <c r="B79" s="322" t="s">
        <v>10134</v>
      </c>
      <c r="C79" s="322" t="s">
        <v>10125</v>
      </c>
      <c r="D79" t="s">
        <v>10126</v>
      </c>
      <c r="E79" s="17">
        <v>0.45</v>
      </c>
      <c r="F79" s="17">
        <v>0.05</v>
      </c>
      <c r="G79" s="17">
        <v>0.05</v>
      </c>
      <c r="H79" s="17">
        <v>0.55000000000000004</v>
      </c>
      <c r="I79" t="s">
        <v>75</v>
      </c>
      <c r="J79" t="s">
        <v>10137</v>
      </c>
    </row>
    <row r="80" spans="1:10">
      <c r="A80" t="s">
        <v>10138</v>
      </c>
      <c r="B80" s="322" t="s">
        <v>10139</v>
      </c>
      <c r="C80" s="322" t="s">
        <v>10121</v>
      </c>
      <c r="D80" t="s">
        <v>10122</v>
      </c>
      <c r="E80" s="17">
        <v>0.45</v>
      </c>
      <c r="F80" s="17">
        <v>0.05</v>
      </c>
      <c r="G80" s="17">
        <v>0.05</v>
      </c>
      <c r="H80" s="17">
        <v>0.55000000000000004</v>
      </c>
      <c r="I80" t="s">
        <v>75</v>
      </c>
      <c r="J80" t="s">
        <v>10140</v>
      </c>
    </row>
    <row r="81" spans="1:10">
      <c r="A81" t="s">
        <v>10141</v>
      </c>
      <c r="B81" s="322" t="s">
        <v>10139</v>
      </c>
      <c r="C81" s="322" t="s">
        <v>10125</v>
      </c>
      <c r="D81" t="s">
        <v>10126</v>
      </c>
      <c r="E81" s="17">
        <v>0.45</v>
      </c>
      <c r="F81" s="17">
        <v>0.05</v>
      </c>
      <c r="G81" s="17">
        <v>0.05</v>
      </c>
      <c r="H81" s="17">
        <v>0.55000000000000004</v>
      </c>
      <c r="I81" t="s">
        <v>75</v>
      </c>
      <c r="J81" t="s">
        <v>10142</v>
      </c>
    </row>
    <row r="82" spans="1:10">
      <c r="A82" t="s">
        <v>10143</v>
      </c>
      <c r="B82" s="322" t="s">
        <v>10120</v>
      </c>
      <c r="C82" s="322" t="s">
        <v>10144</v>
      </c>
      <c r="D82" t="s">
        <v>10145</v>
      </c>
      <c r="E82" s="17">
        <v>0.45</v>
      </c>
      <c r="F82" s="17">
        <v>0.05</v>
      </c>
      <c r="G82" s="17">
        <v>0.05</v>
      </c>
      <c r="H82" s="17">
        <v>0.55000000000000004</v>
      </c>
      <c r="I82" t="s">
        <v>75</v>
      </c>
      <c r="J82" t="s">
        <v>10146</v>
      </c>
    </row>
    <row r="83" spans="1:10">
      <c r="A83" t="s">
        <v>10147</v>
      </c>
      <c r="B83" s="322" t="s">
        <v>10129</v>
      </c>
      <c r="C83" s="322" t="s">
        <v>10144</v>
      </c>
      <c r="D83" t="s">
        <v>10145</v>
      </c>
      <c r="E83" s="17">
        <v>0.45</v>
      </c>
      <c r="F83" s="17">
        <v>0.05</v>
      </c>
      <c r="G83" s="17">
        <v>0.05</v>
      </c>
      <c r="H83" s="17">
        <v>0.55000000000000004</v>
      </c>
      <c r="I83" t="s">
        <v>75</v>
      </c>
      <c r="J83" t="s">
        <v>10148</v>
      </c>
    </row>
    <row r="84" spans="1:10">
      <c r="A84" t="s">
        <v>10149</v>
      </c>
      <c r="B84" s="322" t="s">
        <v>10134</v>
      </c>
      <c r="C84" s="322" t="s">
        <v>10144</v>
      </c>
      <c r="D84" t="s">
        <v>10145</v>
      </c>
      <c r="E84" s="17">
        <v>0.45</v>
      </c>
      <c r="F84" s="17">
        <v>0.05</v>
      </c>
      <c r="G84" s="17">
        <v>0.05</v>
      </c>
      <c r="H84" s="17">
        <v>0.55000000000000004</v>
      </c>
      <c r="I84" t="s">
        <v>75</v>
      </c>
      <c r="J84" t="s">
        <v>10150</v>
      </c>
    </row>
    <row r="85" spans="1:10">
      <c r="A85" t="s">
        <v>10151</v>
      </c>
      <c r="B85" s="322" t="s">
        <v>10139</v>
      </c>
      <c r="C85" s="322" t="s">
        <v>10144</v>
      </c>
      <c r="D85" t="s">
        <v>10145</v>
      </c>
      <c r="E85" s="17">
        <v>0.45</v>
      </c>
      <c r="F85" s="17">
        <v>0.05</v>
      </c>
      <c r="G85" s="17">
        <v>0.05</v>
      </c>
      <c r="H85" s="17">
        <v>0.55000000000000004</v>
      </c>
      <c r="I85" t="s">
        <v>75</v>
      </c>
      <c r="J85" t="s">
        <v>10152</v>
      </c>
    </row>
    <row r="86" spans="1:10">
      <c r="A86" t="s">
        <v>10153</v>
      </c>
      <c r="B86" s="322" t="s">
        <v>10120</v>
      </c>
      <c r="C86" s="322" t="s">
        <v>10154</v>
      </c>
      <c r="D86" t="s">
        <v>10155</v>
      </c>
      <c r="E86" s="17">
        <v>0.45</v>
      </c>
      <c r="F86" s="17">
        <v>0.05</v>
      </c>
      <c r="G86" s="17">
        <v>0.05</v>
      </c>
      <c r="H86" s="17">
        <v>0.55000000000000004</v>
      </c>
      <c r="I86" t="s">
        <v>75</v>
      </c>
      <c r="J86" t="s">
        <v>10156</v>
      </c>
    </row>
    <row r="87" spans="1:10">
      <c r="A87" t="s">
        <v>10157</v>
      </c>
      <c r="B87" s="322" t="s">
        <v>10129</v>
      </c>
      <c r="C87" s="322" t="s">
        <v>10154</v>
      </c>
      <c r="D87" t="s">
        <v>10155</v>
      </c>
      <c r="E87" s="17">
        <v>0.45</v>
      </c>
      <c r="F87" s="17">
        <v>0.05</v>
      </c>
      <c r="G87" s="17">
        <v>0.05</v>
      </c>
      <c r="H87" s="17">
        <v>0.55000000000000004</v>
      </c>
      <c r="I87" t="s">
        <v>75</v>
      </c>
      <c r="J87" t="s">
        <v>10158</v>
      </c>
    </row>
    <row r="88" spans="1:10">
      <c r="A88" t="s">
        <v>10159</v>
      </c>
      <c r="B88" s="322" t="s">
        <v>10134</v>
      </c>
      <c r="C88" s="322" t="s">
        <v>10154</v>
      </c>
      <c r="D88" t="s">
        <v>10155</v>
      </c>
      <c r="E88" s="17">
        <v>0.45</v>
      </c>
      <c r="F88" s="17">
        <v>0.05</v>
      </c>
      <c r="G88" s="17">
        <v>0.05</v>
      </c>
      <c r="H88" s="17">
        <v>0.55000000000000004</v>
      </c>
      <c r="I88" t="s">
        <v>75</v>
      </c>
      <c r="J88" t="s">
        <v>10160</v>
      </c>
    </row>
    <row r="89" spans="1:10">
      <c r="A89" t="s">
        <v>10161</v>
      </c>
      <c r="B89" s="322" t="s">
        <v>10139</v>
      </c>
      <c r="C89" s="322" t="s">
        <v>10154</v>
      </c>
      <c r="D89" t="s">
        <v>10155</v>
      </c>
      <c r="E89" s="17">
        <v>0.45</v>
      </c>
      <c r="F89" s="17">
        <v>0.05</v>
      </c>
      <c r="G89" s="17">
        <v>0.05</v>
      </c>
      <c r="H89" s="17">
        <v>0.55000000000000004</v>
      </c>
      <c r="I89" t="s">
        <v>75</v>
      </c>
      <c r="J89" t="s">
        <v>10162</v>
      </c>
    </row>
    <row r="90" spans="1:10">
      <c r="A90" t="s">
        <v>10163</v>
      </c>
      <c r="B90" s="322" t="s">
        <v>10164</v>
      </c>
      <c r="C90" s="322" t="s">
        <v>10165</v>
      </c>
      <c r="D90" t="s">
        <v>10166</v>
      </c>
      <c r="E90" s="17">
        <v>0.45</v>
      </c>
      <c r="F90" s="17">
        <v>0.05</v>
      </c>
      <c r="G90" s="17">
        <v>0.05</v>
      </c>
      <c r="H90" s="17">
        <v>0.55000000000000004</v>
      </c>
      <c r="I90" t="s">
        <v>75</v>
      </c>
      <c r="J90" t="s">
        <v>10167</v>
      </c>
    </row>
    <row r="91" spans="1:10">
      <c r="A91" t="s">
        <v>10168</v>
      </c>
      <c r="B91" s="322" t="s">
        <v>10169</v>
      </c>
      <c r="C91" s="322" t="s">
        <v>10165</v>
      </c>
      <c r="D91" t="s">
        <v>10166</v>
      </c>
      <c r="E91" s="17">
        <v>0.45</v>
      </c>
      <c r="F91" s="17">
        <v>0.05</v>
      </c>
      <c r="G91" s="17">
        <v>0.05</v>
      </c>
      <c r="H91" s="17">
        <v>0.55000000000000004</v>
      </c>
      <c r="I91" t="s">
        <v>75</v>
      </c>
      <c r="J91" t="s">
        <v>10170</v>
      </c>
    </row>
    <row r="92" spans="1:10">
      <c r="A92" t="s">
        <v>10171</v>
      </c>
      <c r="B92" s="322" t="s">
        <v>10172</v>
      </c>
      <c r="C92" s="322" t="s">
        <v>10165</v>
      </c>
      <c r="D92" t="s">
        <v>10166</v>
      </c>
      <c r="E92" s="17">
        <v>0.45</v>
      </c>
      <c r="F92" s="17">
        <v>0.05</v>
      </c>
      <c r="G92" s="17">
        <v>0.05</v>
      </c>
      <c r="H92" s="17">
        <v>0.55000000000000004</v>
      </c>
      <c r="I92" t="s">
        <v>75</v>
      </c>
      <c r="J92" t="s">
        <v>10173</v>
      </c>
    </row>
    <row r="93" spans="1:10">
      <c r="A93" t="s">
        <v>10174</v>
      </c>
      <c r="B93" s="322" t="s">
        <v>10175</v>
      </c>
      <c r="C93" s="322" t="s">
        <v>10165</v>
      </c>
      <c r="D93" t="s">
        <v>10166</v>
      </c>
      <c r="E93" s="17">
        <v>0.45</v>
      </c>
      <c r="F93" s="17">
        <v>0.05</v>
      </c>
      <c r="G93" s="17">
        <v>0.05</v>
      </c>
      <c r="H93" s="17">
        <v>0.55000000000000004</v>
      </c>
      <c r="I93" t="s">
        <v>75</v>
      </c>
      <c r="J93" t="s">
        <v>10176</v>
      </c>
    </row>
    <row r="94" spans="1:10">
      <c r="A94" t="s">
        <v>2250</v>
      </c>
      <c r="B94" s="322" t="s">
        <v>3028</v>
      </c>
      <c r="C94" s="322" t="s">
        <v>2209</v>
      </c>
      <c r="D94" t="s">
        <v>10177</v>
      </c>
      <c r="E94" s="17">
        <v>0.63</v>
      </c>
      <c r="F94" s="17">
        <v>0</v>
      </c>
      <c r="G94" s="17">
        <v>0</v>
      </c>
      <c r="H94" s="17">
        <v>0.63</v>
      </c>
      <c r="I94" t="s">
        <v>75</v>
      </c>
      <c r="J94" t="s">
        <v>10178</v>
      </c>
    </row>
    <row r="95" spans="1:10">
      <c r="A95" t="s">
        <v>2251</v>
      </c>
      <c r="B95" s="322" t="s">
        <v>3028</v>
      </c>
      <c r="C95" s="322" t="s">
        <v>2210</v>
      </c>
      <c r="D95" t="s">
        <v>10179</v>
      </c>
      <c r="E95" s="17">
        <v>0.63</v>
      </c>
      <c r="F95" s="17">
        <v>0</v>
      </c>
      <c r="G95" s="17">
        <v>0</v>
      </c>
      <c r="H95" s="17">
        <v>0.63</v>
      </c>
      <c r="I95" t="s">
        <v>75</v>
      </c>
      <c r="J95" t="s">
        <v>10180</v>
      </c>
    </row>
    <row r="96" spans="1:10">
      <c r="A96" t="s">
        <v>10181</v>
      </c>
      <c r="B96" s="322" t="s">
        <v>3028</v>
      </c>
      <c r="C96" s="322" t="s">
        <v>3029</v>
      </c>
      <c r="D96" t="s">
        <v>10182</v>
      </c>
      <c r="E96" s="17">
        <v>0.63</v>
      </c>
      <c r="F96" s="17">
        <v>0</v>
      </c>
      <c r="G96" s="17">
        <v>0</v>
      </c>
      <c r="H96" s="17">
        <v>0.63</v>
      </c>
      <c r="I96" t="s">
        <v>75</v>
      </c>
      <c r="J96" t="s">
        <v>10183</v>
      </c>
    </row>
    <row r="97" spans="1:10">
      <c r="A97" t="s">
        <v>10184</v>
      </c>
      <c r="B97" s="322" t="s">
        <v>3028</v>
      </c>
      <c r="C97" s="322" t="s">
        <v>10185</v>
      </c>
      <c r="D97" t="s">
        <v>10186</v>
      </c>
      <c r="E97" s="17">
        <v>0.63</v>
      </c>
      <c r="F97" s="17">
        <v>0</v>
      </c>
      <c r="G97" s="17">
        <v>0</v>
      </c>
      <c r="H97" s="17">
        <v>0.63</v>
      </c>
      <c r="I97" t="s">
        <v>75</v>
      </c>
      <c r="J97" t="s">
        <v>10187</v>
      </c>
    </row>
    <row r="98" spans="1:10">
      <c r="A98" t="s">
        <v>2252</v>
      </c>
      <c r="B98" s="322" t="s">
        <v>3039</v>
      </c>
      <c r="C98" s="322" t="s">
        <v>2211</v>
      </c>
      <c r="D98" t="s">
        <v>10188</v>
      </c>
      <c r="E98" s="17">
        <v>0.6</v>
      </c>
      <c r="F98" s="17">
        <v>0</v>
      </c>
      <c r="G98" s="17">
        <v>0</v>
      </c>
      <c r="H98" s="17">
        <v>0.6</v>
      </c>
      <c r="I98" t="s">
        <v>75</v>
      </c>
      <c r="J98" t="s">
        <v>10189</v>
      </c>
    </row>
    <row r="99" spans="1:10">
      <c r="A99" t="s">
        <v>164</v>
      </c>
      <c r="B99" s="322" t="s">
        <v>3039</v>
      </c>
      <c r="C99" s="322" t="s">
        <v>2212</v>
      </c>
      <c r="D99" t="s">
        <v>10190</v>
      </c>
      <c r="E99" s="17">
        <v>0.6</v>
      </c>
      <c r="F99" s="17">
        <v>0</v>
      </c>
      <c r="G99" s="17">
        <v>0</v>
      </c>
      <c r="H99" s="17">
        <v>0.6</v>
      </c>
      <c r="I99" t="s">
        <v>75</v>
      </c>
      <c r="J99" t="s">
        <v>10191</v>
      </c>
    </row>
    <row r="100" spans="1:10">
      <c r="A100" t="s">
        <v>2253</v>
      </c>
      <c r="B100" s="322" t="s">
        <v>3049</v>
      </c>
      <c r="C100" s="322" t="s">
        <v>2213</v>
      </c>
      <c r="D100" t="s">
        <v>10192</v>
      </c>
      <c r="E100" s="17">
        <v>0.52</v>
      </c>
      <c r="F100" s="17">
        <v>0.05</v>
      </c>
      <c r="G100" s="17">
        <v>0.05</v>
      </c>
      <c r="H100" s="17">
        <v>0.62</v>
      </c>
      <c r="I100" t="s">
        <v>75</v>
      </c>
      <c r="J100" t="s">
        <v>10193</v>
      </c>
    </row>
    <row r="101" spans="1:10">
      <c r="A101" t="s">
        <v>2254</v>
      </c>
      <c r="B101" s="322" t="s">
        <v>3049</v>
      </c>
      <c r="C101" s="322" t="s">
        <v>2215</v>
      </c>
      <c r="D101" t="s">
        <v>10194</v>
      </c>
      <c r="E101" s="17">
        <v>0.52</v>
      </c>
      <c r="F101" s="17">
        <v>0.05</v>
      </c>
      <c r="G101" s="17">
        <v>0.05</v>
      </c>
      <c r="H101" s="17">
        <v>0.62</v>
      </c>
      <c r="I101" t="s">
        <v>75</v>
      </c>
      <c r="J101" t="s">
        <v>10195</v>
      </c>
    </row>
    <row r="102" spans="1:10">
      <c r="A102" t="s">
        <v>2257</v>
      </c>
      <c r="B102" s="322" t="s">
        <v>3050</v>
      </c>
      <c r="C102" s="322" t="s">
        <v>2219</v>
      </c>
      <c r="D102" t="s">
        <v>10196</v>
      </c>
      <c r="E102" s="17">
        <v>0.55000000000000004</v>
      </c>
      <c r="F102" s="17">
        <v>0</v>
      </c>
      <c r="G102" s="17">
        <v>0</v>
      </c>
      <c r="H102" s="17">
        <v>0.55000000000000004</v>
      </c>
      <c r="I102" t="s">
        <v>75</v>
      </c>
      <c r="J102" t="s">
        <v>10197</v>
      </c>
    </row>
    <row r="103" spans="1:10">
      <c r="A103" t="s">
        <v>2256</v>
      </c>
      <c r="B103" s="322" t="s">
        <v>3050</v>
      </c>
      <c r="C103" s="322" t="s">
        <v>2218</v>
      </c>
      <c r="D103" t="s">
        <v>10198</v>
      </c>
      <c r="E103" s="17">
        <v>0.55000000000000004</v>
      </c>
      <c r="F103" s="17">
        <v>0</v>
      </c>
      <c r="G103" s="17">
        <v>0</v>
      </c>
      <c r="H103" s="17">
        <v>0.55000000000000004</v>
      </c>
      <c r="I103" t="s">
        <v>75</v>
      </c>
      <c r="J103" t="s">
        <v>10199</v>
      </c>
    </row>
    <row r="104" spans="1:10">
      <c r="A104" t="s">
        <v>2949</v>
      </c>
      <c r="B104" s="322" t="s">
        <v>3050</v>
      </c>
      <c r="C104" s="322" t="s">
        <v>2948</v>
      </c>
      <c r="D104" t="s">
        <v>10198</v>
      </c>
      <c r="E104" s="17">
        <v>0.55000000000000004</v>
      </c>
      <c r="F104" s="17">
        <v>0</v>
      </c>
      <c r="G104" s="17">
        <v>0</v>
      </c>
      <c r="H104" s="17">
        <v>0.55000000000000004</v>
      </c>
      <c r="I104" t="s">
        <v>75</v>
      </c>
      <c r="J104" t="s">
        <v>10200</v>
      </c>
    </row>
    <row r="105" spans="1:10">
      <c r="A105" t="s">
        <v>10201</v>
      </c>
      <c r="B105" s="322" t="s">
        <v>3050</v>
      </c>
      <c r="C105" s="322" t="s">
        <v>10202</v>
      </c>
      <c r="D105" t="s">
        <v>10203</v>
      </c>
      <c r="E105" s="17">
        <v>0.55000000000000004</v>
      </c>
      <c r="F105" s="17">
        <v>0</v>
      </c>
      <c r="G105" s="17">
        <v>0</v>
      </c>
      <c r="H105" s="17">
        <v>0.55000000000000004</v>
      </c>
      <c r="I105" t="s">
        <v>75</v>
      </c>
      <c r="J105" t="s">
        <v>10204</v>
      </c>
    </row>
    <row r="106" spans="1:10">
      <c r="A106" t="s">
        <v>2951</v>
      </c>
      <c r="B106" s="322" t="s">
        <v>3050</v>
      </c>
      <c r="C106" s="322" t="s">
        <v>2950</v>
      </c>
      <c r="D106" t="s">
        <v>10205</v>
      </c>
      <c r="E106" s="17">
        <v>0.55000000000000004</v>
      </c>
      <c r="F106" s="17">
        <v>0</v>
      </c>
      <c r="G106" s="17">
        <v>0</v>
      </c>
      <c r="H106" s="17">
        <v>0.55000000000000004</v>
      </c>
      <c r="I106" t="s">
        <v>75</v>
      </c>
      <c r="J106" t="s">
        <v>10206</v>
      </c>
    </row>
    <row r="107" spans="1:10">
      <c r="A107" t="s">
        <v>2260</v>
      </c>
      <c r="B107" s="322" t="s">
        <v>95</v>
      </c>
      <c r="C107" s="322" t="s">
        <v>2222</v>
      </c>
      <c r="D107" t="s">
        <v>10207</v>
      </c>
      <c r="E107" s="17">
        <v>0.51</v>
      </c>
      <c r="F107" s="17">
        <v>0.05</v>
      </c>
      <c r="G107" s="17">
        <v>0.05</v>
      </c>
      <c r="H107" s="17">
        <v>0.61</v>
      </c>
      <c r="I107" t="s">
        <v>75</v>
      </c>
      <c r="J107" t="s">
        <v>10208</v>
      </c>
    </row>
    <row r="108" spans="1:10">
      <c r="A108" t="s">
        <v>2261</v>
      </c>
      <c r="B108" s="322" t="s">
        <v>95</v>
      </c>
      <c r="C108" s="322" t="s">
        <v>2224</v>
      </c>
      <c r="D108" t="s">
        <v>10207</v>
      </c>
      <c r="E108" s="17">
        <v>0.51</v>
      </c>
      <c r="F108" s="17">
        <v>0.05</v>
      </c>
      <c r="G108" s="17">
        <v>0.05</v>
      </c>
      <c r="H108" s="17">
        <v>0.61</v>
      </c>
      <c r="I108" t="s">
        <v>75</v>
      </c>
      <c r="J108" t="s">
        <v>10209</v>
      </c>
    </row>
    <row r="109" spans="1:10">
      <c r="A109" t="s">
        <v>10210</v>
      </c>
      <c r="B109" s="322" t="s">
        <v>95</v>
      </c>
      <c r="C109" s="322" t="s">
        <v>10211</v>
      </c>
      <c r="D109" t="s">
        <v>10212</v>
      </c>
      <c r="E109" s="17">
        <v>0.51</v>
      </c>
      <c r="F109" s="17">
        <v>0.05</v>
      </c>
      <c r="G109" s="17">
        <v>0.05</v>
      </c>
      <c r="H109" s="17">
        <v>0.61</v>
      </c>
      <c r="I109" t="s">
        <v>75</v>
      </c>
      <c r="J109" t="s">
        <v>10213</v>
      </c>
    </row>
    <row r="110" spans="1:10">
      <c r="A110" t="s">
        <v>10214</v>
      </c>
      <c r="B110" s="322" t="s">
        <v>95</v>
      </c>
      <c r="C110" s="322" t="s">
        <v>10215</v>
      </c>
      <c r="D110" t="s">
        <v>10216</v>
      </c>
      <c r="E110" s="17">
        <v>0.51</v>
      </c>
      <c r="F110" s="17">
        <v>0.05</v>
      </c>
      <c r="G110" s="17">
        <v>0.05</v>
      </c>
      <c r="H110" s="17">
        <v>0.61</v>
      </c>
      <c r="I110" t="s">
        <v>75</v>
      </c>
      <c r="J110" t="s">
        <v>10217</v>
      </c>
    </row>
    <row r="111" spans="1:10">
      <c r="A111" t="s">
        <v>10218</v>
      </c>
      <c r="B111" s="322" t="s">
        <v>95</v>
      </c>
      <c r="C111" s="322" t="s">
        <v>10219</v>
      </c>
      <c r="D111" t="s">
        <v>10216</v>
      </c>
      <c r="E111" s="17">
        <v>0.51</v>
      </c>
      <c r="F111" s="17">
        <v>0.05</v>
      </c>
      <c r="G111" s="17">
        <v>0.05</v>
      </c>
      <c r="H111" s="17">
        <v>0.61</v>
      </c>
      <c r="I111" t="s">
        <v>75</v>
      </c>
      <c r="J111" t="s">
        <v>10220</v>
      </c>
    </row>
    <row r="112" spans="1:10">
      <c r="A112" t="s">
        <v>10221</v>
      </c>
      <c r="B112" s="322" t="s">
        <v>95</v>
      </c>
      <c r="C112" s="322" t="s">
        <v>10222</v>
      </c>
      <c r="D112" t="s">
        <v>10216</v>
      </c>
      <c r="E112" s="17">
        <v>0.51</v>
      </c>
      <c r="F112" s="17">
        <v>0.05</v>
      </c>
      <c r="G112" s="17">
        <v>0.05</v>
      </c>
      <c r="H112" s="17">
        <v>0.61</v>
      </c>
      <c r="I112" t="s">
        <v>75</v>
      </c>
      <c r="J112" t="s">
        <v>10223</v>
      </c>
    </row>
    <row r="113" spans="1:10">
      <c r="A113" t="s">
        <v>2262</v>
      </c>
      <c r="B113" s="322" t="s">
        <v>95</v>
      </c>
      <c r="C113" s="322" t="s">
        <v>2225</v>
      </c>
      <c r="D113" t="s">
        <v>10216</v>
      </c>
      <c r="E113" s="17">
        <v>0.51</v>
      </c>
      <c r="F113" s="17">
        <v>0.05</v>
      </c>
      <c r="G113" s="17">
        <v>0.05</v>
      </c>
      <c r="H113" s="17">
        <v>0.61</v>
      </c>
      <c r="I113" t="s">
        <v>75</v>
      </c>
      <c r="J113" t="s">
        <v>10224</v>
      </c>
    </row>
    <row r="114" spans="1:10">
      <c r="A114" t="s">
        <v>10225</v>
      </c>
      <c r="B114" s="322" t="s">
        <v>95</v>
      </c>
      <c r="C114" s="322" t="s">
        <v>10226</v>
      </c>
      <c r="D114" t="s">
        <v>10216</v>
      </c>
      <c r="E114" s="17">
        <v>0.51</v>
      </c>
      <c r="F114" s="17">
        <v>0.05</v>
      </c>
      <c r="G114" s="17">
        <v>0.05</v>
      </c>
      <c r="H114" s="17">
        <v>0.61</v>
      </c>
      <c r="I114" t="s">
        <v>75</v>
      </c>
      <c r="J114" t="s">
        <v>10227</v>
      </c>
    </row>
    <row r="115" spans="1:10">
      <c r="A115" t="s">
        <v>2263</v>
      </c>
      <c r="B115" s="322" t="s">
        <v>95</v>
      </c>
      <c r="C115" s="322" t="s">
        <v>2226</v>
      </c>
      <c r="D115" t="s">
        <v>10207</v>
      </c>
      <c r="E115" s="17">
        <v>0.51</v>
      </c>
      <c r="F115" s="17">
        <v>0.05</v>
      </c>
      <c r="G115" s="17">
        <v>0.05</v>
      </c>
      <c r="H115" s="17">
        <v>0.61</v>
      </c>
      <c r="I115" t="s">
        <v>75</v>
      </c>
      <c r="J115" t="s">
        <v>10228</v>
      </c>
    </row>
    <row r="116" spans="1:10">
      <c r="A116" t="s">
        <v>10229</v>
      </c>
      <c r="B116" s="322" t="s">
        <v>95</v>
      </c>
      <c r="C116" s="322" t="s">
        <v>10230</v>
      </c>
      <c r="D116" t="s">
        <v>10231</v>
      </c>
      <c r="E116" s="17">
        <v>0.51</v>
      </c>
      <c r="F116" s="17">
        <v>0.05</v>
      </c>
      <c r="G116" s="17">
        <v>0.05</v>
      </c>
      <c r="H116" s="17">
        <v>0.61</v>
      </c>
      <c r="I116" t="s">
        <v>75</v>
      </c>
      <c r="J116" t="s">
        <v>10232</v>
      </c>
    </row>
    <row r="117" spans="1:10">
      <c r="A117" t="s">
        <v>2264</v>
      </c>
      <c r="B117" s="322" t="s">
        <v>95</v>
      </c>
      <c r="C117" s="322" t="s">
        <v>2227</v>
      </c>
      <c r="D117" t="s">
        <v>10207</v>
      </c>
      <c r="E117" s="17">
        <v>0.51</v>
      </c>
      <c r="F117" s="17">
        <v>0.05</v>
      </c>
      <c r="G117" s="17">
        <v>0.05</v>
      </c>
      <c r="H117" s="17">
        <v>0.61</v>
      </c>
      <c r="I117" t="s">
        <v>75</v>
      </c>
      <c r="J117" t="s">
        <v>10233</v>
      </c>
    </row>
    <row r="118" spans="1:10">
      <c r="A118" t="s">
        <v>10234</v>
      </c>
      <c r="B118" s="322" t="s">
        <v>95</v>
      </c>
      <c r="C118" s="322" t="s">
        <v>10235</v>
      </c>
      <c r="D118" t="s">
        <v>10207</v>
      </c>
      <c r="E118" s="17">
        <v>0.51</v>
      </c>
      <c r="F118" s="17">
        <v>0.05</v>
      </c>
      <c r="G118" s="17">
        <v>0.05</v>
      </c>
      <c r="H118" s="17">
        <v>0.61</v>
      </c>
      <c r="I118" t="s">
        <v>75</v>
      </c>
      <c r="J118" t="s">
        <v>10236</v>
      </c>
    </row>
    <row r="119" spans="1:10">
      <c r="A119" t="s">
        <v>10237</v>
      </c>
      <c r="B119" s="322" t="s">
        <v>95</v>
      </c>
      <c r="C119" s="322" t="s">
        <v>10238</v>
      </c>
      <c r="D119" t="s">
        <v>10231</v>
      </c>
      <c r="E119" s="17">
        <v>0.51</v>
      </c>
      <c r="F119" s="17">
        <v>0.05</v>
      </c>
      <c r="G119" s="17">
        <v>0.05</v>
      </c>
      <c r="H119" s="17">
        <v>0.61</v>
      </c>
      <c r="I119" t="s">
        <v>75</v>
      </c>
      <c r="J119" t="s">
        <v>10239</v>
      </c>
    </row>
    <row r="120" spans="1:10">
      <c r="A120" t="s">
        <v>2266</v>
      </c>
      <c r="B120" s="322" t="s">
        <v>95</v>
      </c>
      <c r="C120" s="322" t="s">
        <v>2229</v>
      </c>
      <c r="D120" t="s">
        <v>10240</v>
      </c>
      <c r="E120" s="17">
        <v>0.51</v>
      </c>
      <c r="F120" s="17">
        <v>0.05</v>
      </c>
      <c r="G120" s="17">
        <v>0.05</v>
      </c>
      <c r="H120" s="17">
        <v>0.61</v>
      </c>
      <c r="I120" t="s">
        <v>75</v>
      </c>
      <c r="J120" t="s">
        <v>10241</v>
      </c>
    </row>
    <row r="121" spans="1:10">
      <c r="A121" t="s">
        <v>10242</v>
      </c>
      <c r="B121" s="322" t="s">
        <v>95</v>
      </c>
      <c r="C121" s="322" t="s">
        <v>69</v>
      </c>
      <c r="D121" t="s">
        <v>10243</v>
      </c>
      <c r="E121" s="17">
        <v>0.51</v>
      </c>
      <c r="F121" s="17">
        <v>0.05</v>
      </c>
      <c r="G121" s="17">
        <v>0.05</v>
      </c>
      <c r="H121" s="17">
        <v>0.61</v>
      </c>
      <c r="I121" t="s">
        <v>75</v>
      </c>
      <c r="J121" t="s">
        <v>10244</v>
      </c>
    </row>
    <row r="122" spans="1:10">
      <c r="A122" t="s">
        <v>2267</v>
      </c>
      <c r="B122" s="322" t="s">
        <v>95</v>
      </c>
      <c r="C122" s="322" t="s">
        <v>2230</v>
      </c>
      <c r="D122" t="s">
        <v>10245</v>
      </c>
      <c r="E122" s="17">
        <v>0.51</v>
      </c>
      <c r="F122" s="17">
        <v>0.05</v>
      </c>
      <c r="G122" s="17">
        <v>0.05</v>
      </c>
      <c r="H122" s="17">
        <v>0.61</v>
      </c>
      <c r="I122" t="s">
        <v>75</v>
      </c>
      <c r="J122" t="s">
        <v>10246</v>
      </c>
    </row>
    <row r="123" spans="1:10">
      <c r="A123" t="s">
        <v>10247</v>
      </c>
      <c r="B123" s="322" t="s">
        <v>95</v>
      </c>
      <c r="C123" s="322" t="s">
        <v>10248</v>
      </c>
      <c r="D123" t="s">
        <v>10243</v>
      </c>
      <c r="E123" s="17">
        <v>0.51</v>
      </c>
      <c r="F123" s="17">
        <v>0.05</v>
      </c>
      <c r="G123" s="17">
        <v>0.05</v>
      </c>
      <c r="H123" s="17">
        <v>0.61</v>
      </c>
      <c r="I123" t="s">
        <v>75</v>
      </c>
      <c r="J123" t="s">
        <v>10249</v>
      </c>
    </row>
    <row r="124" spans="1:10">
      <c r="A124" t="s">
        <v>2268</v>
      </c>
      <c r="B124" s="322" t="s">
        <v>95</v>
      </c>
      <c r="C124" s="322" t="s">
        <v>2231</v>
      </c>
      <c r="D124" t="s">
        <v>10250</v>
      </c>
      <c r="E124" s="17">
        <v>0.51</v>
      </c>
      <c r="F124" s="17">
        <v>0.05</v>
      </c>
      <c r="G124" s="17">
        <v>0.05</v>
      </c>
      <c r="H124" s="17">
        <v>0.61</v>
      </c>
      <c r="I124" t="s">
        <v>75</v>
      </c>
      <c r="J124" t="s">
        <v>10251</v>
      </c>
    </row>
    <row r="125" spans="1:10">
      <c r="A125" t="s">
        <v>10252</v>
      </c>
      <c r="B125" s="322" t="s">
        <v>95</v>
      </c>
      <c r="C125" s="322" t="s">
        <v>10253</v>
      </c>
      <c r="D125" t="s">
        <v>10254</v>
      </c>
      <c r="E125" s="17">
        <v>0.51</v>
      </c>
      <c r="F125" s="17">
        <v>0.05</v>
      </c>
      <c r="G125" s="17">
        <v>0.05</v>
      </c>
      <c r="H125" s="17">
        <v>0.61</v>
      </c>
      <c r="I125" t="s">
        <v>75</v>
      </c>
      <c r="J125" t="s">
        <v>10255</v>
      </c>
    </row>
    <row r="126" spans="1:10">
      <c r="A126" t="s">
        <v>2269</v>
      </c>
      <c r="B126" s="322" t="s">
        <v>96</v>
      </c>
      <c r="C126" s="322" t="s">
        <v>2233</v>
      </c>
      <c r="D126" t="s">
        <v>10256</v>
      </c>
      <c r="E126" s="17">
        <v>0.6</v>
      </c>
      <c r="F126" s="17">
        <v>0</v>
      </c>
      <c r="G126" s="17">
        <v>0</v>
      </c>
      <c r="H126" s="17">
        <v>0.6</v>
      </c>
      <c r="I126" t="s">
        <v>75</v>
      </c>
      <c r="J126" t="s">
        <v>10257</v>
      </c>
    </row>
    <row r="127" spans="1:10">
      <c r="A127" t="s">
        <v>2270</v>
      </c>
      <c r="B127" s="322" t="s">
        <v>96</v>
      </c>
      <c r="C127" s="322" t="s">
        <v>2234</v>
      </c>
      <c r="D127" t="s">
        <v>10258</v>
      </c>
      <c r="E127" s="17">
        <v>0.6</v>
      </c>
      <c r="F127" s="17">
        <v>0</v>
      </c>
      <c r="G127" s="17">
        <v>0</v>
      </c>
      <c r="H127" s="17">
        <v>0.6</v>
      </c>
      <c r="I127" t="s">
        <v>75</v>
      </c>
      <c r="J127" t="s">
        <v>10259</v>
      </c>
    </row>
    <row r="128" spans="1:10">
      <c r="A128" t="s">
        <v>10260</v>
      </c>
      <c r="B128" s="322" t="s">
        <v>96</v>
      </c>
      <c r="C128" s="322" t="s">
        <v>10261</v>
      </c>
      <c r="D128" t="s">
        <v>10258</v>
      </c>
      <c r="E128" s="17">
        <v>0.6</v>
      </c>
      <c r="F128" s="17">
        <v>0</v>
      </c>
      <c r="G128" s="17">
        <v>0</v>
      </c>
      <c r="H128" s="17">
        <v>0.6</v>
      </c>
      <c r="I128" t="s">
        <v>75</v>
      </c>
      <c r="J128" t="s">
        <v>10262</v>
      </c>
    </row>
    <row r="129" spans="1:10">
      <c r="A129" t="s">
        <v>2932</v>
      </c>
      <c r="B129" s="322" t="s">
        <v>96</v>
      </c>
      <c r="C129" s="322" t="s">
        <v>2931</v>
      </c>
      <c r="D129" t="s">
        <v>10263</v>
      </c>
      <c r="E129" s="17">
        <v>0.6</v>
      </c>
      <c r="F129" s="17">
        <v>0</v>
      </c>
      <c r="G129" s="17">
        <v>0</v>
      </c>
      <c r="H129" s="17">
        <v>0.6</v>
      </c>
      <c r="I129" t="s">
        <v>75</v>
      </c>
      <c r="J129" t="s">
        <v>10264</v>
      </c>
    </row>
    <row r="130" spans="1:10">
      <c r="A130" t="s">
        <v>10265</v>
      </c>
      <c r="B130" s="322" t="s">
        <v>96</v>
      </c>
      <c r="C130" s="322" t="s">
        <v>10266</v>
      </c>
      <c r="D130" t="s">
        <v>10263</v>
      </c>
      <c r="E130" s="17">
        <v>0.6</v>
      </c>
      <c r="F130" s="17">
        <v>0</v>
      </c>
      <c r="G130" s="17">
        <v>0</v>
      </c>
      <c r="H130" s="17">
        <v>0.6</v>
      </c>
      <c r="I130" t="s">
        <v>75</v>
      </c>
      <c r="J130" t="s">
        <v>10267</v>
      </c>
    </row>
    <row r="131" spans="1:10">
      <c r="A131" t="s">
        <v>10268</v>
      </c>
      <c r="B131" s="322" t="s">
        <v>96</v>
      </c>
      <c r="C131" s="322" t="s">
        <v>10269</v>
      </c>
      <c r="D131" t="s">
        <v>10270</v>
      </c>
      <c r="E131" s="17">
        <v>0.6</v>
      </c>
      <c r="F131" s="17">
        <v>0</v>
      </c>
      <c r="G131" s="17">
        <v>0</v>
      </c>
      <c r="H131" s="17">
        <v>0.6</v>
      </c>
      <c r="I131" t="s">
        <v>75</v>
      </c>
      <c r="J131" t="s">
        <v>10271</v>
      </c>
    </row>
    <row r="132" spans="1:10">
      <c r="A132" t="s">
        <v>10272</v>
      </c>
      <c r="B132" s="322" t="s">
        <v>96</v>
      </c>
      <c r="C132" s="322" t="s">
        <v>10273</v>
      </c>
      <c r="D132" t="s">
        <v>10270</v>
      </c>
      <c r="E132" s="17">
        <v>0.6</v>
      </c>
      <c r="F132" s="17">
        <v>0</v>
      </c>
      <c r="G132" s="17">
        <v>0</v>
      </c>
      <c r="H132" s="17">
        <v>0.6</v>
      </c>
      <c r="I132" t="s">
        <v>75</v>
      </c>
      <c r="J132" t="s">
        <v>10274</v>
      </c>
    </row>
    <row r="133" spans="1:10">
      <c r="A133" t="s">
        <v>2994</v>
      </c>
      <c r="B133" s="322" t="s">
        <v>98</v>
      </c>
      <c r="C133" s="322" t="s">
        <v>2208</v>
      </c>
      <c r="D133" t="s">
        <v>10275</v>
      </c>
      <c r="E133" s="17">
        <v>0.6</v>
      </c>
      <c r="F133" s="17">
        <v>0</v>
      </c>
      <c r="G133" s="17">
        <v>0</v>
      </c>
      <c r="H133" s="17">
        <v>0.6</v>
      </c>
      <c r="I133" t="s">
        <v>75</v>
      </c>
      <c r="J133" t="s">
        <v>10276</v>
      </c>
    </row>
    <row r="134" spans="1:10">
      <c r="A134" t="s">
        <v>2995</v>
      </c>
      <c r="B134" s="322" t="s">
        <v>98</v>
      </c>
      <c r="C134" s="322" t="s">
        <v>3064</v>
      </c>
      <c r="D134" t="s">
        <v>10277</v>
      </c>
      <c r="E134" s="17">
        <v>0.6</v>
      </c>
      <c r="F134" s="17">
        <v>0</v>
      </c>
      <c r="G134" s="17">
        <v>0</v>
      </c>
      <c r="H134" s="17">
        <v>0.6</v>
      </c>
      <c r="I134" t="s">
        <v>75</v>
      </c>
      <c r="J134" t="s">
        <v>10278</v>
      </c>
    </row>
    <row r="135" spans="1:10">
      <c r="A135" t="s">
        <v>2996</v>
      </c>
      <c r="B135" s="322" t="s">
        <v>98</v>
      </c>
      <c r="C135" s="322" t="s">
        <v>3065</v>
      </c>
      <c r="D135" t="s">
        <v>10279</v>
      </c>
      <c r="E135" s="17">
        <v>0.6</v>
      </c>
      <c r="F135" s="17">
        <v>0</v>
      </c>
      <c r="G135" s="17">
        <v>0</v>
      </c>
      <c r="H135" s="17">
        <v>0.6</v>
      </c>
      <c r="I135" t="s">
        <v>75</v>
      </c>
      <c r="J135" t="s">
        <v>10280</v>
      </c>
    </row>
    <row r="136" spans="1:10">
      <c r="A136" t="s">
        <v>2997</v>
      </c>
      <c r="B136" s="322" t="s">
        <v>98</v>
      </c>
      <c r="C136" s="322" t="s">
        <v>3066</v>
      </c>
      <c r="D136" t="s">
        <v>10281</v>
      </c>
      <c r="E136" s="17">
        <v>0.6</v>
      </c>
      <c r="F136" s="17">
        <v>0</v>
      </c>
      <c r="G136" s="17">
        <v>0</v>
      </c>
      <c r="H136" s="17">
        <v>0.6</v>
      </c>
      <c r="I136" t="s">
        <v>75</v>
      </c>
      <c r="J136" t="s">
        <v>10282</v>
      </c>
    </row>
    <row r="137" spans="1:10">
      <c r="A137" t="s">
        <v>2998</v>
      </c>
      <c r="B137" s="322" t="s">
        <v>98</v>
      </c>
      <c r="C137" s="322" t="s">
        <v>3067</v>
      </c>
      <c r="D137" t="s">
        <v>10283</v>
      </c>
      <c r="E137" s="17">
        <v>0.6</v>
      </c>
      <c r="F137" s="17">
        <v>0</v>
      </c>
      <c r="G137" s="17">
        <v>0</v>
      </c>
      <c r="H137" s="17">
        <v>0.6</v>
      </c>
      <c r="I137" t="s">
        <v>75</v>
      </c>
      <c r="J137" t="s">
        <v>10284</v>
      </c>
    </row>
    <row r="138" spans="1:10">
      <c r="A138" t="s">
        <v>2999</v>
      </c>
      <c r="B138" s="322" t="s">
        <v>98</v>
      </c>
      <c r="C138" s="322" t="s">
        <v>3068</v>
      </c>
      <c r="D138" t="s">
        <v>10285</v>
      </c>
      <c r="E138" s="17">
        <v>0.6</v>
      </c>
      <c r="F138" s="17">
        <v>0</v>
      </c>
      <c r="G138" s="17">
        <v>0</v>
      </c>
      <c r="H138" s="17">
        <v>0.6</v>
      </c>
      <c r="I138" t="s">
        <v>75</v>
      </c>
      <c r="J138" t="s">
        <v>10286</v>
      </c>
    </row>
    <row r="139" spans="1:10">
      <c r="A139" t="s">
        <v>3000</v>
      </c>
      <c r="B139" s="322" t="s">
        <v>98</v>
      </c>
      <c r="C139" s="322" t="s">
        <v>3069</v>
      </c>
      <c r="D139" t="s">
        <v>10287</v>
      </c>
      <c r="E139" s="17">
        <v>0.6</v>
      </c>
      <c r="F139" s="17">
        <v>0</v>
      </c>
      <c r="G139" s="17">
        <v>0</v>
      </c>
      <c r="H139" s="17">
        <v>0.6</v>
      </c>
      <c r="I139" t="s">
        <v>75</v>
      </c>
      <c r="J139" t="s">
        <v>10288</v>
      </c>
    </row>
    <row r="140" spans="1:10">
      <c r="A140" t="s">
        <v>3001</v>
      </c>
      <c r="B140" s="322" t="s">
        <v>98</v>
      </c>
      <c r="C140" s="322" t="s">
        <v>3070</v>
      </c>
      <c r="D140" t="s">
        <v>10289</v>
      </c>
      <c r="E140" s="17">
        <v>0.6</v>
      </c>
      <c r="F140" s="17">
        <v>0</v>
      </c>
      <c r="G140" s="17">
        <v>0</v>
      </c>
      <c r="H140" s="17">
        <v>0.6</v>
      </c>
      <c r="I140" t="s">
        <v>75</v>
      </c>
      <c r="J140" t="s">
        <v>10290</v>
      </c>
    </row>
    <row r="141" spans="1:10">
      <c r="A141" t="s">
        <v>3002</v>
      </c>
      <c r="B141" s="322" t="s">
        <v>98</v>
      </c>
      <c r="C141" s="322" t="s">
        <v>3071</v>
      </c>
      <c r="D141" t="s">
        <v>10291</v>
      </c>
      <c r="E141" s="17">
        <v>0.6</v>
      </c>
      <c r="F141" s="17">
        <v>0</v>
      </c>
      <c r="G141" s="17">
        <v>0</v>
      </c>
      <c r="H141" s="17">
        <v>0.6</v>
      </c>
      <c r="I141" t="s">
        <v>75</v>
      </c>
      <c r="J141" t="s">
        <v>10292</v>
      </c>
    </row>
    <row r="142" spans="1:10">
      <c r="A142" t="s">
        <v>3003</v>
      </c>
      <c r="B142" s="322" t="s">
        <v>98</v>
      </c>
      <c r="C142" s="322" t="s">
        <v>3072</v>
      </c>
      <c r="D142" t="s">
        <v>10293</v>
      </c>
      <c r="E142" s="17">
        <v>0.6</v>
      </c>
      <c r="F142" s="17">
        <v>0</v>
      </c>
      <c r="G142" s="17">
        <v>0</v>
      </c>
      <c r="H142" s="17">
        <v>0.6</v>
      </c>
      <c r="I142" t="s">
        <v>75</v>
      </c>
      <c r="J142" t="s">
        <v>10294</v>
      </c>
    </row>
    <row r="143" spans="1:10">
      <c r="A143" t="s">
        <v>3004</v>
      </c>
      <c r="B143" s="322" t="s">
        <v>98</v>
      </c>
      <c r="C143" s="322" t="s">
        <v>3073</v>
      </c>
      <c r="D143" t="s">
        <v>10295</v>
      </c>
      <c r="E143" s="17">
        <v>0.6</v>
      </c>
      <c r="F143" s="17">
        <v>0</v>
      </c>
      <c r="G143" s="17">
        <v>0</v>
      </c>
      <c r="H143" s="17">
        <v>0.6</v>
      </c>
      <c r="I143" t="s">
        <v>75</v>
      </c>
      <c r="J143" t="s">
        <v>10296</v>
      </c>
    </row>
    <row r="144" spans="1:10">
      <c r="A144" t="s">
        <v>10297</v>
      </c>
      <c r="B144" s="322" t="s">
        <v>98</v>
      </c>
      <c r="C144" s="322" t="s">
        <v>10298</v>
      </c>
      <c r="D144" t="s">
        <v>10299</v>
      </c>
      <c r="E144" s="17">
        <v>0.6</v>
      </c>
      <c r="F144" s="17">
        <v>0</v>
      </c>
      <c r="G144" s="17">
        <v>0</v>
      </c>
      <c r="H144" s="17">
        <v>0.6</v>
      </c>
      <c r="I144" t="s">
        <v>75</v>
      </c>
      <c r="J144" t="s">
        <v>10300</v>
      </c>
    </row>
    <row r="145" spans="1:10">
      <c r="A145" t="s">
        <v>10301</v>
      </c>
      <c r="B145" s="322" t="s">
        <v>98</v>
      </c>
      <c r="C145" s="322" t="s">
        <v>10302</v>
      </c>
      <c r="D145" t="s">
        <v>10303</v>
      </c>
      <c r="E145" s="17">
        <v>0.6</v>
      </c>
      <c r="F145" s="17">
        <v>0</v>
      </c>
      <c r="G145" s="17">
        <v>0</v>
      </c>
      <c r="H145" s="17">
        <v>0.6</v>
      </c>
      <c r="I145" t="s">
        <v>75</v>
      </c>
      <c r="J145" t="s">
        <v>10304</v>
      </c>
    </row>
    <row r="146" spans="1:10">
      <c r="A146" t="s">
        <v>10305</v>
      </c>
      <c r="B146" s="322" t="s">
        <v>98</v>
      </c>
      <c r="C146" s="322" t="s">
        <v>10306</v>
      </c>
      <c r="D146" t="s">
        <v>10307</v>
      </c>
      <c r="E146" s="17">
        <v>0.6</v>
      </c>
      <c r="F146" s="17">
        <v>0</v>
      </c>
      <c r="G146" s="17">
        <v>0</v>
      </c>
      <c r="H146" s="17">
        <v>0.6</v>
      </c>
      <c r="I146" t="s">
        <v>75</v>
      </c>
      <c r="J146" t="s">
        <v>10308</v>
      </c>
    </row>
    <row r="147" spans="1:10">
      <c r="A147" t="s">
        <v>10309</v>
      </c>
      <c r="B147" s="322" t="s">
        <v>98</v>
      </c>
      <c r="C147" s="322" t="s">
        <v>10310</v>
      </c>
      <c r="D147" t="s">
        <v>10311</v>
      </c>
      <c r="E147" s="17">
        <v>0.6</v>
      </c>
      <c r="F147" s="17">
        <v>0</v>
      </c>
      <c r="G147" s="17">
        <v>0</v>
      </c>
      <c r="H147" s="17">
        <v>0.6</v>
      </c>
      <c r="I147" t="s">
        <v>75</v>
      </c>
      <c r="J147" t="s">
        <v>10312</v>
      </c>
    </row>
    <row r="148" spans="1:10">
      <c r="A148" t="s">
        <v>3005</v>
      </c>
      <c r="B148" s="322" t="s">
        <v>101</v>
      </c>
      <c r="C148" s="322" t="s">
        <v>3074</v>
      </c>
      <c r="D148" t="s">
        <v>10313</v>
      </c>
      <c r="E148" s="17">
        <v>0.4</v>
      </c>
      <c r="F148" s="17">
        <v>0.05</v>
      </c>
      <c r="G148" s="17">
        <v>0.05</v>
      </c>
      <c r="H148" s="17">
        <v>0.5</v>
      </c>
      <c r="I148" t="s">
        <v>75</v>
      </c>
      <c r="J148" t="s">
        <v>10314</v>
      </c>
    </row>
    <row r="149" spans="1:10">
      <c r="A149" t="s">
        <v>3006</v>
      </c>
      <c r="B149" s="322" t="s">
        <v>101</v>
      </c>
      <c r="C149" s="322" t="s">
        <v>3076</v>
      </c>
      <c r="D149" t="s">
        <v>10315</v>
      </c>
      <c r="E149" s="17">
        <v>0.4</v>
      </c>
      <c r="F149" s="17">
        <v>0.05</v>
      </c>
      <c r="G149" s="17">
        <v>0.05</v>
      </c>
      <c r="H149" s="17">
        <v>0.5</v>
      </c>
      <c r="I149" t="s">
        <v>75</v>
      </c>
      <c r="J149" t="s">
        <v>10316</v>
      </c>
    </row>
    <row r="150" spans="1:10">
      <c r="A150" t="s">
        <v>3007</v>
      </c>
      <c r="B150" s="322" t="s">
        <v>101</v>
      </c>
      <c r="C150" s="322" t="s">
        <v>3078</v>
      </c>
      <c r="D150" t="s">
        <v>10317</v>
      </c>
      <c r="E150" s="17">
        <v>0.4</v>
      </c>
      <c r="F150" s="17">
        <v>0.05</v>
      </c>
      <c r="G150" s="17">
        <v>0.05</v>
      </c>
      <c r="H150" s="17">
        <v>0.5</v>
      </c>
      <c r="I150" t="s">
        <v>75</v>
      </c>
      <c r="J150" t="s">
        <v>10318</v>
      </c>
    </row>
    <row r="151" spans="1:10">
      <c r="A151" t="s">
        <v>10319</v>
      </c>
      <c r="B151" s="322" t="s">
        <v>101</v>
      </c>
      <c r="C151" s="322" t="s">
        <v>10320</v>
      </c>
      <c r="D151" t="s">
        <v>10321</v>
      </c>
      <c r="E151" s="17">
        <v>0.4</v>
      </c>
      <c r="F151" s="17">
        <v>0.05</v>
      </c>
      <c r="G151" s="17">
        <v>0.05</v>
      </c>
      <c r="H151" s="17">
        <v>0.5</v>
      </c>
      <c r="I151" t="s">
        <v>75</v>
      </c>
      <c r="J151" t="s">
        <v>10322</v>
      </c>
    </row>
    <row r="152" spans="1:10">
      <c r="A152" t="s">
        <v>10323</v>
      </c>
      <c r="B152" s="322" t="s">
        <v>101</v>
      </c>
      <c r="C152" s="322" t="s">
        <v>10324</v>
      </c>
      <c r="D152" t="s">
        <v>10317</v>
      </c>
      <c r="E152" s="17">
        <v>0.4</v>
      </c>
      <c r="F152" s="17">
        <v>0.05</v>
      </c>
      <c r="G152" s="17">
        <v>0.05</v>
      </c>
      <c r="H152" s="17">
        <v>0.5</v>
      </c>
      <c r="I152" t="s">
        <v>75</v>
      </c>
      <c r="J152" t="s">
        <v>10325</v>
      </c>
    </row>
    <row r="153" spans="1:10">
      <c r="A153" t="s">
        <v>10326</v>
      </c>
      <c r="B153" s="322" t="s">
        <v>101</v>
      </c>
      <c r="C153" s="322" t="s">
        <v>10327</v>
      </c>
      <c r="D153" t="s">
        <v>10321</v>
      </c>
      <c r="E153" s="17">
        <v>0.4</v>
      </c>
      <c r="F153" s="17">
        <v>0.05</v>
      </c>
      <c r="G153" s="17">
        <v>0.05</v>
      </c>
      <c r="H153" s="17">
        <v>0.5</v>
      </c>
      <c r="I153" t="s">
        <v>75</v>
      </c>
      <c r="J153" t="s">
        <v>10328</v>
      </c>
    </row>
    <row r="154" spans="1:10">
      <c r="A154" t="s">
        <v>3876</v>
      </c>
      <c r="B154" s="322" t="s">
        <v>102</v>
      </c>
      <c r="C154" s="322" t="s">
        <v>3066</v>
      </c>
      <c r="D154" t="s">
        <v>10329</v>
      </c>
      <c r="E154" s="17">
        <v>0.35</v>
      </c>
      <c r="F154" s="17">
        <v>0</v>
      </c>
      <c r="G154" s="17">
        <v>0</v>
      </c>
      <c r="H154" s="17">
        <v>0.35</v>
      </c>
      <c r="I154" t="s">
        <v>75</v>
      </c>
      <c r="J154" t="s">
        <v>10330</v>
      </c>
    </row>
    <row r="155" spans="1:10">
      <c r="A155" t="s">
        <v>3879</v>
      </c>
      <c r="B155" s="322" t="s">
        <v>102</v>
      </c>
      <c r="C155" s="322" t="s">
        <v>3067</v>
      </c>
      <c r="D155" t="s">
        <v>10331</v>
      </c>
      <c r="E155" s="17">
        <v>0.35</v>
      </c>
      <c r="F155" s="17">
        <v>0</v>
      </c>
      <c r="G155" s="17">
        <v>0</v>
      </c>
      <c r="H155" s="17">
        <v>0.35</v>
      </c>
      <c r="I155" t="s">
        <v>75</v>
      </c>
      <c r="J155" t="s">
        <v>10332</v>
      </c>
    </row>
    <row r="156" spans="1:10">
      <c r="A156" t="s">
        <v>3882</v>
      </c>
      <c r="B156" s="322" t="s">
        <v>102</v>
      </c>
      <c r="C156" s="322" t="s">
        <v>3883</v>
      </c>
      <c r="D156" t="s">
        <v>10333</v>
      </c>
      <c r="E156" s="17">
        <v>0.35</v>
      </c>
      <c r="F156" s="17">
        <v>0</v>
      </c>
      <c r="G156" s="17">
        <v>0</v>
      </c>
      <c r="H156" s="17">
        <v>0.35</v>
      </c>
      <c r="I156" t="s">
        <v>75</v>
      </c>
      <c r="J156" t="s">
        <v>10334</v>
      </c>
    </row>
    <row r="157" spans="1:10">
      <c r="A157" t="s">
        <v>3886</v>
      </c>
      <c r="B157" s="322" t="s">
        <v>102</v>
      </c>
      <c r="C157" s="322" t="s">
        <v>3887</v>
      </c>
      <c r="D157" t="s">
        <v>3888</v>
      </c>
      <c r="E157" s="17">
        <v>0.35</v>
      </c>
      <c r="F157" s="17">
        <v>0</v>
      </c>
      <c r="G157" s="17">
        <v>0</v>
      </c>
      <c r="H157" s="17">
        <v>0.35</v>
      </c>
      <c r="I157" t="s">
        <v>75</v>
      </c>
      <c r="J157" t="s">
        <v>3889</v>
      </c>
    </row>
    <row r="158" spans="1:10">
      <c r="A158" t="s">
        <v>3890</v>
      </c>
      <c r="B158" s="322" t="s">
        <v>102</v>
      </c>
      <c r="C158" s="322" t="s">
        <v>3891</v>
      </c>
      <c r="D158" t="s">
        <v>10335</v>
      </c>
      <c r="E158" s="17">
        <v>0.35</v>
      </c>
      <c r="F158" s="17">
        <v>0</v>
      </c>
      <c r="G158" s="17">
        <v>0</v>
      </c>
      <c r="H158" s="17">
        <v>0.35</v>
      </c>
      <c r="I158" t="s">
        <v>75</v>
      </c>
      <c r="J158" t="s">
        <v>10336</v>
      </c>
    </row>
    <row r="159" spans="1:10">
      <c r="A159" t="s">
        <v>10337</v>
      </c>
      <c r="B159" s="322" t="s">
        <v>102</v>
      </c>
      <c r="C159" s="322" t="s">
        <v>10338</v>
      </c>
      <c r="D159" t="s">
        <v>10339</v>
      </c>
      <c r="E159" s="17">
        <v>0.35</v>
      </c>
      <c r="F159" s="17">
        <v>0</v>
      </c>
      <c r="G159" s="17">
        <v>0</v>
      </c>
      <c r="H159" s="17">
        <v>0.35</v>
      </c>
      <c r="I159" t="s">
        <v>75</v>
      </c>
      <c r="J159" t="s">
        <v>10340</v>
      </c>
    </row>
    <row r="160" spans="1:10">
      <c r="A160" t="s">
        <v>3894</v>
      </c>
      <c r="B160" s="322" t="s">
        <v>102</v>
      </c>
      <c r="C160" s="322" t="s">
        <v>3895</v>
      </c>
      <c r="D160" t="s">
        <v>10341</v>
      </c>
      <c r="E160" s="17">
        <v>0.35</v>
      </c>
      <c r="F160" s="17">
        <v>0</v>
      </c>
      <c r="G160" s="17">
        <v>0</v>
      </c>
      <c r="H160" s="17">
        <v>0.35</v>
      </c>
      <c r="I160" t="s">
        <v>75</v>
      </c>
      <c r="J160" t="s">
        <v>10342</v>
      </c>
    </row>
    <row r="161" spans="1:10">
      <c r="A161" t="s">
        <v>10343</v>
      </c>
      <c r="B161" s="322" t="s">
        <v>102</v>
      </c>
      <c r="C161" s="322" t="s">
        <v>10344</v>
      </c>
      <c r="D161" t="s">
        <v>10345</v>
      </c>
      <c r="E161" s="17">
        <v>0.35</v>
      </c>
      <c r="F161" s="17">
        <v>0</v>
      </c>
      <c r="G161" s="17">
        <v>0</v>
      </c>
      <c r="H161" s="17">
        <v>0.35</v>
      </c>
      <c r="I161" t="s">
        <v>75</v>
      </c>
      <c r="J161" t="s">
        <v>10346</v>
      </c>
    </row>
    <row r="162" spans="1:10">
      <c r="A162" t="s">
        <v>3898</v>
      </c>
      <c r="B162" s="322" t="s">
        <v>102</v>
      </c>
      <c r="C162" s="322" t="s">
        <v>3899</v>
      </c>
      <c r="D162" t="s">
        <v>10347</v>
      </c>
      <c r="E162" s="17">
        <v>0.35</v>
      </c>
      <c r="F162" s="17">
        <v>0</v>
      </c>
      <c r="G162" s="17">
        <v>0</v>
      </c>
      <c r="H162" s="17">
        <v>0.35</v>
      </c>
      <c r="I162" t="s">
        <v>75</v>
      </c>
      <c r="J162" t="s">
        <v>10348</v>
      </c>
    </row>
    <row r="163" spans="1:10">
      <c r="A163" t="s">
        <v>10349</v>
      </c>
      <c r="B163" s="322" t="s">
        <v>102</v>
      </c>
      <c r="C163" s="322" t="s">
        <v>10350</v>
      </c>
      <c r="D163" t="s">
        <v>10351</v>
      </c>
      <c r="E163" s="17">
        <v>0.35</v>
      </c>
      <c r="F163" s="17">
        <v>0</v>
      </c>
      <c r="G163" s="17">
        <v>0</v>
      </c>
      <c r="H163" s="17">
        <v>0.35</v>
      </c>
      <c r="I163" t="s">
        <v>75</v>
      </c>
      <c r="J163" t="s">
        <v>10352</v>
      </c>
    </row>
    <row r="164" spans="1:10">
      <c r="A164" t="s">
        <v>3902</v>
      </c>
      <c r="B164" s="322" t="s">
        <v>102</v>
      </c>
      <c r="C164" s="322" t="s">
        <v>3903</v>
      </c>
      <c r="D164" t="s">
        <v>10353</v>
      </c>
      <c r="E164" s="17">
        <v>0.35</v>
      </c>
      <c r="F164" s="17">
        <v>0</v>
      </c>
      <c r="G164" s="17">
        <v>0</v>
      </c>
      <c r="H164" s="17">
        <v>0.35</v>
      </c>
      <c r="I164" t="s">
        <v>75</v>
      </c>
      <c r="J164" t="s">
        <v>10354</v>
      </c>
    </row>
    <row r="165" spans="1:10">
      <c r="A165" t="s">
        <v>10355</v>
      </c>
      <c r="B165" s="322" t="s">
        <v>102</v>
      </c>
      <c r="C165" s="322" t="s">
        <v>10356</v>
      </c>
      <c r="D165" t="s">
        <v>10357</v>
      </c>
      <c r="E165" s="17">
        <v>0.35</v>
      </c>
      <c r="F165" s="17">
        <v>0</v>
      </c>
      <c r="G165" s="17">
        <v>0</v>
      </c>
      <c r="H165" s="17">
        <v>0.35</v>
      </c>
      <c r="I165" t="s">
        <v>75</v>
      </c>
      <c r="J165" t="s">
        <v>10358</v>
      </c>
    </row>
    <row r="166" spans="1:10">
      <c r="A166" t="s">
        <v>3906</v>
      </c>
      <c r="B166" s="322" t="s">
        <v>102</v>
      </c>
      <c r="C166" s="322" t="s">
        <v>3907</v>
      </c>
      <c r="D166" t="s">
        <v>10359</v>
      </c>
      <c r="E166" s="17">
        <v>0.35</v>
      </c>
      <c r="F166" s="17">
        <v>0</v>
      </c>
      <c r="G166" s="17">
        <v>0</v>
      </c>
      <c r="H166" s="17">
        <v>0.35</v>
      </c>
      <c r="I166" t="s">
        <v>75</v>
      </c>
      <c r="J166" t="s">
        <v>10360</v>
      </c>
    </row>
    <row r="167" spans="1:10">
      <c r="A167" t="s">
        <v>10361</v>
      </c>
      <c r="B167" s="322" t="s">
        <v>102</v>
      </c>
      <c r="C167" s="322" t="s">
        <v>10362</v>
      </c>
      <c r="D167" t="s">
        <v>10363</v>
      </c>
      <c r="E167" s="17">
        <v>0.35</v>
      </c>
      <c r="F167" s="17">
        <v>0</v>
      </c>
      <c r="G167" s="17">
        <v>0</v>
      </c>
      <c r="H167" s="17">
        <v>0.35</v>
      </c>
      <c r="I167" t="s">
        <v>75</v>
      </c>
      <c r="J167" t="s">
        <v>10364</v>
      </c>
    </row>
    <row r="168" spans="1:10">
      <c r="A168" t="s">
        <v>3910</v>
      </c>
      <c r="B168" s="322" t="s">
        <v>102</v>
      </c>
      <c r="C168" s="322" t="s">
        <v>3911</v>
      </c>
      <c r="D168" t="s">
        <v>10365</v>
      </c>
      <c r="E168" s="17">
        <v>0.35</v>
      </c>
      <c r="F168" s="17">
        <v>0</v>
      </c>
      <c r="G168" s="17">
        <v>0</v>
      </c>
      <c r="H168" s="17">
        <v>0.35</v>
      </c>
      <c r="I168" t="s">
        <v>75</v>
      </c>
      <c r="J168" t="s">
        <v>10366</v>
      </c>
    </row>
    <row r="169" spans="1:10">
      <c r="A169" t="s">
        <v>10367</v>
      </c>
      <c r="B169" s="322" t="s">
        <v>102</v>
      </c>
      <c r="C169" s="322" t="s">
        <v>10368</v>
      </c>
      <c r="D169" t="s">
        <v>10369</v>
      </c>
      <c r="E169" s="17">
        <v>0.35</v>
      </c>
      <c r="F169" s="17">
        <v>0</v>
      </c>
      <c r="G169" s="17">
        <v>0</v>
      </c>
      <c r="H169" s="17">
        <v>0.35</v>
      </c>
      <c r="I169" t="s">
        <v>75</v>
      </c>
      <c r="J169" t="s">
        <v>10370</v>
      </c>
    </row>
    <row r="170" spans="1:10">
      <c r="A170" t="s">
        <v>3914</v>
      </c>
      <c r="B170" s="322" t="s">
        <v>102</v>
      </c>
      <c r="C170" s="322" t="s">
        <v>3915</v>
      </c>
      <c r="D170" t="s">
        <v>10371</v>
      </c>
      <c r="E170" s="17">
        <v>0.35</v>
      </c>
      <c r="F170" s="17">
        <v>0</v>
      </c>
      <c r="G170" s="17">
        <v>0</v>
      </c>
      <c r="H170" s="17">
        <v>0.35</v>
      </c>
      <c r="I170" t="s">
        <v>75</v>
      </c>
      <c r="J170" t="s">
        <v>10372</v>
      </c>
    </row>
    <row r="171" spans="1:10">
      <c r="A171" t="s">
        <v>10373</v>
      </c>
      <c r="B171" s="322" t="s">
        <v>102</v>
      </c>
      <c r="C171" s="322" t="s">
        <v>10374</v>
      </c>
      <c r="D171" t="s">
        <v>10375</v>
      </c>
      <c r="E171" s="17">
        <v>0.35</v>
      </c>
      <c r="F171" s="17">
        <v>0</v>
      </c>
      <c r="G171" s="17">
        <v>0</v>
      </c>
      <c r="H171" s="17">
        <v>0.35</v>
      </c>
      <c r="I171" t="s">
        <v>75</v>
      </c>
      <c r="J171" t="s">
        <v>10376</v>
      </c>
    </row>
    <row r="172" spans="1:10">
      <c r="A172" t="s">
        <v>3918</v>
      </c>
      <c r="B172" s="322" t="s">
        <v>102</v>
      </c>
      <c r="C172" s="322" t="s">
        <v>3919</v>
      </c>
      <c r="D172" t="s">
        <v>10377</v>
      </c>
      <c r="E172" s="17">
        <v>0.35</v>
      </c>
      <c r="F172" s="17">
        <v>0</v>
      </c>
      <c r="G172" s="17">
        <v>0</v>
      </c>
      <c r="H172" s="17">
        <v>0.35</v>
      </c>
      <c r="I172" t="s">
        <v>75</v>
      </c>
      <c r="J172" t="s">
        <v>10378</v>
      </c>
    </row>
    <row r="173" spans="1:10">
      <c r="A173" t="s">
        <v>10379</v>
      </c>
      <c r="B173" s="322" t="s">
        <v>102</v>
      </c>
      <c r="C173" s="322" t="s">
        <v>10380</v>
      </c>
      <c r="D173" t="s">
        <v>10381</v>
      </c>
      <c r="E173" s="17">
        <v>0.35</v>
      </c>
      <c r="F173" s="17">
        <v>0</v>
      </c>
      <c r="G173" s="17">
        <v>0</v>
      </c>
      <c r="H173" s="17">
        <v>0.35</v>
      </c>
      <c r="I173" t="s">
        <v>75</v>
      </c>
      <c r="J173" t="s">
        <v>10382</v>
      </c>
    </row>
    <row r="174" spans="1:10">
      <c r="A174" t="s">
        <v>3922</v>
      </c>
      <c r="B174" s="322" t="s">
        <v>102</v>
      </c>
      <c r="C174" s="322" t="s">
        <v>3923</v>
      </c>
      <c r="D174" t="s">
        <v>10383</v>
      </c>
      <c r="E174" s="17">
        <v>0.35</v>
      </c>
      <c r="F174" s="17">
        <v>0</v>
      </c>
      <c r="G174" s="17">
        <v>0</v>
      </c>
      <c r="H174" s="17">
        <v>0.35</v>
      </c>
      <c r="I174" t="s">
        <v>75</v>
      </c>
      <c r="J174" t="s">
        <v>10384</v>
      </c>
    </row>
    <row r="175" spans="1:10">
      <c r="A175" t="s">
        <v>10385</v>
      </c>
      <c r="B175" s="322" t="s">
        <v>102</v>
      </c>
      <c r="C175" s="322" t="s">
        <v>10386</v>
      </c>
      <c r="D175" t="s">
        <v>10387</v>
      </c>
      <c r="E175" s="17">
        <v>0.35</v>
      </c>
      <c r="F175" s="17">
        <v>0</v>
      </c>
      <c r="G175" s="17">
        <v>0</v>
      </c>
      <c r="H175" s="17">
        <v>0.35</v>
      </c>
      <c r="I175" t="s">
        <v>75</v>
      </c>
      <c r="J175" t="s">
        <v>10388</v>
      </c>
    </row>
    <row r="176" spans="1:10">
      <c r="A176" t="s">
        <v>3011</v>
      </c>
      <c r="B176" s="322" t="s">
        <v>104</v>
      </c>
      <c r="C176" s="322" t="s">
        <v>3084</v>
      </c>
      <c r="D176" t="s">
        <v>227</v>
      </c>
      <c r="E176" s="17">
        <v>0.36</v>
      </c>
      <c r="F176" s="17">
        <v>0.05</v>
      </c>
      <c r="G176" s="17">
        <v>0.05</v>
      </c>
      <c r="H176" s="17">
        <v>0.46</v>
      </c>
      <c r="I176" t="s">
        <v>75</v>
      </c>
      <c r="J176" t="s">
        <v>3085</v>
      </c>
    </row>
    <row r="177" spans="1:10">
      <c r="A177" t="s">
        <v>10389</v>
      </c>
      <c r="B177" s="322" t="s">
        <v>105</v>
      </c>
      <c r="C177" s="322" t="s">
        <v>3084</v>
      </c>
      <c r="D177" t="s">
        <v>10390</v>
      </c>
      <c r="E177" s="17">
        <v>0.1</v>
      </c>
      <c r="F177" s="17">
        <v>0.05</v>
      </c>
      <c r="G177" s="17">
        <v>0.05</v>
      </c>
      <c r="H177" s="17">
        <v>0.2</v>
      </c>
      <c r="I177" t="s">
        <v>75</v>
      </c>
      <c r="J177" t="s">
        <v>10391</v>
      </c>
    </row>
    <row r="178" spans="1:10">
      <c r="A178" t="s">
        <v>10392</v>
      </c>
      <c r="B178" s="322" t="s">
        <v>105</v>
      </c>
      <c r="C178" s="322" t="s">
        <v>10393</v>
      </c>
      <c r="D178" t="s">
        <v>10394</v>
      </c>
      <c r="E178" s="17">
        <v>0.1</v>
      </c>
      <c r="F178" s="17">
        <v>0.05</v>
      </c>
      <c r="G178" s="17">
        <v>0.05</v>
      </c>
      <c r="H178" s="17">
        <v>0.2</v>
      </c>
      <c r="I178" t="s">
        <v>75</v>
      </c>
      <c r="J178" t="s">
        <v>10395</v>
      </c>
    </row>
    <row r="179" spans="1:10">
      <c r="A179" t="s">
        <v>2935</v>
      </c>
      <c r="B179" s="322" t="s">
        <v>110</v>
      </c>
      <c r="C179" s="322" t="s">
        <v>2934</v>
      </c>
      <c r="D179" t="s">
        <v>111</v>
      </c>
      <c r="E179" s="17">
        <v>0.5</v>
      </c>
      <c r="F179" s="17">
        <v>0.05</v>
      </c>
      <c r="G179" s="17">
        <v>0.05</v>
      </c>
      <c r="H179" s="17">
        <v>0.6</v>
      </c>
      <c r="I179" t="s">
        <v>75</v>
      </c>
      <c r="J179" t="s">
        <v>3086</v>
      </c>
    </row>
    <row r="180" spans="1:10">
      <c r="A180" t="s">
        <v>2901</v>
      </c>
      <c r="B180" s="322" t="s">
        <v>3056</v>
      </c>
      <c r="C180" s="322" t="s">
        <v>2900</v>
      </c>
      <c r="D180" t="s">
        <v>10396</v>
      </c>
      <c r="E180" s="17">
        <v>0.6</v>
      </c>
      <c r="F180" s="17">
        <v>0.05</v>
      </c>
      <c r="G180" s="17">
        <v>0.05</v>
      </c>
      <c r="H180" s="17">
        <v>0.7</v>
      </c>
      <c r="I180" t="s">
        <v>75</v>
      </c>
      <c r="J180" t="s">
        <v>10397</v>
      </c>
    </row>
    <row r="181" spans="1:10">
      <c r="A181" t="s">
        <v>2038</v>
      </c>
      <c r="B181" s="322" t="s">
        <v>3056</v>
      </c>
      <c r="C181" s="322" t="s">
        <v>2903</v>
      </c>
      <c r="D181" t="s">
        <v>10398</v>
      </c>
      <c r="E181" s="17">
        <v>0.57999999999999996</v>
      </c>
      <c r="F181" s="17">
        <v>0.05</v>
      </c>
      <c r="G181" s="17">
        <v>0.05</v>
      </c>
      <c r="H181" s="17">
        <v>0.68</v>
      </c>
      <c r="I181" t="s">
        <v>75</v>
      </c>
      <c r="J181" t="s">
        <v>10399</v>
      </c>
    </row>
    <row r="182" spans="1:10">
      <c r="A182" t="s">
        <v>120</v>
      </c>
      <c r="B182" s="322" t="s">
        <v>3034</v>
      </c>
      <c r="C182" s="322" t="s">
        <v>3108</v>
      </c>
      <c r="D182" t="s">
        <v>229</v>
      </c>
      <c r="E182" s="17">
        <v>0.23</v>
      </c>
      <c r="F182" s="17">
        <v>0</v>
      </c>
      <c r="G182" s="17">
        <v>0</v>
      </c>
      <c r="H182" s="17">
        <v>0.23</v>
      </c>
      <c r="I182" t="s">
        <v>75</v>
      </c>
      <c r="J182" t="s">
        <v>3109</v>
      </c>
    </row>
    <row r="183" spans="1:10">
      <c r="A183" t="s">
        <v>5110</v>
      </c>
      <c r="B183" s="322" t="s">
        <v>3034</v>
      </c>
      <c r="C183" s="322" t="s">
        <v>5112</v>
      </c>
      <c r="D183" t="s">
        <v>10400</v>
      </c>
      <c r="E183" s="17">
        <v>0.23</v>
      </c>
      <c r="F183" s="17">
        <v>0</v>
      </c>
      <c r="G183" s="17">
        <v>0</v>
      </c>
      <c r="H183" s="17">
        <v>0.23</v>
      </c>
      <c r="I183" t="s">
        <v>75</v>
      </c>
      <c r="J183" t="s">
        <v>10401</v>
      </c>
    </row>
    <row r="184" spans="1:10">
      <c r="A184" t="s">
        <v>10402</v>
      </c>
      <c r="B184" s="322" t="s">
        <v>3034</v>
      </c>
      <c r="C184" s="322" t="s">
        <v>10403</v>
      </c>
      <c r="D184" t="s">
        <v>10400</v>
      </c>
      <c r="E184" s="17">
        <v>0.23</v>
      </c>
      <c r="F184" s="17">
        <v>0</v>
      </c>
      <c r="G184" s="17">
        <v>0</v>
      </c>
      <c r="H184" s="17">
        <v>0.23</v>
      </c>
      <c r="I184" t="s">
        <v>75</v>
      </c>
      <c r="J184" t="s">
        <v>10404</v>
      </c>
    </row>
    <row r="185" spans="1:10">
      <c r="A185" t="s">
        <v>10405</v>
      </c>
      <c r="B185" s="322" t="s">
        <v>3034</v>
      </c>
      <c r="C185" s="322" t="s">
        <v>10406</v>
      </c>
      <c r="D185" t="s">
        <v>10400</v>
      </c>
      <c r="E185" s="17">
        <v>0.23</v>
      </c>
      <c r="F185" s="17">
        <v>0</v>
      </c>
      <c r="G185" s="17">
        <v>0</v>
      </c>
      <c r="H185" s="17">
        <v>0.23</v>
      </c>
      <c r="I185" t="s">
        <v>75</v>
      </c>
      <c r="J185" t="s">
        <v>10407</v>
      </c>
    </row>
    <row r="186" spans="1:10">
      <c r="A186" t="s">
        <v>121</v>
      </c>
      <c r="B186" s="322" t="s">
        <v>3034</v>
      </c>
      <c r="C186" s="322" t="s">
        <v>3110</v>
      </c>
      <c r="D186" t="s">
        <v>10408</v>
      </c>
      <c r="E186" s="17">
        <v>0.23</v>
      </c>
      <c r="F186" s="17">
        <v>0</v>
      </c>
      <c r="G186" s="17">
        <v>0</v>
      </c>
      <c r="H186" s="17">
        <v>0.23</v>
      </c>
      <c r="I186" t="s">
        <v>75</v>
      </c>
      <c r="J186" t="s">
        <v>10409</v>
      </c>
    </row>
    <row r="187" spans="1:10">
      <c r="A187" t="s">
        <v>3012</v>
      </c>
      <c r="B187" s="322" t="s">
        <v>3034</v>
      </c>
      <c r="C187" s="322" t="s">
        <v>3098</v>
      </c>
      <c r="D187" t="s">
        <v>10410</v>
      </c>
      <c r="E187" s="17">
        <v>0.45</v>
      </c>
      <c r="F187" s="17">
        <v>0.05</v>
      </c>
      <c r="G187" s="17">
        <v>0.05</v>
      </c>
      <c r="H187" s="17">
        <v>0.55000000000000004</v>
      </c>
      <c r="I187" t="s">
        <v>75</v>
      </c>
      <c r="J187" t="s">
        <v>10411</v>
      </c>
    </row>
    <row r="188" spans="1:10">
      <c r="A188" t="s">
        <v>3578</v>
      </c>
      <c r="B188" s="322" t="s">
        <v>3034</v>
      </c>
      <c r="C188" s="322" t="s">
        <v>3579</v>
      </c>
      <c r="D188" t="s">
        <v>10412</v>
      </c>
      <c r="E188" s="17">
        <v>0.45</v>
      </c>
      <c r="F188" s="17">
        <v>0.05</v>
      </c>
      <c r="G188" s="17">
        <v>0.05</v>
      </c>
      <c r="H188" s="17">
        <v>0.55000000000000004</v>
      </c>
      <c r="I188" t="s">
        <v>75</v>
      </c>
      <c r="J188" t="s">
        <v>10413</v>
      </c>
    </row>
    <row r="189" spans="1:10">
      <c r="A189" t="s">
        <v>10414</v>
      </c>
      <c r="B189" s="322" t="s">
        <v>3034</v>
      </c>
      <c r="C189" s="322" t="s">
        <v>10415</v>
      </c>
      <c r="D189" t="s">
        <v>10416</v>
      </c>
      <c r="E189" s="17">
        <v>0.45</v>
      </c>
      <c r="F189" s="17">
        <v>0.05</v>
      </c>
      <c r="G189" s="17">
        <v>0.05</v>
      </c>
      <c r="H189" s="17">
        <v>0.55000000000000004</v>
      </c>
      <c r="I189" t="s">
        <v>75</v>
      </c>
      <c r="J189" t="s">
        <v>10417</v>
      </c>
    </row>
    <row r="190" spans="1:10">
      <c r="A190" t="s">
        <v>3582</v>
      </c>
      <c r="B190" s="322" t="s">
        <v>3034</v>
      </c>
      <c r="C190" s="322" t="s">
        <v>2905</v>
      </c>
      <c r="D190" t="s">
        <v>3583</v>
      </c>
      <c r="E190" s="17">
        <v>0.45</v>
      </c>
      <c r="F190" s="17">
        <v>0.05</v>
      </c>
      <c r="G190" s="17">
        <v>0.05</v>
      </c>
      <c r="H190" s="17">
        <v>0.55000000000000004</v>
      </c>
      <c r="I190" t="s">
        <v>75</v>
      </c>
      <c r="J190" t="s">
        <v>3584</v>
      </c>
    </row>
    <row r="191" spans="1:10">
      <c r="A191" t="s">
        <v>10418</v>
      </c>
      <c r="B191" s="322" t="s">
        <v>3034</v>
      </c>
      <c r="C191" s="322" t="s">
        <v>73</v>
      </c>
      <c r="D191" t="s">
        <v>10419</v>
      </c>
      <c r="E191" s="17">
        <v>0.45</v>
      </c>
      <c r="F191" s="17">
        <v>0.05</v>
      </c>
      <c r="G191" s="17">
        <v>0.05</v>
      </c>
      <c r="H191" s="17">
        <v>0.55000000000000004</v>
      </c>
      <c r="I191" t="s">
        <v>75</v>
      </c>
      <c r="J191" t="s">
        <v>10420</v>
      </c>
    </row>
    <row r="192" spans="1:10">
      <c r="A192" t="s">
        <v>10421</v>
      </c>
      <c r="B192" s="322" t="s">
        <v>3034</v>
      </c>
      <c r="C192" s="322" t="s">
        <v>10422</v>
      </c>
      <c r="D192" t="s">
        <v>10423</v>
      </c>
      <c r="E192" s="17">
        <v>0.45</v>
      </c>
      <c r="F192" s="17">
        <v>0.05</v>
      </c>
      <c r="G192" s="17">
        <v>0.05</v>
      </c>
      <c r="H192" s="17">
        <v>0.55000000000000004</v>
      </c>
      <c r="I192" t="s">
        <v>75</v>
      </c>
      <c r="J192" t="s">
        <v>10424</v>
      </c>
    </row>
    <row r="193" spans="1:10">
      <c r="A193" t="s">
        <v>3585</v>
      </c>
      <c r="B193" s="322" t="s">
        <v>3034</v>
      </c>
      <c r="C193" s="322" t="s">
        <v>3586</v>
      </c>
      <c r="D193" t="s">
        <v>10425</v>
      </c>
      <c r="E193" s="17">
        <v>0.35</v>
      </c>
      <c r="F193" s="17">
        <v>0.05</v>
      </c>
      <c r="G193" s="17">
        <v>0.05</v>
      </c>
      <c r="H193" s="17">
        <v>0.45</v>
      </c>
      <c r="I193" t="s">
        <v>75</v>
      </c>
      <c r="J193" t="s">
        <v>10426</v>
      </c>
    </row>
    <row r="194" spans="1:10">
      <c r="A194" t="s">
        <v>10427</v>
      </c>
      <c r="B194" s="322" t="s">
        <v>3034</v>
      </c>
      <c r="C194" s="322" t="s">
        <v>10428</v>
      </c>
      <c r="D194" t="s">
        <v>10429</v>
      </c>
      <c r="E194" s="17">
        <v>0.35</v>
      </c>
      <c r="F194" s="17">
        <v>0.05</v>
      </c>
      <c r="G194" s="17">
        <v>0.05</v>
      </c>
      <c r="H194" s="17">
        <v>0.45</v>
      </c>
      <c r="I194" t="s">
        <v>75</v>
      </c>
      <c r="J194" t="s">
        <v>10430</v>
      </c>
    </row>
    <row r="195" spans="1:10">
      <c r="A195" t="s">
        <v>10431</v>
      </c>
      <c r="B195" s="322" t="s">
        <v>3034</v>
      </c>
      <c r="C195" s="322" t="s">
        <v>10432</v>
      </c>
      <c r="D195" t="s">
        <v>10429</v>
      </c>
      <c r="E195" s="17">
        <v>0.35</v>
      </c>
      <c r="F195" s="17">
        <v>0.05</v>
      </c>
      <c r="G195" s="17">
        <v>0.05</v>
      </c>
      <c r="H195" s="17">
        <v>0.45</v>
      </c>
      <c r="I195" t="s">
        <v>75</v>
      </c>
      <c r="J195" t="s">
        <v>10433</v>
      </c>
    </row>
    <row r="196" spans="1:10">
      <c r="A196" t="s">
        <v>10434</v>
      </c>
      <c r="B196" s="322" t="s">
        <v>3034</v>
      </c>
      <c r="C196" s="322" t="s">
        <v>10435</v>
      </c>
      <c r="D196" t="s">
        <v>10429</v>
      </c>
      <c r="E196" s="17">
        <v>0.35</v>
      </c>
      <c r="F196" s="17">
        <v>0.05</v>
      </c>
      <c r="G196" s="17">
        <v>0.05</v>
      </c>
      <c r="H196" s="17">
        <v>0.45</v>
      </c>
      <c r="I196" t="s">
        <v>75</v>
      </c>
      <c r="J196" t="s">
        <v>10436</v>
      </c>
    </row>
    <row r="197" spans="1:10">
      <c r="A197" t="s">
        <v>10437</v>
      </c>
      <c r="B197" s="322" t="s">
        <v>3034</v>
      </c>
      <c r="C197" s="322" t="s">
        <v>10438</v>
      </c>
      <c r="D197" t="s">
        <v>10429</v>
      </c>
      <c r="E197" s="17">
        <v>0.35</v>
      </c>
      <c r="F197" s="17">
        <v>0.05</v>
      </c>
      <c r="G197" s="17">
        <v>0.05</v>
      </c>
      <c r="H197" s="17">
        <v>0.45</v>
      </c>
      <c r="I197" t="s">
        <v>75</v>
      </c>
      <c r="J197" t="s">
        <v>10439</v>
      </c>
    </row>
    <row r="198" spans="1:10">
      <c r="A198" t="s">
        <v>10440</v>
      </c>
      <c r="B198" s="322" t="s">
        <v>3034</v>
      </c>
      <c r="C198" s="322" t="s">
        <v>10441</v>
      </c>
      <c r="D198" t="s">
        <v>10429</v>
      </c>
      <c r="E198" s="17">
        <v>0.35</v>
      </c>
      <c r="F198" s="17">
        <v>0.05</v>
      </c>
      <c r="G198" s="17">
        <v>0.05</v>
      </c>
      <c r="H198" s="17">
        <v>0.45</v>
      </c>
      <c r="I198" t="s">
        <v>75</v>
      </c>
      <c r="J198" t="s">
        <v>10442</v>
      </c>
    </row>
    <row r="199" spans="1:10">
      <c r="A199" t="s">
        <v>10443</v>
      </c>
      <c r="B199" s="322" t="s">
        <v>3034</v>
      </c>
      <c r="C199" s="322" t="s">
        <v>10444</v>
      </c>
      <c r="D199" t="s">
        <v>10429</v>
      </c>
      <c r="E199" s="17">
        <v>0.35</v>
      </c>
      <c r="F199" s="17">
        <v>0.05</v>
      </c>
      <c r="G199" s="17">
        <v>0.05</v>
      </c>
      <c r="H199" s="17">
        <v>0.45</v>
      </c>
      <c r="I199" t="s">
        <v>75</v>
      </c>
      <c r="J199" t="s">
        <v>10445</v>
      </c>
    </row>
    <row r="200" spans="1:10">
      <c r="A200" t="s">
        <v>10446</v>
      </c>
      <c r="B200" s="322" t="s">
        <v>3034</v>
      </c>
      <c r="C200" s="322" t="s">
        <v>10447</v>
      </c>
      <c r="D200" t="s">
        <v>10429</v>
      </c>
      <c r="E200" s="17">
        <v>0.35</v>
      </c>
      <c r="F200" s="17">
        <v>0.05</v>
      </c>
      <c r="G200" s="17">
        <v>0.05</v>
      </c>
      <c r="H200" s="17">
        <v>0.45</v>
      </c>
      <c r="I200" t="s">
        <v>75</v>
      </c>
      <c r="J200" t="s">
        <v>10448</v>
      </c>
    </row>
    <row r="201" spans="1:10">
      <c r="A201" t="s">
        <v>3155</v>
      </c>
      <c r="B201" s="322" t="s">
        <v>3034</v>
      </c>
      <c r="C201" s="322" t="s">
        <v>3157</v>
      </c>
      <c r="D201" t="s">
        <v>10429</v>
      </c>
      <c r="E201" s="17">
        <v>0.35</v>
      </c>
      <c r="F201" s="17">
        <v>0.05</v>
      </c>
      <c r="G201" s="17">
        <v>0.05</v>
      </c>
      <c r="H201" s="17">
        <v>0.45</v>
      </c>
      <c r="I201" t="s">
        <v>75</v>
      </c>
      <c r="J201" t="s">
        <v>10449</v>
      </c>
    </row>
    <row r="202" spans="1:10">
      <c r="A202" t="s">
        <v>10450</v>
      </c>
      <c r="B202" s="322" t="s">
        <v>3034</v>
      </c>
      <c r="C202" s="322" t="s">
        <v>10451</v>
      </c>
      <c r="D202" t="s">
        <v>10429</v>
      </c>
      <c r="E202" s="17">
        <v>0.35</v>
      </c>
      <c r="F202" s="17">
        <v>0.05</v>
      </c>
      <c r="G202" s="17">
        <v>0.05</v>
      </c>
      <c r="H202" s="17">
        <v>0.45</v>
      </c>
      <c r="I202" t="s">
        <v>75</v>
      </c>
      <c r="J202" t="s">
        <v>10452</v>
      </c>
    </row>
    <row r="203" spans="1:10">
      <c r="A203" t="s">
        <v>10453</v>
      </c>
      <c r="B203" s="322" t="s">
        <v>3034</v>
      </c>
      <c r="C203" s="322" t="s">
        <v>2193</v>
      </c>
      <c r="D203" t="s">
        <v>10429</v>
      </c>
      <c r="E203" s="17">
        <v>0.35</v>
      </c>
      <c r="F203" s="17">
        <v>0.05</v>
      </c>
      <c r="G203" s="17">
        <v>0.05</v>
      </c>
      <c r="H203" s="17">
        <v>0.45</v>
      </c>
      <c r="I203" t="s">
        <v>75</v>
      </c>
      <c r="J203" t="s">
        <v>10454</v>
      </c>
    </row>
    <row r="204" spans="1:10">
      <c r="A204" t="s">
        <v>3589</v>
      </c>
      <c r="B204" s="322" t="s">
        <v>3034</v>
      </c>
      <c r="C204" s="322" t="s">
        <v>3590</v>
      </c>
      <c r="D204" t="s">
        <v>10455</v>
      </c>
      <c r="E204" s="17">
        <v>0.35</v>
      </c>
      <c r="F204" s="17">
        <v>0.05</v>
      </c>
      <c r="G204" s="17">
        <v>0.05</v>
      </c>
      <c r="H204" s="17">
        <v>0.45</v>
      </c>
      <c r="I204" t="s">
        <v>75</v>
      </c>
      <c r="J204" t="s">
        <v>10456</v>
      </c>
    </row>
    <row r="205" spans="1:10">
      <c r="A205" t="s">
        <v>2493</v>
      </c>
      <c r="B205" s="322" t="s">
        <v>3034</v>
      </c>
      <c r="C205" s="322" t="s">
        <v>2494</v>
      </c>
      <c r="D205" t="s">
        <v>10457</v>
      </c>
      <c r="E205" s="17">
        <v>0.35</v>
      </c>
      <c r="F205" s="17">
        <v>0.05</v>
      </c>
      <c r="G205" s="17">
        <v>0.05</v>
      </c>
      <c r="H205" s="17">
        <v>0.45</v>
      </c>
      <c r="I205" t="s">
        <v>75</v>
      </c>
      <c r="J205" t="s">
        <v>10458</v>
      </c>
    </row>
    <row r="206" spans="1:10">
      <c r="A206" t="s">
        <v>10459</v>
      </c>
      <c r="B206" s="322" t="s">
        <v>3034</v>
      </c>
      <c r="C206" s="322" t="s">
        <v>10460</v>
      </c>
      <c r="D206" t="s">
        <v>10461</v>
      </c>
      <c r="E206" s="17">
        <v>0.45</v>
      </c>
      <c r="F206" s="17">
        <v>0.05</v>
      </c>
      <c r="G206" s="17">
        <v>0.05</v>
      </c>
      <c r="H206" s="17">
        <v>0.55000000000000004</v>
      </c>
      <c r="I206" t="s">
        <v>75</v>
      </c>
      <c r="J206" t="s">
        <v>10462</v>
      </c>
    </row>
    <row r="207" spans="1:10">
      <c r="A207" t="s">
        <v>10463</v>
      </c>
      <c r="B207" s="322" t="s">
        <v>3034</v>
      </c>
      <c r="C207" s="322" t="s">
        <v>10464</v>
      </c>
      <c r="D207" t="s">
        <v>10461</v>
      </c>
      <c r="E207" s="17">
        <v>0.45</v>
      </c>
      <c r="F207" s="17">
        <v>0.05</v>
      </c>
      <c r="G207" s="17">
        <v>0.05</v>
      </c>
      <c r="H207" s="17">
        <v>0.55000000000000004</v>
      </c>
      <c r="I207" t="s">
        <v>75</v>
      </c>
      <c r="J207" t="s">
        <v>10465</v>
      </c>
    </row>
    <row r="208" spans="1:10">
      <c r="A208" t="s">
        <v>112</v>
      </c>
      <c r="B208" s="322" t="s">
        <v>3034</v>
      </c>
      <c r="C208" s="322" t="s">
        <v>3091</v>
      </c>
      <c r="D208" t="s">
        <v>10466</v>
      </c>
      <c r="E208" s="17">
        <v>0.35</v>
      </c>
      <c r="F208" s="17">
        <v>0.05</v>
      </c>
      <c r="G208" s="17">
        <v>0.05</v>
      </c>
      <c r="H208" s="17">
        <v>0.45</v>
      </c>
      <c r="I208" t="s">
        <v>75</v>
      </c>
      <c r="J208" t="s">
        <v>10467</v>
      </c>
    </row>
    <row r="209" spans="1:10">
      <c r="A209" t="s">
        <v>116</v>
      </c>
      <c r="B209" s="322" t="s">
        <v>3034</v>
      </c>
      <c r="C209" s="322" t="s">
        <v>3100</v>
      </c>
      <c r="D209" t="s">
        <v>228</v>
      </c>
      <c r="E209" s="17">
        <v>0.35</v>
      </c>
      <c r="F209" s="17">
        <v>0.05</v>
      </c>
      <c r="G209" s="17">
        <v>0.05</v>
      </c>
      <c r="H209" s="17">
        <v>0.45</v>
      </c>
      <c r="I209" t="s">
        <v>75</v>
      </c>
      <c r="J209" t="s">
        <v>3101</v>
      </c>
    </row>
    <row r="210" spans="1:10">
      <c r="A210" t="s">
        <v>117</v>
      </c>
      <c r="B210" s="322" t="s">
        <v>3034</v>
      </c>
      <c r="C210" s="322" t="s">
        <v>3102</v>
      </c>
      <c r="D210" t="s">
        <v>228</v>
      </c>
      <c r="E210" s="17">
        <v>0.35</v>
      </c>
      <c r="F210" s="17">
        <v>0.05</v>
      </c>
      <c r="G210" s="17">
        <v>0.05</v>
      </c>
      <c r="H210" s="17">
        <v>0.45</v>
      </c>
      <c r="I210" t="s">
        <v>75</v>
      </c>
      <c r="J210" t="s">
        <v>3103</v>
      </c>
    </row>
    <row r="211" spans="1:10">
      <c r="A211" t="s">
        <v>2495</v>
      </c>
      <c r="B211" s="322" t="s">
        <v>3034</v>
      </c>
      <c r="C211" s="322" t="s">
        <v>2496</v>
      </c>
      <c r="D211" t="s">
        <v>10468</v>
      </c>
      <c r="E211" s="17">
        <v>0.45</v>
      </c>
      <c r="F211" s="17">
        <v>0.05</v>
      </c>
      <c r="G211" s="17">
        <v>0.05</v>
      </c>
      <c r="H211" s="17">
        <v>0.55000000000000004</v>
      </c>
      <c r="I211" t="s">
        <v>75</v>
      </c>
      <c r="J211" t="s">
        <v>10469</v>
      </c>
    </row>
    <row r="212" spans="1:10">
      <c r="A212" t="s">
        <v>2479</v>
      </c>
      <c r="B212" s="322" t="s">
        <v>3034</v>
      </c>
      <c r="C212" s="322" t="s">
        <v>3035</v>
      </c>
      <c r="D212" t="s">
        <v>10470</v>
      </c>
      <c r="E212" s="17">
        <v>0.35</v>
      </c>
      <c r="F212" s="17">
        <v>0.05</v>
      </c>
      <c r="G212" s="17">
        <v>0.05</v>
      </c>
      <c r="H212" s="17">
        <v>0.45</v>
      </c>
      <c r="I212" t="s">
        <v>75</v>
      </c>
      <c r="J212" t="s">
        <v>10471</v>
      </c>
    </row>
    <row r="213" spans="1:10">
      <c r="A213" t="s">
        <v>113</v>
      </c>
      <c r="B213" s="322" t="s">
        <v>3034</v>
      </c>
      <c r="C213" s="322" t="s">
        <v>3093</v>
      </c>
      <c r="D213" t="s">
        <v>2012</v>
      </c>
      <c r="E213" s="17">
        <v>0.35</v>
      </c>
      <c r="F213" s="17">
        <v>0.05</v>
      </c>
      <c r="G213" s="17">
        <v>0.05</v>
      </c>
      <c r="H213" s="17">
        <v>0.45</v>
      </c>
      <c r="I213" t="s">
        <v>75</v>
      </c>
      <c r="J213" t="s">
        <v>3094</v>
      </c>
    </row>
    <row r="214" spans="1:10">
      <c r="A214" t="s">
        <v>118</v>
      </c>
      <c r="B214" s="322" t="s">
        <v>3034</v>
      </c>
      <c r="C214" s="322" t="s">
        <v>3104</v>
      </c>
      <c r="D214" t="s">
        <v>228</v>
      </c>
      <c r="E214" s="17">
        <v>0.35</v>
      </c>
      <c r="F214" s="17">
        <v>0.05</v>
      </c>
      <c r="G214" s="17">
        <v>0.05</v>
      </c>
      <c r="H214" s="17">
        <v>0.45</v>
      </c>
      <c r="I214" t="s">
        <v>75</v>
      </c>
      <c r="J214" t="s">
        <v>3105</v>
      </c>
    </row>
    <row r="215" spans="1:10">
      <c r="A215" t="s">
        <v>119</v>
      </c>
      <c r="B215" s="322" t="s">
        <v>3034</v>
      </c>
      <c r="C215" s="322" t="s">
        <v>3106</v>
      </c>
      <c r="D215" t="s">
        <v>228</v>
      </c>
      <c r="E215" s="17">
        <v>0.35</v>
      </c>
      <c r="F215" s="17">
        <v>0.05</v>
      </c>
      <c r="G215" s="17">
        <v>0.05</v>
      </c>
      <c r="H215" s="17">
        <v>0.45</v>
      </c>
      <c r="I215" t="s">
        <v>75</v>
      </c>
      <c r="J215" t="s">
        <v>3107</v>
      </c>
    </row>
    <row r="216" spans="1:10">
      <c r="A216" t="s">
        <v>114</v>
      </c>
      <c r="B216" s="322" t="s">
        <v>3034</v>
      </c>
      <c r="C216" s="322" t="s">
        <v>3095</v>
      </c>
      <c r="D216" t="s">
        <v>115</v>
      </c>
      <c r="E216" s="17">
        <v>0.35</v>
      </c>
      <c r="F216" s="17">
        <v>0.05</v>
      </c>
      <c r="G216" s="17">
        <v>0.05</v>
      </c>
      <c r="H216" s="17">
        <v>0.45</v>
      </c>
      <c r="I216" t="s">
        <v>75</v>
      </c>
      <c r="J216" t="s">
        <v>10472</v>
      </c>
    </row>
    <row r="217" spans="1:10">
      <c r="A217" t="s">
        <v>10473</v>
      </c>
      <c r="B217" s="322" t="s">
        <v>122</v>
      </c>
      <c r="C217" s="322" t="s">
        <v>10474</v>
      </c>
      <c r="D217" t="s">
        <v>10475</v>
      </c>
      <c r="E217" s="17">
        <v>0.4</v>
      </c>
      <c r="F217" s="17">
        <v>0</v>
      </c>
      <c r="G217" s="17">
        <v>0</v>
      </c>
      <c r="H217" s="17">
        <v>0.4</v>
      </c>
      <c r="I217" t="s">
        <v>75</v>
      </c>
      <c r="J217" t="s">
        <v>10476</v>
      </c>
    </row>
    <row r="218" spans="1:10">
      <c r="A218" t="s">
        <v>3014</v>
      </c>
      <c r="B218" s="322" t="s">
        <v>122</v>
      </c>
      <c r="C218" s="322" t="s">
        <v>3116</v>
      </c>
      <c r="D218" t="s">
        <v>10477</v>
      </c>
      <c r="E218" s="17">
        <v>0.61</v>
      </c>
      <c r="F218" s="17">
        <v>0.05</v>
      </c>
      <c r="G218" s="17">
        <v>0.05</v>
      </c>
      <c r="H218" s="17">
        <v>0.71</v>
      </c>
      <c r="I218" t="s">
        <v>75</v>
      </c>
      <c r="J218" t="s">
        <v>10478</v>
      </c>
    </row>
    <row r="219" spans="1:10">
      <c r="A219" t="s">
        <v>10479</v>
      </c>
      <c r="B219" s="322" t="s">
        <v>122</v>
      </c>
      <c r="C219" s="322" t="s">
        <v>10480</v>
      </c>
      <c r="D219" t="s">
        <v>10481</v>
      </c>
      <c r="E219" s="17">
        <v>0.61</v>
      </c>
      <c r="F219" s="17">
        <v>0.05</v>
      </c>
      <c r="G219" s="17">
        <v>0.05</v>
      </c>
      <c r="H219" s="17">
        <v>0.71</v>
      </c>
      <c r="I219" t="s">
        <v>75</v>
      </c>
      <c r="J219" t="s">
        <v>10482</v>
      </c>
    </row>
    <row r="220" spans="1:10">
      <c r="A220" t="s">
        <v>10483</v>
      </c>
      <c r="B220" s="322" t="s">
        <v>122</v>
      </c>
      <c r="C220" s="322" t="s">
        <v>10484</v>
      </c>
      <c r="D220" t="s">
        <v>10481</v>
      </c>
      <c r="E220" s="17">
        <v>0.61</v>
      </c>
      <c r="F220" s="17">
        <v>0.05</v>
      </c>
      <c r="G220" s="17">
        <v>0.05</v>
      </c>
      <c r="H220" s="17">
        <v>0.71</v>
      </c>
      <c r="I220" t="s">
        <v>75</v>
      </c>
      <c r="J220" t="s">
        <v>10485</v>
      </c>
    </row>
    <row r="221" spans="1:10">
      <c r="A221" t="s">
        <v>5092</v>
      </c>
      <c r="B221" s="322" t="s">
        <v>122</v>
      </c>
      <c r="C221" s="322" t="s">
        <v>5093</v>
      </c>
      <c r="D221" t="s">
        <v>10481</v>
      </c>
      <c r="E221" s="17">
        <v>0.61</v>
      </c>
      <c r="F221" s="17">
        <v>0.05</v>
      </c>
      <c r="G221" s="17">
        <v>0.05</v>
      </c>
      <c r="H221" s="17">
        <v>0.71</v>
      </c>
      <c r="I221" t="s">
        <v>75</v>
      </c>
      <c r="J221" t="s">
        <v>10486</v>
      </c>
    </row>
    <row r="222" spans="1:10">
      <c r="A222" t="s">
        <v>10487</v>
      </c>
      <c r="B222" s="322" t="s">
        <v>122</v>
      </c>
      <c r="C222" s="322" t="s">
        <v>10488</v>
      </c>
      <c r="D222" t="s">
        <v>10481</v>
      </c>
      <c r="E222" s="17">
        <v>0.61</v>
      </c>
      <c r="F222" s="17">
        <v>0.05</v>
      </c>
      <c r="G222" s="17">
        <v>0.05</v>
      </c>
      <c r="H222" s="17">
        <v>0.71</v>
      </c>
      <c r="I222" t="s">
        <v>75</v>
      </c>
      <c r="J222" t="s">
        <v>10489</v>
      </c>
    </row>
    <row r="223" spans="1:10">
      <c r="A223" t="s">
        <v>10490</v>
      </c>
      <c r="B223" s="322" t="s">
        <v>122</v>
      </c>
      <c r="C223" s="322" t="s">
        <v>10491</v>
      </c>
      <c r="D223" t="s">
        <v>10481</v>
      </c>
      <c r="E223" s="17">
        <v>0.61</v>
      </c>
      <c r="F223" s="17">
        <v>0.05</v>
      </c>
      <c r="G223" s="17">
        <v>0.05</v>
      </c>
      <c r="H223" s="17">
        <v>0.71</v>
      </c>
      <c r="I223" t="s">
        <v>75</v>
      </c>
      <c r="J223" t="s">
        <v>10492</v>
      </c>
    </row>
    <row r="224" spans="1:10">
      <c r="A224" t="s">
        <v>10493</v>
      </c>
      <c r="B224" s="322" t="s">
        <v>122</v>
      </c>
      <c r="C224" s="322" t="s">
        <v>10494</v>
      </c>
      <c r="D224" t="s">
        <v>10481</v>
      </c>
      <c r="E224" s="17">
        <v>0.61</v>
      </c>
      <c r="F224" s="17">
        <v>0.05</v>
      </c>
      <c r="G224" s="17">
        <v>0.05</v>
      </c>
      <c r="H224" s="17">
        <v>0.71</v>
      </c>
      <c r="I224" t="s">
        <v>75</v>
      </c>
      <c r="J224" t="s">
        <v>10495</v>
      </c>
    </row>
    <row r="225" spans="1:10">
      <c r="A225" t="s">
        <v>10496</v>
      </c>
      <c r="B225" s="322" t="s">
        <v>122</v>
      </c>
      <c r="C225" s="322" t="s">
        <v>10497</v>
      </c>
      <c r="D225" t="s">
        <v>10481</v>
      </c>
      <c r="E225" s="17">
        <v>0.61</v>
      </c>
      <c r="F225" s="17">
        <v>0.05</v>
      </c>
      <c r="G225" s="17">
        <v>0.05</v>
      </c>
      <c r="H225" s="17">
        <v>0.71</v>
      </c>
      <c r="I225" t="s">
        <v>75</v>
      </c>
      <c r="J225" t="s">
        <v>10498</v>
      </c>
    </row>
    <row r="226" spans="1:10">
      <c r="A226" t="s">
        <v>10499</v>
      </c>
      <c r="B226" s="322" t="s">
        <v>122</v>
      </c>
      <c r="C226" s="322" t="s">
        <v>10500</v>
      </c>
      <c r="D226" t="s">
        <v>10481</v>
      </c>
      <c r="E226" s="17">
        <v>0.61</v>
      </c>
      <c r="F226" s="17">
        <v>0.05</v>
      </c>
      <c r="G226" s="17">
        <v>0.05</v>
      </c>
      <c r="H226" s="17">
        <v>0.71</v>
      </c>
      <c r="I226" t="s">
        <v>75</v>
      </c>
      <c r="J226" t="s">
        <v>10501</v>
      </c>
    </row>
    <row r="227" spans="1:10">
      <c r="A227" t="s">
        <v>10502</v>
      </c>
      <c r="B227" s="322" t="s">
        <v>122</v>
      </c>
      <c r="C227" s="322" t="s">
        <v>10503</v>
      </c>
      <c r="D227" t="s">
        <v>10504</v>
      </c>
      <c r="E227" s="17">
        <v>0.61</v>
      </c>
      <c r="F227" s="17">
        <v>0.05</v>
      </c>
      <c r="G227" s="17">
        <v>0.05</v>
      </c>
      <c r="H227" s="17">
        <v>0.71</v>
      </c>
      <c r="I227" t="s">
        <v>75</v>
      </c>
      <c r="J227" t="s">
        <v>10505</v>
      </c>
    </row>
    <row r="228" spans="1:10">
      <c r="A228" t="s">
        <v>10506</v>
      </c>
      <c r="B228" s="322" t="s">
        <v>122</v>
      </c>
      <c r="C228" s="322" t="s">
        <v>10507</v>
      </c>
      <c r="D228" t="s">
        <v>10508</v>
      </c>
      <c r="E228" s="17">
        <v>0.61</v>
      </c>
      <c r="F228" s="17">
        <v>0.05</v>
      </c>
      <c r="G228" s="17">
        <v>0.05</v>
      </c>
      <c r="H228" s="17">
        <v>0.71</v>
      </c>
      <c r="I228" t="s">
        <v>75</v>
      </c>
      <c r="J228" t="s">
        <v>10509</v>
      </c>
    </row>
    <row r="229" spans="1:10">
      <c r="A229" t="s">
        <v>10510</v>
      </c>
      <c r="B229" s="322" t="s">
        <v>122</v>
      </c>
      <c r="C229" s="322" t="s">
        <v>10511</v>
      </c>
      <c r="D229" t="s">
        <v>10508</v>
      </c>
      <c r="E229" s="17">
        <v>0.61</v>
      </c>
      <c r="F229" s="17">
        <v>0.05</v>
      </c>
      <c r="G229" s="17">
        <v>0.05</v>
      </c>
      <c r="H229" s="17">
        <v>0.71</v>
      </c>
      <c r="I229" t="s">
        <v>75</v>
      </c>
      <c r="J229" t="s">
        <v>10512</v>
      </c>
    </row>
    <row r="230" spans="1:10">
      <c r="A230" t="s">
        <v>10513</v>
      </c>
      <c r="B230" s="322" t="s">
        <v>122</v>
      </c>
      <c r="C230" s="322" t="s">
        <v>10514</v>
      </c>
      <c r="D230" t="s">
        <v>10508</v>
      </c>
      <c r="E230" s="17">
        <v>0.61</v>
      </c>
      <c r="F230" s="17">
        <v>0.05</v>
      </c>
      <c r="G230" s="17">
        <v>0.05</v>
      </c>
      <c r="H230" s="17">
        <v>0.71</v>
      </c>
      <c r="I230" t="s">
        <v>75</v>
      </c>
      <c r="J230" t="s">
        <v>10515</v>
      </c>
    </row>
    <row r="231" spans="1:10">
      <c r="A231" t="s">
        <v>10516</v>
      </c>
      <c r="B231" s="322" t="s">
        <v>122</v>
      </c>
      <c r="C231" s="322" t="s">
        <v>10517</v>
      </c>
      <c r="D231" t="s">
        <v>10508</v>
      </c>
      <c r="E231" s="17">
        <v>0.61</v>
      </c>
      <c r="F231" s="17">
        <v>0.05</v>
      </c>
      <c r="G231" s="17">
        <v>0.05</v>
      </c>
      <c r="H231" s="17">
        <v>0.71</v>
      </c>
      <c r="I231" t="s">
        <v>75</v>
      </c>
      <c r="J231" t="s">
        <v>10518</v>
      </c>
    </row>
    <row r="232" spans="1:10">
      <c r="A232" t="s">
        <v>10519</v>
      </c>
      <c r="B232" s="322" t="s">
        <v>122</v>
      </c>
      <c r="C232" s="322" t="s">
        <v>10520</v>
      </c>
      <c r="D232" t="s">
        <v>10508</v>
      </c>
      <c r="E232" s="17">
        <v>0.61</v>
      </c>
      <c r="F232" s="17">
        <v>0.05</v>
      </c>
      <c r="G232" s="17">
        <v>0.05</v>
      </c>
      <c r="H232" s="17">
        <v>0.71</v>
      </c>
      <c r="I232" t="s">
        <v>75</v>
      </c>
      <c r="J232" t="s">
        <v>10521</v>
      </c>
    </row>
    <row r="233" spans="1:10">
      <c r="A233" t="s">
        <v>10522</v>
      </c>
      <c r="B233" s="322" t="s">
        <v>122</v>
      </c>
      <c r="C233" s="322" t="s">
        <v>10523</v>
      </c>
      <c r="D233" t="s">
        <v>10508</v>
      </c>
      <c r="E233" s="17">
        <v>0.61</v>
      </c>
      <c r="F233" s="17">
        <v>0.05</v>
      </c>
      <c r="G233" s="17">
        <v>0.05</v>
      </c>
      <c r="H233" s="17">
        <v>0.71</v>
      </c>
      <c r="I233" t="s">
        <v>75</v>
      </c>
      <c r="J233" t="s">
        <v>10524</v>
      </c>
    </row>
    <row r="234" spans="1:10">
      <c r="A234" t="s">
        <v>10525</v>
      </c>
      <c r="B234" s="322" t="s">
        <v>122</v>
      </c>
      <c r="C234" s="322" t="s">
        <v>10526</v>
      </c>
      <c r="D234" t="s">
        <v>10508</v>
      </c>
      <c r="E234" s="17">
        <v>0.61</v>
      </c>
      <c r="F234" s="17">
        <v>0.05</v>
      </c>
      <c r="G234" s="17">
        <v>0.05</v>
      </c>
      <c r="H234" s="17">
        <v>0.71</v>
      </c>
      <c r="I234" t="s">
        <v>75</v>
      </c>
      <c r="J234" t="s">
        <v>10527</v>
      </c>
    </row>
    <row r="235" spans="1:10">
      <c r="A235" t="s">
        <v>10525</v>
      </c>
      <c r="B235" s="322" t="s">
        <v>122</v>
      </c>
      <c r="C235" s="322" t="s">
        <v>10526</v>
      </c>
      <c r="D235" t="s">
        <v>10508</v>
      </c>
      <c r="E235" s="17">
        <v>0.61</v>
      </c>
      <c r="F235" s="17">
        <v>0.05</v>
      </c>
      <c r="G235" s="17">
        <v>0.05</v>
      </c>
      <c r="H235" s="17">
        <v>0.71</v>
      </c>
      <c r="I235" t="s">
        <v>75</v>
      </c>
      <c r="J235" t="s">
        <v>10527</v>
      </c>
    </row>
    <row r="236" spans="1:10">
      <c r="A236" t="s">
        <v>10528</v>
      </c>
      <c r="B236" s="322" t="s">
        <v>122</v>
      </c>
      <c r="C236" s="322" t="s">
        <v>10529</v>
      </c>
      <c r="D236" t="s">
        <v>10530</v>
      </c>
      <c r="E236" s="17">
        <v>0.63</v>
      </c>
      <c r="F236" s="17">
        <v>0.05</v>
      </c>
      <c r="G236" s="17">
        <v>0.05</v>
      </c>
      <c r="H236" s="17">
        <v>0.73</v>
      </c>
      <c r="I236" t="s">
        <v>75</v>
      </c>
      <c r="J236" t="s">
        <v>10531</v>
      </c>
    </row>
    <row r="237" spans="1:10">
      <c r="A237" t="s">
        <v>10532</v>
      </c>
      <c r="B237" s="322" t="s">
        <v>122</v>
      </c>
      <c r="C237" s="322" t="s">
        <v>10533</v>
      </c>
      <c r="D237" t="s">
        <v>10534</v>
      </c>
      <c r="E237" s="17">
        <v>0.63</v>
      </c>
      <c r="F237" s="17">
        <v>0.05</v>
      </c>
      <c r="G237" s="17">
        <v>0.05</v>
      </c>
      <c r="H237" s="17">
        <v>0.73</v>
      </c>
      <c r="I237" t="s">
        <v>75</v>
      </c>
      <c r="J237" t="s">
        <v>10535</v>
      </c>
    </row>
    <row r="238" spans="1:10">
      <c r="A238" t="s">
        <v>10536</v>
      </c>
      <c r="B238" s="322" t="s">
        <v>122</v>
      </c>
      <c r="C238" s="322" t="s">
        <v>10537</v>
      </c>
      <c r="D238" t="s">
        <v>10534</v>
      </c>
      <c r="E238" s="17">
        <v>0.63</v>
      </c>
      <c r="F238" s="17">
        <v>0.05</v>
      </c>
      <c r="G238" s="17">
        <v>0.05</v>
      </c>
      <c r="H238" s="17">
        <v>0.73</v>
      </c>
      <c r="I238" t="s">
        <v>75</v>
      </c>
      <c r="J238" t="s">
        <v>10538</v>
      </c>
    </row>
    <row r="239" spans="1:10">
      <c r="A239" t="s">
        <v>10539</v>
      </c>
      <c r="B239" s="322" t="s">
        <v>122</v>
      </c>
      <c r="C239" s="322" t="s">
        <v>10540</v>
      </c>
      <c r="D239" t="s">
        <v>10534</v>
      </c>
      <c r="E239" s="17">
        <v>0.63</v>
      </c>
      <c r="F239" s="17">
        <v>0.05</v>
      </c>
      <c r="G239" s="17">
        <v>0.05</v>
      </c>
      <c r="H239" s="17">
        <v>0.73</v>
      </c>
      <c r="I239" t="s">
        <v>75</v>
      </c>
      <c r="J239" t="s">
        <v>10541</v>
      </c>
    </row>
    <row r="240" spans="1:10">
      <c r="A240" t="s">
        <v>10542</v>
      </c>
      <c r="B240" s="322" t="s">
        <v>122</v>
      </c>
      <c r="C240" s="322" t="s">
        <v>10543</v>
      </c>
      <c r="D240" t="s">
        <v>10534</v>
      </c>
      <c r="E240" s="17">
        <v>0.63</v>
      </c>
      <c r="F240" s="17">
        <v>0.05</v>
      </c>
      <c r="G240" s="17">
        <v>0.05</v>
      </c>
      <c r="H240" s="17">
        <v>0.73</v>
      </c>
      <c r="I240" t="s">
        <v>75</v>
      </c>
      <c r="J240" t="s">
        <v>10544</v>
      </c>
    </row>
    <row r="241" spans="1:10">
      <c r="A241" t="s">
        <v>10545</v>
      </c>
      <c r="B241" s="322" t="s">
        <v>122</v>
      </c>
      <c r="C241" s="322" t="s">
        <v>10546</v>
      </c>
      <c r="D241" t="s">
        <v>10534</v>
      </c>
      <c r="E241" s="17">
        <v>0.63</v>
      </c>
      <c r="F241" s="17">
        <v>0.05</v>
      </c>
      <c r="G241" s="17">
        <v>0.05</v>
      </c>
      <c r="H241" s="17">
        <v>0.73</v>
      </c>
      <c r="I241" t="s">
        <v>75</v>
      </c>
      <c r="J241" t="s">
        <v>10547</v>
      </c>
    </row>
    <row r="242" spans="1:10">
      <c r="A242" t="s">
        <v>10548</v>
      </c>
      <c r="B242" s="322" t="s">
        <v>122</v>
      </c>
      <c r="C242" s="322" t="s">
        <v>10549</v>
      </c>
      <c r="D242" t="s">
        <v>10550</v>
      </c>
      <c r="E242" s="17">
        <v>0.61</v>
      </c>
      <c r="F242" s="17">
        <v>0.05</v>
      </c>
      <c r="G242" s="17">
        <v>0.05</v>
      </c>
      <c r="H242" s="17">
        <v>0.71</v>
      </c>
      <c r="I242" t="s">
        <v>75</v>
      </c>
      <c r="J242" t="s">
        <v>10551</v>
      </c>
    </row>
    <row r="243" spans="1:10">
      <c r="A243" t="s">
        <v>10552</v>
      </c>
      <c r="B243" s="322" t="s">
        <v>122</v>
      </c>
      <c r="C243" s="322" t="s">
        <v>10553</v>
      </c>
      <c r="D243" t="s">
        <v>10554</v>
      </c>
      <c r="E243" s="17">
        <v>0.61</v>
      </c>
      <c r="F243" s="17">
        <v>0.05</v>
      </c>
      <c r="G243" s="17">
        <v>0.05</v>
      </c>
      <c r="H243" s="17">
        <v>0.71</v>
      </c>
      <c r="I243" t="s">
        <v>75</v>
      </c>
      <c r="J243" t="s">
        <v>10555</v>
      </c>
    </row>
    <row r="244" spans="1:10">
      <c r="A244" t="s">
        <v>10556</v>
      </c>
      <c r="B244" s="322" t="s">
        <v>122</v>
      </c>
      <c r="C244" s="322" t="s">
        <v>10557</v>
      </c>
      <c r="D244" t="s">
        <v>10554</v>
      </c>
      <c r="E244" s="17">
        <v>0.61</v>
      </c>
      <c r="F244" s="17">
        <v>0.05</v>
      </c>
      <c r="G244" s="17">
        <v>0.05</v>
      </c>
      <c r="H244" s="17">
        <v>0.71</v>
      </c>
      <c r="I244" t="s">
        <v>75</v>
      </c>
      <c r="J244" t="s">
        <v>10558</v>
      </c>
    </row>
    <row r="245" spans="1:10">
      <c r="A245" t="s">
        <v>10559</v>
      </c>
      <c r="B245" s="322" t="s">
        <v>122</v>
      </c>
      <c r="C245" s="322" t="s">
        <v>10560</v>
      </c>
      <c r="D245" t="s">
        <v>10554</v>
      </c>
      <c r="E245" s="17">
        <v>0.61</v>
      </c>
      <c r="F245" s="17">
        <v>0.05</v>
      </c>
      <c r="G245" s="17">
        <v>0.05</v>
      </c>
      <c r="H245" s="17">
        <v>0.71</v>
      </c>
      <c r="I245" t="s">
        <v>75</v>
      </c>
      <c r="J245" t="s">
        <v>10561</v>
      </c>
    </row>
    <row r="246" spans="1:10">
      <c r="A246" t="s">
        <v>10562</v>
      </c>
      <c r="B246" s="322" t="s">
        <v>122</v>
      </c>
      <c r="C246" s="322" t="s">
        <v>10563</v>
      </c>
      <c r="D246" t="s">
        <v>10554</v>
      </c>
      <c r="E246" s="17">
        <v>0.61</v>
      </c>
      <c r="F246" s="17">
        <v>0.05</v>
      </c>
      <c r="G246" s="17">
        <v>0.05</v>
      </c>
      <c r="H246" s="17">
        <v>0.71</v>
      </c>
      <c r="I246" t="s">
        <v>75</v>
      </c>
      <c r="J246" t="s">
        <v>10564</v>
      </c>
    </row>
    <row r="247" spans="1:10">
      <c r="A247" t="s">
        <v>10565</v>
      </c>
      <c r="B247" s="322" t="s">
        <v>122</v>
      </c>
      <c r="C247" s="322" t="s">
        <v>10566</v>
      </c>
      <c r="D247" t="s">
        <v>10554</v>
      </c>
      <c r="E247" s="17">
        <v>0.61</v>
      </c>
      <c r="F247" s="17">
        <v>0.05</v>
      </c>
      <c r="G247" s="17">
        <v>0.05</v>
      </c>
      <c r="H247" s="17">
        <v>0.71</v>
      </c>
      <c r="I247" t="s">
        <v>75</v>
      </c>
      <c r="J247" t="s">
        <v>10567</v>
      </c>
    </row>
    <row r="248" spans="1:10">
      <c r="A248" t="s">
        <v>10568</v>
      </c>
      <c r="B248" s="322" t="s">
        <v>122</v>
      </c>
      <c r="C248" s="322" t="s">
        <v>10569</v>
      </c>
      <c r="D248" t="s">
        <v>10570</v>
      </c>
      <c r="E248" s="17">
        <v>0.63</v>
      </c>
      <c r="F248" s="17">
        <v>0.05</v>
      </c>
      <c r="G248" s="17">
        <v>0.05</v>
      </c>
      <c r="H248" s="17">
        <v>0.73</v>
      </c>
      <c r="I248" t="s">
        <v>75</v>
      </c>
      <c r="J248" t="s">
        <v>10571</v>
      </c>
    </row>
    <row r="249" spans="1:10">
      <c r="A249" t="s">
        <v>10572</v>
      </c>
      <c r="B249" s="322" t="s">
        <v>122</v>
      </c>
      <c r="C249" s="322" t="s">
        <v>10573</v>
      </c>
      <c r="D249" t="s">
        <v>10534</v>
      </c>
      <c r="E249" s="17">
        <v>0.63</v>
      </c>
      <c r="F249" s="17">
        <v>0.05</v>
      </c>
      <c r="G249" s="17">
        <v>0.05</v>
      </c>
      <c r="H249" s="17">
        <v>0.73</v>
      </c>
      <c r="I249" t="s">
        <v>75</v>
      </c>
      <c r="J249" t="s">
        <v>10574</v>
      </c>
    </row>
    <row r="250" spans="1:10">
      <c r="A250" t="s">
        <v>10575</v>
      </c>
      <c r="B250" s="322" t="s">
        <v>122</v>
      </c>
      <c r="C250" s="322" t="s">
        <v>10576</v>
      </c>
      <c r="D250" t="s">
        <v>10534</v>
      </c>
      <c r="E250" s="17">
        <v>0.63</v>
      </c>
      <c r="F250" s="17">
        <v>0.05</v>
      </c>
      <c r="G250" s="17">
        <v>0.05</v>
      </c>
      <c r="H250" s="17">
        <v>0.73</v>
      </c>
      <c r="I250" t="s">
        <v>75</v>
      </c>
      <c r="J250" t="s">
        <v>10577</v>
      </c>
    </row>
    <row r="251" spans="1:10">
      <c r="A251" t="s">
        <v>10578</v>
      </c>
      <c r="B251" s="322" t="s">
        <v>122</v>
      </c>
      <c r="C251" s="322" t="s">
        <v>10579</v>
      </c>
      <c r="D251" t="s">
        <v>10534</v>
      </c>
      <c r="E251" s="17">
        <v>0.63</v>
      </c>
      <c r="F251" s="17">
        <v>0.05</v>
      </c>
      <c r="G251" s="17">
        <v>0.05</v>
      </c>
      <c r="H251" s="17">
        <v>0.73</v>
      </c>
      <c r="I251" t="s">
        <v>75</v>
      </c>
      <c r="J251" t="s">
        <v>10580</v>
      </c>
    </row>
    <row r="252" spans="1:10">
      <c r="A252" t="s">
        <v>10581</v>
      </c>
      <c r="B252" s="322" t="s">
        <v>122</v>
      </c>
      <c r="C252" s="322" t="s">
        <v>10582</v>
      </c>
      <c r="D252" t="s">
        <v>10534</v>
      </c>
      <c r="E252" s="17">
        <v>0.63</v>
      </c>
      <c r="F252" s="17">
        <v>0.05</v>
      </c>
      <c r="G252" s="17">
        <v>0.05</v>
      </c>
      <c r="H252" s="17">
        <v>0.73</v>
      </c>
      <c r="I252" t="s">
        <v>75</v>
      </c>
      <c r="J252" t="s">
        <v>10583</v>
      </c>
    </row>
    <row r="253" spans="1:10">
      <c r="A253" t="s">
        <v>10584</v>
      </c>
      <c r="B253" s="322" t="s">
        <v>122</v>
      </c>
      <c r="C253" s="322" t="s">
        <v>10585</v>
      </c>
      <c r="D253" t="s">
        <v>10534</v>
      </c>
      <c r="E253" s="17">
        <v>0.63</v>
      </c>
      <c r="F253" s="17">
        <v>0.05</v>
      </c>
      <c r="G253" s="17">
        <v>0.05</v>
      </c>
      <c r="H253" s="17">
        <v>0.73</v>
      </c>
      <c r="I253" t="s">
        <v>75</v>
      </c>
      <c r="J253" t="s">
        <v>10586</v>
      </c>
    </row>
    <row r="254" spans="1:10">
      <c r="A254" t="s">
        <v>10587</v>
      </c>
      <c r="B254" s="322" t="s">
        <v>122</v>
      </c>
      <c r="C254" s="322" t="s">
        <v>10588</v>
      </c>
      <c r="D254" t="s">
        <v>10589</v>
      </c>
      <c r="E254" s="17">
        <v>0.61</v>
      </c>
      <c r="F254" s="17">
        <v>0.05</v>
      </c>
      <c r="G254" s="17">
        <v>0.05</v>
      </c>
      <c r="H254" s="17">
        <v>0.71</v>
      </c>
      <c r="I254" t="s">
        <v>75</v>
      </c>
      <c r="J254" t="s">
        <v>10590</v>
      </c>
    </row>
    <row r="255" spans="1:10">
      <c r="A255" t="s">
        <v>10591</v>
      </c>
      <c r="B255" s="322" t="s">
        <v>122</v>
      </c>
      <c r="C255" s="322" t="s">
        <v>10592</v>
      </c>
      <c r="D255" t="s">
        <v>10593</v>
      </c>
      <c r="E255" s="17">
        <v>0.61</v>
      </c>
      <c r="F255" s="17">
        <v>0.05</v>
      </c>
      <c r="G255" s="17">
        <v>0.05</v>
      </c>
      <c r="H255" s="17">
        <v>0.71</v>
      </c>
      <c r="I255" t="s">
        <v>75</v>
      </c>
      <c r="J255" t="s">
        <v>10594</v>
      </c>
    </row>
    <row r="256" spans="1:10">
      <c r="A256" t="s">
        <v>10595</v>
      </c>
      <c r="B256" s="322" t="s">
        <v>122</v>
      </c>
      <c r="C256" s="322" t="s">
        <v>10596</v>
      </c>
      <c r="D256" t="s">
        <v>10597</v>
      </c>
      <c r="E256" s="17">
        <v>0.61</v>
      </c>
      <c r="F256" s="17">
        <v>0.05</v>
      </c>
      <c r="G256" s="17">
        <v>0.05</v>
      </c>
      <c r="H256" s="17">
        <v>0.71</v>
      </c>
      <c r="I256" t="s">
        <v>75</v>
      </c>
      <c r="J256" t="s">
        <v>10598</v>
      </c>
    </row>
    <row r="257" spans="1:10">
      <c r="A257" t="s">
        <v>10599</v>
      </c>
      <c r="B257" s="322" t="s">
        <v>122</v>
      </c>
      <c r="C257" s="322" t="s">
        <v>10600</v>
      </c>
      <c r="D257" t="s">
        <v>10601</v>
      </c>
      <c r="E257" s="17">
        <v>0.5</v>
      </c>
      <c r="F257" s="17">
        <v>0.05</v>
      </c>
      <c r="G257" s="17">
        <v>0.05</v>
      </c>
      <c r="H257" s="17">
        <v>0.6</v>
      </c>
      <c r="I257" t="s">
        <v>75</v>
      </c>
      <c r="J257" t="s">
        <v>10602</v>
      </c>
    </row>
    <row r="258" spans="1:10">
      <c r="A258" t="s">
        <v>10603</v>
      </c>
      <c r="B258" s="322" t="s">
        <v>122</v>
      </c>
      <c r="C258" s="322" t="s">
        <v>10604</v>
      </c>
      <c r="D258" t="s">
        <v>10605</v>
      </c>
      <c r="E258" s="17">
        <v>0.5</v>
      </c>
      <c r="F258" s="17">
        <v>0.05</v>
      </c>
      <c r="G258" s="17">
        <v>0.05</v>
      </c>
      <c r="H258" s="17">
        <v>0.6</v>
      </c>
      <c r="I258" t="s">
        <v>75</v>
      </c>
      <c r="J258" t="s">
        <v>10606</v>
      </c>
    </row>
    <row r="259" spans="1:10">
      <c r="A259" t="s">
        <v>10607</v>
      </c>
      <c r="B259" s="322" t="s">
        <v>122</v>
      </c>
      <c r="C259" s="322" t="s">
        <v>10608</v>
      </c>
      <c r="D259" t="s">
        <v>10609</v>
      </c>
      <c r="E259" s="17">
        <v>0.5</v>
      </c>
      <c r="F259" s="17">
        <v>0.05</v>
      </c>
      <c r="G259" s="17">
        <v>0.05</v>
      </c>
      <c r="H259" s="17">
        <v>0.6</v>
      </c>
      <c r="I259" t="s">
        <v>75</v>
      </c>
      <c r="J259" t="s">
        <v>10610</v>
      </c>
    </row>
    <row r="260" spans="1:10">
      <c r="A260" t="s">
        <v>10611</v>
      </c>
      <c r="B260" s="322" t="s">
        <v>122</v>
      </c>
      <c r="C260" s="322" t="s">
        <v>10612</v>
      </c>
      <c r="D260" t="s">
        <v>10613</v>
      </c>
      <c r="E260" s="17">
        <v>0.51</v>
      </c>
      <c r="F260" s="17">
        <v>0.05</v>
      </c>
      <c r="G260" s="17">
        <v>0.05</v>
      </c>
      <c r="H260" s="17">
        <v>0.61</v>
      </c>
      <c r="I260" t="s">
        <v>75</v>
      </c>
      <c r="J260" t="s">
        <v>10614</v>
      </c>
    </row>
    <row r="261" spans="1:10">
      <c r="A261" t="s">
        <v>3597</v>
      </c>
      <c r="B261" s="322" t="s">
        <v>122</v>
      </c>
      <c r="C261" s="322" t="s">
        <v>3598</v>
      </c>
      <c r="D261" t="s">
        <v>10615</v>
      </c>
      <c r="E261" s="17">
        <v>0.3</v>
      </c>
      <c r="F261" s="17">
        <v>0.05</v>
      </c>
      <c r="G261" s="17">
        <v>0.05</v>
      </c>
      <c r="H261" s="17">
        <v>0.4</v>
      </c>
      <c r="I261" t="s">
        <v>75</v>
      </c>
      <c r="J261" t="s">
        <v>10616</v>
      </c>
    </row>
    <row r="262" spans="1:10">
      <c r="A262" t="s">
        <v>10617</v>
      </c>
      <c r="B262" s="322" t="s">
        <v>122</v>
      </c>
      <c r="C262" s="322" t="s">
        <v>3058</v>
      </c>
      <c r="D262" t="s">
        <v>10618</v>
      </c>
      <c r="E262" s="17">
        <v>0.3</v>
      </c>
      <c r="F262" s="17">
        <v>0.05</v>
      </c>
      <c r="G262" s="17">
        <v>0.05</v>
      </c>
      <c r="H262" s="17">
        <v>0.4</v>
      </c>
      <c r="I262" t="s">
        <v>75</v>
      </c>
      <c r="J262" t="s">
        <v>10619</v>
      </c>
    </row>
    <row r="263" spans="1:10">
      <c r="A263" t="s">
        <v>10620</v>
      </c>
      <c r="B263" s="322" t="s">
        <v>122</v>
      </c>
      <c r="C263" s="322" t="s">
        <v>3059</v>
      </c>
      <c r="D263" t="s">
        <v>124</v>
      </c>
      <c r="E263" s="17">
        <v>0.4</v>
      </c>
      <c r="F263" s="17">
        <v>0.05</v>
      </c>
      <c r="G263" s="17">
        <v>0.05</v>
      </c>
      <c r="H263" s="17">
        <v>0.5</v>
      </c>
      <c r="I263" t="s">
        <v>75</v>
      </c>
      <c r="J263" t="s">
        <v>10621</v>
      </c>
    </row>
    <row r="264" spans="1:10">
      <c r="A264" t="s">
        <v>3601</v>
      </c>
      <c r="B264" s="322" t="s">
        <v>122</v>
      </c>
      <c r="C264" s="322" t="s">
        <v>3602</v>
      </c>
      <c r="D264" t="s">
        <v>10622</v>
      </c>
      <c r="E264" s="17">
        <v>0.3</v>
      </c>
      <c r="F264" s="17">
        <v>0.05</v>
      </c>
      <c r="G264" s="17">
        <v>0.05</v>
      </c>
      <c r="H264" s="17">
        <v>0.4</v>
      </c>
      <c r="I264" t="s">
        <v>75</v>
      </c>
      <c r="J264" t="s">
        <v>10623</v>
      </c>
    </row>
    <row r="265" spans="1:10">
      <c r="A265" t="s">
        <v>10624</v>
      </c>
      <c r="B265" s="322" t="s">
        <v>122</v>
      </c>
      <c r="C265" s="322" t="s">
        <v>10625</v>
      </c>
      <c r="D265" t="s">
        <v>10622</v>
      </c>
      <c r="E265" s="17">
        <v>0.3</v>
      </c>
      <c r="F265" s="17">
        <v>0.05</v>
      </c>
      <c r="G265" s="17">
        <v>0.05</v>
      </c>
      <c r="H265" s="17">
        <v>0.4</v>
      </c>
      <c r="I265" t="s">
        <v>75</v>
      </c>
      <c r="J265" t="s">
        <v>10626</v>
      </c>
    </row>
    <row r="266" spans="1:10">
      <c r="A266" t="s">
        <v>10627</v>
      </c>
      <c r="B266" s="322" t="s">
        <v>122</v>
      </c>
      <c r="C266" s="322" t="s">
        <v>10628</v>
      </c>
      <c r="D266" t="s">
        <v>10622</v>
      </c>
      <c r="E266" s="17">
        <v>0.3</v>
      </c>
      <c r="F266" s="17">
        <v>0.05</v>
      </c>
      <c r="G266" s="17">
        <v>0.05</v>
      </c>
      <c r="H266" s="17">
        <v>0.4</v>
      </c>
      <c r="I266" t="s">
        <v>75</v>
      </c>
      <c r="J266" t="s">
        <v>10629</v>
      </c>
    </row>
    <row r="267" spans="1:10">
      <c r="A267" t="s">
        <v>10630</v>
      </c>
      <c r="B267" s="322" t="s">
        <v>122</v>
      </c>
      <c r="C267" s="322" t="s">
        <v>10631</v>
      </c>
      <c r="D267" t="s">
        <v>10622</v>
      </c>
      <c r="E267" s="17">
        <v>0.3</v>
      </c>
      <c r="F267" s="17">
        <v>0.05</v>
      </c>
      <c r="G267" s="17">
        <v>0.05</v>
      </c>
      <c r="H267" s="17">
        <v>0.4</v>
      </c>
      <c r="I267" t="s">
        <v>75</v>
      </c>
      <c r="J267" t="s">
        <v>10632</v>
      </c>
    </row>
    <row r="268" spans="1:10">
      <c r="A268" t="s">
        <v>10633</v>
      </c>
      <c r="B268" s="322" t="s">
        <v>122</v>
      </c>
      <c r="C268" s="322" t="s">
        <v>10634</v>
      </c>
      <c r="D268" t="s">
        <v>10622</v>
      </c>
      <c r="E268" s="17">
        <v>0.3</v>
      </c>
      <c r="F268" s="17">
        <v>0.05</v>
      </c>
      <c r="G268" s="17">
        <v>0.05</v>
      </c>
      <c r="H268" s="17">
        <v>0.4</v>
      </c>
      <c r="I268" t="s">
        <v>75</v>
      </c>
      <c r="J268" t="s">
        <v>10635</v>
      </c>
    </row>
    <row r="269" spans="1:10">
      <c r="A269" t="s">
        <v>10636</v>
      </c>
      <c r="B269" s="322" t="s">
        <v>122</v>
      </c>
      <c r="C269" s="322" t="s">
        <v>10637</v>
      </c>
      <c r="D269" t="s">
        <v>10622</v>
      </c>
      <c r="E269" s="17">
        <v>0.3</v>
      </c>
      <c r="F269" s="17">
        <v>0.05</v>
      </c>
      <c r="G269" s="17">
        <v>0.05</v>
      </c>
      <c r="H269" s="17">
        <v>0.4</v>
      </c>
      <c r="I269" t="s">
        <v>75</v>
      </c>
      <c r="J269" t="s">
        <v>10638</v>
      </c>
    </row>
    <row r="270" spans="1:10">
      <c r="A270" t="s">
        <v>3605</v>
      </c>
      <c r="B270" s="322" t="s">
        <v>122</v>
      </c>
      <c r="C270" s="322" t="s">
        <v>3606</v>
      </c>
      <c r="D270" t="s">
        <v>10639</v>
      </c>
      <c r="E270" s="17">
        <v>0.3</v>
      </c>
      <c r="F270" s="17">
        <v>0.05</v>
      </c>
      <c r="G270" s="17">
        <v>0.05</v>
      </c>
      <c r="H270" s="17">
        <v>0.4</v>
      </c>
      <c r="I270" t="s">
        <v>75</v>
      </c>
      <c r="J270" t="s">
        <v>10640</v>
      </c>
    </row>
    <row r="271" spans="1:10">
      <c r="A271" t="s">
        <v>10641</v>
      </c>
      <c r="B271" s="322" t="s">
        <v>122</v>
      </c>
      <c r="C271" s="322" t="s">
        <v>10642</v>
      </c>
      <c r="D271" t="s">
        <v>10643</v>
      </c>
      <c r="E271" s="17">
        <v>0.45</v>
      </c>
      <c r="F271" s="17">
        <v>0.05</v>
      </c>
      <c r="G271" s="17">
        <v>0.05</v>
      </c>
      <c r="H271" s="17">
        <v>0.55000000000000004</v>
      </c>
      <c r="I271" t="s">
        <v>75</v>
      </c>
      <c r="J271" t="s">
        <v>10644</v>
      </c>
    </row>
    <row r="272" spans="1:10">
      <c r="A272" t="s">
        <v>10645</v>
      </c>
      <c r="B272" s="322" t="s">
        <v>122</v>
      </c>
      <c r="C272" s="322" t="s">
        <v>10646</v>
      </c>
      <c r="D272" t="s">
        <v>10643</v>
      </c>
      <c r="E272" s="17">
        <v>0.45</v>
      </c>
      <c r="F272" s="17">
        <v>0.05</v>
      </c>
      <c r="G272" s="17">
        <v>0.05</v>
      </c>
      <c r="H272" s="17">
        <v>0.55000000000000004</v>
      </c>
      <c r="I272" t="s">
        <v>75</v>
      </c>
      <c r="J272" t="s">
        <v>10647</v>
      </c>
    </row>
    <row r="273" spans="1:10">
      <c r="A273" t="s">
        <v>10648</v>
      </c>
      <c r="B273" s="322" t="s">
        <v>122</v>
      </c>
      <c r="C273" s="322" t="s">
        <v>10649</v>
      </c>
      <c r="D273" t="s">
        <v>10643</v>
      </c>
      <c r="E273" s="17">
        <v>0.45</v>
      </c>
      <c r="F273" s="17">
        <v>0.05</v>
      </c>
      <c r="G273" s="17">
        <v>0.05</v>
      </c>
      <c r="H273" s="17">
        <v>0.55000000000000004</v>
      </c>
      <c r="I273" t="s">
        <v>75</v>
      </c>
      <c r="J273" t="s">
        <v>10650</v>
      </c>
    </row>
    <row r="274" spans="1:10">
      <c r="A274" t="s">
        <v>10651</v>
      </c>
      <c r="B274" s="322" t="s">
        <v>122</v>
      </c>
      <c r="C274" s="322" t="s">
        <v>10652</v>
      </c>
      <c r="D274" t="s">
        <v>10643</v>
      </c>
      <c r="E274" s="17">
        <v>0.45</v>
      </c>
      <c r="F274" s="17">
        <v>0.05</v>
      </c>
      <c r="G274" s="17">
        <v>0.05</v>
      </c>
      <c r="H274" s="17">
        <v>0.55000000000000004</v>
      </c>
      <c r="I274" t="s">
        <v>75</v>
      </c>
      <c r="J274" t="s">
        <v>10653</v>
      </c>
    </row>
    <row r="275" spans="1:10">
      <c r="A275" t="s">
        <v>10654</v>
      </c>
      <c r="B275" s="322" t="s">
        <v>122</v>
      </c>
      <c r="C275" s="322" t="s">
        <v>10655</v>
      </c>
      <c r="D275" t="s">
        <v>10643</v>
      </c>
      <c r="E275" s="17">
        <v>0.45</v>
      </c>
      <c r="F275" s="17">
        <v>0.05</v>
      </c>
      <c r="G275" s="17">
        <v>0.05</v>
      </c>
      <c r="H275" s="17">
        <v>0.55000000000000004</v>
      </c>
      <c r="I275" t="s">
        <v>75</v>
      </c>
      <c r="J275" t="s">
        <v>10656</v>
      </c>
    </row>
    <row r="276" spans="1:10">
      <c r="A276" t="s">
        <v>10657</v>
      </c>
      <c r="B276" s="322" t="s">
        <v>122</v>
      </c>
      <c r="C276" s="322" t="s">
        <v>10658</v>
      </c>
      <c r="D276" t="s">
        <v>10643</v>
      </c>
      <c r="E276" s="17">
        <v>0.45</v>
      </c>
      <c r="F276" s="17">
        <v>0.05</v>
      </c>
      <c r="G276" s="17">
        <v>0.05</v>
      </c>
      <c r="H276" s="17">
        <v>0.55000000000000004</v>
      </c>
      <c r="I276" t="s">
        <v>75</v>
      </c>
      <c r="J276" t="s">
        <v>10659</v>
      </c>
    </row>
    <row r="277" spans="1:10">
      <c r="A277" t="s">
        <v>10660</v>
      </c>
      <c r="B277" s="322" t="s">
        <v>122</v>
      </c>
      <c r="C277" s="322" t="s">
        <v>10661</v>
      </c>
      <c r="D277" t="s">
        <v>10643</v>
      </c>
      <c r="E277" s="17">
        <v>0.45</v>
      </c>
      <c r="F277" s="17">
        <v>0.05</v>
      </c>
      <c r="G277" s="17">
        <v>0.05</v>
      </c>
      <c r="H277" s="17">
        <v>0.55000000000000004</v>
      </c>
      <c r="I277" t="s">
        <v>75</v>
      </c>
      <c r="J277" t="s">
        <v>10662</v>
      </c>
    </row>
    <row r="278" spans="1:10">
      <c r="A278" t="s">
        <v>10663</v>
      </c>
      <c r="B278" s="322" t="s">
        <v>122</v>
      </c>
      <c r="C278" s="322" t="s">
        <v>10664</v>
      </c>
      <c r="D278" t="s">
        <v>10665</v>
      </c>
      <c r="E278" s="17">
        <v>0.45</v>
      </c>
      <c r="F278" s="17">
        <v>0.05</v>
      </c>
      <c r="G278" s="17">
        <v>0.05</v>
      </c>
      <c r="H278" s="17">
        <v>0.55000000000000004</v>
      </c>
      <c r="I278" t="s">
        <v>75</v>
      </c>
      <c r="J278" t="s">
        <v>10666</v>
      </c>
    </row>
    <row r="279" spans="1:10">
      <c r="A279" t="s">
        <v>10667</v>
      </c>
      <c r="B279" s="322" t="s">
        <v>122</v>
      </c>
      <c r="C279" s="322" t="s">
        <v>10668</v>
      </c>
      <c r="D279" t="s">
        <v>10669</v>
      </c>
      <c r="E279" s="17">
        <v>0.45</v>
      </c>
      <c r="F279" s="17">
        <v>0.05</v>
      </c>
      <c r="G279" s="17">
        <v>0.05</v>
      </c>
      <c r="H279" s="17">
        <v>0.55000000000000004</v>
      </c>
      <c r="I279" t="s">
        <v>75</v>
      </c>
      <c r="J279" t="s">
        <v>10670</v>
      </c>
    </row>
    <row r="280" spans="1:10">
      <c r="A280" t="s">
        <v>10671</v>
      </c>
      <c r="B280" s="322" t="s">
        <v>122</v>
      </c>
      <c r="C280" s="322" t="s">
        <v>10672</v>
      </c>
      <c r="D280" t="s">
        <v>10673</v>
      </c>
      <c r="E280" s="17">
        <v>0.45</v>
      </c>
      <c r="F280" s="17">
        <v>0.05</v>
      </c>
      <c r="G280" s="17">
        <v>0.05</v>
      </c>
      <c r="H280" s="17">
        <v>0.55000000000000004</v>
      </c>
      <c r="I280" t="s">
        <v>75</v>
      </c>
      <c r="J280" t="s">
        <v>10674</v>
      </c>
    </row>
    <row r="281" spans="1:10">
      <c r="A281" t="s">
        <v>10675</v>
      </c>
      <c r="B281" s="322" t="s">
        <v>122</v>
      </c>
      <c r="C281" s="322" t="s">
        <v>10676</v>
      </c>
      <c r="D281" t="s">
        <v>10677</v>
      </c>
      <c r="E281" s="17">
        <v>0.5</v>
      </c>
      <c r="F281" s="17">
        <v>0.05</v>
      </c>
      <c r="G281" s="17">
        <v>0.05</v>
      </c>
      <c r="H281" s="17">
        <v>0.6</v>
      </c>
      <c r="I281" t="s">
        <v>75</v>
      </c>
      <c r="J281" t="s">
        <v>10678</v>
      </c>
    </row>
    <row r="282" spans="1:10">
      <c r="A282" t="s">
        <v>10679</v>
      </c>
      <c r="B282" s="322" t="s">
        <v>122</v>
      </c>
      <c r="C282" s="322" t="s">
        <v>10680</v>
      </c>
      <c r="D282" t="s">
        <v>10681</v>
      </c>
      <c r="E282" s="17">
        <v>0.5</v>
      </c>
      <c r="F282" s="17">
        <v>0.05</v>
      </c>
      <c r="G282" s="17">
        <v>0.05</v>
      </c>
      <c r="H282" s="17">
        <v>0.6</v>
      </c>
      <c r="I282" t="s">
        <v>75</v>
      </c>
      <c r="J282" t="s">
        <v>10682</v>
      </c>
    </row>
    <row r="283" spans="1:10">
      <c r="A283" t="s">
        <v>10683</v>
      </c>
      <c r="B283" s="322" t="s">
        <v>122</v>
      </c>
      <c r="C283" s="322" t="s">
        <v>10684</v>
      </c>
      <c r="D283" t="s">
        <v>10685</v>
      </c>
      <c r="E283" s="17">
        <v>0.61</v>
      </c>
      <c r="F283" s="17">
        <v>0.05</v>
      </c>
      <c r="G283" s="17">
        <v>0.05</v>
      </c>
      <c r="H283" s="17">
        <v>0.71</v>
      </c>
      <c r="I283" t="s">
        <v>75</v>
      </c>
      <c r="J283" t="s">
        <v>10686</v>
      </c>
    </row>
    <row r="284" spans="1:10">
      <c r="A284" t="s">
        <v>10687</v>
      </c>
      <c r="B284" s="322" t="s">
        <v>122</v>
      </c>
      <c r="C284" s="322" t="s">
        <v>10688</v>
      </c>
      <c r="D284" t="s">
        <v>10685</v>
      </c>
      <c r="E284" s="17">
        <v>0.61</v>
      </c>
      <c r="F284" s="17">
        <v>0.05</v>
      </c>
      <c r="G284" s="17">
        <v>0.05</v>
      </c>
      <c r="H284" s="17">
        <v>0.71</v>
      </c>
      <c r="I284" t="s">
        <v>75</v>
      </c>
      <c r="J284" t="s">
        <v>10689</v>
      </c>
    </row>
    <row r="285" spans="1:10">
      <c r="A285" t="s">
        <v>10690</v>
      </c>
      <c r="B285" s="322" t="s">
        <v>122</v>
      </c>
      <c r="C285" s="322" t="s">
        <v>10691</v>
      </c>
      <c r="D285" t="s">
        <v>10685</v>
      </c>
      <c r="E285" s="17">
        <v>0.61</v>
      </c>
      <c r="F285" s="17">
        <v>0.05</v>
      </c>
      <c r="G285" s="17">
        <v>0.05</v>
      </c>
      <c r="H285" s="17">
        <v>0.71</v>
      </c>
      <c r="I285" t="s">
        <v>75</v>
      </c>
      <c r="J285" t="s">
        <v>10692</v>
      </c>
    </row>
    <row r="286" spans="1:10">
      <c r="A286" t="s">
        <v>10693</v>
      </c>
      <c r="B286" s="322" t="s">
        <v>122</v>
      </c>
      <c r="C286" s="322" t="s">
        <v>2433</v>
      </c>
      <c r="D286" t="s">
        <v>10685</v>
      </c>
      <c r="E286" s="17">
        <v>0.61</v>
      </c>
      <c r="F286" s="17">
        <v>0.05</v>
      </c>
      <c r="G286" s="17">
        <v>0.05</v>
      </c>
      <c r="H286" s="17">
        <v>0.71</v>
      </c>
      <c r="I286" t="s">
        <v>75</v>
      </c>
      <c r="J286" t="s">
        <v>10694</v>
      </c>
    </row>
    <row r="287" spans="1:10">
      <c r="A287" t="s">
        <v>10695</v>
      </c>
      <c r="B287" s="322" t="s">
        <v>122</v>
      </c>
      <c r="C287" s="322" t="s">
        <v>10696</v>
      </c>
      <c r="D287" t="s">
        <v>10685</v>
      </c>
      <c r="E287" s="17">
        <v>0.61</v>
      </c>
      <c r="F287" s="17">
        <v>0.05</v>
      </c>
      <c r="G287" s="17">
        <v>0.05</v>
      </c>
      <c r="H287" s="17">
        <v>0.71</v>
      </c>
      <c r="I287" t="s">
        <v>75</v>
      </c>
      <c r="J287" t="s">
        <v>10697</v>
      </c>
    </row>
    <row r="288" spans="1:10">
      <c r="A288" t="s">
        <v>10698</v>
      </c>
      <c r="B288" s="322" t="s">
        <v>122</v>
      </c>
      <c r="C288" s="322" t="s">
        <v>10699</v>
      </c>
      <c r="D288" t="s">
        <v>10685</v>
      </c>
      <c r="E288" s="17">
        <v>0.61</v>
      </c>
      <c r="F288" s="17">
        <v>0.05</v>
      </c>
      <c r="G288" s="17">
        <v>0.05</v>
      </c>
      <c r="H288" s="17">
        <v>0.71</v>
      </c>
      <c r="I288" t="s">
        <v>75</v>
      </c>
      <c r="J288" t="s">
        <v>10700</v>
      </c>
    </row>
    <row r="289" spans="1:10">
      <c r="A289" t="s">
        <v>10701</v>
      </c>
      <c r="B289" s="322" t="s">
        <v>122</v>
      </c>
      <c r="C289" s="322" t="s">
        <v>10702</v>
      </c>
      <c r="D289" t="s">
        <v>10685</v>
      </c>
      <c r="E289" s="17">
        <v>0.61</v>
      </c>
      <c r="F289" s="17">
        <v>0.05</v>
      </c>
      <c r="G289" s="17">
        <v>0.05</v>
      </c>
      <c r="H289" s="17">
        <v>0.71</v>
      </c>
      <c r="I289" t="s">
        <v>75</v>
      </c>
      <c r="J289" t="s">
        <v>10703</v>
      </c>
    </row>
    <row r="290" spans="1:10">
      <c r="A290" t="s">
        <v>10704</v>
      </c>
      <c r="B290" s="322" t="s">
        <v>122</v>
      </c>
      <c r="C290" s="322" t="s">
        <v>10705</v>
      </c>
      <c r="D290" t="s">
        <v>10685</v>
      </c>
      <c r="E290" s="17">
        <v>0.61</v>
      </c>
      <c r="F290" s="17">
        <v>0.05</v>
      </c>
      <c r="G290" s="17">
        <v>0.05</v>
      </c>
      <c r="H290" s="17">
        <v>0.71</v>
      </c>
      <c r="I290" t="s">
        <v>75</v>
      </c>
      <c r="J290" t="s">
        <v>10706</v>
      </c>
    </row>
    <row r="291" spans="1:10">
      <c r="A291" t="s">
        <v>10707</v>
      </c>
      <c r="B291" s="322" t="s">
        <v>122</v>
      </c>
      <c r="C291" s="322" t="s">
        <v>10708</v>
      </c>
      <c r="D291" t="s">
        <v>10709</v>
      </c>
      <c r="E291" s="17">
        <v>0.61</v>
      </c>
      <c r="F291" s="17">
        <v>0.05</v>
      </c>
      <c r="G291" s="17">
        <v>0.05</v>
      </c>
      <c r="H291" s="17">
        <v>0.71</v>
      </c>
      <c r="I291" t="s">
        <v>75</v>
      </c>
      <c r="J291" t="s">
        <v>10710</v>
      </c>
    </row>
    <row r="292" spans="1:10">
      <c r="A292" t="s">
        <v>10711</v>
      </c>
      <c r="B292" s="322" t="s">
        <v>122</v>
      </c>
      <c r="C292" s="322" t="s">
        <v>10712</v>
      </c>
      <c r="D292" t="s">
        <v>10713</v>
      </c>
      <c r="E292" s="17">
        <v>0.61</v>
      </c>
      <c r="F292" s="17">
        <v>0.05</v>
      </c>
      <c r="G292" s="17">
        <v>0.05</v>
      </c>
      <c r="H292" s="17">
        <v>0.71</v>
      </c>
      <c r="I292" t="s">
        <v>75</v>
      </c>
      <c r="J292" t="s">
        <v>10714</v>
      </c>
    </row>
    <row r="293" spans="1:10">
      <c r="A293" t="s">
        <v>10715</v>
      </c>
      <c r="B293" s="322" t="s">
        <v>122</v>
      </c>
      <c r="C293" s="322" t="s">
        <v>10716</v>
      </c>
      <c r="D293" t="s">
        <v>10713</v>
      </c>
      <c r="E293" s="17">
        <v>0.61</v>
      </c>
      <c r="F293" s="17">
        <v>0.05</v>
      </c>
      <c r="G293" s="17">
        <v>0.05</v>
      </c>
      <c r="H293" s="17">
        <v>0.71</v>
      </c>
      <c r="I293" t="s">
        <v>75</v>
      </c>
      <c r="J293" t="s">
        <v>10717</v>
      </c>
    </row>
    <row r="294" spans="1:10">
      <c r="A294" t="s">
        <v>10718</v>
      </c>
      <c r="B294" s="322" t="s">
        <v>122</v>
      </c>
      <c r="C294" s="322" t="s">
        <v>10719</v>
      </c>
      <c r="D294" t="s">
        <v>10713</v>
      </c>
      <c r="E294" s="17">
        <v>0.61</v>
      </c>
      <c r="F294" s="17">
        <v>0.05</v>
      </c>
      <c r="G294" s="17">
        <v>0.05</v>
      </c>
      <c r="H294" s="17">
        <v>0.71</v>
      </c>
      <c r="I294" t="s">
        <v>75</v>
      </c>
      <c r="J294" t="s">
        <v>10720</v>
      </c>
    </row>
    <row r="295" spans="1:10">
      <c r="A295" t="s">
        <v>10721</v>
      </c>
      <c r="B295" s="322" t="s">
        <v>122</v>
      </c>
      <c r="C295" s="322" t="s">
        <v>10722</v>
      </c>
      <c r="D295" t="s">
        <v>10713</v>
      </c>
      <c r="E295" s="17">
        <v>0.61</v>
      </c>
      <c r="F295" s="17">
        <v>0.05</v>
      </c>
      <c r="G295" s="17">
        <v>0.05</v>
      </c>
      <c r="H295" s="17">
        <v>0.71</v>
      </c>
      <c r="I295" t="s">
        <v>75</v>
      </c>
      <c r="J295" t="s">
        <v>10723</v>
      </c>
    </row>
    <row r="296" spans="1:10">
      <c r="A296" t="s">
        <v>10724</v>
      </c>
      <c r="B296" s="322" t="s">
        <v>122</v>
      </c>
      <c r="C296" s="322" t="s">
        <v>10725</v>
      </c>
      <c r="D296" t="s">
        <v>10713</v>
      </c>
      <c r="E296" s="17">
        <v>0.61</v>
      </c>
      <c r="F296" s="17">
        <v>0.05</v>
      </c>
      <c r="G296" s="17">
        <v>0.05</v>
      </c>
      <c r="H296" s="17">
        <v>0.71</v>
      </c>
      <c r="I296" t="s">
        <v>75</v>
      </c>
      <c r="J296" t="s">
        <v>10726</v>
      </c>
    </row>
    <row r="297" spans="1:10">
      <c r="A297" t="s">
        <v>10727</v>
      </c>
      <c r="B297" s="322" t="s">
        <v>122</v>
      </c>
      <c r="C297" s="322" t="s">
        <v>10728</v>
      </c>
      <c r="D297" t="s">
        <v>10713</v>
      </c>
      <c r="E297" s="17">
        <v>0.61</v>
      </c>
      <c r="F297" s="17">
        <v>0.05</v>
      </c>
      <c r="G297" s="17">
        <v>0.05</v>
      </c>
      <c r="H297" s="17">
        <v>0.71</v>
      </c>
      <c r="I297" t="s">
        <v>75</v>
      </c>
      <c r="J297" t="s">
        <v>10729</v>
      </c>
    </row>
    <row r="298" spans="1:10">
      <c r="A298" t="s">
        <v>10730</v>
      </c>
      <c r="B298" s="322" t="s">
        <v>122</v>
      </c>
      <c r="C298" s="322" t="s">
        <v>10731</v>
      </c>
      <c r="D298" t="s">
        <v>10713</v>
      </c>
      <c r="E298" s="17">
        <v>0.61</v>
      </c>
      <c r="F298" s="17">
        <v>0.05</v>
      </c>
      <c r="G298" s="17">
        <v>0.05</v>
      </c>
      <c r="H298" s="17">
        <v>0.71</v>
      </c>
      <c r="I298" t="s">
        <v>75</v>
      </c>
      <c r="J298" t="s">
        <v>10732</v>
      </c>
    </row>
    <row r="299" spans="1:10">
      <c r="A299" t="s">
        <v>10733</v>
      </c>
      <c r="B299" s="322" t="s">
        <v>122</v>
      </c>
      <c r="C299" s="322" t="s">
        <v>10734</v>
      </c>
      <c r="D299" t="s">
        <v>10713</v>
      </c>
      <c r="E299" s="17">
        <v>0.61</v>
      </c>
      <c r="F299" s="17">
        <v>0.05</v>
      </c>
      <c r="G299" s="17">
        <v>0.05</v>
      </c>
      <c r="H299" s="17">
        <v>0.71</v>
      </c>
      <c r="I299" t="s">
        <v>75</v>
      </c>
      <c r="J299" t="s">
        <v>10735</v>
      </c>
    </row>
    <row r="300" spans="1:10">
      <c r="A300" t="s">
        <v>10736</v>
      </c>
      <c r="B300" s="322" t="s">
        <v>122</v>
      </c>
      <c r="C300" s="322" t="s">
        <v>10737</v>
      </c>
      <c r="D300" t="s">
        <v>10554</v>
      </c>
      <c r="E300" s="17">
        <v>0.61</v>
      </c>
      <c r="F300" s="17">
        <v>0.05</v>
      </c>
      <c r="G300" s="17">
        <v>0.05</v>
      </c>
      <c r="H300" s="17">
        <v>0.71</v>
      </c>
      <c r="I300" t="s">
        <v>75</v>
      </c>
      <c r="J300" t="s">
        <v>10738</v>
      </c>
    </row>
    <row r="301" spans="1:10">
      <c r="A301" t="s">
        <v>10739</v>
      </c>
      <c r="B301" s="322" t="s">
        <v>122</v>
      </c>
      <c r="C301" s="322" t="s">
        <v>2903</v>
      </c>
      <c r="D301" t="s">
        <v>10554</v>
      </c>
      <c r="E301" s="17">
        <v>0.61</v>
      </c>
      <c r="F301" s="17">
        <v>0.05</v>
      </c>
      <c r="G301" s="17">
        <v>0.05</v>
      </c>
      <c r="H301" s="17">
        <v>0.71</v>
      </c>
      <c r="I301" t="s">
        <v>75</v>
      </c>
      <c r="J301" t="s">
        <v>10740</v>
      </c>
    </row>
    <row r="302" spans="1:10">
      <c r="A302" t="s">
        <v>4051</v>
      </c>
      <c r="B302" s="322" t="s">
        <v>122</v>
      </c>
      <c r="C302" s="322" t="s">
        <v>4052</v>
      </c>
      <c r="D302" t="s">
        <v>10554</v>
      </c>
      <c r="E302" s="17">
        <v>0.61</v>
      </c>
      <c r="F302" s="17">
        <v>0.05</v>
      </c>
      <c r="G302" s="17">
        <v>0.05</v>
      </c>
      <c r="H302" s="17">
        <v>0.71</v>
      </c>
      <c r="I302" t="s">
        <v>75</v>
      </c>
      <c r="J302" t="s">
        <v>10741</v>
      </c>
    </row>
    <row r="303" spans="1:10">
      <c r="A303" t="s">
        <v>10742</v>
      </c>
      <c r="B303" s="322" t="s">
        <v>122</v>
      </c>
      <c r="C303" s="322" t="s">
        <v>10743</v>
      </c>
      <c r="D303" t="s">
        <v>10554</v>
      </c>
      <c r="E303" s="17">
        <v>0.61</v>
      </c>
      <c r="F303" s="17">
        <v>0.05</v>
      </c>
      <c r="G303" s="17">
        <v>0.05</v>
      </c>
      <c r="H303" s="17">
        <v>0.71</v>
      </c>
      <c r="I303" t="s">
        <v>75</v>
      </c>
      <c r="J303" t="s">
        <v>10744</v>
      </c>
    </row>
    <row r="304" spans="1:10">
      <c r="A304" t="s">
        <v>10745</v>
      </c>
      <c r="B304" s="322" t="s">
        <v>122</v>
      </c>
      <c r="C304" s="322" t="s">
        <v>10746</v>
      </c>
      <c r="D304" t="s">
        <v>10554</v>
      </c>
      <c r="E304" s="17">
        <v>0.61</v>
      </c>
      <c r="F304" s="17">
        <v>0.05</v>
      </c>
      <c r="G304" s="17">
        <v>0.05</v>
      </c>
      <c r="H304" s="17">
        <v>0.71</v>
      </c>
      <c r="I304" t="s">
        <v>75</v>
      </c>
      <c r="J304" t="s">
        <v>10747</v>
      </c>
    </row>
    <row r="305" spans="1:10">
      <c r="A305" t="s">
        <v>10748</v>
      </c>
      <c r="B305" s="322" t="s">
        <v>122</v>
      </c>
      <c r="C305" s="322" t="s">
        <v>10749</v>
      </c>
      <c r="D305" t="s">
        <v>10554</v>
      </c>
      <c r="E305" s="17">
        <v>0.61</v>
      </c>
      <c r="F305" s="17">
        <v>0.05</v>
      </c>
      <c r="G305" s="17">
        <v>0.05</v>
      </c>
      <c r="H305" s="17">
        <v>0.71</v>
      </c>
      <c r="I305" t="s">
        <v>75</v>
      </c>
      <c r="J305" t="s">
        <v>10750</v>
      </c>
    </row>
    <row r="306" spans="1:10">
      <c r="A306" t="s">
        <v>10751</v>
      </c>
      <c r="B306" s="322" t="s">
        <v>122</v>
      </c>
      <c r="C306" s="322" t="s">
        <v>10752</v>
      </c>
      <c r="D306" t="s">
        <v>10554</v>
      </c>
      <c r="E306" s="17">
        <v>0.61</v>
      </c>
      <c r="F306" s="17">
        <v>0.05</v>
      </c>
      <c r="G306" s="17">
        <v>0.05</v>
      </c>
      <c r="H306" s="17">
        <v>0.71</v>
      </c>
      <c r="I306" t="s">
        <v>75</v>
      </c>
      <c r="J306" t="s">
        <v>10753</v>
      </c>
    </row>
    <row r="307" spans="1:10">
      <c r="A307" t="s">
        <v>10754</v>
      </c>
      <c r="B307" s="322" t="s">
        <v>122</v>
      </c>
      <c r="C307" s="322" t="s">
        <v>10755</v>
      </c>
      <c r="D307" t="s">
        <v>10554</v>
      </c>
      <c r="E307" s="17">
        <v>0.61</v>
      </c>
      <c r="F307" s="17">
        <v>0.05</v>
      </c>
      <c r="G307" s="17">
        <v>0.05</v>
      </c>
      <c r="H307" s="17">
        <v>0.71</v>
      </c>
      <c r="I307" t="s">
        <v>75</v>
      </c>
      <c r="J307" t="s">
        <v>10756</v>
      </c>
    </row>
    <row r="308" spans="1:10">
      <c r="A308" t="s">
        <v>10757</v>
      </c>
      <c r="B308" s="322" t="s">
        <v>122</v>
      </c>
      <c r="C308" s="322" t="s">
        <v>10758</v>
      </c>
      <c r="D308" t="s">
        <v>10759</v>
      </c>
      <c r="E308" s="17">
        <v>0.45</v>
      </c>
      <c r="F308" s="17">
        <v>0.05</v>
      </c>
      <c r="G308" s="17">
        <v>0.05</v>
      </c>
      <c r="H308" s="17">
        <v>0.55000000000000004</v>
      </c>
      <c r="I308" t="s">
        <v>75</v>
      </c>
      <c r="J308" t="s">
        <v>10760</v>
      </c>
    </row>
    <row r="309" spans="1:10">
      <c r="A309" t="s">
        <v>10761</v>
      </c>
      <c r="B309" s="322" t="s">
        <v>122</v>
      </c>
      <c r="C309" s="322" t="s">
        <v>10762</v>
      </c>
      <c r="D309" t="s">
        <v>10763</v>
      </c>
      <c r="E309" s="17">
        <v>0.63</v>
      </c>
      <c r="F309" s="17">
        <v>0.05</v>
      </c>
      <c r="G309" s="17">
        <v>0.05</v>
      </c>
      <c r="H309" s="17">
        <v>0.73</v>
      </c>
      <c r="I309" t="s">
        <v>75</v>
      </c>
      <c r="J309" t="s">
        <v>10764</v>
      </c>
    </row>
    <row r="310" spans="1:10">
      <c r="A310" t="s">
        <v>10765</v>
      </c>
      <c r="B310" s="322" t="s">
        <v>122</v>
      </c>
      <c r="C310" s="322" t="s">
        <v>10766</v>
      </c>
      <c r="D310" t="s">
        <v>10767</v>
      </c>
      <c r="E310" s="17">
        <v>0.4</v>
      </c>
      <c r="F310" s="17">
        <v>0.05</v>
      </c>
      <c r="G310" s="17">
        <v>0.05</v>
      </c>
      <c r="H310" s="17">
        <v>0.5</v>
      </c>
      <c r="I310" t="s">
        <v>75</v>
      </c>
      <c r="J310" t="s">
        <v>10768</v>
      </c>
    </row>
    <row r="311" spans="1:10">
      <c r="A311" t="s">
        <v>10769</v>
      </c>
      <c r="B311" s="322" t="s">
        <v>122</v>
      </c>
      <c r="C311" s="322" t="s">
        <v>10770</v>
      </c>
      <c r="D311" t="s">
        <v>10771</v>
      </c>
      <c r="E311" s="17">
        <v>0.61</v>
      </c>
      <c r="F311" s="17">
        <v>0.05</v>
      </c>
      <c r="G311" s="17">
        <v>0.05</v>
      </c>
      <c r="H311" s="17">
        <v>0.71</v>
      </c>
      <c r="I311" t="s">
        <v>75</v>
      </c>
      <c r="J311" t="s">
        <v>10772</v>
      </c>
    </row>
    <row r="312" spans="1:10">
      <c r="A312" t="s">
        <v>3015</v>
      </c>
      <c r="B312" s="322" t="s">
        <v>122</v>
      </c>
      <c r="C312" s="322" t="s">
        <v>3117</v>
      </c>
      <c r="D312" t="s">
        <v>10773</v>
      </c>
      <c r="E312" s="17">
        <v>0.61</v>
      </c>
      <c r="F312" s="17">
        <v>0.05</v>
      </c>
      <c r="G312" s="17">
        <v>0.05</v>
      </c>
      <c r="H312" s="17">
        <v>0.71</v>
      </c>
      <c r="I312" t="s">
        <v>75</v>
      </c>
      <c r="J312" t="s">
        <v>10774</v>
      </c>
    </row>
    <row r="313" spans="1:10">
      <c r="A313" t="s">
        <v>5082</v>
      </c>
      <c r="B313" s="322" t="s">
        <v>122</v>
      </c>
      <c r="C313" s="322" t="s">
        <v>5083</v>
      </c>
      <c r="D313" t="s">
        <v>10775</v>
      </c>
      <c r="E313" s="17">
        <v>0.61</v>
      </c>
      <c r="F313" s="17">
        <v>0.05</v>
      </c>
      <c r="G313" s="17">
        <v>0.05</v>
      </c>
      <c r="H313" s="17">
        <v>0.71</v>
      </c>
      <c r="I313" t="s">
        <v>75</v>
      </c>
      <c r="J313" t="s">
        <v>10776</v>
      </c>
    </row>
    <row r="314" spans="1:10">
      <c r="A314" t="s">
        <v>10777</v>
      </c>
      <c r="B314" s="322" t="s">
        <v>122</v>
      </c>
      <c r="C314" s="322" t="s">
        <v>10778</v>
      </c>
      <c r="D314" t="s">
        <v>10554</v>
      </c>
      <c r="E314" s="17">
        <v>0.61</v>
      </c>
      <c r="F314" s="17">
        <v>0.05</v>
      </c>
      <c r="G314" s="17">
        <v>0.05</v>
      </c>
      <c r="H314" s="17">
        <v>0.71</v>
      </c>
      <c r="I314" t="s">
        <v>75</v>
      </c>
      <c r="J314" t="s">
        <v>10779</v>
      </c>
    </row>
    <row r="315" spans="1:10">
      <c r="A315" t="s">
        <v>5086</v>
      </c>
      <c r="B315" s="322" t="s">
        <v>122</v>
      </c>
      <c r="C315" s="322" t="s">
        <v>5087</v>
      </c>
      <c r="D315" t="s">
        <v>10554</v>
      </c>
      <c r="E315" s="17">
        <v>0.61</v>
      </c>
      <c r="F315" s="17">
        <v>0.05</v>
      </c>
      <c r="G315" s="17">
        <v>0.05</v>
      </c>
      <c r="H315" s="17">
        <v>0.71</v>
      </c>
      <c r="I315" t="s">
        <v>75</v>
      </c>
      <c r="J315" t="s">
        <v>10780</v>
      </c>
    </row>
    <row r="316" spans="1:10">
      <c r="A316" t="s">
        <v>10781</v>
      </c>
      <c r="B316" s="322" t="s">
        <v>122</v>
      </c>
      <c r="C316" s="322" t="s">
        <v>10782</v>
      </c>
      <c r="D316" t="s">
        <v>10554</v>
      </c>
      <c r="E316" s="17">
        <v>0.61</v>
      </c>
      <c r="F316" s="17">
        <v>0.05</v>
      </c>
      <c r="G316" s="17">
        <v>0.05</v>
      </c>
      <c r="H316" s="17">
        <v>0.71</v>
      </c>
      <c r="I316" t="s">
        <v>75</v>
      </c>
      <c r="J316" t="s">
        <v>10783</v>
      </c>
    </row>
    <row r="317" spans="1:10">
      <c r="A317" t="s">
        <v>10784</v>
      </c>
      <c r="B317" s="322" t="s">
        <v>122</v>
      </c>
      <c r="C317" s="322" t="s">
        <v>10785</v>
      </c>
      <c r="D317" t="s">
        <v>10554</v>
      </c>
      <c r="E317" s="17">
        <v>0.61</v>
      </c>
      <c r="F317" s="17">
        <v>0.05</v>
      </c>
      <c r="G317" s="17">
        <v>0.05</v>
      </c>
      <c r="H317" s="17">
        <v>0.71</v>
      </c>
      <c r="I317" t="s">
        <v>75</v>
      </c>
      <c r="J317" t="s">
        <v>10786</v>
      </c>
    </row>
    <row r="318" spans="1:10">
      <c r="A318" t="s">
        <v>10787</v>
      </c>
      <c r="B318" s="322" t="s">
        <v>122</v>
      </c>
      <c r="C318" s="322" t="s">
        <v>10788</v>
      </c>
      <c r="D318" t="s">
        <v>10554</v>
      </c>
      <c r="E318" s="17">
        <v>0.61</v>
      </c>
      <c r="F318" s="17">
        <v>0.05</v>
      </c>
      <c r="G318" s="17">
        <v>0.05</v>
      </c>
      <c r="H318" s="17">
        <v>0.71</v>
      </c>
      <c r="I318" t="s">
        <v>75</v>
      </c>
      <c r="J318" t="s">
        <v>10789</v>
      </c>
    </row>
    <row r="319" spans="1:10">
      <c r="A319" t="s">
        <v>10790</v>
      </c>
      <c r="B319" s="322" t="s">
        <v>122</v>
      </c>
      <c r="C319" s="322" t="s">
        <v>10791</v>
      </c>
      <c r="D319" t="s">
        <v>10792</v>
      </c>
      <c r="E319" s="17">
        <v>0.63</v>
      </c>
      <c r="F319" s="17">
        <v>0.05</v>
      </c>
      <c r="G319" s="17">
        <v>0.05</v>
      </c>
      <c r="H319" s="17">
        <v>0.73</v>
      </c>
      <c r="I319" t="s">
        <v>75</v>
      </c>
      <c r="J319" t="s">
        <v>10793</v>
      </c>
    </row>
    <row r="320" spans="1:10">
      <c r="A320" t="s">
        <v>10794</v>
      </c>
      <c r="B320" s="322" t="s">
        <v>122</v>
      </c>
      <c r="C320" s="322" t="s">
        <v>10795</v>
      </c>
      <c r="D320" t="s">
        <v>10534</v>
      </c>
      <c r="E320" s="17">
        <v>0.73</v>
      </c>
      <c r="F320" s="17">
        <v>0</v>
      </c>
      <c r="G320" s="17">
        <v>0</v>
      </c>
      <c r="H320" s="17">
        <v>0.73</v>
      </c>
      <c r="I320" t="s">
        <v>75</v>
      </c>
      <c r="J320" t="s">
        <v>10796</v>
      </c>
    </row>
    <row r="321" spans="1:10">
      <c r="A321" t="s">
        <v>10797</v>
      </c>
      <c r="B321" s="322" t="s">
        <v>122</v>
      </c>
      <c r="C321" s="322" t="s">
        <v>10798</v>
      </c>
      <c r="D321" t="s">
        <v>10534</v>
      </c>
      <c r="E321" s="17">
        <v>0.73</v>
      </c>
      <c r="F321" s="17">
        <v>0</v>
      </c>
      <c r="G321" s="17">
        <v>0</v>
      </c>
      <c r="H321" s="17">
        <v>0.73</v>
      </c>
      <c r="I321" t="s">
        <v>75</v>
      </c>
      <c r="J321" t="s">
        <v>10799</v>
      </c>
    </row>
    <row r="322" spans="1:10">
      <c r="A322" t="s">
        <v>10800</v>
      </c>
      <c r="B322" s="322" t="s">
        <v>122</v>
      </c>
      <c r="C322" s="322" t="s">
        <v>10801</v>
      </c>
      <c r="D322" t="s">
        <v>10534</v>
      </c>
      <c r="E322" s="17">
        <v>0.73</v>
      </c>
      <c r="F322" s="17">
        <v>0</v>
      </c>
      <c r="G322" s="17">
        <v>0</v>
      </c>
      <c r="H322" s="17">
        <v>0.73</v>
      </c>
      <c r="I322" t="s">
        <v>75</v>
      </c>
      <c r="J322" t="s">
        <v>10802</v>
      </c>
    </row>
    <row r="323" spans="1:10">
      <c r="A323" t="s">
        <v>10803</v>
      </c>
      <c r="B323" s="322" t="s">
        <v>122</v>
      </c>
      <c r="C323" s="322" t="s">
        <v>10804</v>
      </c>
      <c r="D323" t="s">
        <v>10534</v>
      </c>
      <c r="E323" s="17">
        <v>0.73</v>
      </c>
      <c r="F323" s="17">
        <v>0</v>
      </c>
      <c r="G323" s="17">
        <v>0</v>
      </c>
      <c r="H323" s="17">
        <v>0.73</v>
      </c>
      <c r="I323" t="s">
        <v>75</v>
      </c>
      <c r="J323" t="s">
        <v>10805</v>
      </c>
    </row>
    <row r="324" spans="1:10">
      <c r="A324" t="s">
        <v>10806</v>
      </c>
      <c r="B324" s="322" t="s">
        <v>122</v>
      </c>
      <c r="C324" s="322" t="s">
        <v>10807</v>
      </c>
      <c r="D324" t="s">
        <v>10534</v>
      </c>
      <c r="E324" s="17">
        <v>0.73</v>
      </c>
      <c r="F324" s="17">
        <v>0</v>
      </c>
      <c r="G324" s="17">
        <v>0</v>
      </c>
      <c r="H324" s="17">
        <v>0.73</v>
      </c>
      <c r="I324" t="s">
        <v>75</v>
      </c>
      <c r="J324" t="s">
        <v>10808</v>
      </c>
    </row>
    <row r="325" spans="1:10">
      <c r="A325" t="s">
        <v>10809</v>
      </c>
      <c r="B325" s="322" t="s">
        <v>122</v>
      </c>
      <c r="C325" s="322" t="s">
        <v>10810</v>
      </c>
      <c r="D325" t="s">
        <v>10811</v>
      </c>
      <c r="E325" s="17">
        <v>0.45</v>
      </c>
      <c r="F325" s="17">
        <v>0.05</v>
      </c>
      <c r="G325" s="17">
        <v>0.05</v>
      </c>
      <c r="H325" s="17">
        <v>0.55000000000000004</v>
      </c>
      <c r="I325" t="s">
        <v>75</v>
      </c>
      <c r="J325" t="s">
        <v>10812</v>
      </c>
    </row>
    <row r="326" spans="1:10">
      <c r="A326" t="s">
        <v>10813</v>
      </c>
      <c r="B326" s="322" t="s">
        <v>122</v>
      </c>
      <c r="C326" s="322" t="s">
        <v>10814</v>
      </c>
      <c r="D326" t="s">
        <v>10811</v>
      </c>
      <c r="E326" s="17">
        <v>0.45</v>
      </c>
      <c r="F326" s="17">
        <v>0.05</v>
      </c>
      <c r="G326" s="17">
        <v>0.05</v>
      </c>
      <c r="H326" s="17">
        <v>0.55000000000000004</v>
      </c>
      <c r="I326" t="s">
        <v>75</v>
      </c>
      <c r="J326" t="s">
        <v>10815</v>
      </c>
    </row>
    <row r="327" spans="1:10">
      <c r="A327" t="s">
        <v>10816</v>
      </c>
      <c r="B327" s="322" t="s">
        <v>122</v>
      </c>
      <c r="C327" s="322" t="s">
        <v>10817</v>
      </c>
      <c r="D327" t="s">
        <v>10811</v>
      </c>
      <c r="E327" s="17">
        <v>0.45</v>
      </c>
      <c r="F327" s="17">
        <v>0.05</v>
      </c>
      <c r="G327" s="17">
        <v>0.05</v>
      </c>
      <c r="H327" s="17">
        <v>0.55000000000000004</v>
      </c>
      <c r="I327" t="s">
        <v>75</v>
      </c>
      <c r="J327" t="s">
        <v>10818</v>
      </c>
    </row>
    <row r="328" spans="1:10">
      <c r="A328" t="s">
        <v>10819</v>
      </c>
      <c r="B328" s="322" t="s">
        <v>122</v>
      </c>
      <c r="C328" s="322" t="s">
        <v>10820</v>
      </c>
      <c r="D328" t="s">
        <v>10811</v>
      </c>
      <c r="E328" s="17">
        <v>0.45</v>
      </c>
      <c r="F328" s="17">
        <v>0.05</v>
      </c>
      <c r="G328" s="17">
        <v>0.05</v>
      </c>
      <c r="H328" s="17">
        <v>0.55000000000000004</v>
      </c>
      <c r="I328" t="s">
        <v>75</v>
      </c>
      <c r="J328" t="s">
        <v>10821</v>
      </c>
    </row>
    <row r="329" spans="1:10">
      <c r="A329" t="s">
        <v>10822</v>
      </c>
      <c r="B329" s="322" t="s">
        <v>122</v>
      </c>
      <c r="C329" s="322" t="s">
        <v>10823</v>
      </c>
      <c r="D329" t="s">
        <v>10811</v>
      </c>
      <c r="E329" s="17">
        <v>0.45</v>
      </c>
      <c r="F329" s="17">
        <v>0.05</v>
      </c>
      <c r="G329" s="17">
        <v>0.05</v>
      </c>
      <c r="H329" s="17">
        <v>0.55000000000000004</v>
      </c>
      <c r="I329" t="s">
        <v>75</v>
      </c>
      <c r="J329" t="s">
        <v>10824</v>
      </c>
    </row>
    <row r="330" spans="1:10">
      <c r="A330" t="s">
        <v>10825</v>
      </c>
      <c r="B330" s="322" t="s">
        <v>122</v>
      </c>
      <c r="C330" s="322" t="s">
        <v>10826</v>
      </c>
      <c r="D330" t="s">
        <v>10811</v>
      </c>
      <c r="E330" s="17">
        <v>0.45</v>
      </c>
      <c r="F330" s="17">
        <v>0.05</v>
      </c>
      <c r="G330" s="17">
        <v>0.05</v>
      </c>
      <c r="H330" s="17">
        <v>0.55000000000000004</v>
      </c>
      <c r="I330" t="s">
        <v>75</v>
      </c>
      <c r="J330" t="s">
        <v>10827</v>
      </c>
    </row>
    <row r="331" spans="1:10">
      <c r="A331" t="s">
        <v>10828</v>
      </c>
      <c r="B331" s="322" t="s">
        <v>122</v>
      </c>
      <c r="C331" s="322" t="s">
        <v>10829</v>
      </c>
      <c r="D331" t="s">
        <v>10830</v>
      </c>
      <c r="E331" s="17">
        <v>0.45</v>
      </c>
      <c r="F331" s="17">
        <v>0.05</v>
      </c>
      <c r="G331" s="17">
        <v>0.05</v>
      </c>
      <c r="H331" s="17">
        <v>0.55000000000000004</v>
      </c>
      <c r="I331" t="s">
        <v>75</v>
      </c>
      <c r="J331" t="s">
        <v>10831</v>
      </c>
    </row>
    <row r="332" spans="1:10">
      <c r="A332" t="s">
        <v>10832</v>
      </c>
      <c r="B332" s="322" t="s">
        <v>122</v>
      </c>
      <c r="C332" s="322" t="s">
        <v>10833</v>
      </c>
      <c r="D332" t="s">
        <v>10811</v>
      </c>
      <c r="E332" s="17">
        <v>0.45</v>
      </c>
      <c r="F332" s="17">
        <v>0.05</v>
      </c>
      <c r="G332" s="17">
        <v>0.05</v>
      </c>
      <c r="H332" s="17">
        <v>0.55000000000000004</v>
      </c>
      <c r="I332" t="s">
        <v>75</v>
      </c>
      <c r="J332" t="s">
        <v>10834</v>
      </c>
    </row>
    <row r="333" spans="1:10">
      <c r="A333" t="s">
        <v>10835</v>
      </c>
      <c r="B333" s="322" t="s">
        <v>122</v>
      </c>
      <c r="C333" s="322" t="s">
        <v>10836</v>
      </c>
      <c r="D333" t="s">
        <v>10837</v>
      </c>
      <c r="E333" s="17">
        <v>0.45</v>
      </c>
      <c r="F333" s="17">
        <v>0.05</v>
      </c>
      <c r="G333" s="17">
        <v>0.05</v>
      </c>
      <c r="H333" s="17">
        <v>0.55000000000000004</v>
      </c>
      <c r="I333" t="s">
        <v>75</v>
      </c>
      <c r="J333" t="s">
        <v>10838</v>
      </c>
    </row>
    <row r="334" spans="1:10">
      <c r="A334" t="s">
        <v>10839</v>
      </c>
      <c r="B334" s="322" t="s">
        <v>122</v>
      </c>
      <c r="C334" s="322" t="s">
        <v>10840</v>
      </c>
      <c r="D334" t="s">
        <v>10811</v>
      </c>
      <c r="E334" s="17">
        <v>0.45</v>
      </c>
      <c r="F334" s="17">
        <v>0.05</v>
      </c>
      <c r="G334" s="17">
        <v>0.05</v>
      </c>
      <c r="H334" s="17">
        <v>0.55000000000000004</v>
      </c>
      <c r="I334" t="s">
        <v>75</v>
      </c>
      <c r="J334" t="s">
        <v>10841</v>
      </c>
    </row>
    <row r="335" spans="1:10">
      <c r="A335" t="s">
        <v>10842</v>
      </c>
      <c r="B335" s="322" t="s">
        <v>122</v>
      </c>
      <c r="C335" s="322" t="s">
        <v>10843</v>
      </c>
      <c r="D335" t="s">
        <v>10811</v>
      </c>
      <c r="E335" s="17">
        <v>0.45</v>
      </c>
      <c r="F335" s="17">
        <v>0.05</v>
      </c>
      <c r="G335" s="17">
        <v>0.05</v>
      </c>
      <c r="H335" s="17">
        <v>0.55000000000000004</v>
      </c>
      <c r="I335" t="s">
        <v>75</v>
      </c>
      <c r="J335" t="s">
        <v>10844</v>
      </c>
    </row>
    <row r="336" spans="1:10">
      <c r="A336" t="s">
        <v>10845</v>
      </c>
      <c r="B336" s="322" t="s">
        <v>122</v>
      </c>
      <c r="C336" s="322" t="s">
        <v>10846</v>
      </c>
      <c r="D336" t="s">
        <v>10811</v>
      </c>
      <c r="E336" s="17">
        <v>0.45</v>
      </c>
      <c r="F336" s="17">
        <v>0.05</v>
      </c>
      <c r="G336" s="17">
        <v>0.05</v>
      </c>
      <c r="H336" s="17">
        <v>0.55000000000000004</v>
      </c>
      <c r="I336" t="s">
        <v>75</v>
      </c>
      <c r="J336" t="s">
        <v>10847</v>
      </c>
    </row>
    <row r="337" spans="1:10">
      <c r="A337" t="s">
        <v>10848</v>
      </c>
      <c r="B337" s="322" t="s">
        <v>122</v>
      </c>
      <c r="C337" s="322" t="s">
        <v>10849</v>
      </c>
      <c r="D337" t="s">
        <v>10811</v>
      </c>
      <c r="E337" s="17">
        <v>0.45</v>
      </c>
      <c r="F337" s="17">
        <v>0.05</v>
      </c>
      <c r="G337" s="17">
        <v>0.05</v>
      </c>
      <c r="H337" s="17">
        <v>0.55000000000000004</v>
      </c>
      <c r="I337" t="s">
        <v>75</v>
      </c>
      <c r="J337" t="s">
        <v>10850</v>
      </c>
    </row>
    <row r="338" spans="1:10">
      <c r="A338" t="s">
        <v>10851</v>
      </c>
      <c r="B338" s="322" t="s">
        <v>122</v>
      </c>
      <c r="C338" s="322" t="s">
        <v>10852</v>
      </c>
      <c r="D338" t="s">
        <v>10811</v>
      </c>
      <c r="E338" s="17">
        <v>0.45</v>
      </c>
      <c r="F338" s="17">
        <v>0.05</v>
      </c>
      <c r="G338" s="17">
        <v>0.05</v>
      </c>
      <c r="H338" s="17">
        <v>0.55000000000000004</v>
      </c>
      <c r="I338" t="s">
        <v>75</v>
      </c>
      <c r="J338" t="s">
        <v>10853</v>
      </c>
    </row>
    <row r="339" spans="1:10">
      <c r="A339" t="s">
        <v>10854</v>
      </c>
      <c r="B339" s="322" t="s">
        <v>122</v>
      </c>
      <c r="C339" s="322" t="s">
        <v>10855</v>
      </c>
      <c r="D339" t="s">
        <v>10856</v>
      </c>
      <c r="E339" s="17">
        <v>0.45</v>
      </c>
      <c r="F339" s="17">
        <v>0.05</v>
      </c>
      <c r="G339" s="17">
        <v>0.05</v>
      </c>
      <c r="H339" s="17">
        <v>0.55000000000000004</v>
      </c>
      <c r="I339" t="s">
        <v>75</v>
      </c>
      <c r="J339" t="s">
        <v>10857</v>
      </c>
    </row>
    <row r="340" spans="1:10">
      <c r="A340" t="s">
        <v>10858</v>
      </c>
      <c r="B340" s="322" t="s">
        <v>122</v>
      </c>
      <c r="C340" s="322" t="s">
        <v>10859</v>
      </c>
      <c r="D340" t="s">
        <v>10860</v>
      </c>
      <c r="E340" s="17">
        <v>0.45</v>
      </c>
      <c r="F340" s="17">
        <v>0.05</v>
      </c>
      <c r="G340" s="17">
        <v>0.05</v>
      </c>
      <c r="H340" s="17">
        <v>0.55000000000000004</v>
      </c>
      <c r="I340" t="s">
        <v>75</v>
      </c>
      <c r="J340" t="s">
        <v>10861</v>
      </c>
    </row>
    <row r="341" spans="1:10">
      <c r="A341" t="s">
        <v>10862</v>
      </c>
      <c r="B341" s="322" t="s">
        <v>122</v>
      </c>
      <c r="C341" s="322" t="s">
        <v>10863</v>
      </c>
      <c r="D341" t="s">
        <v>10837</v>
      </c>
      <c r="E341" s="17">
        <v>0.45</v>
      </c>
      <c r="F341" s="17">
        <v>0.05</v>
      </c>
      <c r="G341" s="17">
        <v>0.05</v>
      </c>
      <c r="H341" s="17">
        <v>0.55000000000000004</v>
      </c>
      <c r="I341" t="s">
        <v>75</v>
      </c>
      <c r="J341" t="s">
        <v>10864</v>
      </c>
    </row>
    <row r="342" spans="1:10">
      <c r="A342" t="s">
        <v>10865</v>
      </c>
      <c r="B342" s="322" t="s">
        <v>122</v>
      </c>
      <c r="C342" s="322" t="s">
        <v>10866</v>
      </c>
      <c r="D342" t="s">
        <v>10837</v>
      </c>
      <c r="E342" s="17">
        <v>0.45</v>
      </c>
      <c r="F342" s="17">
        <v>0.05</v>
      </c>
      <c r="G342" s="17">
        <v>0.05</v>
      </c>
      <c r="H342" s="17">
        <v>0.55000000000000004</v>
      </c>
      <c r="I342" t="s">
        <v>75</v>
      </c>
      <c r="J342" t="s">
        <v>10867</v>
      </c>
    </row>
    <row r="343" spans="1:10">
      <c r="A343" t="s">
        <v>10868</v>
      </c>
      <c r="B343" s="322" t="s">
        <v>122</v>
      </c>
      <c r="C343" s="322" t="s">
        <v>10869</v>
      </c>
      <c r="D343" t="s">
        <v>10837</v>
      </c>
      <c r="E343" s="17">
        <v>0.45</v>
      </c>
      <c r="F343" s="17">
        <v>0.05</v>
      </c>
      <c r="G343" s="17">
        <v>0.05</v>
      </c>
      <c r="H343" s="17">
        <v>0.55000000000000004</v>
      </c>
      <c r="I343" t="s">
        <v>75</v>
      </c>
      <c r="J343" t="s">
        <v>10870</v>
      </c>
    </row>
    <row r="344" spans="1:10">
      <c r="A344" t="s">
        <v>10871</v>
      </c>
      <c r="B344" s="322" t="s">
        <v>3112</v>
      </c>
      <c r="C344" s="322" t="s">
        <v>4077</v>
      </c>
      <c r="D344" t="s">
        <v>10872</v>
      </c>
      <c r="E344" s="17">
        <v>0.45</v>
      </c>
      <c r="F344" s="17">
        <v>0.05</v>
      </c>
      <c r="G344" s="17">
        <v>0.05</v>
      </c>
      <c r="H344" s="17">
        <v>0.55000000000000004</v>
      </c>
      <c r="I344" t="s">
        <v>75</v>
      </c>
      <c r="J344" t="s">
        <v>10873</v>
      </c>
    </row>
    <row r="345" spans="1:10">
      <c r="A345" t="s">
        <v>10874</v>
      </c>
      <c r="B345" s="322" t="s">
        <v>3112</v>
      </c>
      <c r="C345" s="322" t="s">
        <v>10875</v>
      </c>
      <c r="D345" t="s">
        <v>10876</v>
      </c>
      <c r="E345" s="17">
        <v>0.45</v>
      </c>
      <c r="F345" s="17">
        <v>0.05</v>
      </c>
      <c r="G345" s="17">
        <v>0.05</v>
      </c>
      <c r="H345" s="17">
        <v>0.55000000000000004</v>
      </c>
      <c r="I345" t="s">
        <v>75</v>
      </c>
      <c r="J345" t="s">
        <v>10877</v>
      </c>
    </row>
    <row r="346" spans="1:10">
      <c r="A346" t="s">
        <v>10878</v>
      </c>
      <c r="B346" s="322" t="s">
        <v>3112</v>
      </c>
      <c r="C346" s="322" t="s">
        <v>10879</v>
      </c>
      <c r="D346" t="s">
        <v>10880</v>
      </c>
      <c r="E346" s="17">
        <v>0.45</v>
      </c>
      <c r="F346" s="17">
        <v>0.05</v>
      </c>
      <c r="G346" s="17">
        <v>0.05</v>
      </c>
      <c r="H346" s="17">
        <v>0.55000000000000004</v>
      </c>
      <c r="I346" t="s">
        <v>75</v>
      </c>
      <c r="J346" t="s">
        <v>10881</v>
      </c>
    </row>
    <row r="347" spans="1:10">
      <c r="A347" t="s">
        <v>10882</v>
      </c>
      <c r="B347" s="322" t="s">
        <v>3112</v>
      </c>
      <c r="C347" s="322" t="s">
        <v>10883</v>
      </c>
      <c r="D347" t="s">
        <v>10884</v>
      </c>
      <c r="E347" s="17">
        <v>0.45</v>
      </c>
      <c r="F347" s="17">
        <v>0.05</v>
      </c>
      <c r="G347" s="17">
        <v>0.05</v>
      </c>
      <c r="H347" s="17">
        <v>0.55000000000000004</v>
      </c>
      <c r="I347" t="s">
        <v>75</v>
      </c>
      <c r="J347" t="s">
        <v>10885</v>
      </c>
    </row>
    <row r="348" spans="1:10">
      <c r="A348" t="s">
        <v>10886</v>
      </c>
      <c r="B348" s="322" t="s">
        <v>3112</v>
      </c>
      <c r="C348" s="322" t="s">
        <v>10887</v>
      </c>
      <c r="D348" t="s">
        <v>10888</v>
      </c>
      <c r="E348" s="17">
        <v>0.45</v>
      </c>
      <c r="F348" s="17">
        <v>0.05</v>
      </c>
      <c r="G348" s="17">
        <v>0.05</v>
      </c>
      <c r="H348" s="17">
        <v>0.55000000000000004</v>
      </c>
      <c r="I348" t="s">
        <v>75</v>
      </c>
      <c r="J348" t="s">
        <v>10889</v>
      </c>
    </row>
    <row r="349" spans="1:10">
      <c r="A349" t="s">
        <v>10890</v>
      </c>
      <c r="B349" s="322" t="s">
        <v>3112</v>
      </c>
      <c r="C349" s="322" t="s">
        <v>10891</v>
      </c>
      <c r="D349" t="s">
        <v>10892</v>
      </c>
      <c r="E349" s="17">
        <v>0.45</v>
      </c>
      <c r="F349" s="17">
        <v>0.05</v>
      </c>
      <c r="G349" s="17">
        <v>0.05</v>
      </c>
      <c r="H349" s="17">
        <v>0.55000000000000004</v>
      </c>
      <c r="I349" t="s">
        <v>75</v>
      </c>
      <c r="J349" t="s">
        <v>10893</v>
      </c>
    </row>
    <row r="350" spans="1:10">
      <c r="A350" t="s">
        <v>10894</v>
      </c>
      <c r="B350" s="322" t="s">
        <v>3112</v>
      </c>
      <c r="C350" s="322" t="s">
        <v>10503</v>
      </c>
      <c r="D350" t="s">
        <v>10895</v>
      </c>
      <c r="E350" s="17">
        <v>0.5</v>
      </c>
      <c r="F350" s="17">
        <v>0.05</v>
      </c>
      <c r="G350" s="17">
        <v>0.05</v>
      </c>
      <c r="H350" s="17">
        <v>0.6</v>
      </c>
      <c r="I350" t="s">
        <v>75</v>
      </c>
      <c r="J350" t="s">
        <v>10896</v>
      </c>
    </row>
    <row r="351" spans="1:10">
      <c r="A351" t="s">
        <v>10897</v>
      </c>
      <c r="B351" s="322" t="s">
        <v>3112</v>
      </c>
      <c r="C351" s="322" t="s">
        <v>10507</v>
      </c>
      <c r="D351" t="s">
        <v>10898</v>
      </c>
      <c r="E351" s="17">
        <v>0.5</v>
      </c>
      <c r="F351" s="17">
        <v>0.05</v>
      </c>
      <c r="G351" s="17">
        <v>0.05</v>
      </c>
      <c r="H351" s="17">
        <v>0.6</v>
      </c>
      <c r="I351" t="s">
        <v>75</v>
      </c>
      <c r="J351" t="s">
        <v>10899</v>
      </c>
    </row>
    <row r="352" spans="1:10">
      <c r="A352" t="s">
        <v>10900</v>
      </c>
      <c r="B352" s="322" t="s">
        <v>3112</v>
      </c>
      <c r="C352" s="322" t="s">
        <v>10511</v>
      </c>
      <c r="D352" t="s">
        <v>10898</v>
      </c>
      <c r="E352" s="17">
        <v>0.5</v>
      </c>
      <c r="F352" s="17">
        <v>0.05</v>
      </c>
      <c r="G352" s="17">
        <v>0.05</v>
      </c>
      <c r="H352" s="17">
        <v>0.6</v>
      </c>
      <c r="I352" t="s">
        <v>75</v>
      </c>
      <c r="J352" t="s">
        <v>10901</v>
      </c>
    </row>
    <row r="353" spans="1:10">
      <c r="A353" t="s">
        <v>10902</v>
      </c>
      <c r="B353" s="322" t="s">
        <v>3112</v>
      </c>
      <c r="C353" s="322" t="s">
        <v>10514</v>
      </c>
      <c r="D353" t="s">
        <v>10898</v>
      </c>
      <c r="E353" s="17">
        <v>0.5</v>
      </c>
      <c r="F353" s="17">
        <v>0.05</v>
      </c>
      <c r="G353" s="17">
        <v>0.05</v>
      </c>
      <c r="H353" s="17">
        <v>0.6</v>
      </c>
      <c r="I353" t="s">
        <v>75</v>
      </c>
      <c r="J353" t="s">
        <v>10903</v>
      </c>
    </row>
    <row r="354" spans="1:10">
      <c r="A354" t="s">
        <v>10904</v>
      </c>
      <c r="B354" s="322" t="s">
        <v>3112</v>
      </c>
      <c r="C354" s="322" t="s">
        <v>10517</v>
      </c>
      <c r="D354" t="s">
        <v>10898</v>
      </c>
      <c r="E354" s="17">
        <v>0.5</v>
      </c>
      <c r="F354" s="17">
        <v>0.05</v>
      </c>
      <c r="G354" s="17">
        <v>0.05</v>
      </c>
      <c r="H354" s="17">
        <v>0.6</v>
      </c>
      <c r="I354" t="s">
        <v>75</v>
      </c>
      <c r="J354" t="s">
        <v>10905</v>
      </c>
    </row>
    <row r="355" spans="1:10">
      <c r="A355" t="s">
        <v>10906</v>
      </c>
      <c r="B355" s="322" t="s">
        <v>3112</v>
      </c>
      <c r="C355" s="322" t="s">
        <v>10520</v>
      </c>
      <c r="D355" t="s">
        <v>10898</v>
      </c>
      <c r="E355" s="17">
        <v>0.5</v>
      </c>
      <c r="F355" s="17">
        <v>0.05</v>
      </c>
      <c r="G355" s="17">
        <v>0.05</v>
      </c>
      <c r="H355" s="17">
        <v>0.6</v>
      </c>
      <c r="I355" t="s">
        <v>75</v>
      </c>
      <c r="J355" t="s">
        <v>10907</v>
      </c>
    </row>
    <row r="356" spans="1:10">
      <c r="A356" t="s">
        <v>10908</v>
      </c>
      <c r="B356" s="322" t="s">
        <v>3112</v>
      </c>
      <c r="C356" s="322" t="s">
        <v>10909</v>
      </c>
      <c r="D356" t="s">
        <v>10910</v>
      </c>
      <c r="E356" s="17">
        <v>0.5</v>
      </c>
      <c r="F356" s="17">
        <v>0.05</v>
      </c>
      <c r="G356" s="17">
        <v>0.05</v>
      </c>
      <c r="H356" s="17">
        <v>0.6</v>
      </c>
      <c r="I356" t="s">
        <v>75</v>
      </c>
      <c r="J356" t="s">
        <v>10911</v>
      </c>
    </row>
    <row r="357" spans="1:10">
      <c r="A357" t="s">
        <v>3013</v>
      </c>
      <c r="B357" s="322" t="s">
        <v>3112</v>
      </c>
      <c r="C357" s="322" t="s">
        <v>3113</v>
      </c>
      <c r="D357" t="s">
        <v>10912</v>
      </c>
      <c r="E357" s="17">
        <v>0.5</v>
      </c>
      <c r="F357" s="17">
        <v>0.05</v>
      </c>
      <c r="G357" s="17">
        <v>0.05</v>
      </c>
      <c r="H357" s="17">
        <v>0.6</v>
      </c>
      <c r="I357" t="s">
        <v>75</v>
      </c>
      <c r="J357" t="s">
        <v>10913</v>
      </c>
    </row>
    <row r="358" spans="1:10">
      <c r="A358" t="s">
        <v>10914</v>
      </c>
      <c r="B358" s="322" t="s">
        <v>3112</v>
      </c>
      <c r="C358" s="322" t="s">
        <v>10915</v>
      </c>
      <c r="D358" t="s">
        <v>10916</v>
      </c>
      <c r="E358" s="17">
        <v>0.5</v>
      </c>
      <c r="F358" s="17">
        <v>0.05</v>
      </c>
      <c r="G358" s="17">
        <v>0.05</v>
      </c>
      <c r="H358" s="17">
        <v>0.6</v>
      </c>
      <c r="I358" t="s">
        <v>75</v>
      </c>
      <c r="J358" t="s">
        <v>10917</v>
      </c>
    </row>
    <row r="359" spans="1:10">
      <c r="A359" t="s">
        <v>10918</v>
      </c>
      <c r="B359" s="322" t="s">
        <v>3112</v>
      </c>
      <c r="C359" s="322" t="s">
        <v>10919</v>
      </c>
      <c r="D359" t="s">
        <v>10916</v>
      </c>
      <c r="E359" s="17">
        <v>0.5</v>
      </c>
      <c r="F359" s="17">
        <v>0.05</v>
      </c>
      <c r="G359" s="17">
        <v>0.05</v>
      </c>
      <c r="H359" s="17">
        <v>0.6</v>
      </c>
      <c r="I359" t="s">
        <v>75</v>
      </c>
      <c r="J359" t="s">
        <v>10920</v>
      </c>
    </row>
    <row r="360" spans="1:10">
      <c r="A360" t="s">
        <v>10921</v>
      </c>
      <c r="B360" s="322" t="s">
        <v>3112</v>
      </c>
      <c r="C360" s="322" t="s">
        <v>10922</v>
      </c>
      <c r="D360" t="s">
        <v>10916</v>
      </c>
      <c r="E360" s="17">
        <v>0.5</v>
      </c>
      <c r="F360" s="17">
        <v>0.05</v>
      </c>
      <c r="G360" s="17">
        <v>0.05</v>
      </c>
      <c r="H360" s="17">
        <v>0.6</v>
      </c>
      <c r="I360" t="s">
        <v>75</v>
      </c>
      <c r="J360" t="s">
        <v>10923</v>
      </c>
    </row>
    <row r="361" spans="1:10">
      <c r="A361" t="s">
        <v>10924</v>
      </c>
      <c r="B361" s="322" t="s">
        <v>3112</v>
      </c>
      <c r="C361" s="322" t="s">
        <v>10925</v>
      </c>
      <c r="D361" t="s">
        <v>10916</v>
      </c>
      <c r="E361" s="17">
        <v>0.5</v>
      </c>
      <c r="F361" s="17">
        <v>0.05</v>
      </c>
      <c r="G361" s="17">
        <v>0.05</v>
      </c>
      <c r="H361" s="17">
        <v>0.6</v>
      </c>
      <c r="I361" t="s">
        <v>75</v>
      </c>
      <c r="J361" t="s">
        <v>10926</v>
      </c>
    </row>
    <row r="362" spans="1:10">
      <c r="A362" t="s">
        <v>10927</v>
      </c>
      <c r="B362" s="322" t="s">
        <v>3112</v>
      </c>
      <c r="C362" s="322" t="s">
        <v>10928</v>
      </c>
      <c r="D362" t="s">
        <v>10916</v>
      </c>
      <c r="E362" s="17">
        <v>0.5</v>
      </c>
      <c r="F362" s="17">
        <v>0.05</v>
      </c>
      <c r="G362" s="17">
        <v>0.05</v>
      </c>
      <c r="H362" s="17">
        <v>0.6</v>
      </c>
      <c r="I362" t="s">
        <v>75</v>
      </c>
      <c r="J362" t="s">
        <v>10929</v>
      </c>
    </row>
    <row r="363" spans="1:10">
      <c r="A363" t="s">
        <v>10930</v>
      </c>
      <c r="B363" s="322" t="s">
        <v>3112</v>
      </c>
      <c r="C363" s="322" t="s">
        <v>10931</v>
      </c>
      <c r="D363" t="s">
        <v>10932</v>
      </c>
      <c r="E363" s="17">
        <v>0.5</v>
      </c>
      <c r="F363" s="17">
        <v>0.05</v>
      </c>
      <c r="G363" s="17">
        <v>0.05</v>
      </c>
      <c r="H363" s="17">
        <v>0.6</v>
      </c>
      <c r="I363" t="s">
        <v>75</v>
      </c>
      <c r="J363" t="s">
        <v>10933</v>
      </c>
    </row>
    <row r="364" spans="1:10">
      <c r="A364" t="s">
        <v>3016</v>
      </c>
      <c r="B364" s="322" t="s">
        <v>3119</v>
      </c>
      <c r="C364" s="322" t="s">
        <v>3120</v>
      </c>
      <c r="D364" t="s">
        <v>128</v>
      </c>
      <c r="E364" s="17">
        <v>0.25</v>
      </c>
      <c r="F364" s="17">
        <v>0</v>
      </c>
      <c r="G364" s="17">
        <v>0</v>
      </c>
      <c r="H364" s="17">
        <v>0.25</v>
      </c>
      <c r="I364" t="s">
        <v>75</v>
      </c>
      <c r="J364" t="s">
        <v>3121</v>
      </c>
    </row>
    <row r="365" spans="1:10">
      <c r="A365" t="s">
        <v>10934</v>
      </c>
      <c r="B365" s="322" t="s">
        <v>10935</v>
      </c>
      <c r="C365" s="322" t="s">
        <v>3019</v>
      </c>
      <c r="D365" t="s">
        <v>10936</v>
      </c>
      <c r="E365" s="17">
        <v>0.2</v>
      </c>
      <c r="F365" s="17">
        <v>0</v>
      </c>
      <c r="G365" s="17">
        <v>0</v>
      </c>
      <c r="H365" s="17">
        <v>0.2</v>
      </c>
      <c r="I365" t="s">
        <v>75</v>
      </c>
      <c r="J365" t="s">
        <v>10937</v>
      </c>
    </row>
    <row r="366" spans="1:10">
      <c r="A366" t="s">
        <v>10938</v>
      </c>
      <c r="B366" s="322" t="s">
        <v>10935</v>
      </c>
      <c r="C366" s="322" t="s">
        <v>10320</v>
      </c>
      <c r="D366" t="s">
        <v>10939</v>
      </c>
      <c r="E366" s="17">
        <v>0.2</v>
      </c>
      <c r="F366" s="17">
        <v>0</v>
      </c>
      <c r="G366" s="17">
        <v>0</v>
      </c>
      <c r="H366" s="17">
        <v>0.2</v>
      </c>
      <c r="I366" t="s">
        <v>75</v>
      </c>
      <c r="J366" t="s">
        <v>10940</v>
      </c>
    </row>
    <row r="367" spans="1:10">
      <c r="A367" t="s">
        <v>10941</v>
      </c>
      <c r="B367" s="322" t="s">
        <v>10942</v>
      </c>
      <c r="C367" s="322" t="s">
        <v>2905</v>
      </c>
      <c r="D367" t="s">
        <v>10943</v>
      </c>
      <c r="E367" s="17">
        <v>0.55000000000000004</v>
      </c>
      <c r="F367" s="17">
        <v>0.05</v>
      </c>
      <c r="G367" s="17">
        <v>0.05</v>
      </c>
      <c r="H367" s="17">
        <v>0.65</v>
      </c>
      <c r="I367" t="s">
        <v>75</v>
      </c>
      <c r="J367" t="s">
        <v>10944</v>
      </c>
    </row>
    <row r="368" spans="1:10">
      <c r="A368" t="s">
        <v>10945</v>
      </c>
      <c r="B368" s="322" t="s">
        <v>10942</v>
      </c>
      <c r="C368" s="322" t="s">
        <v>2909</v>
      </c>
      <c r="D368" t="s">
        <v>10946</v>
      </c>
      <c r="E368" s="17">
        <v>0.55000000000000004</v>
      </c>
      <c r="F368" s="17">
        <v>0.05</v>
      </c>
      <c r="G368" s="17">
        <v>0.05</v>
      </c>
      <c r="H368" s="17">
        <v>0.65</v>
      </c>
      <c r="I368" t="s">
        <v>75</v>
      </c>
      <c r="J368" t="s">
        <v>10947</v>
      </c>
    </row>
    <row r="369" spans="1:10">
      <c r="A369" t="s">
        <v>10948</v>
      </c>
      <c r="B369" s="322" t="s">
        <v>10949</v>
      </c>
      <c r="C369" s="322" t="s">
        <v>2909</v>
      </c>
      <c r="D369" t="s">
        <v>10950</v>
      </c>
      <c r="E369" s="17">
        <v>0.55000000000000004</v>
      </c>
      <c r="F369" s="17">
        <v>0.05</v>
      </c>
      <c r="G369" s="17">
        <v>0.05</v>
      </c>
      <c r="H369" s="17">
        <v>0.65</v>
      </c>
      <c r="I369" t="s">
        <v>75</v>
      </c>
      <c r="J369" t="s">
        <v>10951</v>
      </c>
    </row>
    <row r="370" spans="1:10">
      <c r="A370" t="s">
        <v>10952</v>
      </c>
      <c r="B370" s="322" t="s">
        <v>10953</v>
      </c>
      <c r="C370" s="322" t="s">
        <v>10875</v>
      </c>
      <c r="D370" t="s">
        <v>10954</v>
      </c>
      <c r="E370" s="17">
        <v>0.55000000000000004</v>
      </c>
      <c r="F370" s="17">
        <v>0.05</v>
      </c>
      <c r="G370" s="17">
        <v>0.05</v>
      </c>
      <c r="H370" s="17">
        <v>0.65</v>
      </c>
      <c r="I370" t="s">
        <v>75</v>
      </c>
      <c r="J370" t="s">
        <v>10955</v>
      </c>
    </row>
    <row r="371" spans="1:10">
      <c r="A371" t="s">
        <v>10956</v>
      </c>
      <c r="B371" s="322" t="s">
        <v>10953</v>
      </c>
      <c r="C371" s="322" t="s">
        <v>2909</v>
      </c>
      <c r="D371" t="s">
        <v>10957</v>
      </c>
      <c r="E371" s="17">
        <v>0.55000000000000004</v>
      </c>
      <c r="F371" s="17">
        <v>0.05</v>
      </c>
      <c r="G371" s="17">
        <v>0.05</v>
      </c>
      <c r="H371" s="17">
        <v>0.65</v>
      </c>
      <c r="I371" t="s">
        <v>75</v>
      </c>
      <c r="J371" t="s">
        <v>10958</v>
      </c>
    </row>
    <row r="372" spans="1:10">
      <c r="A372" t="s">
        <v>8194</v>
      </c>
      <c r="B372" s="322" t="s">
        <v>10959</v>
      </c>
      <c r="C372" s="322" t="s">
        <v>10875</v>
      </c>
      <c r="D372" t="s">
        <v>10960</v>
      </c>
      <c r="E372" s="17">
        <v>0.55000000000000004</v>
      </c>
      <c r="F372" s="17">
        <v>0.05</v>
      </c>
      <c r="G372" s="17">
        <v>0.05</v>
      </c>
      <c r="H372" s="17">
        <v>0.65</v>
      </c>
      <c r="I372" t="s">
        <v>75</v>
      </c>
      <c r="J372" t="s">
        <v>10961</v>
      </c>
    </row>
    <row r="373" spans="1:10">
      <c r="A373" t="s">
        <v>10962</v>
      </c>
      <c r="B373" s="322" t="s">
        <v>10959</v>
      </c>
      <c r="C373" s="322" t="s">
        <v>2905</v>
      </c>
      <c r="D373" t="s">
        <v>10963</v>
      </c>
      <c r="E373" s="17">
        <v>0.5</v>
      </c>
      <c r="F373" s="17">
        <v>0.05</v>
      </c>
      <c r="G373" s="17">
        <v>0.05</v>
      </c>
      <c r="H373" s="17">
        <v>0.6</v>
      </c>
      <c r="I373" t="s">
        <v>75</v>
      </c>
      <c r="J373" t="s">
        <v>10964</v>
      </c>
    </row>
    <row r="374" spans="1:10">
      <c r="A374" t="s">
        <v>8195</v>
      </c>
      <c r="B374" s="322" t="s">
        <v>10959</v>
      </c>
      <c r="C374" s="322" t="s">
        <v>2909</v>
      </c>
      <c r="D374" t="s">
        <v>10965</v>
      </c>
      <c r="E374" s="17">
        <v>0.55000000000000004</v>
      </c>
      <c r="F374" s="17">
        <v>0.05</v>
      </c>
      <c r="G374" s="17">
        <v>0.05</v>
      </c>
      <c r="H374" s="17">
        <v>0.65</v>
      </c>
      <c r="I374" t="s">
        <v>75</v>
      </c>
      <c r="J374" t="s">
        <v>10966</v>
      </c>
    </row>
    <row r="375" spans="1:10">
      <c r="A375" t="s">
        <v>44</v>
      </c>
      <c r="B375" s="322" t="s">
        <v>3203</v>
      </c>
      <c r="C375" s="322" t="s">
        <v>45</v>
      </c>
      <c r="D375" t="s">
        <v>48</v>
      </c>
      <c r="E375" s="17">
        <v>0.37</v>
      </c>
      <c r="F375" s="17">
        <v>0</v>
      </c>
      <c r="G375" s="17">
        <v>0.1</v>
      </c>
      <c r="H375" s="17">
        <v>0.47</v>
      </c>
      <c r="I375" t="s">
        <v>41</v>
      </c>
      <c r="J375" t="s">
        <v>2305</v>
      </c>
    </row>
    <row r="376" spans="1:10">
      <c r="A376" t="s">
        <v>46</v>
      </c>
      <c r="B376" s="322" t="s">
        <v>3203</v>
      </c>
      <c r="C376" s="322" t="s">
        <v>47</v>
      </c>
      <c r="D376" t="s">
        <v>48</v>
      </c>
      <c r="E376" s="17">
        <v>0.37</v>
      </c>
      <c r="F376" s="17">
        <v>0</v>
      </c>
      <c r="G376" s="17">
        <v>0.1</v>
      </c>
      <c r="H376" s="17">
        <v>0.47</v>
      </c>
      <c r="I376" t="s">
        <v>41</v>
      </c>
      <c r="J376" t="s">
        <v>2288</v>
      </c>
    </row>
    <row r="377" spans="1:10">
      <c r="A377" t="s">
        <v>2441</v>
      </c>
      <c r="B377" s="322" t="s">
        <v>3203</v>
      </c>
      <c r="C377" s="322" t="s">
        <v>2414</v>
      </c>
      <c r="D377" t="s">
        <v>2413</v>
      </c>
      <c r="E377" s="17">
        <v>0.37</v>
      </c>
      <c r="F377" s="17">
        <v>0</v>
      </c>
      <c r="G377" s="17">
        <v>0.1</v>
      </c>
      <c r="H377" s="17">
        <v>0.47</v>
      </c>
      <c r="I377" t="s">
        <v>41</v>
      </c>
      <c r="J377" t="s">
        <v>2457</v>
      </c>
    </row>
    <row r="378" spans="1:10">
      <c r="A378" t="s">
        <v>49</v>
      </c>
      <c r="B378" s="322" t="s">
        <v>3204</v>
      </c>
      <c r="C378" s="322" t="s">
        <v>50</v>
      </c>
      <c r="D378" t="s">
        <v>51</v>
      </c>
      <c r="E378" s="17">
        <v>0.37</v>
      </c>
      <c r="F378" s="17">
        <v>0</v>
      </c>
      <c r="G378" s="17">
        <v>0.1</v>
      </c>
      <c r="H378" s="17">
        <v>0.47</v>
      </c>
      <c r="I378" t="s">
        <v>41</v>
      </c>
      <c r="J378" t="s">
        <v>2306</v>
      </c>
    </row>
    <row r="379" spans="1:10">
      <c r="A379" t="s">
        <v>2008</v>
      </c>
      <c r="B379" s="322" t="s">
        <v>3204</v>
      </c>
      <c r="C379" s="322" t="s">
        <v>1999</v>
      </c>
      <c r="D379" t="s">
        <v>51</v>
      </c>
      <c r="E379" s="17">
        <v>0.37</v>
      </c>
      <c r="F379" s="17">
        <v>0</v>
      </c>
      <c r="G379" s="17">
        <v>0.1</v>
      </c>
      <c r="H379" s="17">
        <v>0.47</v>
      </c>
      <c r="I379" t="s">
        <v>41</v>
      </c>
      <c r="J379" t="s">
        <v>9943</v>
      </c>
    </row>
    <row r="380" spans="1:10">
      <c r="A380" t="s">
        <v>2442</v>
      </c>
      <c r="B380" s="322" t="s">
        <v>3204</v>
      </c>
      <c r="C380" s="322" t="s">
        <v>2416</v>
      </c>
      <c r="D380" t="s">
        <v>2415</v>
      </c>
      <c r="E380" s="17">
        <v>0.37</v>
      </c>
      <c r="F380" s="17">
        <v>0</v>
      </c>
      <c r="G380" s="17">
        <v>0.1</v>
      </c>
      <c r="H380" s="17">
        <v>0.47</v>
      </c>
      <c r="I380" t="s">
        <v>41</v>
      </c>
      <c r="J380" t="s">
        <v>3205</v>
      </c>
    </row>
    <row r="381" spans="1:10">
      <c r="A381" t="s">
        <v>55</v>
      </c>
      <c r="B381" s="322" t="s">
        <v>3206</v>
      </c>
      <c r="C381" s="322" t="s">
        <v>56</v>
      </c>
      <c r="D381" t="s">
        <v>57</v>
      </c>
      <c r="E381" s="17">
        <v>0.37</v>
      </c>
      <c r="F381" s="17">
        <v>0</v>
      </c>
      <c r="G381" s="17">
        <v>0.1</v>
      </c>
      <c r="H381" s="17">
        <v>0.47</v>
      </c>
      <c r="I381" t="s">
        <v>41</v>
      </c>
      <c r="J381" t="s">
        <v>2304</v>
      </c>
    </row>
    <row r="382" spans="1:10">
      <c r="A382" t="s">
        <v>2443</v>
      </c>
      <c r="B382" s="322" t="s">
        <v>3206</v>
      </c>
      <c r="C382" s="322" t="s">
        <v>2418</v>
      </c>
      <c r="D382" t="s">
        <v>2417</v>
      </c>
      <c r="E382" s="17">
        <v>0.37</v>
      </c>
      <c r="F382" s="17">
        <v>0</v>
      </c>
      <c r="G382" s="17">
        <v>0.1</v>
      </c>
      <c r="H382" s="17">
        <v>0.47</v>
      </c>
      <c r="I382" t="s">
        <v>41</v>
      </c>
      <c r="J382" t="s">
        <v>2456</v>
      </c>
    </row>
    <row r="383" spans="1:10">
      <c r="A383" t="s">
        <v>52</v>
      </c>
      <c r="B383" s="322" t="s">
        <v>3206</v>
      </c>
      <c r="C383" s="322" t="s">
        <v>53</v>
      </c>
      <c r="D383" t="s">
        <v>54</v>
      </c>
      <c r="E383" s="17">
        <v>0.37</v>
      </c>
      <c r="F383" s="17">
        <v>0</v>
      </c>
      <c r="G383" s="17">
        <v>0.1</v>
      </c>
      <c r="H383" s="17">
        <v>0.47</v>
      </c>
      <c r="I383" t="s">
        <v>41</v>
      </c>
      <c r="J383" t="s">
        <v>2307</v>
      </c>
    </row>
    <row r="384" spans="1:10">
      <c r="A384" t="s">
        <v>58</v>
      </c>
      <c r="B384" s="322" t="s">
        <v>3206</v>
      </c>
      <c r="C384" s="322" t="s">
        <v>59</v>
      </c>
      <c r="D384" t="s">
        <v>2511</v>
      </c>
      <c r="E384" s="17">
        <v>0.37</v>
      </c>
      <c r="F384" s="17">
        <v>0</v>
      </c>
      <c r="G384" s="17">
        <v>0.1</v>
      </c>
      <c r="H384" s="17">
        <v>0.47</v>
      </c>
      <c r="I384" t="s">
        <v>41</v>
      </c>
      <c r="J384" t="s">
        <v>2301</v>
      </c>
    </row>
    <row r="385" spans="1:10">
      <c r="A385" t="s">
        <v>2444</v>
      </c>
      <c r="B385" s="322" t="s">
        <v>3206</v>
      </c>
      <c r="C385" s="322" t="s">
        <v>2420</v>
      </c>
      <c r="D385" t="s">
        <v>2419</v>
      </c>
      <c r="E385" s="17">
        <v>0.37</v>
      </c>
      <c r="F385" s="17">
        <v>0</v>
      </c>
      <c r="G385" s="17">
        <v>0.1</v>
      </c>
      <c r="H385" s="17">
        <v>0.47</v>
      </c>
      <c r="I385" t="s">
        <v>41</v>
      </c>
      <c r="J385" t="s">
        <v>2512</v>
      </c>
    </row>
    <row r="386" spans="1:10">
      <c r="A386" t="s">
        <v>2445</v>
      </c>
      <c r="B386" s="322" t="s">
        <v>3208</v>
      </c>
      <c r="C386" s="322" t="s">
        <v>2422</v>
      </c>
      <c r="D386" t="s">
        <v>2421</v>
      </c>
      <c r="E386" s="17">
        <v>0.32</v>
      </c>
      <c r="F386" s="17">
        <v>0</v>
      </c>
      <c r="G386" s="17">
        <v>0.05</v>
      </c>
      <c r="H386" s="17">
        <v>0.37</v>
      </c>
      <c r="I386" t="s">
        <v>41</v>
      </c>
      <c r="J386" t="s">
        <v>3212</v>
      </c>
    </row>
    <row r="387" spans="1:10">
      <c r="A387" t="s">
        <v>2446</v>
      </c>
      <c r="B387" s="322" t="s">
        <v>3208</v>
      </c>
      <c r="C387" s="322" t="s">
        <v>2424</v>
      </c>
      <c r="D387" t="s">
        <v>2423</v>
      </c>
      <c r="E387" s="17">
        <v>0.32</v>
      </c>
      <c r="F387" s="17">
        <v>0</v>
      </c>
      <c r="G387" s="17">
        <v>0.05</v>
      </c>
      <c r="H387" s="17">
        <v>0.37</v>
      </c>
      <c r="I387" t="s">
        <v>41</v>
      </c>
      <c r="J387" t="s">
        <v>3217</v>
      </c>
    </row>
    <row r="388" spans="1:10">
      <c r="A388" t="s">
        <v>2447</v>
      </c>
      <c r="B388" s="322" t="s">
        <v>3208</v>
      </c>
      <c r="C388" s="322" t="s">
        <v>2426</v>
      </c>
      <c r="D388" t="s">
        <v>2425</v>
      </c>
      <c r="E388" s="17">
        <v>0.32</v>
      </c>
      <c r="F388" s="17">
        <v>0</v>
      </c>
      <c r="G388" s="17">
        <v>0.05</v>
      </c>
      <c r="H388" s="17">
        <v>0.37</v>
      </c>
      <c r="I388" t="s">
        <v>41</v>
      </c>
      <c r="J388" t="s">
        <v>3222</v>
      </c>
    </row>
    <row r="389" spans="1:10">
      <c r="A389" t="s">
        <v>2448</v>
      </c>
      <c r="B389" s="322" t="s">
        <v>3208</v>
      </c>
      <c r="C389" s="322" t="s">
        <v>2428</v>
      </c>
      <c r="D389" t="s">
        <v>2427</v>
      </c>
      <c r="E389" s="17">
        <v>0.32</v>
      </c>
      <c r="F389" s="17">
        <v>0</v>
      </c>
      <c r="G389" s="17">
        <v>0.05</v>
      </c>
      <c r="H389" s="17">
        <v>0.37</v>
      </c>
      <c r="I389" t="s">
        <v>41</v>
      </c>
      <c r="J389" t="s">
        <v>3227</v>
      </c>
    </row>
    <row r="390" spans="1:10">
      <c r="A390" t="s">
        <v>169</v>
      </c>
      <c r="B390" s="322" t="s">
        <v>3236</v>
      </c>
      <c r="C390" s="322" t="s">
        <v>170</v>
      </c>
      <c r="D390" t="s">
        <v>171</v>
      </c>
      <c r="E390" s="17">
        <v>0.25</v>
      </c>
      <c r="F390" s="17">
        <v>0.08</v>
      </c>
      <c r="G390" s="17">
        <v>0.12</v>
      </c>
      <c r="H390" s="17">
        <v>0.45</v>
      </c>
      <c r="I390" t="s">
        <v>2429</v>
      </c>
      <c r="J390" t="s">
        <v>2311</v>
      </c>
    </row>
    <row r="391" spans="1:10">
      <c r="A391" t="s">
        <v>2449</v>
      </c>
      <c r="B391" s="322" t="s">
        <v>3240</v>
      </c>
      <c r="C391" s="322" t="s">
        <v>2431</v>
      </c>
      <c r="D391" t="s">
        <v>2430</v>
      </c>
      <c r="E391" s="17">
        <v>0.37</v>
      </c>
      <c r="F391" s="17">
        <v>0</v>
      </c>
      <c r="G391" s="17">
        <v>0.1</v>
      </c>
      <c r="H391" s="17">
        <v>0.47</v>
      </c>
      <c r="I391" t="s">
        <v>2429</v>
      </c>
      <c r="J391" t="s">
        <v>3241</v>
      </c>
    </row>
    <row r="392" spans="1:10">
      <c r="A392" t="s">
        <v>2450</v>
      </c>
      <c r="B392" s="322" t="s">
        <v>3242</v>
      </c>
      <c r="C392" s="322" t="s">
        <v>2433</v>
      </c>
      <c r="D392" t="s">
        <v>2432</v>
      </c>
      <c r="E392" s="17">
        <v>0.37</v>
      </c>
      <c r="F392" s="17">
        <v>0</v>
      </c>
      <c r="G392" s="17">
        <v>0.1</v>
      </c>
      <c r="H392" s="17">
        <v>0.47</v>
      </c>
      <c r="I392" t="s">
        <v>2429</v>
      </c>
      <c r="J392" t="s">
        <v>3243</v>
      </c>
    </row>
    <row r="393" spans="1:10">
      <c r="A393" t="s">
        <v>35</v>
      </c>
      <c r="B393" s="322" t="s">
        <v>3151</v>
      </c>
      <c r="C393" s="322" t="s">
        <v>36</v>
      </c>
      <c r="D393" t="s">
        <v>37</v>
      </c>
      <c r="E393" s="17">
        <v>0.2</v>
      </c>
      <c r="F393" s="17">
        <v>0.08</v>
      </c>
      <c r="G393" s="17">
        <v>0.12</v>
      </c>
      <c r="H393" s="17">
        <v>0.4</v>
      </c>
      <c r="I393" t="s">
        <v>2429</v>
      </c>
      <c r="J393" t="s">
        <v>3244</v>
      </c>
    </row>
    <row r="394" spans="1:10">
      <c r="A394" t="s">
        <v>2010</v>
      </c>
      <c r="B394" s="322" t="s">
        <v>3151</v>
      </c>
      <c r="C394" s="322" t="s">
        <v>2002</v>
      </c>
      <c r="D394" t="s">
        <v>37</v>
      </c>
      <c r="E394" s="17">
        <v>0.2</v>
      </c>
      <c r="F394" s="17">
        <v>0.08</v>
      </c>
      <c r="G394" s="17">
        <v>0.12</v>
      </c>
      <c r="H394" s="17">
        <v>0.4</v>
      </c>
      <c r="I394" t="s">
        <v>2429</v>
      </c>
      <c r="J394" t="s">
        <v>3245</v>
      </c>
    </row>
    <row r="395" spans="1:10">
      <c r="A395" t="s">
        <v>2177</v>
      </c>
      <c r="B395" s="322" t="s">
        <v>3151</v>
      </c>
      <c r="C395" s="322" t="s">
        <v>2178</v>
      </c>
      <c r="D395" t="s">
        <v>2434</v>
      </c>
      <c r="E395" s="17">
        <v>0.2</v>
      </c>
      <c r="F395" s="17">
        <v>0.08</v>
      </c>
      <c r="G395" s="17">
        <v>0.12</v>
      </c>
      <c r="H395" s="17">
        <v>0.4</v>
      </c>
      <c r="I395" t="s">
        <v>2429</v>
      </c>
      <c r="J395" t="s">
        <v>3246</v>
      </c>
    </row>
    <row r="396" spans="1:10">
      <c r="A396" t="s">
        <v>172</v>
      </c>
      <c r="B396" s="322" t="s">
        <v>3135</v>
      </c>
      <c r="C396" s="322" t="s">
        <v>173</v>
      </c>
      <c r="D396" t="s">
        <v>174</v>
      </c>
      <c r="E396" s="17">
        <v>7.0000000000000007E-2</v>
      </c>
      <c r="F396" s="17">
        <v>0.08</v>
      </c>
      <c r="G396" s="17">
        <v>0.02</v>
      </c>
      <c r="H396" s="17">
        <v>0.17</v>
      </c>
      <c r="I396" t="s">
        <v>31</v>
      </c>
      <c r="J396" t="s">
        <v>3253</v>
      </c>
    </row>
    <row r="397" spans="1:10">
      <c r="A397" t="s">
        <v>175</v>
      </c>
      <c r="B397" s="322" t="s">
        <v>3254</v>
      </c>
      <c r="C397" s="322" t="s">
        <v>176</v>
      </c>
      <c r="D397" t="s">
        <v>177</v>
      </c>
      <c r="E397" s="17">
        <v>0.1</v>
      </c>
      <c r="F397" s="17">
        <v>0.08</v>
      </c>
      <c r="G397" s="17">
        <v>0.02</v>
      </c>
      <c r="H397" s="17">
        <v>0.2</v>
      </c>
      <c r="I397" t="s">
        <v>31</v>
      </c>
      <c r="J397" t="s">
        <v>3255</v>
      </c>
    </row>
    <row r="398" spans="1:10">
      <c r="A398" t="s">
        <v>2004</v>
      </c>
      <c r="B398" s="322" t="s">
        <v>3254</v>
      </c>
      <c r="C398" s="322" t="s">
        <v>1995</v>
      </c>
      <c r="D398" t="s">
        <v>177</v>
      </c>
      <c r="E398" s="17">
        <v>0.1</v>
      </c>
      <c r="F398" s="17">
        <v>0.08</v>
      </c>
      <c r="G398" s="17">
        <v>0.02</v>
      </c>
      <c r="H398" s="17">
        <v>0.2</v>
      </c>
      <c r="I398" t="s">
        <v>31</v>
      </c>
      <c r="J398" t="s">
        <v>3256</v>
      </c>
    </row>
    <row r="399" spans="1:10">
      <c r="A399" t="s">
        <v>2179</v>
      </c>
      <c r="B399" s="322" t="s">
        <v>3254</v>
      </c>
      <c r="C399" s="322" t="s">
        <v>2180</v>
      </c>
      <c r="D399" t="s">
        <v>2435</v>
      </c>
      <c r="E399" s="17">
        <v>0.3</v>
      </c>
      <c r="F399" s="17">
        <v>0.08</v>
      </c>
      <c r="G399" s="17">
        <v>0.02</v>
      </c>
      <c r="H399" s="17">
        <v>0.4</v>
      </c>
      <c r="I399" t="s">
        <v>31</v>
      </c>
      <c r="J399" t="s">
        <v>3257</v>
      </c>
    </row>
    <row r="400" spans="1:10">
      <c r="A400" t="s">
        <v>165</v>
      </c>
      <c r="B400" s="322" t="s">
        <v>127</v>
      </c>
      <c r="C400" s="322" t="s">
        <v>166</v>
      </c>
      <c r="D400" t="s">
        <v>2437</v>
      </c>
      <c r="E400" s="17">
        <v>0.19</v>
      </c>
      <c r="F400" s="17">
        <v>0.08</v>
      </c>
      <c r="G400" s="17">
        <v>0.06</v>
      </c>
      <c r="H400" s="17">
        <v>0.33</v>
      </c>
      <c r="I400" t="s">
        <v>8480</v>
      </c>
      <c r="J400" t="s">
        <v>3260</v>
      </c>
    </row>
    <row r="401" spans="1:10">
      <c r="A401" t="s">
        <v>68</v>
      </c>
      <c r="B401" s="322" t="s">
        <v>127</v>
      </c>
      <c r="C401" s="322" t="s">
        <v>69</v>
      </c>
      <c r="D401" t="s">
        <v>2438</v>
      </c>
      <c r="E401" s="17">
        <v>0.19</v>
      </c>
      <c r="F401" s="17">
        <v>0.08</v>
      </c>
      <c r="G401" s="17">
        <v>0.06</v>
      </c>
      <c r="H401" s="17">
        <v>0.33</v>
      </c>
      <c r="I401" t="s">
        <v>8480</v>
      </c>
      <c r="J401" t="s">
        <v>3263</v>
      </c>
    </row>
    <row r="402" spans="1:10">
      <c r="A402" t="s">
        <v>64</v>
      </c>
      <c r="B402" s="322" t="s">
        <v>127</v>
      </c>
      <c r="C402" s="322" t="s">
        <v>65</v>
      </c>
      <c r="D402" t="s">
        <v>3264</v>
      </c>
      <c r="E402" s="17">
        <v>0.19</v>
      </c>
      <c r="F402" s="17">
        <v>0.08</v>
      </c>
      <c r="G402" s="17">
        <v>0.03</v>
      </c>
      <c r="H402" s="17">
        <v>0.3</v>
      </c>
      <c r="I402" t="s">
        <v>8480</v>
      </c>
      <c r="J402" t="s">
        <v>3265</v>
      </c>
    </row>
    <row r="403" spans="1:10">
      <c r="A403" t="s">
        <v>66</v>
      </c>
      <c r="B403" s="322" t="s">
        <v>127</v>
      </c>
      <c r="C403" s="322" t="s">
        <v>67</v>
      </c>
      <c r="D403" t="s">
        <v>2437</v>
      </c>
      <c r="E403" s="17">
        <v>0.24</v>
      </c>
      <c r="F403" s="17">
        <v>0.08</v>
      </c>
      <c r="G403" s="17">
        <v>0</v>
      </c>
      <c r="H403" s="17">
        <v>0.32</v>
      </c>
      <c r="I403" t="s">
        <v>8480</v>
      </c>
      <c r="J403" t="s">
        <v>3266</v>
      </c>
    </row>
    <row r="404" spans="1:10">
      <c r="A404" t="s">
        <v>3127</v>
      </c>
      <c r="B404" s="322" t="s">
        <v>3128</v>
      </c>
      <c r="C404" s="322" t="s">
        <v>3129</v>
      </c>
      <c r="D404" t="s">
        <v>3130</v>
      </c>
      <c r="E404" s="17">
        <v>0.19</v>
      </c>
      <c r="F404" s="17">
        <v>0.08</v>
      </c>
      <c r="G404" s="17">
        <v>0</v>
      </c>
      <c r="H404" s="17">
        <v>0.27</v>
      </c>
      <c r="I404" t="s">
        <v>8480</v>
      </c>
      <c r="J404" t="s">
        <v>9944</v>
      </c>
    </row>
    <row r="405" spans="1:10">
      <c r="A405" t="s">
        <v>2813</v>
      </c>
      <c r="B405" s="322" t="s">
        <v>3148</v>
      </c>
      <c r="C405" s="322" t="s">
        <v>2814</v>
      </c>
      <c r="D405" t="s">
        <v>2439</v>
      </c>
      <c r="E405" s="17">
        <v>0.19</v>
      </c>
      <c r="F405" s="17">
        <v>0.08</v>
      </c>
      <c r="G405" s="17">
        <v>0</v>
      </c>
      <c r="H405" s="17">
        <v>0.27</v>
      </c>
      <c r="I405" t="s">
        <v>8480</v>
      </c>
      <c r="J405" t="s">
        <v>5073</v>
      </c>
    </row>
    <row r="406" spans="1:10">
      <c r="A406" t="s">
        <v>9901</v>
      </c>
      <c r="B406" s="322" t="s">
        <v>3148</v>
      </c>
      <c r="C406" s="322" t="s">
        <v>9902</v>
      </c>
      <c r="D406" t="s">
        <v>2439</v>
      </c>
      <c r="E406" s="17">
        <v>0.19</v>
      </c>
      <c r="F406" s="17">
        <v>0.08</v>
      </c>
      <c r="G406" s="17">
        <v>0</v>
      </c>
      <c r="H406" s="17">
        <v>0.27</v>
      </c>
      <c r="I406" t="s">
        <v>8480</v>
      </c>
      <c r="J406" t="s">
        <v>8554</v>
      </c>
    </row>
    <row r="407" spans="1:10">
      <c r="A407" t="s">
        <v>2815</v>
      </c>
      <c r="B407" s="322" t="s">
        <v>3149</v>
      </c>
      <c r="C407" s="322" t="s">
        <v>2816</v>
      </c>
      <c r="D407" t="s">
        <v>2440</v>
      </c>
      <c r="E407" s="17">
        <v>0.19</v>
      </c>
      <c r="F407" s="17">
        <v>0.08</v>
      </c>
      <c r="G407" s="17">
        <v>0</v>
      </c>
      <c r="H407" s="17">
        <v>0.27</v>
      </c>
      <c r="I407" t="s">
        <v>8480</v>
      </c>
      <c r="J407" t="s">
        <v>5074</v>
      </c>
    </row>
    <row r="408" spans="1:10">
      <c r="A408" t="s">
        <v>2817</v>
      </c>
      <c r="B408" s="322" t="s">
        <v>2833</v>
      </c>
      <c r="C408" s="322" t="s">
        <v>2818</v>
      </c>
      <c r="D408" t="s">
        <v>9945</v>
      </c>
      <c r="E408" s="17">
        <v>0.27</v>
      </c>
      <c r="F408" s="17">
        <v>0</v>
      </c>
      <c r="G408" s="17">
        <v>0.05</v>
      </c>
      <c r="H408" s="17">
        <v>0.32</v>
      </c>
      <c r="I408" t="s">
        <v>9938</v>
      </c>
      <c r="J408" t="s">
        <v>9946</v>
      </c>
    </row>
    <row r="409" spans="1:10">
      <c r="A409" t="s">
        <v>2821</v>
      </c>
      <c r="B409" s="322" t="s">
        <v>2833</v>
      </c>
      <c r="C409" s="322" t="s">
        <v>2822</v>
      </c>
      <c r="D409" t="s">
        <v>9947</v>
      </c>
      <c r="E409" s="17">
        <v>0.37</v>
      </c>
      <c r="F409" s="17">
        <v>0</v>
      </c>
      <c r="G409" s="17">
        <v>0.05</v>
      </c>
      <c r="H409" s="17">
        <v>0.42</v>
      </c>
      <c r="I409" t="s">
        <v>9938</v>
      </c>
      <c r="J409" t="s">
        <v>9948</v>
      </c>
    </row>
    <row r="410" spans="1:10">
      <c r="A410" t="s">
        <v>3131</v>
      </c>
      <c r="B410" s="322" t="s">
        <v>2833</v>
      </c>
      <c r="C410" s="322" t="s">
        <v>3132</v>
      </c>
      <c r="D410" t="s">
        <v>3133</v>
      </c>
      <c r="E410" s="17">
        <v>0.22</v>
      </c>
      <c r="F410" s="17">
        <v>0</v>
      </c>
      <c r="G410" s="17">
        <v>0.05</v>
      </c>
      <c r="H410" s="17">
        <v>0.27</v>
      </c>
      <c r="I410" t="s">
        <v>9938</v>
      </c>
      <c r="J410" t="s">
        <v>9949</v>
      </c>
    </row>
    <row r="411" spans="1:10">
      <c r="A411" t="s">
        <v>9950</v>
      </c>
      <c r="B411" s="322" t="s">
        <v>9951</v>
      </c>
      <c r="C411" s="322" t="s">
        <v>9952</v>
      </c>
      <c r="D411" t="s">
        <v>9953</v>
      </c>
      <c r="E411" s="17">
        <v>0.27</v>
      </c>
      <c r="F411" s="17">
        <v>0</v>
      </c>
      <c r="G411" s="17">
        <v>0.05</v>
      </c>
      <c r="H411" s="17">
        <v>0.32</v>
      </c>
      <c r="I411" t="s">
        <v>9937</v>
      </c>
      <c r="J411" t="s">
        <v>9954</v>
      </c>
    </row>
    <row r="412" spans="1:10">
      <c r="A412" t="s">
        <v>9955</v>
      </c>
      <c r="B412" s="322" t="s">
        <v>9956</v>
      </c>
      <c r="C412" s="322" t="s">
        <v>9957</v>
      </c>
      <c r="D412" t="s">
        <v>9958</v>
      </c>
      <c r="E412" s="17">
        <v>0.27</v>
      </c>
      <c r="F412" s="17">
        <v>0</v>
      </c>
      <c r="G412" s="17">
        <v>0.05</v>
      </c>
      <c r="H412" s="17">
        <v>0.32</v>
      </c>
      <c r="I412" t="s">
        <v>9937</v>
      </c>
      <c r="J412" t="s">
        <v>9959</v>
      </c>
    </row>
    <row r="413" spans="1:10">
      <c r="A413" t="s">
        <v>2824</v>
      </c>
      <c r="B413" s="322" t="s">
        <v>2837</v>
      </c>
      <c r="C413" s="322" t="s">
        <v>2825</v>
      </c>
      <c r="D413" t="s">
        <v>9960</v>
      </c>
      <c r="E413" s="17">
        <v>0.27</v>
      </c>
      <c r="F413" s="17">
        <v>0</v>
      </c>
      <c r="G413" s="17">
        <v>0.1</v>
      </c>
      <c r="H413" s="17">
        <v>0.37</v>
      </c>
      <c r="I413" t="s">
        <v>9939</v>
      </c>
      <c r="J413" t="s">
        <v>9961</v>
      </c>
    </row>
    <row r="414" spans="1:10">
      <c r="A414" t="s">
        <v>2827</v>
      </c>
      <c r="B414" s="322" t="s">
        <v>2836</v>
      </c>
      <c r="C414" s="322" t="s">
        <v>2828</v>
      </c>
      <c r="D414" t="s">
        <v>9962</v>
      </c>
      <c r="E414" s="17">
        <v>0.27</v>
      </c>
      <c r="F414" s="17">
        <v>0</v>
      </c>
      <c r="G414" s="17">
        <v>0.1</v>
      </c>
      <c r="H414" s="17">
        <v>0.37</v>
      </c>
      <c r="I414" t="s">
        <v>9939</v>
      </c>
      <c r="J414" t="s">
        <v>9963</v>
      </c>
    </row>
    <row r="415" spans="1:10">
      <c r="A415" t="s">
        <v>2830</v>
      </c>
      <c r="B415" s="322" t="s">
        <v>2837</v>
      </c>
      <c r="C415" s="322" t="s">
        <v>2831</v>
      </c>
      <c r="D415" t="s">
        <v>9964</v>
      </c>
      <c r="E415" s="17">
        <v>0.27</v>
      </c>
      <c r="F415" s="17">
        <v>0</v>
      </c>
      <c r="G415" s="17">
        <v>0.05</v>
      </c>
      <c r="H415" s="17">
        <v>0.32</v>
      </c>
      <c r="I415" t="s">
        <v>9939</v>
      </c>
      <c r="J415" t="s">
        <v>9965</v>
      </c>
    </row>
    <row r="416" spans="1:10">
      <c r="A416" t="s">
        <v>9966</v>
      </c>
      <c r="B416" s="322" t="s">
        <v>3240</v>
      </c>
      <c r="C416" s="322" t="s">
        <v>9967</v>
      </c>
      <c r="D416" t="s">
        <v>9968</v>
      </c>
      <c r="E416" s="17">
        <v>0.27</v>
      </c>
      <c r="F416" s="17">
        <v>0</v>
      </c>
      <c r="G416" s="17">
        <v>0.05</v>
      </c>
      <c r="H416" s="17">
        <v>0.32</v>
      </c>
      <c r="I416" t="s">
        <v>9940</v>
      </c>
      <c r="J416" t="s">
        <v>9969</v>
      </c>
    </row>
    <row r="417" spans="1:10">
      <c r="A417" t="s">
        <v>3134</v>
      </c>
      <c r="B417" s="322" t="s">
        <v>3135</v>
      </c>
      <c r="C417" s="322" t="s">
        <v>3136</v>
      </c>
      <c r="D417" t="s">
        <v>3139</v>
      </c>
      <c r="E417" s="17">
        <v>0.27</v>
      </c>
      <c r="F417" s="17">
        <v>0.08</v>
      </c>
      <c r="G417" s="17">
        <v>0.02</v>
      </c>
      <c r="H417" s="17">
        <v>0.37</v>
      </c>
      <c r="I417" t="s">
        <v>9940</v>
      </c>
      <c r="J417" t="s">
        <v>9970</v>
      </c>
    </row>
    <row r="418" spans="1:10">
      <c r="A418" t="s">
        <v>3137</v>
      </c>
      <c r="B418" s="322" t="s">
        <v>3135</v>
      </c>
      <c r="C418" s="322" t="s">
        <v>3138</v>
      </c>
      <c r="D418" t="s">
        <v>3140</v>
      </c>
      <c r="E418" s="17">
        <v>0.27</v>
      </c>
      <c r="F418" s="17">
        <v>0.08</v>
      </c>
      <c r="G418" s="17">
        <v>0.02</v>
      </c>
      <c r="H418" s="17">
        <v>0.37</v>
      </c>
      <c r="I418" t="s">
        <v>3141</v>
      </c>
      <c r="J418" t="s">
        <v>9971</v>
      </c>
    </row>
    <row r="419" spans="1:10">
      <c r="A419" t="s">
        <v>2500</v>
      </c>
      <c r="B419" s="322" t="s">
        <v>2568</v>
      </c>
      <c r="C419" s="322" t="s">
        <v>2882</v>
      </c>
      <c r="D419" t="s">
        <v>2437</v>
      </c>
      <c r="E419" s="17">
        <v>7.0000000000000007E-2</v>
      </c>
      <c r="F419" s="17">
        <v>0</v>
      </c>
      <c r="G419" s="17">
        <v>0.05</v>
      </c>
      <c r="H419" s="17">
        <v>0.12</v>
      </c>
      <c r="I419" t="s">
        <v>9941</v>
      </c>
      <c r="J419" t="s">
        <v>9972</v>
      </c>
    </row>
    <row r="420" spans="1:10">
      <c r="A420" t="s">
        <v>2505</v>
      </c>
      <c r="B420" s="322" t="s">
        <v>2567</v>
      </c>
      <c r="C420" s="322" t="s">
        <v>2888</v>
      </c>
      <c r="D420" t="s">
        <v>9973</v>
      </c>
      <c r="E420" s="17">
        <v>7.0000000000000007E-2</v>
      </c>
      <c r="F420" s="17">
        <v>0</v>
      </c>
      <c r="G420" s="17">
        <v>0.05</v>
      </c>
      <c r="H420" s="17">
        <v>0.12</v>
      </c>
      <c r="I420" t="s">
        <v>9941</v>
      </c>
      <c r="J420" t="s">
        <v>9974</v>
      </c>
    </row>
    <row r="421" spans="1:10">
      <c r="A421" t="s">
        <v>2502</v>
      </c>
      <c r="B421" s="322" t="s">
        <v>2569</v>
      </c>
      <c r="C421" s="322" t="s">
        <v>2501</v>
      </c>
      <c r="D421" t="s">
        <v>9975</v>
      </c>
      <c r="E421" s="17">
        <v>0.27</v>
      </c>
      <c r="F421" s="17">
        <v>0</v>
      </c>
      <c r="G421" s="17">
        <v>0.1</v>
      </c>
      <c r="H421" s="17">
        <v>0.37</v>
      </c>
      <c r="I421" t="s">
        <v>9941</v>
      </c>
      <c r="J421" t="s">
        <v>9976</v>
      </c>
    </row>
    <row r="422" spans="1:10">
      <c r="A422" t="s">
        <v>2509</v>
      </c>
      <c r="B422" s="322" t="s">
        <v>2571</v>
      </c>
      <c r="C422" s="322" t="s">
        <v>2877</v>
      </c>
      <c r="D422" t="s">
        <v>9977</v>
      </c>
      <c r="E422" s="17">
        <v>0.27</v>
      </c>
      <c r="F422" s="17">
        <v>0</v>
      </c>
      <c r="G422" s="17">
        <v>0.1</v>
      </c>
      <c r="H422" s="17">
        <v>0.37</v>
      </c>
      <c r="I422" t="s">
        <v>9941</v>
      </c>
      <c r="J422" t="s">
        <v>9978</v>
      </c>
    </row>
    <row r="423" spans="1:10">
      <c r="A423" t="s">
        <v>2879</v>
      </c>
      <c r="B423" s="322" t="s">
        <v>2571</v>
      </c>
      <c r="C423" s="322" t="s">
        <v>2880</v>
      </c>
      <c r="D423" t="s">
        <v>9979</v>
      </c>
      <c r="E423" s="17">
        <v>0.27</v>
      </c>
      <c r="F423" s="17">
        <v>0</v>
      </c>
      <c r="G423" s="17">
        <v>0.1</v>
      </c>
      <c r="H423" s="17">
        <v>0.37</v>
      </c>
      <c r="I423" t="s">
        <v>9941</v>
      </c>
      <c r="J423" t="s">
        <v>9980</v>
      </c>
    </row>
    <row r="424" spans="1:10">
      <c r="A424" t="s">
        <v>4820</v>
      </c>
      <c r="B424" s="322" t="s">
        <v>2884</v>
      </c>
      <c r="C424" s="322" t="s">
        <v>2885</v>
      </c>
      <c r="D424" t="s">
        <v>9981</v>
      </c>
      <c r="E424" s="17">
        <v>0.27</v>
      </c>
      <c r="F424" s="17">
        <v>0</v>
      </c>
      <c r="G424" s="17">
        <v>0.1</v>
      </c>
      <c r="H424" s="17">
        <v>0.37</v>
      </c>
      <c r="I424" t="s">
        <v>9941</v>
      </c>
      <c r="J424" t="s">
        <v>9982</v>
      </c>
    </row>
    <row r="425" spans="1:10">
      <c r="A425" t="s">
        <v>9983</v>
      </c>
      <c r="B425" s="322" t="s">
        <v>9984</v>
      </c>
      <c r="C425" s="322" t="s">
        <v>2501</v>
      </c>
      <c r="D425" t="s">
        <v>9985</v>
      </c>
      <c r="E425" s="17">
        <v>0.17</v>
      </c>
      <c r="F425" s="17">
        <v>0</v>
      </c>
      <c r="G425" s="17">
        <v>0.05</v>
      </c>
      <c r="H425" s="17">
        <v>0.22</v>
      </c>
      <c r="I425" t="s">
        <v>9942</v>
      </c>
      <c r="J425" t="s">
        <v>9986</v>
      </c>
    </row>
    <row r="426" spans="1:10">
      <c r="A426" t="s">
        <v>9987</v>
      </c>
      <c r="B426" s="322" t="s">
        <v>9988</v>
      </c>
      <c r="C426" s="322" t="s">
        <v>9989</v>
      </c>
      <c r="D426" t="s">
        <v>9990</v>
      </c>
      <c r="E426" s="17">
        <v>0.17</v>
      </c>
      <c r="F426" s="17">
        <v>0</v>
      </c>
      <c r="G426" s="17">
        <v>0.05</v>
      </c>
      <c r="H426" s="17">
        <v>0.22</v>
      </c>
      <c r="I426" t="s">
        <v>9942</v>
      </c>
      <c r="J426" t="s">
        <v>9991</v>
      </c>
    </row>
    <row r="427" spans="1:10">
      <c r="A427" t="s">
        <v>9992</v>
      </c>
      <c r="B427" s="322" t="s">
        <v>9993</v>
      </c>
      <c r="C427" s="322" t="s">
        <v>9994</v>
      </c>
      <c r="D427" t="s">
        <v>9995</v>
      </c>
      <c r="E427" s="17">
        <v>0.17</v>
      </c>
      <c r="F427" s="17">
        <v>0</v>
      </c>
      <c r="G427" s="17">
        <v>0.05</v>
      </c>
      <c r="H427" s="17">
        <v>0.22</v>
      </c>
      <c r="I427" t="s">
        <v>9942</v>
      </c>
      <c r="J427" t="s">
        <v>9996</v>
      </c>
    </row>
    <row r="428" spans="1:10">
      <c r="A428" s="322" t="s">
        <v>10968</v>
      </c>
      <c r="B428" s="322" t="s">
        <v>10968</v>
      </c>
      <c r="C428" s="322"/>
      <c r="E428" s="17">
        <v>0.35</v>
      </c>
      <c r="F428" s="261">
        <v>0</v>
      </c>
      <c r="G428" s="261">
        <v>0</v>
      </c>
      <c r="H428" s="17">
        <v>0.35</v>
      </c>
      <c r="I428" t="s">
        <v>10967</v>
      </c>
      <c r="J428" s="322" t="s">
        <v>10968</v>
      </c>
    </row>
    <row r="429" spans="1:10">
      <c r="A429" s="322" t="s">
        <v>2029</v>
      </c>
      <c r="B429" s="322" t="s">
        <v>2029</v>
      </c>
      <c r="C429" s="322"/>
      <c r="E429" s="17">
        <v>0.35</v>
      </c>
      <c r="F429" s="261">
        <v>0</v>
      </c>
      <c r="G429" s="261">
        <v>0</v>
      </c>
      <c r="H429" s="17">
        <v>0.35</v>
      </c>
      <c r="I429" t="s">
        <v>10967</v>
      </c>
      <c r="J429" s="322" t="s">
        <v>2029</v>
      </c>
    </row>
    <row r="430" spans="1:10">
      <c r="A430" s="322" t="s">
        <v>2028</v>
      </c>
      <c r="B430" s="322" t="s">
        <v>2028</v>
      </c>
      <c r="C430" s="322"/>
      <c r="E430" s="17">
        <v>0.35</v>
      </c>
      <c r="F430" s="261">
        <v>0</v>
      </c>
      <c r="G430" s="261">
        <v>0</v>
      </c>
      <c r="H430" s="17">
        <v>0.35</v>
      </c>
      <c r="I430" t="s">
        <v>10967</v>
      </c>
      <c r="J430" s="322" t="s">
        <v>2028</v>
      </c>
    </row>
    <row r="431" spans="1:10">
      <c r="A431" s="322" t="s">
        <v>122</v>
      </c>
      <c r="B431" s="322" t="s">
        <v>122</v>
      </c>
      <c r="C431" s="322"/>
      <c r="E431" s="17">
        <v>0.12</v>
      </c>
      <c r="F431" s="261">
        <v>0</v>
      </c>
      <c r="G431" s="261">
        <v>0</v>
      </c>
      <c r="H431" s="17">
        <v>0.12</v>
      </c>
      <c r="I431" t="s">
        <v>10967</v>
      </c>
      <c r="J431" s="322" t="s">
        <v>122</v>
      </c>
    </row>
    <row r="432" spans="1:10">
      <c r="A432" s="322" t="s">
        <v>2026</v>
      </c>
      <c r="B432" s="322" t="s">
        <v>2026</v>
      </c>
      <c r="C432" s="322"/>
      <c r="E432" s="17">
        <v>0.35</v>
      </c>
      <c r="F432" s="261">
        <v>0</v>
      </c>
      <c r="G432" s="261">
        <v>0</v>
      </c>
      <c r="H432" s="17">
        <v>0.35</v>
      </c>
      <c r="I432" t="s">
        <v>10967</v>
      </c>
      <c r="J432" s="322" t="s">
        <v>2026</v>
      </c>
    </row>
    <row r="433" spans="1:10">
      <c r="A433" s="322" t="s">
        <v>2023</v>
      </c>
      <c r="B433" s="322" t="s">
        <v>2023</v>
      </c>
      <c r="C433" s="322"/>
      <c r="E433" s="17">
        <v>0.38</v>
      </c>
      <c r="F433" s="261">
        <v>0</v>
      </c>
      <c r="G433" s="261">
        <v>0</v>
      </c>
      <c r="H433" s="17">
        <v>0.38</v>
      </c>
      <c r="I433" t="s">
        <v>10967</v>
      </c>
      <c r="J433" s="322" t="s">
        <v>2023</v>
      </c>
    </row>
    <row r="434" spans="1:10">
      <c r="A434" s="322" t="s">
        <v>2520</v>
      </c>
      <c r="B434" s="322" t="s">
        <v>2520</v>
      </c>
      <c r="C434" s="322"/>
      <c r="E434" s="17">
        <v>0.17</v>
      </c>
      <c r="F434" s="261">
        <v>0</v>
      </c>
      <c r="G434" s="261">
        <v>0</v>
      </c>
      <c r="H434" s="17">
        <v>0.17</v>
      </c>
      <c r="I434" t="s">
        <v>10967</v>
      </c>
      <c r="J434" s="322" t="s">
        <v>2520</v>
      </c>
    </row>
    <row r="435" spans="1:10">
      <c r="A435" s="322" t="s">
        <v>2024</v>
      </c>
      <c r="B435" s="322" t="s">
        <v>2024</v>
      </c>
      <c r="C435" s="322"/>
      <c r="E435" s="17">
        <v>0.38</v>
      </c>
      <c r="F435" s="261">
        <v>0</v>
      </c>
      <c r="G435" s="261">
        <v>0</v>
      </c>
      <c r="H435" s="17">
        <v>0.38</v>
      </c>
      <c r="I435" t="s">
        <v>10967</v>
      </c>
      <c r="J435" s="322" t="s">
        <v>2024</v>
      </c>
    </row>
    <row r="436" spans="1:10">
      <c r="A436" s="322" t="s">
        <v>2025</v>
      </c>
      <c r="B436" s="322" t="s">
        <v>2025</v>
      </c>
      <c r="C436" s="322"/>
      <c r="E436" s="17">
        <v>0.38</v>
      </c>
      <c r="F436" s="261">
        <v>0</v>
      </c>
      <c r="G436" s="261">
        <v>0</v>
      </c>
      <c r="H436" s="17">
        <v>0.38</v>
      </c>
      <c r="I436" t="s">
        <v>10967</v>
      </c>
      <c r="J436" s="322" t="s">
        <v>2025</v>
      </c>
    </row>
    <row r="437" spans="1:10">
      <c r="A437" s="322" t="s">
        <v>2521</v>
      </c>
      <c r="B437" s="322" t="s">
        <v>2521</v>
      </c>
      <c r="C437" s="322"/>
      <c r="E437" s="17">
        <v>0.28999999999999998</v>
      </c>
      <c r="F437" s="261">
        <v>0</v>
      </c>
      <c r="G437" s="261">
        <v>0</v>
      </c>
      <c r="H437" s="17">
        <v>0.28999999999999998</v>
      </c>
      <c r="I437" t="s">
        <v>10967</v>
      </c>
      <c r="J437" s="322" t="s">
        <v>2521</v>
      </c>
    </row>
    <row r="438" spans="1:10">
      <c r="A438" s="322" t="s">
        <v>10969</v>
      </c>
      <c r="B438" s="322" t="s">
        <v>10969</v>
      </c>
      <c r="C438" s="322"/>
      <c r="E438" s="17">
        <v>0.38</v>
      </c>
      <c r="F438" s="261">
        <v>0</v>
      </c>
      <c r="G438" s="261">
        <v>0</v>
      </c>
      <c r="H438" s="17">
        <v>0.38</v>
      </c>
      <c r="I438" t="s">
        <v>10967</v>
      </c>
      <c r="J438" s="322" t="s">
        <v>10969</v>
      </c>
    </row>
    <row r="439" spans="1:10">
      <c r="A439" s="322" t="s">
        <v>2019</v>
      </c>
      <c r="B439" s="322" t="s">
        <v>2019</v>
      </c>
      <c r="C439" s="322"/>
      <c r="E439" s="17">
        <v>0.35</v>
      </c>
      <c r="F439" s="261">
        <v>0</v>
      </c>
      <c r="G439" s="261">
        <v>0</v>
      </c>
      <c r="H439" s="17">
        <v>0.35</v>
      </c>
      <c r="I439" t="s">
        <v>10967</v>
      </c>
      <c r="J439" s="322" t="s">
        <v>2019</v>
      </c>
    </row>
    <row r="440" spans="1:10">
      <c r="A440" s="322" t="s">
        <v>2174</v>
      </c>
      <c r="B440" s="322" t="s">
        <v>2174</v>
      </c>
      <c r="C440" s="322"/>
      <c r="E440" s="17">
        <v>0.35</v>
      </c>
      <c r="F440" s="261">
        <v>0</v>
      </c>
      <c r="G440" s="261">
        <v>0</v>
      </c>
      <c r="H440" s="17">
        <v>0.35</v>
      </c>
      <c r="I440" t="s">
        <v>10967</v>
      </c>
      <c r="J440" s="322" t="s">
        <v>2174</v>
      </c>
    </row>
    <row r="441" spans="1:10">
      <c r="A441" s="322" t="s">
        <v>2030</v>
      </c>
      <c r="B441" s="322" t="s">
        <v>2030</v>
      </c>
      <c r="C441" s="322"/>
      <c r="E441" s="17">
        <v>0.35</v>
      </c>
      <c r="F441" s="261">
        <v>0</v>
      </c>
      <c r="G441" s="261">
        <v>0</v>
      </c>
      <c r="H441" s="17">
        <v>0.35</v>
      </c>
      <c r="I441" t="s">
        <v>10967</v>
      </c>
      <c r="J441" s="322" t="s">
        <v>2030</v>
      </c>
    </row>
    <row r="442" spans="1:10">
      <c r="A442" s="322" t="s">
        <v>2022</v>
      </c>
      <c r="B442" s="322" t="s">
        <v>2022</v>
      </c>
      <c r="C442" s="322"/>
      <c r="E442" s="17">
        <v>0.35</v>
      </c>
      <c r="F442" s="261">
        <v>0</v>
      </c>
      <c r="G442" s="261">
        <v>0</v>
      </c>
      <c r="H442" s="17">
        <v>0.35</v>
      </c>
      <c r="I442" t="s">
        <v>10967</v>
      </c>
      <c r="J442" s="322" t="s">
        <v>2022</v>
      </c>
    </row>
    <row r="443" spans="1:10">
      <c r="A443" s="322" t="s">
        <v>10970</v>
      </c>
      <c r="B443" s="322" t="s">
        <v>2022</v>
      </c>
      <c r="C443" s="322" t="s">
        <v>10971</v>
      </c>
      <c r="E443" s="17">
        <v>0</v>
      </c>
      <c r="F443" s="261">
        <v>0</v>
      </c>
      <c r="G443" s="261">
        <v>0</v>
      </c>
      <c r="H443" s="17">
        <v>0</v>
      </c>
      <c r="I443" t="s">
        <v>10967</v>
      </c>
      <c r="J443" s="322" t="s">
        <v>10970</v>
      </c>
    </row>
    <row r="444" spans="1:10">
      <c r="A444" s="322" t="s">
        <v>2515</v>
      </c>
      <c r="B444" s="322" t="s">
        <v>2022</v>
      </c>
      <c r="C444" s="322" t="s">
        <v>2514</v>
      </c>
      <c r="E444" s="17">
        <v>0.3</v>
      </c>
      <c r="F444" s="261">
        <v>0</v>
      </c>
      <c r="G444" s="261">
        <v>0</v>
      </c>
      <c r="H444" s="17">
        <v>0.3</v>
      </c>
      <c r="I444" t="s">
        <v>10967</v>
      </c>
      <c r="J444" s="322" t="s">
        <v>2515</v>
      </c>
    </row>
    <row r="445" spans="1:10">
      <c r="A445" s="322" t="s">
        <v>2020</v>
      </c>
      <c r="B445" s="322" t="s">
        <v>2020</v>
      </c>
      <c r="C445" s="322"/>
      <c r="E445" s="17">
        <v>0.35</v>
      </c>
      <c r="F445" s="261">
        <v>0</v>
      </c>
      <c r="G445" s="261">
        <v>0</v>
      </c>
      <c r="H445" s="17">
        <v>0.35</v>
      </c>
      <c r="I445" t="s">
        <v>10967</v>
      </c>
      <c r="J445" s="322" t="s">
        <v>2020</v>
      </c>
    </row>
    <row r="446" spans="1:10">
      <c r="A446" s="322" t="s">
        <v>2018</v>
      </c>
      <c r="B446" s="322" t="s">
        <v>2018</v>
      </c>
      <c r="C446" s="322"/>
      <c r="E446" s="17">
        <v>0.38</v>
      </c>
      <c r="F446" s="261">
        <v>0</v>
      </c>
      <c r="G446" s="261">
        <v>0</v>
      </c>
      <c r="H446" s="17">
        <v>0.38</v>
      </c>
      <c r="I446" t="s">
        <v>10967</v>
      </c>
      <c r="J446" s="322" t="s">
        <v>2018</v>
      </c>
    </row>
    <row r="447" spans="1:10">
      <c r="A447" s="322" t="s">
        <v>2021</v>
      </c>
      <c r="B447" s="322" t="s">
        <v>2021</v>
      </c>
      <c r="C447" s="322"/>
      <c r="E447" s="17">
        <v>0.35</v>
      </c>
      <c r="F447" s="261">
        <v>0</v>
      </c>
      <c r="G447" s="261">
        <v>0</v>
      </c>
      <c r="H447" s="17">
        <v>0.35</v>
      </c>
      <c r="I447" t="s">
        <v>10967</v>
      </c>
      <c r="J447" s="322" t="s">
        <v>2021</v>
      </c>
    </row>
    <row r="448" spans="1:10">
      <c r="A448" s="322" t="s">
        <v>2017</v>
      </c>
      <c r="B448" s="322" t="s">
        <v>2017</v>
      </c>
      <c r="C448" s="322"/>
      <c r="E448" s="17">
        <v>0.35</v>
      </c>
      <c r="F448" s="261">
        <v>0</v>
      </c>
      <c r="G448" s="261">
        <v>0</v>
      </c>
      <c r="H448" s="17">
        <v>0.35</v>
      </c>
      <c r="I448" t="s">
        <v>10967</v>
      </c>
      <c r="J448" s="322" t="s">
        <v>2017</v>
      </c>
    </row>
    <row r="449" spans="1:10">
      <c r="A449" s="322" t="s">
        <v>10972</v>
      </c>
      <c r="B449" s="322" t="s">
        <v>2017</v>
      </c>
      <c r="C449" s="322" t="s">
        <v>10973</v>
      </c>
      <c r="E449" s="17">
        <v>0</v>
      </c>
      <c r="F449" s="261">
        <v>0</v>
      </c>
      <c r="G449" s="261">
        <v>0</v>
      </c>
      <c r="H449" s="17">
        <v>0</v>
      </c>
      <c r="I449" t="s">
        <v>10967</v>
      </c>
      <c r="J449" s="322" t="s">
        <v>10972</v>
      </c>
    </row>
    <row r="450" spans="1:10">
      <c r="A450" s="322" t="s">
        <v>10974</v>
      </c>
      <c r="B450" s="322" t="s">
        <v>2017</v>
      </c>
      <c r="C450" s="322" t="s">
        <v>10975</v>
      </c>
      <c r="E450" s="17">
        <v>0</v>
      </c>
      <c r="F450" s="261">
        <v>0</v>
      </c>
      <c r="G450" s="261">
        <v>0</v>
      </c>
      <c r="H450" s="17">
        <v>0</v>
      </c>
      <c r="I450" t="s">
        <v>10967</v>
      </c>
      <c r="J450" s="322" t="s">
        <v>10974</v>
      </c>
    </row>
    <row r="451" spans="1:10">
      <c r="A451" s="322" t="s">
        <v>10976</v>
      </c>
      <c r="B451" s="322" t="s">
        <v>2017</v>
      </c>
      <c r="C451" s="322" t="s">
        <v>10977</v>
      </c>
      <c r="E451" s="17">
        <v>0</v>
      </c>
      <c r="F451" s="261">
        <v>0</v>
      </c>
      <c r="G451" s="261">
        <v>0</v>
      </c>
      <c r="H451" s="17">
        <v>0</v>
      </c>
      <c r="I451" t="s">
        <v>10967</v>
      </c>
      <c r="J451" s="322" t="s">
        <v>10976</v>
      </c>
    </row>
    <row r="452" spans="1:10">
      <c r="A452" s="322" t="s">
        <v>10978</v>
      </c>
      <c r="B452" s="322" t="s">
        <v>2017</v>
      </c>
      <c r="C452" s="322" t="s">
        <v>10979</v>
      </c>
      <c r="E452" s="17">
        <v>0</v>
      </c>
      <c r="F452" s="261">
        <v>0</v>
      </c>
      <c r="G452" s="261">
        <v>0</v>
      </c>
      <c r="H452" s="17">
        <v>0</v>
      </c>
      <c r="I452" t="s">
        <v>10967</v>
      </c>
      <c r="J452" s="322" t="s">
        <v>10978</v>
      </c>
    </row>
    <row r="453" spans="1:10">
      <c r="A453" s="322" t="s">
        <v>10980</v>
      </c>
      <c r="B453" s="322" t="s">
        <v>2017</v>
      </c>
      <c r="C453" s="322" t="s">
        <v>10981</v>
      </c>
      <c r="E453" s="17">
        <v>0</v>
      </c>
      <c r="F453" s="261">
        <v>0</v>
      </c>
      <c r="G453" s="261">
        <v>0</v>
      </c>
      <c r="H453" s="17">
        <v>0</v>
      </c>
      <c r="I453" t="s">
        <v>10967</v>
      </c>
      <c r="J453" s="322" t="s">
        <v>10980</v>
      </c>
    </row>
    <row r="454" spans="1:10">
      <c r="A454" s="322" t="s">
        <v>2516</v>
      </c>
      <c r="B454" s="322" t="s">
        <v>2017</v>
      </c>
      <c r="C454" s="322" t="s">
        <v>70</v>
      </c>
      <c r="E454" s="17">
        <v>0.12</v>
      </c>
      <c r="F454" s="261">
        <v>0</v>
      </c>
      <c r="G454" s="261">
        <v>0</v>
      </c>
      <c r="H454" s="17">
        <v>0.12</v>
      </c>
      <c r="I454" t="s">
        <v>10967</v>
      </c>
      <c r="J454" s="322" t="s">
        <v>2516</v>
      </c>
    </row>
    <row r="455" spans="1:10">
      <c r="A455" s="322" t="s">
        <v>2517</v>
      </c>
      <c r="B455" s="322" t="s">
        <v>2017</v>
      </c>
      <c r="C455" s="322" t="s">
        <v>71</v>
      </c>
      <c r="E455" s="17">
        <v>0.12</v>
      </c>
      <c r="F455" s="261">
        <v>0</v>
      </c>
      <c r="G455" s="261">
        <v>0</v>
      </c>
      <c r="H455" s="17">
        <v>0.12</v>
      </c>
      <c r="I455" t="s">
        <v>10967</v>
      </c>
      <c r="J455" s="322" t="s">
        <v>2517</v>
      </c>
    </row>
    <row r="456" spans="1:10">
      <c r="A456" s="322" t="s">
        <v>2518</v>
      </c>
      <c r="B456" s="322" t="s">
        <v>2017</v>
      </c>
      <c r="C456" s="322" t="s">
        <v>72</v>
      </c>
      <c r="E456" s="17">
        <v>0.12</v>
      </c>
      <c r="F456" s="261">
        <v>0</v>
      </c>
      <c r="G456" s="261">
        <v>0</v>
      </c>
      <c r="H456" s="17">
        <v>0.12</v>
      </c>
      <c r="I456" t="s">
        <v>10967</v>
      </c>
      <c r="J456" s="322" t="s">
        <v>2518</v>
      </c>
    </row>
    <row r="457" spans="1:10">
      <c r="A457" s="322" t="s">
        <v>2016</v>
      </c>
      <c r="B457" s="322" t="s">
        <v>2016</v>
      </c>
      <c r="C457" s="322"/>
      <c r="E457" s="17">
        <v>0.35</v>
      </c>
      <c r="F457" s="261">
        <v>0</v>
      </c>
      <c r="G457" s="261">
        <v>0</v>
      </c>
      <c r="H457" s="17">
        <v>0.35</v>
      </c>
      <c r="I457" t="s">
        <v>10967</v>
      </c>
      <c r="J457" s="322" t="s">
        <v>2016</v>
      </c>
    </row>
    <row r="458" spans="1:10">
      <c r="A458" s="322" t="s">
        <v>2519</v>
      </c>
      <c r="B458" s="322" t="s">
        <v>2016</v>
      </c>
      <c r="C458" s="322" t="s">
        <v>70</v>
      </c>
      <c r="E458" s="17">
        <v>0.12</v>
      </c>
      <c r="F458" s="261">
        <v>0</v>
      </c>
      <c r="G458" s="261">
        <v>0</v>
      </c>
      <c r="H458" s="17">
        <v>0.12</v>
      </c>
      <c r="I458" t="s">
        <v>10967</v>
      </c>
      <c r="J458" s="322" t="s">
        <v>2519</v>
      </c>
    </row>
    <row r="459" spans="1:10">
      <c r="A459" s="322" t="s">
        <v>2027</v>
      </c>
      <c r="B459" s="322" t="s">
        <v>2027</v>
      </c>
      <c r="C459" s="322"/>
      <c r="E459" s="17">
        <v>0.35</v>
      </c>
      <c r="F459" s="261">
        <v>0</v>
      </c>
      <c r="G459" s="261">
        <v>0</v>
      </c>
      <c r="H459" s="17">
        <v>0.35</v>
      </c>
      <c r="I459" t="s">
        <v>10967</v>
      </c>
      <c r="J459" s="322" t="s">
        <v>2027</v>
      </c>
    </row>
    <row r="460" spans="1:10">
      <c r="A460" s="322" t="s">
        <v>2522</v>
      </c>
      <c r="B460" s="322" t="s">
        <v>2522</v>
      </c>
      <c r="C460" s="322"/>
      <c r="E460" s="17">
        <v>0.15</v>
      </c>
      <c r="F460" s="261">
        <v>0</v>
      </c>
      <c r="G460" s="261">
        <v>0</v>
      </c>
      <c r="H460" s="17">
        <v>0.15</v>
      </c>
      <c r="I460" t="s">
        <v>10967</v>
      </c>
      <c r="J460" s="322" t="s">
        <v>2522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baseColWidth="10" defaultRowHeight="15"/>
  <sheetData>
    <row r="1" spans="1:7">
      <c r="A1" t="s">
        <v>8458</v>
      </c>
      <c r="B1" t="s">
        <v>8459</v>
      </c>
      <c r="C1" t="s">
        <v>8460</v>
      </c>
      <c r="D1" t="s">
        <v>8461</v>
      </c>
      <c r="E1" t="s">
        <v>8462</v>
      </c>
      <c r="F1" t="s">
        <v>8463</v>
      </c>
      <c r="G1" t="s">
        <v>8551</v>
      </c>
    </row>
    <row r="2" spans="1:7">
      <c r="A2" t="s">
        <v>8485</v>
      </c>
      <c r="B2" t="s">
        <v>8552</v>
      </c>
      <c r="C2">
        <v>200</v>
      </c>
      <c r="D2">
        <v>4</v>
      </c>
      <c r="E2">
        <v>110</v>
      </c>
      <c r="F2">
        <v>22</v>
      </c>
      <c r="G2" t="s">
        <v>8543</v>
      </c>
    </row>
    <row r="3" spans="1:7">
      <c r="A3" t="s">
        <v>8464</v>
      </c>
      <c r="B3" t="s">
        <v>8465</v>
      </c>
      <c r="C3">
        <f>C2+E2+10</f>
        <v>320</v>
      </c>
      <c r="D3">
        <v>4</v>
      </c>
      <c r="E3">
        <v>110</v>
      </c>
      <c r="F3">
        <v>22</v>
      </c>
      <c r="G3" t="s">
        <v>8544</v>
      </c>
    </row>
    <row r="4" spans="1:7">
      <c r="A4" t="s">
        <v>8466</v>
      </c>
      <c r="B4" t="s">
        <v>8467</v>
      </c>
      <c r="C4">
        <f>C3+E3+2</f>
        <v>432</v>
      </c>
      <c r="D4">
        <v>4</v>
      </c>
      <c r="E4">
        <v>110</v>
      </c>
      <c r="F4">
        <v>22</v>
      </c>
      <c r="G4" t="s">
        <v>8548</v>
      </c>
    </row>
    <row r="5" spans="1:7">
      <c r="A5" t="s">
        <v>8468</v>
      </c>
      <c r="B5" t="s">
        <v>8469</v>
      </c>
      <c r="C5">
        <f>C4+E4+10</f>
        <v>552</v>
      </c>
      <c r="D5">
        <v>4</v>
      </c>
      <c r="E5">
        <v>110</v>
      </c>
      <c r="F5">
        <v>22</v>
      </c>
      <c r="G5" t="s">
        <v>8545</v>
      </c>
    </row>
    <row r="6" spans="1:7">
      <c r="A6" t="s">
        <v>8470</v>
      </c>
      <c r="B6" t="s">
        <v>8471</v>
      </c>
      <c r="C6">
        <f>C5+E5+2</f>
        <v>664</v>
      </c>
      <c r="D6">
        <v>4</v>
      </c>
      <c r="E6">
        <v>110</v>
      </c>
      <c r="F6">
        <v>22</v>
      </c>
      <c r="G6" t="s">
        <v>8549</v>
      </c>
    </row>
    <row r="7" spans="1:7">
      <c r="A7" t="s">
        <v>10985</v>
      </c>
      <c r="B7" t="s">
        <v>10984</v>
      </c>
      <c r="C7">
        <f>C6+E6+2</f>
        <v>776</v>
      </c>
      <c r="D7">
        <v>4</v>
      </c>
      <c r="E7">
        <v>110</v>
      </c>
      <c r="F7">
        <v>22</v>
      </c>
      <c r="G7" t="s">
        <v>10986</v>
      </c>
    </row>
    <row r="8" spans="1:7">
      <c r="A8" t="s">
        <v>8472</v>
      </c>
      <c r="B8" t="s">
        <v>8473</v>
      </c>
      <c r="C8">
        <f t="shared" ref="C8:C12" si="0">C7+E7+2</f>
        <v>888</v>
      </c>
      <c r="D8">
        <v>4</v>
      </c>
      <c r="E8">
        <v>110</v>
      </c>
      <c r="F8">
        <v>22</v>
      </c>
      <c r="G8" t="s">
        <v>8550</v>
      </c>
    </row>
    <row r="9" spans="1:7">
      <c r="A9" t="s">
        <v>8386</v>
      </c>
      <c r="B9" t="s">
        <v>8474</v>
      </c>
      <c r="C9">
        <f t="shared" si="0"/>
        <v>1000</v>
      </c>
      <c r="D9">
        <v>4</v>
      </c>
      <c r="E9">
        <v>110</v>
      </c>
      <c r="F9">
        <v>22</v>
      </c>
      <c r="G9" t="s">
        <v>10987</v>
      </c>
    </row>
    <row r="10" spans="1:7">
      <c r="A10" t="s">
        <v>8495</v>
      </c>
      <c r="B10" t="s">
        <v>8496</v>
      </c>
      <c r="C10">
        <f t="shared" si="0"/>
        <v>1112</v>
      </c>
      <c r="D10">
        <v>4</v>
      </c>
      <c r="E10">
        <v>110</v>
      </c>
      <c r="F10">
        <v>22</v>
      </c>
      <c r="G10" t="s">
        <v>10988</v>
      </c>
    </row>
    <row r="11" spans="1:7">
      <c r="A11" t="s">
        <v>8497</v>
      </c>
      <c r="B11" t="s">
        <v>8498</v>
      </c>
      <c r="C11">
        <f t="shared" si="0"/>
        <v>1224</v>
      </c>
      <c r="D11">
        <v>4</v>
      </c>
      <c r="E11">
        <v>110</v>
      </c>
      <c r="F11">
        <v>22</v>
      </c>
      <c r="G11" t="s">
        <v>10989</v>
      </c>
    </row>
    <row r="12" spans="1:7">
      <c r="A12" t="s">
        <v>8493</v>
      </c>
      <c r="B12" t="s">
        <v>8494</v>
      </c>
      <c r="C12">
        <f t="shared" si="0"/>
        <v>1336</v>
      </c>
      <c r="D12">
        <v>4</v>
      </c>
      <c r="E12">
        <v>110</v>
      </c>
      <c r="F12">
        <v>22</v>
      </c>
      <c r="G12" t="s">
        <v>8546</v>
      </c>
    </row>
    <row r="13" spans="1:7">
      <c r="A13" t="s">
        <v>8475</v>
      </c>
      <c r="B13" t="s">
        <v>8486</v>
      </c>
      <c r="C13">
        <f>C12+E12+200</f>
        <v>1646</v>
      </c>
      <c r="D13">
        <v>4</v>
      </c>
      <c r="E13">
        <v>110</v>
      </c>
      <c r="F13">
        <v>22</v>
      </c>
      <c r="G13" t="s">
        <v>8547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W53"/>
  <sheetViews>
    <sheetView workbookViewId="0"/>
  </sheetViews>
  <sheetFormatPr baseColWidth="10" defaultRowHeight="15"/>
  <sheetData>
    <row r="1" spans="2:23">
      <c r="C1" s="20"/>
      <c r="D1" s="20"/>
      <c r="K1" s="259"/>
    </row>
    <row r="2" spans="2:23" ht="150">
      <c r="C2" s="351" t="s">
        <v>8423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  <c r="U2" s="351"/>
      <c r="V2" s="351"/>
      <c r="W2" s="351"/>
    </row>
    <row r="3" spans="2:23" ht="15.75">
      <c r="B3" s="262" t="s">
        <v>8424</v>
      </c>
      <c r="C3" s="352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</row>
    <row r="4" spans="2:23" ht="15.75">
      <c r="B4" s="262" t="s">
        <v>8425</v>
      </c>
      <c r="C4" s="352"/>
      <c r="D4" s="352"/>
      <c r="E4" s="352"/>
      <c r="F4" s="352"/>
      <c r="G4" s="352"/>
      <c r="H4" s="352"/>
      <c r="I4" s="352"/>
      <c r="J4" s="352"/>
      <c r="K4" s="352"/>
      <c r="L4" s="352"/>
      <c r="M4" s="352"/>
      <c r="N4" s="352"/>
      <c r="O4" s="352"/>
      <c r="P4" s="352"/>
      <c r="Q4" s="352"/>
      <c r="R4" s="352"/>
      <c r="S4" s="352"/>
      <c r="T4" s="352"/>
      <c r="U4" s="352"/>
      <c r="V4" s="352"/>
    </row>
    <row r="5" spans="2:23">
      <c r="C5" s="20"/>
      <c r="D5" s="20"/>
      <c r="K5" s="259"/>
    </row>
    <row r="6" spans="2:23" ht="15.75">
      <c r="C6" s="20"/>
      <c r="D6" s="20"/>
      <c r="E6" s="257"/>
      <c r="F6" s="257"/>
      <c r="G6" s="257"/>
      <c r="H6" s="257"/>
      <c r="I6" s="257"/>
      <c r="J6" s="257" t="s">
        <v>8426</v>
      </c>
      <c r="K6" s="263"/>
      <c r="L6" s="257"/>
      <c r="O6" s="257" t="s">
        <v>8427</v>
      </c>
      <c r="T6" s="257" t="s">
        <v>8428</v>
      </c>
      <c r="U6" s="257"/>
      <c r="V6" s="257"/>
    </row>
    <row r="7" spans="2:23" ht="31.5">
      <c r="B7" s="257" t="s">
        <v>256</v>
      </c>
      <c r="C7" s="264" t="s">
        <v>8429</v>
      </c>
      <c r="D7" s="264" t="s">
        <v>8430</v>
      </c>
      <c r="E7" s="257" t="s">
        <v>8431</v>
      </c>
      <c r="F7" s="257"/>
      <c r="G7" s="265" t="s">
        <v>8406</v>
      </c>
      <c r="H7" s="265" t="s">
        <v>8407</v>
      </c>
      <c r="I7" s="257"/>
      <c r="J7" s="257" t="s">
        <v>8432</v>
      </c>
      <c r="K7" s="263" t="s">
        <v>8433</v>
      </c>
      <c r="L7" s="257" t="s">
        <v>8434</v>
      </c>
      <c r="M7" s="257" t="s">
        <v>129</v>
      </c>
      <c r="N7" s="257"/>
      <c r="O7" s="257" t="s">
        <v>8432</v>
      </c>
      <c r="P7" s="257" t="s">
        <v>8435</v>
      </c>
      <c r="Q7" s="257" t="s">
        <v>8434</v>
      </c>
      <c r="R7" s="257" t="s">
        <v>129</v>
      </c>
      <c r="S7" s="257"/>
      <c r="T7" s="257" t="s">
        <v>8436</v>
      </c>
      <c r="U7" s="257" t="s">
        <v>8437</v>
      </c>
      <c r="V7" s="257" t="s">
        <v>8438</v>
      </c>
      <c r="W7" s="257" t="s">
        <v>8439</v>
      </c>
    </row>
    <row r="8" spans="2:23" ht="15.75">
      <c r="B8" s="257" t="s">
        <v>254</v>
      </c>
      <c r="C8" s="266" t="s">
        <v>179</v>
      </c>
      <c r="D8" s="266"/>
      <c r="G8" s="267"/>
      <c r="H8" s="267"/>
      <c r="K8" s="259"/>
    </row>
    <row r="9" spans="2:23" ht="15.75">
      <c r="B9" t="s">
        <v>9906</v>
      </c>
      <c r="C9" s="268">
        <v>65</v>
      </c>
      <c r="D9" s="268">
        <v>280</v>
      </c>
      <c r="E9" s="269">
        <v>0</v>
      </c>
      <c r="F9" s="270"/>
      <c r="G9" s="271">
        <f>IF($E9&gt;0,ROUNDUP((a*($E9-h)^(1/coef)+k),0),0)</f>
        <v>0</v>
      </c>
      <c r="H9" s="271">
        <f>IF($E9&gt;0,ROUNDDOWN((ah*($E9-hh)^(1/coefh)+kh),0),0)</f>
        <v>0</v>
      </c>
      <c r="J9" s="272">
        <f>IF($E9=0,0,(IF(AND($E9&gt;0,$E9&lt;4),10,20)))</f>
        <v>0</v>
      </c>
      <c r="K9" s="273">
        <f>IF(E9&gt;0,IF(($H9/12)*3&lt;4,4,(ROUNDUP((($H9/12)*3),0))),0)</f>
        <v>0</v>
      </c>
      <c r="L9" s="272">
        <f>0</f>
        <v>0</v>
      </c>
      <c r="M9" s="274">
        <f>ROUNDUP((C9*H9/12)*3,0)</f>
        <v>0</v>
      </c>
      <c r="N9" s="270"/>
      <c r="O9" s="272">
        <f>IF($E9=0,0,(IF(AND($E9&gt;0,$E9&lt;4),20,60)))</f>
        <v>0</v>
      </c>
      <c r="P9" s="273">
        <f>H9</f>
        <v>0</v>
      </c>
      <c r="Q9" s="272">
        <f>E9*D9</f>
        <v>0</v>
      </c>
      <c r="R9" s="274">
        <f>ROUNDUP((P9*$C9+Q9),0)</f>
        <v>0</v>
      </c>
      <c r="S9" s="270"/>
      <c r="T9" s="271" t="e">
        <f>ROUNDUP(G9*hr_cdg/12,0)</f>
        <v>#NAME?</v>
      </c>
      <c r="U9" s="271" t="e">
        <f>ROUNDUP((T9*0.2+Q9*(1-dcto_fix))/12,0)</f>
        <v>#NAME?</v>
      </c>
      <c r="V9" s="274" t="e">
        <f>T9+U9</f>
        <v>#NAME?</v>
      </c>
      <c r="W9" t="e">
        <f>V9*12</f>
        <v>#NAME?</v>
      </c>
    </row>
    <row r="10" spans="2:23" ht="15.75">
      <c r="B10" t="s">
        <v>13959</v>
      </c>
      <c r="C10" s="268">
        <v>90</v>
      </c>
      <c r="D10" s="268">
        <v>720</v>
      </c>
      <c r="E10" s="269">
        <v>0</v>
      </c>
      <c r="F10" s="270"/>
      <c r="G10" s="271">
        <f>IF($E10&gt;0,ROUNDUP((a*($E10-h)^(1/coef)+k),0),0)</f>
        <v>0</v>
      </c>
      <c r="H10" s="271">
        <f>IF($E10&gt;0,ROUNDDOWN((ah*($E10-hh)^(1/coefh)+kh),0),0)</f>
        <v>0</v>
      </c>
      <c r="J10" s="272">
        <f>IF($E10=0,0,(IF(AND($E10&gt;0,$E10&lt;4),10,20)))</f>
        <v>0</v>
      </c>
      <c r="K10" s="273">
        <f>IF(E10&gt;0,IF(($H10/12)*3&lt;4,4,(ROUNDUP((($H10/12)*3),0))),0)</f>
        <v>0</v>
      </c>
      <c r="L10" s="272">
        <f>0</f>
        <v>0</v>
      </c>
      <c r="M10" s="274">
        <f>ROUNDUP((C10*H10/12)*3,0)</f>
        <v>0</v>
      </c>
      <c r="N10" s="270"/>
      <c r="O10" s="272">
        <f>IF($E10=0,0,(IF(AND($E10&gt;0,$E10&lt;4),20,60)))</f>
        <v>0</v>
      </c>
      <c r="P10" s="273">
        <f>H10</f>
        <v>0</v>
      </c>
      <c r="Q10" s="272">
        <f>E10*D10</f>
        <v>0</v>
      </c>
      <c r="R10" s="274">
        <f>ROUNDUP((P10*$C10+Q10),0)</f>
        <v>0</v>
      </c>
      <c r="S10" s="270"/>
      <c r="T10" s="271" t="e">
        <f>ROUNDUP(G10*hr_cdg/12,0)</f>
        <v>#NAME?</v>
      </c>
      <c r="U10" s="271" t="e">
        <f>ROUNDUP((T10*0.2+Q10*(1-dcto_fix))/12,0)</f>
        <v>#NAME?</v>
      </c>
      <c r="V10" s="274" t="e">
        <f>T10+U10</f>
        <v>#NAME?</v>
      </c>
      <c r="W10" t="e">
        <f>V10*12</f>
        <v>#NAME?</v>
      </c>
    </row>
    <row r="11" spans="2:23" ht="15.75">
      <c r="B11" t="s">
        <v>9503</v>
      </c>
      <c r="C11" s="268">
        <v>100</v>
      </c>
      <c r="D11" s="268">
        <v>720</v>
      </c>
      <c r="E11" s="269">
        <v>0</v>
      </c>
      <c r="F11" s="270"/>
      <c r="G11" s="271">
        <f>IF($E11&gt;0,ROUNDUP((a*($E11-h)^(1/coef)+k),0),0)</f>
        <v>0</v>
      </c>
      <c r="H11" s="271">
        <f>IF($E11&gt;0,ROUNDDOWN((ah*($E11-hh)^(1/coefh)+kh),0),0)</f>
        <v>0</v>
      </c>
      <c r="J11" s="272">
        <f>IF($E11=0,0,(IF(AND($E11&gt;0,$E11&lt;4),10,20)))</f>
        <v>0</v>
      </c>
      <c r="K11" s="273">
        <f>IF(E11&gt;0,IF(($H11/12)*3&lt;4,4,(ROUNDUP((($H11/12)*3),0))),0)</f>
        <v>0</v>
      </c>
      <c r="L11" s="272">
        <f>0</f>
        <v>0</v>
      </c>
      <c r="M11" s="274">
        <f>ROUNDUP((C11*H11/12)*3,0)</f>
        <v>0</v>
      </c>
      <c r="N11" s="270"/>
      <c r="O11" s="272">
        <f>IF($E11=0,0,(IF(AND($E11&gt;0,$E11&lt;4),20,60)))</f>
        <v>0</v>
      </c>
      <c r="P11" s="273">
        <f>H11</f>
        <v>0</v>
      </c>
      <c r="Q11" s="272">
        <f>E11*D11</f>
        <v>0</v>
      </c>
      <c r="R11" s="274">
        <f>ROUNDUP((P11*$C11+Q11),0)</f>
        <v>0</v>
      </c>
      <c r="S11" s="270"/>
      <c r="T11" s="271" t="e">
        <f>ROUNDUP(G11*hr_cdg/12,0)</f>
        <v>#NAME?</v>
      </c>
      <c r="U11" s="271" t="e">
        <f>ROUNDUP((T11*0.2+Q11*(1-dcto_fix))/12,0)</f>
        <v>#NAME?</v>
      </c>
      <c r="V11" s="274" t="e">
        <f>T11+U11</f>
        <v>#NAME?</v>
      </c>
      <c r="W11" t="e">
        <f>V11*12</f>
        <v>#NAME?</v>
      </c>
    </row>
    <row r="12" spans="2:23" ht="15.75">
      <c r="B12" t="s">
        <v>9905</v>
      </c>
      <c r="C12" s="268">
        <v>120</v>
      </c>
      <c r="D12" s="268">
        <v>400</v>
      </c>
      <c r="E12" s="269">
        <v>0</v>
      </c>
      <c r="F12" s="270"/>
      <c r="G12" s="271">
        <f>IF($E12&gt;0,ROUNDUP((a*($E12-h)^(1/coef)+k),0),0)</f>
        <v>0</v>
      </c>
      <c r="H12" s="271">
        <f>IF($E12&gt;0,ROUNDDOWN((ah*($E12-hh)^(1/coefh)+kh),0),0)</f>
        <v>0</v>
      </c>
      <c r="J12" s="272">
        <f>IF($E12=0,0,(IF(AND($E12&gt;0,$E12&lt;4),10,20)))</f>
        <v>0</v>
      </c>
      <c r="K12" s="273">
        <f>IF(E12&gt;0,IF(($H12/12)*3&lt;4,4,(ROUNDUP((($H12/12)*3),0))),0)</f>
        <v>0</v>
      </c>
      <c r="L12" s="272">
        <f>0</f>
        <v>0</v>
      </c>
      <c r="M12" s="274">
        <f>ROUNDUP((C12*H12/12)*3,0)</f>
        <v>0</v>
      </c>
      <c r="N12" s="270"/>
      <c r="O12" s="272">
        <f>IF($E12=0,0,(IF(AND($E12&gt;0,$E12&lt;4),20,60)))</f>
        <v>0</v>
      </c>
      <c r="P12" s="273">
        <f>H12</f>
        <v>0</v>
      </c>
      <c r="Q12" s="272">
        <f>E12*D12</f>
        <v>0</v>
      </c>
      <c r="R12" s="274">
        <f>ROUNDUP((P12*$C12+Q12),0)</f>
        <v>0</v>
      </c>
      <c r="S12" s="270"/>
      <c r="T12" s="271" t="e">
        <f>ROUNDUP(G12*hr_cdg/12,0)</f>
        <v>#NAME?</v>
      </c>
      <c r="U12" s="271" t="e">
        <f>ROUNDUP((T12*0.2+Q12*(1-dcto_fix))/12,0)</f>
        <v>#NAME?</v>
      </c>
      <c r="V12" s="274" t="e">
        <f>T12+U12</f>
        <v>#NAME?</v>
      </c>
      <c r="W12" t="e">
        <f>V12*12</f>
        <v>#NAME?</v>
      </c>
    </row>
    <row r="13" spans="2:23" ht="15.75">
      <c r="B13" s="257" t="s">
        <v>8440</v>
      </c>
      <c r="C13" s="275"/>
      <c r="D13" s="275"/>
      <c r="E13" s="269"/>
      <c r="F13" s="270"/>
      <c r="G13" s="271"/>
      <c r="H13" s="271"/>
      <c r="J13" s="272"/>
      <c r="K13" s="273"/>
      <c r="L13" s="272"/>
      <c r="M13" s="274"/>
      <c r="N13" s="270"/>
      <c r="O13" s="272"/>
      <c r="P13" s="272"/>
      <c r="Q13" s="272"/>
      <c r="R13" s="274"/>
      <c r="S13" s="270"/>
      <c r="T13" s="271"/>
      <c r="U13" s="271"/>
      <c r="V13" s="274"/>
    </row>
    <row r="14" spans="2:23" ht="15.75">
      <c r="B14" t="s">
        <v>8441</v>
      </c>
      <c r="C14" s="268">
        <v>65</v>
      </c>
      <c r="D14" s="268">
        <v>650</v>
      </c>
      <c r="E14" s="269">
        <v>0</v>
      </c>
      <c r="F14" s="270"/>
      <c r="G14" s="271">
        <f>IF($E14&gt;0,ROUNDUP((a*($E14-h)^(1/coef)+k),0),0)</f>
        <v>0</v>
      </c>
      <c r="H14" s="271">
        <f>IF($E14&gt;0,ROUNDDOWN((ah*($E14-hh)^(1/coefh)+kh),0),0)</f>
        <v>0</v>
      </c>
      <c r="J14" s="272">
        <f>IF($E14=0,0,(IF(AND($E14&gt;0,$E14&lt;4),10,20)))</f>
        <v>0</v>
      </c>
      <c r="K14" s="273">
        <f>IF(E14&gt;0,IF(($H14/12)*3&lt;4,4,(ROUNDUP((($H14/12)*3),0))),0)</f>
        <v>0</v>
      </c>
      <c r="L14" s="272">
        <f>0</f>
        <v>0</v>
      </c>
      <c r="M14" s="274">
        <f>ROUNDUP((C14*H14/12)*3,0)</f>
        <v>0</v>
      </c>
      <c r="N14" s="270"/>
      <c r="O14" s="272">
        <f>IF($E14=0,0,(IF(AND($E14&gt;0,$E14&lt;4),20,60)))</f>
        <v>0</v>
      </c>
      <c r="P14" s="273">
        <f>H14</f>
        <v>0</v>
      </c>
      <c r="Q14" s="272">
        <f>E14*D14</f>
        <v>0</v>
      </c>
      <c r="R14" s="274">
        <f>ROUNDUP((P14*$C14+Q14),0)</f>
        <v>0</v>
      </c>
      <c r="S14" s="270"/>
      <c r="T14" s="271" t="e">
        <f>ROUNDUP(G14*hr_cdg/12,0)</f>
        <v>#NAME?</v>
      </c>
      <c r="U14" s="271" t="e">
        <f>ROUNDUP((T14*0.2+Q14*(1-dcto_fix))/12,0)</f>
        <v>#NAME?</v>
      </c>
      <c r="V14" s="274" t="e">
        <f>T14+U14</f>
        <v>#NAME?</v>
      </c>
      <c r="W14" t="e">
        <f>V14*12</f>
        <v>#NAME?</v>
      </c>
    </row>
    <row r="15" spans="2:23" ht="15.75">
      <c r="B15" t="s">
        <v>8442</v>
      </c>
      <c r="C15" s="268">
        <v>65</v>
      </c>
      <c r="D15" s="268">
        <v>450</v>
      </c>
      <c r="E15" s="269">
        <v>0</v>
      </c>
      <c r="F15" s="270"/>
      <c r="G15" s="271">
        <f>IF($E15&gt;0,ROUNDUP((a*($E15-h)^(1/coef)+k),0),0)</f>
        <v>0</v>
      </c>
      <c r="H15" s="271">
        <f>IF($E15&gt;0,ROUNDDOWN((ah*($E15-hh)^(1/coefh)+kh),0),0)</f>
        <v>0</v>
      </c>
      <c r="J15" s="272">
        <f>IF($E15=0,0,(IF(AND($E15&gt;0,$E15&lt;4),10,20)))</f>
        <v>0</v>
      </c>
      <c r="K15" s="273">
        <f>IF(E15&gt;0,IF(($H15/12)*3&lt;4,4,(ROUNDUP((($H15/12)*3),0))),0)</f>
        <v>0</v>
      </c>
      <c r="L15" s="272">
        <f>0</f>
        <v>0</v>
      </c>
      <c r="M15" s="274">
        <f>ROUNDUP((C15*H15/12)*3,0)</f>
        <v>0</v>
      </c>
      <c r="N15" s="270"/>
      <c r="O15" s="272">
        <f>IF($E15=0,0,(IF(AND($E15&gt;0,$E15&lt;4),20,60)))</f>
        <v>0</v>
      </c>
      <c r="P15" s="273">
        <f>H15</f>
        <v>0</v>
      </c>
      <c r="Q15" s="272">
        <f>E15*D15</f>
        <v>0</v>
      </c>
      <c r="R15" s="274">
        <f>ROUNDUP((P15*$C15+Q15),0)</f>
        <v>0</v>
      </c>
      <c r="S15" s="270"/>
      <c r="T15" s="271" t="e">
        <f>ROUNDUP(G15*hr_cdg/12,0)</f>
        <v>#NAME?</v>
      </c>
      <c r="U15" s="271" t="e">
        <f>ROUNDUP((T15*0.2+Q15*(1-dcto_fix))/12,0)</f>
        <v>#NAME?</v>
      </c>
      <c r="V15" s="274" t="e">
        <f>T15+U15</f>
        <v>#NAME?</v>
      </c>
      <c r="W15" t="e">
        <f>V15*12</f>
        <v>#NAME?</v>
      </c>
    </row>
    <row r="16" spans="2:23" ht="15.75">
      <c r="B16" t="s">
        <v>9504</v>
      </c>
      <c r="C16" s="268">
        <v>90</v>
      </c>
      <c r="D16" s="268">
        <v>950</v>
      </c>
      <c r="E16" s="269">
        <v>0</v>
      </c>
      <c r="F16" s="270"/>
      <c r="G16" s="271">
        <f>IF($E16&gt;0,ROUNDUP((a*($E16-h)^(1/coef)+k),0),0)</f>
        <v>0</v>
      </c>
      <c r="H16" s="271">
        <f>IF($E16&gt;0,ROUNDDOWN((ah*($E16-hh)^(1/coefh)+kh),0),0)</f>
        <v>0</v>
      </c>
      <c r="J16" s="272">
        <f>IF($E16=0,0,(IF(AND($E16&gt;0,$E16&lt;4),10,20)))</f>
        <v>0</v>
      </c>
      <c r="K16" s="273">
        <f>IF(E16&gt;0,IF(($H16/12)*3&lt;4,4,(ROUNDUP((($H16/12)*3),0))),0)</f>
        <v>0</v>
      </c>
      <c r="L16" s="272">
        <f>0</f>
        <v>0</v>
      </c>
      <c r="M16" s="274">
        <f>ROUNDUP((C16*H16/12)*3,0)</f>
        <v>0</v>
      </c>
      <c r="N16" s="270"/>
      <c r="O16" s="272">
        <f>IF($E16=0,0,(IF(AND($E16&gt;0,$E16&lt;4),20,60)))</f>
        <v>0</v>
      </c>
      <c r="P16" s="273">
        <f>H16</f>
        <v>0</v>
      </c>
      <c r="Q16" s="272">
        <f>E16*D16</f>
        <v>0</v>
      </c>
      <c r="R16" s="274">
        <f>ROUNDUP((P16*$C16+Q16),0)</f>
        <v>0</v>
      </c>
      <c r="S16" s="270"/>
      <c r="T16" s="271" t="e">
        <f>ROUNDUP(G16*hr_cdg/12,0)</f>
        <v>#NAME?</v>
      </c>
      <c r="U16" s="271" t="e">
        <f>ROUNDUP((T16*0.2+Q16*(1-dcto_fix))/12,0)</f>
        <v>#NAME?</v>
      </c>
      <c r="V16" s="274" t="e">
        <f>T16+U16</f>
        <v>#NAME?</v>
      </c>
      <c r="W16" t="e">
        <f>V16*12</f>
        <v>#NAME?</v>
      </c>
    </row>
    <row r="17" spans="2:23" ht="15.75">
      <c r="B17" t="s">
        <v>9505</v>
      </c>
      <c r="C17" s="268">
        <v>90</v>
      </c>
      <c r="D17" s="268">
        <v>1000</v>
      </c>
      <c r="E17" s="269">
        <v>0</v>
      </c>
      <c r="F17" s="270"/>
      <c r="G17" s="271">
        <f>IF($E17&gt;0,ROUNDUP((a*($E17-h)^(1/coef)+k),0),0)</f>
        <v>0</v>
      </c>
      <c r="H17" s="271">
        <f>IF($E17&gt;0,ROUNDDOWN((ah*($E17-hh)^(1/coefh)+kh),0),0)</f>
        <v>0</v>
      </c>
      <c r="J17" s="272">
        <f>IF($E17=0,0,(IF(AND($E17&gt;0,$E17&lt;4),10,20)))</f>
        <v>0</v>
      </c>
      <c r="K17" s="273">
        <f>IF(E17&gt;0,IF(($H17/12)*3&lt;4,4,(ROUNDUP((($H17/12)*3),0))),0)</f>
        <v>0</v>
      </c>
      <c r="L17" s="272">
        <f>0</f>
        <v>0</v>
      </c>
      <c r="M17" s="274">
        <f>ROUNDUP((C17*H17/12)*3,0)</f>
        <v>0</v>
      </c>
      <c r="N17" s="270"/>
      <c r="O17" s="272">
        <f>IF($E17=0,0,(IF(AND($E17&gt;0,$E17&lt;4),20,60)))</f>
        <v>0</v>
      </c>
      <c r="P17" s="273">
        <f>H17</f>
        <v>0</v>
      </c>
      <c r="Q17" s="272">
        <f>E17*D17</f>
        <v>0</v>
      </c>
      <c r="R17" s="274">
        <f>ROUNDUP((P17*$C17+Q17),0)</f>
        <v>0</v>
      </c>
      <c r="S17" s="270"/>
      <c r="T17" s="271" t="e">
        <f>ROUNDUP(G17*hr_cdg/12,0)</f>
        <v>#NAME?</v>
      </c>
      <c r="U17" s="271" t="e">
        <f>ROUNDUP((T17*0.2+Q17*(1-dcto_fix))/12,0)</f>
        <v>#NAME?</v>
      </c>
      <c r="V17" s="274" t="e">
        <f>T17+U17</f>
        <v>#NAME?</v>
      </c>
      <c r="W17" t="e">
        <f>V17*12</f>
        <v>#NAME?</v>
      </c>
    </row>
    <row r="18" spans="2:23" ht="15.75">
      <c r="B18" t="s">
        <v>9506</v>
      </c>
      <c r="C18" s="268">
        <v>90</v>
      </c>
      <c r="D18" s="268">
        <v>450</v>
      </c>
      <c r="E18" s="269">
        <v>0</v>
      </c>
      <c r="F18" s="270"/>
      <c r="G18" s="271">
        <f>IF($E18&gt;0,ROUNDUP((a*($E18-h)^(1/coef)+k),0),0)</f>
        <v>0</v>
      </c>
      <c r="H18" s="271">
        <f>IF($E18&gt;0,ROUNDDOWN((ah*($E18-hh)^(1/coefh)+kh),0),0)</f>
        <v>0</v>
      </c>
      <c r="J18" s="272">
        <f>IF($E18=0,0,(IF(AND($E18&gt;0,$E18&lt;4),10,20)))</f>
        <v>0</v>
      </c>
      <c r="K18" s="273">
        <f>IF(E18&gt;0,IF(($H18/12)*3&lt;4,4,(ROUNDUP((($H18/12)*3),0))),0)</f>
        <v>0</v>
      </c>
      <c r="L18" s="272">
        <f>0</f>
        <v>0</v>
      </c>
      <c r="M18" s="274">
        <f>ROUNDUP((C18*H18/12)*3,0)</f>
        <v>0</v>
      </c>
      <c r="N18" s="270"/>
      <c r="O18" s="272">
        <f>IF($E18=0,0,(IF(AND($E18&gt;0,$E18&lt;4),20,60)))</f>
        <v>0</v>
      </c>
      <c r="P18" s="273">
        <f>H18</f>
        <v>0</v>
      </c>
      <c r="Q18" s="272">
        <f>E18*D18</f>
        <v>0</v>
      </c>
      <c r="R18" s="274">
        <f>ROUNDUP((P18*$C18+Q18),0)</f>
        <v>0</v>
      </c>
      <c r="S18" s="270"/>
      <c r="T18" s="271" t="e">
        <f>ROUNDUP(G18*hr_cdg/12,0)</f>
        <v>#NAME?</v>
      </c>
      <c r="U18" s="271" t="e">
        <f>ROUNDUP((T18*0.2+Q18*(1-dcto_fix))/12,0)</f>
        <v>#NAME?</v>
      </c>
      <c r="V18" s="274" t="e">
        <f>T18+U18</f>
        <v>#NAME?</v>
      </c>
      <c r="W18" t="e">
        <f>V18*12</f>
        <v>#NAME?</v>
      </c>
    </row>
    <row r="19" spans="2:23" ht="15.75">
      <c r="B19" s="257" t="s">
        <v>8443</v>
      </c>
      <c r="C19" s="275"/>
      <c r="D19" s="275"/>
      <c r="E19" s="269"/>
      <c r="F19" s="270"/>
      <c r="G19" s="271"/>
      <c r="H19" s="271"/>
      <c r="J19" s="272"/>
      <c r="K19" s="273"/>
      <c r="L19" s="272"/>
      <c r="M19" s="274"/>
      <c r="N19" s="270"/>
      <c r="O19" s="272"/>
      <c r="P19" s="272"/>
      <c r="Q19" s="272"/>
      <c r="R19" s="274"/>
      <c r="S19" s="270"/>
      <c r="T19" s="271"/>
      <c r="U19" s="271"/>
      <c r="V19" s="274"/>
    </row>
    <row r="20" spans="2:23" ht="15.75">
      <c r="B20" t="s">
        <v>9907</v>
      </c>
      <c r="C20" s="276">
        <v>65</v>
      </c>
      <c r="D20" s="276">
        <v>360</v>
      </c>
      <c r="E20" s="269">
        <v>0</v>
      </c>
      <c r="F20" s="270"/>
      <c r="G20" s="271">
        <f>IF($E20&gt;0,ROUNDUP((a*($E20-h)^(1/coef)+k),0),0)</f>
        <v>0</v>
      </c>
      <c r="H20" s="271">
        <f>IF($E20&gt;0,ROUNDDOWN((ah*($E20-hh)^(1/coefh)+kh),0),0)</f>
        <v>0</v>
      </c>
      <c r="J20" s="272">
        <f>IF($E20=0,0,(IF(AND($E20&gt;0,$E20&lt;4),10,20)))</f>
        <v>0</v>
      </c>
      <c r="K20" s="273">
        <f>IF(E20&gt;0,IF((G20/24)*3&lt;4,4,(ROUNDUP(((G20/24)*3),0))),0)</f>
        <v>0</v>
      </c>
      <c r="L20" s="272">
        <f>0</f>
        <v>0</v>
      </c>
      <c r="M20" s="274">
        <f>ROUNDUP((C20*H20/12)*3,0)</f>
        <v>0</v>
      </c>
      <c r="N20" s="270"/>
      <c r="O20" s="272">
        <f>IF($E20=0,0,(IF(AND($E20&gt;0,$E20&lt;4),20,60)))</f>
        <v>0</v>
      </c>
      <c r="P20" s="273">
        <f>G20/2</f>
        <v>0</v>
      </c>
      <c r="Q20" s="272">
        <f>E20*D20</f>
        <v>0</v>
      </c>
      <c r="R20" s="274">
        <f>ROUNDUP((P20*$C20+Q20),0)</f>
        <v>0</v>
      </c>
      <c r="S20" s="270"/>
      <c r="T20" s="271" t="e">
        <f>ROUNDUP(G20*hr_cdg/12,0)</f>
        <v>#NAME?</v>
      </c>
      <c r="U20" s="271" t="e">
        <f>ROUNDUP((T20*0.2+Q20*(1-dcto_fix))/12,0)</f>
        <v>#NAME?</v>
      </c>
      <c r="V20" s="274" t="e">
        <f>T20+U20</f>
        <v>#NAME?</v>
      </c>
      <c r="W20" t="e">
        <f>V20*12</f>
        <v>#NAME?</v>
      </c>
    </row>
    <row r="21" spans="2:23" ht="15.75">
      <c r="B21" t="s">
        <v>8444</v>
      </c>
      <c r="C21" s="276">
        <v>65</v>
      </c>
      <c r="D21" s="276">
        <v>240</v>
      </c>
      <c r="E21" s="269">
        <v>0</v>
      </c>
      <c r="F21" s="270"/>
      <c r="G21" s="271">
        <f>IF($E21&gt;0,ROUNDUP((a*($E21-h)^(1/coef)+k),0),0)</f>
        <v>0</v>
      </c>
      <c r="H21" s="271">
        <f>IF($E21&gt;0,ROUNDDOWN((ah*($E21-hh)^(1/coefh)+kh),0),0)</f>
        <v>0</v>
      </c>
      <c r="J21" s="272">
        <f>IF($E21=0,0,(IF(AND($E21&gt;0,$E21&lt;4),10,20)))</f>
        <v>0</v>
      </c>
      <c r="K21" s="273">
        <f>IF(E21&gt;0,IF((G21/24)*3&lt;4,4,(ROUNDUP(((G21/24)*3),0))),0)</f>
        <v>0</v>
      </c>
      <c r="L21" s="272">
        <f>0</f>
        <v>0</v>
      </c>
      <c r="M21" s="274">
        <f>ROUNDUP((C21*H21/12)*3,0)</f>
        <v>0</v>
      </c>
      <c r="N21" s="270"/>
      <c r="O21" s="272">
        <f>IF($E21=0,0,(IF(AND($E21&gt;0,$E21&lt;4),20,60)))</f>
        <v>0</v>
      </c>
      <c r="P21" s="273">
        <f>G21/2</f>
        <v>0</v>
      </c>
      <c r="Q21" s="272">
        <f>E21*D21</f>
        <v>0</v>
      </c>
      <c r="R21" s="274">
        <f>ROUNDUP((P21*$C21+Q21),0)</f>
        <v>0</v>
      </c>
      <c r="S21" s="270"/>
      <c r="T21" s="271" t="e">
        <f>ROUNDUP(G21*hr_cdg/12,0)</f>
        <v>#NAME?</v>
      </c>
      <c r="U21" s="271" t="e">
        <f>ROUNDUP((T21*0.2+Q21*(1-dcto_fix))/12,0)</f>
        <v>#NAME?</v>
      </c>
      <c r="V21" s="274" t="e">
        <f>T21+U21</f>
        <v>#NAME?</v>
      </c>
      <c r="W21" t="e">
        <f>V21*12</f>
        <v>#NAME?</v>
      </c>
    </row>
    <row r="22" spans="2:23" ht="15.75">
      <c r="B22" t="s">
        <v>8445</v>
      </c>
      <c r="C22" s="276">
        <v>90</v>
      </c>
      <c r="D22" s="276">
        <v>540</v>
      </c>
      <c r="E22" s="269">
        <v>0</v>
      </c>
      <c r="F22" s="270"/>
      <c r="G22" s="271">
        <f>IF($E22&gt;0,ROUNDUP((a*($E22-h)^(1/coef)+k),0),0)</f>
        <v>0</v>
      </c>
      <c r="H22" s="271">
        <f>IF($E22&gt;0,ROUNDDOWN((ah*($E22-hh)^(1/coefh)+kh),0),0)</f>
        <v>0</v>
      </c>
      <c r="J22" s="272">
        <f>IF($E22=0,0,(IF(AND($E22&gt;0,$E22&lt;4),10,20)))</f>
        <v>0</v>
      </c>
      <c r="K22" s="273">
        <f>IF(E22&gt;0,IF((G22/24)*3&lt;4,4,(ROUNDUP(((G22/24)*3),0))),0)</f>
        <v>0</v>
      </c>
      <c r="L22" s="272">
        <f>0</f>
        <v>0</v>
      </c>
      <c r="M22" s="274">
        <f>ROUNDUP((C22*H22/12)*3,0)</f>
        <v>0</v>
      </c>
      <c r="N22" s="270"/>
      <c r="O22" s="272">
        <f>IF($E22=0,0,(IF(AND($E22&gt;0,$E22&lt;4),20,60)))</f>
        <v>0</v>
      </c>
      <c r="P22" s="273">
        <f>G22/2</f>
        <v>0</v>
      </c>
      <c r="Q22" s="272">
        <f>E22*D22</f>
        <v>0</v>
      </c>
      <c r="R22" s="274">
        <f>ROUNDUP((P22*$C22+Q22),0)</f>
        <v>0</v>
      </c>
      <c r="S22" s="270"/>
      <c r="T22" s="271" t="e">
        <f>ROUNDUP(G22*hr_cdg/12,0)</f>
        <v>#NAME?</v>
      </c>
      <c r="U22" s="271" t="e">
        <f>ROUNDUP((T22*0.2+Q22*(1-dcto_fix))/12,0)</f>
        <v>#NAME?</v>
      </c>
      <c r="V22" s="274" t="e">
        <f>T22+U22</f>
        <v>#NAME?</v>
      </c>
      <c r="W22" t="e">
        <f>V22*12</f>
        <v>#NAME?</v>
      </c>
    </row>
    <row r="23" spans="2:23" ht="15.75">
      <c r="B23" t="s">
        <v>8446</v>
      </c>
      <c r="C23" s="276">
        <v>90</v>
      </c>
      <c r="D23" s="276">
        <v>720</v>
      </c>
      <c r="E23" s="269">
        <v>0</v>
      </c>
      <c r="F23" s="270"/>
      <c r="G23" s="271">
        <f>IF($E23&gt;0,ROUNDUP((a*($E23-h)^(1/coef)+k),0),0)</f>
        <v>0</v>
      </c>
      <c r="H23" s="271">
        <f>IF($E23&gt;0,ROUNDDOWN((ah*($E23-hh)^(1/coefh)+kh),0),0)</f>
        <v>0</v>
      </c>
      <c r="J23" s="272">
        <f>IF($E23=0,0,(IF(AND($E23&gt;0,$E23&lt;4),10,20)))</f>
        <v>0</v>
      </c>
      <c r="K23" s="273">
        <f>IF(E23&gt;0,IF((G23/24)*3&lt;4,4,(ROUNDUP(((G23/24)*3),0))),0)</f>
        <v>0</v>
      </c>
      <c r="L23" s="272">
        <f>0</f>
        <v>0</v>
      </c>
      <c r="M23" s="274">
        <f>ROUNDUP((C23*H23/12)*3,0)</f>
        <v>0</v>
      </c>
      <c r="N23" s="270"/>
      <c r="O23" s="272">
        <f>IF($E23=0,0,(IF(AND($E23&gt;0,$E23&lt;4),20,60)))</f>
        <v>0</v>
      </c>
      <c r="P23" s="273">
        <f>G23/2</f>
        <v>0</v>
      </c>
      <c r="Q23" s="272">
        <f>E23*D23</f>
        <v>0</v>
      </c>
      <c r="R23" s="274">
        <f>ROUNDUP((P23*$C23+Q23),0)</f>
        <v>0</v>
      </c>
      <c r="S23" s="270"/>
      <c r="T23" s="271" t="e">
        <f>ROUNDUP(G23*hr_cdg/12,0)</f>
        <v>#NAME?</v>
      </c>
      <c r="U23" s="271" t="e">
        <f>ROUNDUP((T23*0.2+Q23*(1-dcto_fix))/12,0)</f>
        <v>#NAME?</v>
      </c>
      <c r="V23" s="274" t="e">
        <f>T23+U23</f>
        <v>#NAME?</v>
      </c>
      <c r="W23" t="e">
        <f>V23*12</f>
        <v>#NAME?</v>
      </c>
    </row>
    <row r="24" spans="2:23" ht="15.75">
      <c r="B24" t="s">
        <v>8405</v>
      </c>
      <c r="C24" s="276">
        <v>90</v>
      </c>
      <c r="D24" s="276">
        <v>720</v>
      </c>
      <c r="E24" s="269">
        <v>0</v>
      </c>
      <c r="F24" s="270"/>
      <c r="G24" s="271">
        <f>IF($E24&gt;0,ROUNDUP((a*($E24-h)^(1/coef)+k),0),0)</f>
        <v>0</v>
      </c>
      <c r="H24" s="271">
        <f>IF($E24&gt;0,ROUNDDOWN((ah*($E24-hh)^(1/coefh)+kh),0),0)</f>
        <v>0</v>
      </c>
      <c r="J24" s="272">
        <f>IF($E24=0,0,(IF(AND($E24&gt;0,$E24&lt;4),10,20)))</f>
        <v>0</v>
      </c>
      <c r="K24" s="273">
        <f>IF(E24&gt;0,IF((G24/24)*3&lt;4,4,(ROUNDUP(((G24/24)*3),0))),0)</f>
        <v>0</v>
      </c>
      <c r="L24" s="272">
        <f>0</f>
        <v>0</v>
      </c>
      <c r="M24" s="274">
        <f>ROUNDUP((C24*H24/12)*3,0)</f>
        <v>0</v>
      </c>
      <c r="N24" s="270"/>
      <c r="O24" s="272">
        <f>IF($E24=0,0,(IF(AND($E24&gt;0,$E24&lt;4),20,60)))</f>
        <v>0</v>
      </c>
      <c r="P24" s="273">
        <f>G24/2</f>
        <v>0</v>
      </c>
      <c r="Q24" s="272">
        <f>E24*D24</f>
        <v>0</v>
      </c>
      <c r="R24" s="274">
        <f>ROUNDUP((P24*$C24+Q24),0)</f>
        <v>0</v>
      </c>
      <c r="S24" s="270"/>
      <c r="T24" s="271" t="e">
        <f>ROUNDUP(G24*hr_cdg/12,0)</f>
        <v>#NAME?</v>
      </c>
      <c r="U24" s="271" t="e">
        <f>ROUNDUP((T24*0.2+Q24*(1-dcto_fix))/12,0)</f>
        <v>#NAME?</v>
      </c>
      <c r="V24" s="274" t="e">
        <f>T24+U24</f>
        <v>#NAME?</v>
      </c>
      <c r="W24" t="e">
        <f>V24*12</f>
        <v>#NAME?</v>
      </c>
    </row>
    <row r="25" spans="2:23" ht="15.75">
      <c r="B25" s="257" t="s">
        <v>8447</v>
      </c>
      <c r="C25" s="275"/>
      <c r="D25" s="275"/>
      <c r="E25" s="269"/>
      <c r="F25" s="270"/>
      <c r="G25" s="271"/>
      <c r="H25" s="271"/>
      <c r="J25" s="272"/>
      <c r="K25" s="273"/>
      <c r="L25" s="272"/>
      <c r="M25" s="274"/>
      <c r="N25" s="270"/>
      <c r="O25" s="272"/>
      <c r="P25" s="272"/>
      <c r="Q25" s="272"/>
      <c r="R25" s="274"/>
      <c r="S25" s="270"/>
      <c r="T25" s="271"/>
      <c r="U25" s="271"/>
      <c r="V25" s="274"/>
    </row>
    <row r="26" spans="2:23" ht="15.75">
      <c r="B26" t="s">
        <v>8556</v>
      </c>
      <c r="C26" s="276"/>
      <c r="D26" s="276"/>
      <c r="E26" s="269">
        <v>0</v>
      </c>
      <c r="F26" s="270"/>
      <c r="G26" s="271"/>
      <c r="H26" s="271"/>
      <c r="J26" s="272"/>
      <c r="K26" s="273"/>
      <c r="L26" s="272"/>
      <c r="M26" s="274"/>
      <c r="N26" s="270"/>
      <c r="O26" s="272"/>
      <c r="P26" s="273"/>
      <c r="Q26" s="272"/>
      <c r="R26" s="274"/>
      <c r="S26" s="270"/>
      <c r="T26" s="271"/>
      <c r="U26" s="271"/>
      <c r="V26" s="274"/>
    </row>
    <row r="27" spans="2:23" ht="15.75">
      <c r="B27" s="257" t="s">
        <v>2852</v>
      </c>
      <c r="C27" s="275"/>
      <c r="D27" s="275"/>
      <c r="E27" s="269"/>
      <c r="F27" s="270"/>
      <c r="G27" s="271"/>
      <c r="H27" s="271"/>
      <c r="J27" s="272"/>
      <c r="K27" s="273"/>
      <c r="L27" s="272"/>
      <c r="M27" s="274"/>
      <c r="N27" s="270"/>
      <c r="O27" s="272"/>
      <c r="P27" s="272"/>
      <c r="Q27" s="272"/>
      <c r="R27" s="274"/>
      <c r="S27" s="270"/>
      <c r="T27" s="271"/>
      <c r="U27" s="271"/>
      <c r="V27" s="274"/>
    </row>
    <row r="28" spans="2:23" ht="15.75">
      <c r="B28" s="228" t="s">
        <v>8448</v>
      </c>
      <c r="C28" s="276">
        <v>120</v>
      </c>
      <c r="D28" s="276">
        <v>720</v>
      </c>
      <c r="E28" s="269">
        <v>0</v>
      </c>
      <c r="F28" s="270"/>
      <c r="G28" s="271">
        <f>IF($E28&gt;0,ROUNDUP((a*($E28-h)^(1/coef)+k)*4,0),0)</f>
        <v>0</v>
      </c>
      <c r="H28" s="271">
        <f>IF($E28&gt;0,ROUNDDOWN((ah*($E28-hh)^(1/coefh)+kh),0),0)</f>
        <v>0</v>
      </c>
      <c r="J28" s="272">
        <f>IF(E28=0,0,(IF(AND(E28&gt;0,E28&lt;4),20,60)))</f>
        <v>0</v>
      </c>
      <c r="K28" s="273">
        <f>IF(E28&gt;0,ROUNDDOWN(a*(E28-h)^(1/coef)+k,0),0)</f>
        <v>0</v>
      </c>
      <c r="L28" s="272">
        <f>0</f>
        <v>0</v>
      </c>
      <c r="M28" s="274">
        <f>ROUNDUP(((K28*C28)/12)*3,0)</f>
        <v>0</v>
      </c>
      <c r="N28" s="270"/>
      <c r="O28" s="272">
        <f>IF($E28=0,0,(IF(AND($E28&gt;0,$E28&lt;4),20,60)))</f>
        <v>0</v>
      </c>
      <c r="P28" s="273">
        <f>G28/2</f>
        <v>0</v>
      </c>
      <c r="Q28" s="272">
        <f>E28*D28</f>
        <v>0</v>
      </c>
      <c r="R28" s="274">
        <f>ROUNDUP((P28*$C28+Q28),0)</f>
        <v>0</v>
      </c>
      <c r="S28" s="270"/>
      <c r="T28" s="271" t="e">
        <f>ROUNDUP(G28*hr_cdg/12,0)</f>
        <v>#NAME?</v>
      </c>
      <c r="U28" s="271" t="e">
        <f>ROUNDUP((T28*0.2+Q28*(1-dcto_fix))/12,0)</f>
        <v>#NAME?</v>
      </c>
      <c r="V28" s="274" t="e">
        <f>T28+U28</f>
        <v>#NAME?</v>
      </c>
      <c r="W28" t="e">
        <f>V28*12</f>
        <v>#NAME?</v>
      </c>
    </row>
    <row r="29" spans="2:23" ht="15.75">
      <c r="B29" t="s">
        <v>8449</v>
      </c>
      <c r="C29" s="276">
        <v>90</v>
      </c>
      <c r="D29" s="276">
        <v>720</v>
      </c>
      <c r="E29" s="269">
        <v>0</v>
      </c>
      <c r="F29" s="270"/>
      <c r="G29" s="271">
        <f>IF($E29&gt;0,ROUNDUP((a*($E29-h)^(1/coef)+k)*5,0),0)</f>
        <v>0</v>
      </c>
      <c r="H29" s="271">
        <f>IF($E29&gt;0,ROUNDDOWN((ah*($E29-hh)^(1/coefh)+kh),0),0)</f>
        <v>0</v>
      </c>
      <c r="J29" s="272">
        <f>IF(E29=0,0,(IF(AND(E29&gt;0,E29&lt;4),20,60)))</f>
        <v>0</v>
      </c>
      <c r="K29" s="273">
        <f>IF(E29&gt;0,ROUNDDOWN(a*(E29-h)^(1/coef)+k,0),0)</f>
        <v>0</v>
      </c>
      <c r="L29" s="272">
        <f>0</f>
        <v>0</v>
      </c>
      <c r="M29" s="274">
        <f>ROUNDUP(((K29*C29)/12)*3,0)</f>
        <v>0</v>
      </c>
      <c r="N29" s="270"/>
      <c r="O29" s="272">
        <f>IF($E29=0,0,(IF(AND($E29&gt;0,$E29&lt;4),20,60)))</f>
        <v>0</v>
      </c>
      <c r="P29" s="273">
        <f>G29/2</f>
        <v>0</v>
      </c>
      <c r="Q29" s="272">
        <f>E29*D29</f>
        <v>0</v>
      </c>
      <c r="R29" s="274">
        <f>ROUNDUP((P29*$C29+Q29),0)</f>
        <v>0</v>
      </c>
      <c r="S29" s="270"/>
      <c r="T29" s="271" t="e">
        <f>ROUNDUP(G29*hr_cdg/12,0)</f>
        <v>#NAME?</v>
      </c>
      <c r="U29" s="271" t="e">
        <f>ROUNDUP((T29*0.2+Q29*(1-dcto_fix))/12,0)</f>
        <v>#NAME?</v>
      </c>
      <c r="V29" s="274" t="e">
        <f>T29+U29</f>
        <v>#NAME?</v>
      </c>
      <c r="W29" t="e">
        <f>V29*12</f>
        <v>#NAME?</v>
      </c>
    </row>
    <row r="30" spans="2:23" ht="15.75">
      <c r="B30" t="s">
        <v>9507</v>
      </c>
      <c r="C30" s="276">
        <v>65</v>
      </c>
      <c r="D30" s="276">
        <v>200</v>
      </c>
      <c r="E30" s="269">
        <v>0</v>
      </c>
      <c r="F30" s="270"/>
      <c r="G30" s="271">
        <f>IF($E30&gt;0,ROUNDUP((a*($E30-h)^(1/coef)+k),0),0)</f>
        <v>0</v>
      </c>
      <c r="H30" s="271">
        <f>IF($E30&gt;0,ROUNDDOWN((ah*($E30-hh)^(1/coefh)+kh),0),0)</f>
        <v>0</v>
      </c>
      <c r="J30" s="272">
        <f>IF(E30=0,0,(IF(AND(E30&gt;0,E30&lt;4),20,60)))</f>
        <v>0</v>
      </c>
      <c r="K30" s="273">
        <f>IF(E30&gt;0,ROUNDDOWN(a*(E30-h)^(1/coef)+k,0),0)</f>
        <v>0</v>
      </c>
      <c r="L30" s="272">
        <f>0</f>
        <v>0</v>
      </c>
      <c r="M30" s="274">
        <f>ROUNDUP(((K30*C30)/12)*3,0)</f>
        <v>0</v>
      </c>
      <c r="N30" s="270"/>
      <c r="O30" s="272">
        <f>IF($E30=0,0,(IF(AND($E30&gt;0,$E30&lt;4),20,60)))</f>
        <v>0</v>
      </c>
      <c r="P30" s="273">
        <f>G30/2</f>
        <v>0</v>
      </c>
      <c r="Q30" s="272">
        <f>E30*D30</f>
        <v>0</v>
      </c>
      <c r="R30" s="274">
        <f>ROUNDUP((P30*$C30+Q30),0)</f>
        <v>0</v>
      </c>
      <c r="S30" s="270"/>
      <c r="T30" s="271" t="e">
        <f>ROUNDUP(G30*hr_cdg/12,0)</f>
        <v>#NAME?</v>
      </c>
      <c r="U30" s="271" t="e">
        <f>ROUNDUP((T30*0.2+Q30*(1-dcto_fix))/12,0)</f>
        <v>#NAME?</v>
      </c>
      <c r="V30" s="274" t="e">
        <f>T30+U30</f>
        <v>#NAME?</v>
      </c>
      <c r="W30" t="e">
        <f>V30*12</f>
        <v>#NAME?</v>
      </c>
    </row>
    <row r="31" spans="2:23" ht="15.75">
      <c r="B31" t="s">
        <v>9508</v>
      </c>
      <c r="C31" s="276">
        <v>65</v>
      </c>
      <c r="D31" s="276">
        <v>280</v>
      </c>
      <c r="E31" s="269">
        <v>0</v>
      </c>
      <c r="F31" s="270"/>
      <c r="G31" s="271">
        <f>IF($E31&gt;0,ROUNDUP((a*($E31-h)^(1/coef)+k),0),0)</f>
        <v>0</v>
      </c>
      <c r="H31" s="271">
        <f>IF($E31&gt;0,ROUNDDOWN((ah*($E31-hh)^(1/coefh)+kh),0),0)</f>
        <v>0</v>
      </c>
      <c r="J31" s="272">
        <f>IF($E31=0,0,(IF(AND($E31&gt;0,$E31&lt;4),10,20)))</f>
        <v>0</v>
      </c>
      <c r="K31" s="273">
        <f>IF(E31&gt;0,IF(($H31/12)*3&lt;4,4,(ROUNDUP((($H31/12)*3),0))),0)</f>
        <v>0</v>
      </c>
      <c r="L31" s="272">
        <f>0</f>
        <v>0</v>
      </c>
      <c r="M31" s="274">
        <f>ROUNDUP((C31*H31/12)*3,0)</f>
        <v>0</v>
      </c>
      <c r="N31" s="270"/>
      <c r="O31" s="272">
        <f>IF($E31=0,0,(IF(AND($E31&gt;0,$E31&lt;4),20,60)))</f>
        <v>0</v>
      </c>
      <c r="P31" s="273">
        <f>H31</f>
        <v>0</v>
      </c>
      <c r="Q31" s="272">
        <f>E31*D31</f>
        <v>0</v>
      </c>
      <c r="R31" s="274">
        <f>ROUNDUP((P31*$C31+Q31),0)</f>
        <v>0</v>
      </c>
      <c r="S31" s="270"/>
      <c r="T31" s="271" t="e">
        <f>ROUNDUP(G31*hr_cdg/12,0)</f>
        <v>#NAME?</v>
      </c>
      <c r="U31" s="271" t="e">
        <f>ROUNDUP((T31*0.2+Q31*(1-dcto_fix))/12,0)</f>
        <v>#NAME?</v>
      </c>
      <c r="V31" s="274" t="e">
        <f>T31+U31</f>
        <v>#NAME?</v>
      </c>
      <c r="W31" t="e">
        <f>V31*12</f>
        <v>#NAME?</v>
      </c>
    </row>
    <row r="32" spans="2:23" ht="15.75">
      <c r="B32" t="s">
        <v>9509</v>
      </c>
      <c r="C32" s="276">
        <v>90</v>
      </c>
      <c r="D32" s="276">
        <v>300</v>
      </c>
      <c r="E32" s="269">
        <v>0</v>
      </c>
      <c r="F32" s="270"/>
      <c r="G32" s="271">
        <f>IF($E32&gt;0,ROUNDUP((a*($E32-h)^(1/coef)+k),0),0)</f>
        <v>0</v>
      </c>
      <c r="H32" s="271">
        <f>IF($E32&gt;0,ROUNDDOWN((ah*($E32-hh)^(1/coefh)+kh),0),0)</f>
        <v>0</v>
      </c>
      <c r="J32" s="272">
        <f>IF($E32=0,0,(IF(AND($E32&gt;0,$E32&lt;4),10,20)))</f>
        <v>0</v>
      </c>
      <c r="K32" s="273">
        <f>IF(E32&gt;0,IF(($H32/12)*3&lt;4,4,(ROUNDUP((($H32/12)*3),0))),0)</f>
        <v>0</v>
      </c>
      <c r="L32" s="272">
        <f>0</f>
        <v>0</v>
      </c>
      <c r="M32" s="274">
        <f>ROUNDUP((C32*H32/12)*3,0)</f>
        <v>0</v>
      </c>
      <c r="N32" s="270"/>
      <c r="O32" s="272">
        <f>IF($E32=0,0,(IF(AND($E32&gt;0,$E32&lt;4),20,60)))</f>
        <v>0</v>
      </c>
      <c r="P32" s="273">
        <f>H32</f>
        <v>0</v>
      </c>
      <c r="Q32" s="272">
        <f>E32*D32</f>
        <v>0</v>
      </c>
      <c r="R32" s="274">
        <f>ROUNDUP((P32*$C32+Q32),0)</f>
        <v>0</v>
      </c>
      <c r="S32" s="270"/>
      <c r="T32" s="271" t="e">
        <f>ROUNDUP(G32*hr_cdg/12,0)</f>
        <v>#NAME?</v>
      </c>
      <c r="U32" s="271" t="e">
        <f>ROUNDUP((T32*0.2+Q32*(1-dcto_fix))/12,0)</f>
        <v>#NAME?</v>
      </c>
      <c r="V32" s="274" t="e">
        <f>T32+U32</f>
        <v>#NAME?</v>
      </c>
      <c r="W32" t="e">
        <f>V32*12</f>
        <v>#NAME?</v>
      </c>
    </row>
    <row r="33" spans="2:23" ht="15.75">
      <c r="B33" s="257" t="s">
        <v>8450</v>
      </c>
      <c r="C33" s="275"/>
      <c r="D33" s="275"/>
      <c r="E33" s="269"/>
      <c r="F33" s="270"/>
      <c r="G33" s="271"/>
      <c r="H33" s="271"/>
      <c r="J33" s="272"/>
      <c r="K33" s="273"/>
      <c r="L33" s="272"/>
      <c r="M33" s="274"/>
      <c r="N33" s="270"/>
      <c r="O33" s="272"/>
      <c r="P33" s="272"/>
      <c r="Q33" s="272"/>
      <c r="R33" s="274"/>
      <c r="S33" s="270"/>
      <c r="T33" s="271"/>
      <c r="U33" s="271"/>
      <c r="V33" s="274"/>
    </row>
    <row r="34" spans="2:23" ht="15.75">
      <c r="B34" t="s">
        <v>9510</v>
      </c>
      <c r="C34" s="276">
        <v>90</v>
      </c>
      <c r="D34" s="276">
        <v>720</v>
      </c>
      <c r="E34" s="269">
        <v>0</v>
      </c>
      <c r="F34" s="270"/>
      <c r="G34" s="271">
        <f>IF($E34&gt;0,ROUNDUP((a*($E34-h)^(1/coef)+k)*4,0),0)</f>
        <v>0</v>
      </c>
      <c r="H34" s="271">
        <f>IF($E34&gt;0,ROUNDDOWN((ah*($E34-hh)^(1/coefh)+kh),0),0)</f>
        <v>0</v>
      </c>
      <c r="J34" s="272">
        <f>IF(E34=0,0,(IF(AND(E34&gt;0,E34&lt;4),20,60)))</f>
        <v>0</v>
      </c>
      <c r="K34" s="273">
        <f>IF(E34&gt;0,ROUNDDOWN(a*(E34-h)^(1/coef)+k,0),0)</f>
        <v>0</v>
      </c>
      <c r="L34" s="272">
        <f>0</f>
        <v>0</v>
      </c>
      <c r="M34" s="274">
        <f>ROUNDUP(((K34*C34)/12)*3,0)</f>
        <v>0</v>
      </c>
      <c r="N34" s="270"/>
      <c r="O34" s="272">
        <f>IF($E34=0,0,(IF(AND($E34&gt;0,$E34&lt;4),20,60)))</f>
        <v>0</v>
      </c>
      <c r="P34" s="273">
        <f>G34/2</f>
        <v>0</v>
      </c>
      <c r="Q34" s="272">
        <f>E34*D34</f>
        <v>0</v>
      </c>
      <c r="R34" s="274">
        <f>ROUNDUP((P34*$C34+Q34),0)</f>
        <v>0</v>
      </c>
      <c r="S34" s="270"/>
      <c r="T34" s="271" t="e">
        <f>ROUNDUP(G34*hr_cdg/12,0)</f>
        <v>#NAME?</v>
      </c>
      <c r="U34" s="271" t="e">
        <f>ROUNDUP((T34*0.2+Q34*(1-dcto_fix))/12,0)</f>
        <v>#NAME?</v>
      </c>
      <c r="V34" s="274" t="e">
        <f>T34+U34</f>
        <v>#NAME?</v>
      </c>
      <c r="W34" t="e">
        <f>V34*12</f>
        <v>#NAME?</v>
      </c>
    </row>
    <row r="35" spans="2:23" ht="18.75">
      <c r="C35" s="20"/>
      <c r="D35" s="20"/>
      <c r="K35" s="259"/>
      <c r="M35" s="277">
        <f>SUM(M9:M34)</f>
        <v>0</v>
      </c>
      <c r="N35" s="278"/>
      <c r="O35" s="278"/>
      <c r="P35" s="278"/>
      <c r="Q35" s="279" t="s">
        <v>179</v>
      </c>
      <c r="R35" s="277">
        <f>SUM(R9:R34)</f>
        <v>0</v>
      </c>
      <c r="S35" s="278"/>
      <c r="T35" s="278" t="e">
        <f>SUM(T9:T34)</f>
        <v>#NAME?</v>
      </c>
      <c r="U35" s="278" t="e">
        <f>SUM(U9:U34)</f>
        <v>#NAME?</v>
      </c>
      <c r="V35" s="277" t="e">
        <f>SUM(V9:V34)</f>
        <v>#NAME?</v>
      </c>
      <c r="W35" t="s">
        <v>179</v>
      </c>
    </row>
    <row r="36" spans="2:23">
      <c r="C36" s="20"/>
      <c r="D36" s="20"/>
      <c r="G36" t="s">
        <v>179</v>
      </c>
      <c r="K36" s="259"/>
      <c r="T36" s="261" t="e">
        <f>IF($V$35&gt;0, T35/$V$35,0)</f>
        <v>#NAME?</v>
      </c>
      <c r="U36" s="261" t="e">
        <f>IF($V$35&gt;0, U35/$V$35,0)</f>
        <v>#NAME?</v>
      </c>
      <c r="V36" s="280" t="s">
        <v>179</v>
      </c>
    </row>
    <row r="37" spans="2:23">
      <c r="C37" s="20"/>
      <c r="D37" s="20"/>
      <c r="G37" s="281" t="s">
        <v>179</v>
      </c>
      <c r="K37" s="259"/>
      <c r="R37" s="282" t="s">
        <v>179</v>
      </c>
      <c r="U37" s="283" t="s">
        <v>179</v>
      </c>
      <c r="V37" s="284" t="s">
        <v>179</v>
      </c>
    </row>
    <row r="38" spans="2:23">
      <c r="C38" s="20"/>
      <c r="D38" s="20"/>
      <c r="K38" s="259"/>
    </row>
    <row r="39" spans="2:23">
      <c r="C39" s="20"/>
      <c r="D39" s="20"/>
      <c r="K39" s="259"/>
    </row>
    <row r="40" spans="2:23">
      <c r="C40" s="20"/>
      <c r="D40" s="20"/>
      <c r="K40" s="259"/>
    </row>
    <row r="41" spans="2:23">
      <c r="C41" s="20"/>
      <c r="D41" s="20"/>
      <c r="K41" s="259"/>
    </row>
    <row r="42" spans="2:23">
      <c r="C42" s="20"/>
      <c r="D42" s="20"/>
      <c r="K42" s="259"/>
    </row>
    <row r="43" spans="2:23">
      <c r="C43" s="20"/>
      <c r="D43" s="20"/>
      <c r="K43" s="259"/>
    </row>
    <row r="44" spans="2:23">
      <c r="C44" s="20"/>
      <c r="D44" s="20"/>
      <c r="K44" s="259"/>
    </row>
    <row r="45" spans="2:23">
      <c r="C45" s="20"/>
      <c r="D45" s="20"/>
      <c r="K45" s="259"/>
    </row>
    <row r="46" spans="2:23">
      <c r="C46" s="20"/>
      <c r="D46" s="20"/>
      <c r="K46" s="259"/>
    </row>
    <row r="47" spans="2:23">
      <c r="C47" s="20"/>
      <c r="D47" s="20"/>
      <c r="K47" s="259"/>
    </row>
    <row r="48" spans="2:23">
      <c r="C48" s="20"/>
      <c r="D48" s="20"/>
      <c r="K48" s="259"/>
    </row>
    <row r="49" spans="3:11">
      <c r="C49" s="20"/>
      <c r="D49" s="20"/>
      <c r="K49" s="259"/>
    </row>
    <row r="50" spans="3:11">
      <c r="C50" s="20"/>
      <c r="D50" s="20"/>
      <c r="K50" s="259"/>
    </row>
    <row r="51" spans="3:11">
      <c r="C51" s="20"/>
      <c r="D51" s="20"/>
      <c r="K51" s="259"/>
    </row>
    <row r="52" spans="3:11">
      <c r="C52" s="20"/>
      <c r="D52" s="20"/>
      <c r="K52" s="259"/>
    </row>
    <row r="53" spans="3:11">
      <c r="C53" s="20"/>
      <c r="D53" s="20"/>
      <c r="K53" s="25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D294"/>
  <sheetViews>
    <sheetView workbookViewId="0"/>
  </sheetViews>
  <sheetFormatPr baseColWidth="10" defaultRowHeight="15"/>
  <sheetData>
    <row r="4" spans="2:2">
      <c r="B4" s="18" t="s">
        <v>141</v>
      </c>
    </row>
    <row r="5" spans="2:2">
      <c r="B5" t="s">
        <v>142</v>
      </c>
    </row>
    <row r="6" spans="2:2">
      <c r="B6" t="s">
        <v>143</v>
      </c>
    </row>
    <row r="7" spans="2:2">
      <c r="B7" t="s">
        <v>144</v>
      </c>
    </row>
    <row r="8" spans="2:2">
      <c r="B8" t="s">
        <v>8478</v>
      </c>
    </row>
    <row r="11" spans="2:2">
      <c r="B11" s="18" t="s">
        <v>8481</v>
      </c>
    </row>
    <row r="12" spans="2:2">
      <c r="B12" s="20" t="s">
        <v>21</v>
      </c>
    </row>
    <row r="13" spans="2:2">
      <c r="B13" s="20" t="s">
        <v>18</v>
      </c>
    </row>
    <row r="14" spans="2:2" ht="30">
      <c r="B14" s="20" t="s">
        <v>133</v>
      </c>
    </row>
    <row r="15" spans="2:2">
      <c r="B15" s="20" t="s">
        <v>8477</v>
      </c>
    </row>
    <row r="16" spans="2:2">
      <c r="B16" s="20" t="s">
        <v>136</v>
      </c>
    </row>
    <row r="19" spans="2:3">
      <c r="B19" s="313" t="s">
        <v>8490</v>
      </c>
      <c r="C19" s="327" t="s">
        <v>14041</v>
      </c>
    </row>
    <row r="23" spans="2:3">
      <c r="B23" s="18" t="s">
        <v>145</v>
      </c>
    </row>
    <row r="24" spans="2:3" ht="30">
      <c r="B24" s="20" t="s">
        <v>130</v>
      </c>
    </row>
    <row r="25" spans="2:3" ht="30">
      <c r="B25" s="20" t="s">
        <v>131</v>
      </c>
    </row>
    <row r="26" spans="2:3" ht="30">
      <c r="B26" s="20" t="s">
        <v>132</v>
      </c>
    </row>
    <row r="27" spans="2:3" ht="30">
      <c r="B27" s="20" t="s">
        <v>19</v>
      </c>
    </row>
    <row r="28" spans="2:3" ht="30">
      <c r="B28" s="20" t="s">
        <v>134</v>
      </c>
    </row>
    <row r="29" spans="2:3">
      <c r="B29" s="20" t="s">
        <v>146</v>
      </c>
    </row>
    <row r="30" spans="2:3">
      <c r="B30" s="20" t="s">
        <v>22</v>
      </c>
    </row>
    <row r="31" spans="2:3">
      <c r="B31" s="20" t="s">
        <v>135</v>
      </c>
    </row>
    <row r="32" spans="2:3">
      <c r="B32" s="20" t="s">
        <v>137</v>
      </c>
    </row>
    <row r="33" spans="2:2" ht="30">
      <c r="B33" s="20" t="s">
        <v>138</v>
      </c>
    </row>
    <row r="34" spans="2:2">
      <c r="B34" s="20" t="s">
        <v>139</v>
      </c>
    </row>
    <row r="35" spans="2:2" ht="30">
      <c r="B35" s="20" t="s">
        <v>140</v>
      </c>
    </row>
    <row r="38" spans="2:2" ht="45">
      <c r="B38" s="19" t="s">
        <v>8482</v>
      </c>
    </row>
    <row r="39" spans="2:2" ht="30">
      <c r="B39" s="20" t="s">
        <v>2280</v>
      </c>
    </row>
    <row r="40" spans="2:2" ht="30">
      <c r="B40" s="20" t="s">
        <v>2281</v>
      </c>
    </row>
    <row r="41" spans="2:2">
      <c r="B41" t="s">
        <v>147</v>
      </c>
    </row>
    <row r="42" spans="2:2">
      <c r="B42" t="s">
        <v>148</v>
      </c>
    </row>
    <row r="43" spans="2:2">
      <c r="B43" t="s">
        <v>149</v>
      </c>
    </row>
    <row r="44" spans="2:2">
      <c r="B44" t="s">
        <v>150</v>
      </c>
    </row>
    <row r="45" spans="2:2">
      <c r="B45" t="s">
        <v>151</v>
      </c>
    </row>
    <row r="46" spans="2:2">
      <c r="B46" t="s">
        <v>152</v>
      </c>
    </row>
    <row r="50" spans="2:3">
      <c r="B50" s="18" t="s">
        <v>153</v>
      </c>
      <c r="C50" s="49" t="s">
        <v>2736</v>
      </c>
    </row>
    <row r="51" spans="2:3">
      <c r="B51" t="s">
        <v>193</v>
      </c>
      <c r="C51" t="s">
        <v>2737</v>
      </c>
    </row>
    <row r="52" spans="2:3">
      <c r="B52" t="s">
        <v>194</v>
      </c>
      <c r="C52" t="s">
        <v>2737</v>
      </c>
    </row>
    <row r="53" spans="2:3">
      <c r="B53" t="s">
        <v>200</v>
      </c>
      <c r="C53" t="s">
        <v>2737</v>
      </c>
    </row>
    <row r="54" spans="2:3">
      <c r="B54" t="s">
        <v>214</v>
      </c>
      <c r="C54" t="s">
        <v>2737</v>
      </c>
    </row>
    <row r="55" spans="2:3">
      <c r="B55" t="s">
        <v>195</v>
      </c>
      <c r="C55" t="s">
        <v>2737</v>
      </c>
    </row>
    <row r="56" spans="2:3">
      <c r="B56" t="s">
        <v>212</v>
      </c>
      <c r="C56" t="s">
        <v>2737</v>
      </c>
    </row>
    <row r="57" spans="2:3">
      <c r="B57" t="s">
        <v>202</v>
      </c>
      <c r="C57" t="s">
        <v>2737</v>
      </c>
    </row>
    <row r="58" spans="2:3">
      <c r="B58" t="s">
        <v>8489</v>
      </c>
      <c r="C58" t="s">
        <v>2737</v>
      </c>
    </row>
    <row r="59" spans="2:3">
      <c r="B59" s="176" t="s">
        <v>8561</v>
      </c>
      <c r="C59" t="s">
        <v>2737</v>
      </c>
    </row>
    <row r="60" spans="2:3">
      <c r="B60" t="s">
        <v>210</v>
      </c>
      <c r="C60" t="s">
        <v>2737</v>
      </c>
    </row>
    <row r="61" spans="2:3">
      <c r="B61" t="s">
        <v>196</v>
      </c>
      <c r="C61" t="s">
        <v>2737</v>
      </c>
    </row>
    <row r="62" spans="2:3">
      <c r="B62" t="s">
        <v>204</v>
      </c>
      <c r="C62" t="s">
        <v>2737</v>
      </c>
    </row>
    <row r="63" spans="2:3">
      <c r="B63" t="s">
        <v>199</v>
      </c>
      <c r="C63" t="s">
        <v>2737</v>
      </c>
    </row>
    <row r="64" spans="2:3">
      <c r="B64" t="s">
        <v>198</v>
      </c>
      <c r="C64" t="s">
        <v>2737</v>
      </c>
    </row>
    <row r="65" spans="2:3">
      <c r="B65" t="s">
        <v>155</v>
      </c>
      <c r="C65" t="s">
        <v>2737</v>
      </c>
    </row>
    <row r="66" spans="2:3">
      <c r="B66" t="s">
        <v>217</v>
      </c>
      <c r="C66" t="s">
        <v>2737</v>
      </c>
    </row>
    <row r="67" spans="2:3">
      <c r="B67" t="s">
        <v>197</v>
      </c>
      <c r="C67" t="s">
        <v>2737</v>
      </c>
    </row>
    <row r="68" spans="2:3">
      <c r="B68" t="s">
        <v>234</v>
      </c>
      <c r="C68" t="s">
        <v>2737</v>
      </c>
    </row>
    <row r="69" spans="2:3">
      <c r="B69" t="s">
        <v>211</v>
      </c>
      <c r="C69" t="s">
        <v>2737</v>
      </c>
    </row>
    <row r="70" spans="2:3">
      <c r="B70" t="s">
        <v>201</v>
      </c>
      <c r="C70" t="s">
        <v>2737</v>
      </c>
    </row>
    <row r="71" spans="2:3">
      <c r="B71" t="s">
        <v>154</v>
      </c>
      <c r="C71" t="s">
        <v>2737</v>
      </c>
    </row>
    <row r="72" spans="2:3">
      <c r="B72" t="s">
        <v>8557</v>
      </c>
      <c r="C72" t="s">
        <v>2737</v>
      </c>
    </row>
    <row r="73" spans="2:3">
      <c r="B73" t="s">
        <v>191</v>
      </c>
      <c r="C73" t="s">
        <v>2737</v>
      </c>
    </row>
    <row r="74" spans="2:3">
      <c r="B74" s="176" t="s">
        <v>8562</v>
      </c>
      <c r="C74" t="s">
        <v>2737</v>
      </c>
    </row>
    <row r="75" spans="2:3">
      <c r="B75" s="176" t="s">
        <v>8563</v>
      </c>
      <c r="C75" t="s">
        <v>2737</v>
      </c>
    </row>
    <row r="76" spans="2:3">
      <c r="B76" t="s">
        <v>203</v>
      </c>
      <c r="C76" t="s">
        <v>2737</v>
      </c>
    </row>
    <row r="77" spans="2:3">
      <c r="B77" t="s">
        <v>8453</v>
      </c>
      <c r="C77" t="s">
        <v>2737</v>
      </c>
    </row>
    <row r="78" spans="2:3">
      <c r="B78" s="176" t="s">
        <v>8564</v>
      </c>
      <c r="C78" t="s">
        <v>2737</v>
      </c>
    </row>
    <row r="79" spans="2:3">
      <c r="B79" t="s">
        <v>2738</v>
      </c>
      <c r="C79" t="s">
        <v>2739</v>
      </c>
    </row>
    <row r="80" spans="2:3">
      <c r="B80" s="176" t="s">
        <v>8565</v>
      </c>
      <c r="C80" t="s">
        <v>2737</v>
      </c>
    </row>
    <row r="81" spans="2:3">
      <c r="B81" s="176" t="s">
        <v>8566</v>
      </c>
      <c r="C81" t="s">
        <v>2737</v>
      </c>
    </row>
    <row r="82" spans="2:3">
      <c r="B82" t="s">
        <v>190</v>
      </c>
      <c r="C82" t="s">
        <v>2737</v>
      </c>
    </row>
    <row r="83" spans="2:3">
      <c r="B83" t="s">
        <v>5475</v>
      </c>
      <c r="C83" t="s">
        <v>2737</v>
      </c>
    </row>
    <row r="84" spans="2:3">
      <c r="B84" t="s">
        <v>8567</v>
      </c>
      <c r="C84" t="s">
        <v>2737</v>
      </c>
    </row>
    <row r="85" spans="2:3">
      <c r="B85" t="s">
        <v>192</v>
      </c>
      <c r="C85" t="s">
        <v>2737</v>
      </c>
    </row>
    <row r="86" spans="2:3">
      <c r="B86" t="s">
        <v>5476</v>
      </c>
      <c r="C86" t="s">
        <v>2737</v>
      </c>
    </row>
    <row r="87" spans="2:3">
      <c r="B87" t="s">
        <v>206</v>
      </c>
      <c r="C87" t="s">
        <v>2737</v>
      </c>
    </row>
    <row r="88" spans="2:3">
      <c r="B88" t="s">
        <v>209</v>
      </c>
      <c r="C88" t="s">
        <v>2737</v>
      </c>
    </row>
    <row r="89" spans="2:3">
      <c r="B89" t="s">
        <v>213</v>
      </c>
      <c r="C89" t="s">
        <v>2737</v>
      </c>
    </row>
    <row r="90" spans="2:3">
      <c r="B90" t="s">
        <v>233</v>
      </c>
      <c r="C90" t="s">
        <v>2737</v>
      </c>
    </row>
    <row r="91" spans="2:3">
      <c r="B91" t="s">
        <v>8558</v>
      </c>
      <c r="C91" t="s">
        <v>2737</v>
      </c>
    </row>
    <row r="92" spans="2:3">
      <c r="B92" t="s">
        <v>215</v>
      </c>
      <c r="C92" t="s">
        <v>2737</v>
      </c>
    </row>
    <row r="93" spans="2:3">
      <c r="B93" s="176" t="s">
        <v>8568</v>
      </c>
      <c r="C93" t="s">
        <v>2737</v>
      </c>
    </row>
    <row r="94" spans="2:3">
      <c r="B94" t="s">
        <v>5477</v>
      </c>
      <c r="C94" t="s">
        <v>2737</v>
      </c>
    </row>
    <row r="95" spans="2:3">
      <c r="B95" t="s">
        <v>207</v>
      </c>
      <c r="C95" t="s">
        <v>2737</v>
      </c>
    </row>
    <row r="96" spans="2:3">
      <c r="B96" t="s">
        <v>205</v>
      </c>
      <c r="C96" t="s">
        <v>2737</v>
      </c>
    </row>
    <row r="97" spans="2:3">
      <c r="B97" t="s">
        <v>208</v>
      </c>
      <c r="C97" t="s">
        <v>2737</v>
      </c>
    </row>
    <row r="98" spans="2:3">
      <c r="B98" s="176" t="s">
        <v>8569</v>
      </c>
      <c r="C98" t="s">
        <v>2737</v>
      </c>
    </row>
    <row r="99" spans="2:3">
      <c r="B99" s="176" t="s">
        <v>8570</v>
      </c>
      <c r="C99" t="s">
        <v>2737</v>
      </c>
    </row>
    <row r="100" spans="2:3">
      <c r="B100" t="s">
        <v>216</v>
      </c>
      <c r="C100" t="s">
        <v>2737</v>
      </c>
    </row>
    <row r="101" spans="2:3">
      <c r="B101" s="176" t="s">
        <v>8571</v>
      </c>
      <c r="C101" t="s">
        <v>2737</v>
      </c>
    </row>
    <row r="104" spans="2:3">
      <c r="B104" s="18" t="s">
        <v>156</v>
      </c>
    </row>
    <row r="105" spans="2:3">
      <c r="B105" t="s">
        <v>20</v>
      </c>
    </row>
    <row r="106" spans="2:3">
      <c r="B106" t="s">
        <v>157</v>
      </c>
    </row>
    <row r="109" spans="2:3">
      <c r="B109" s="49" t="s">
        <v>239</v>
      </c>
    </row>
    <row r="110" spans="2:3">
      <c r="B110" t="s">
        <v>2838</v>
      </c>
    </row>
    <row r="111" spans="2:3">
      <c r="B111" t="s">
        <v>2839</v>
      </c>
    </row>
    <row r="112" spans="2:3">
      <c r="B112" t="s">
        <v>2840</v>
      </c>
    </row>
    <row r="115" spans="2:3">
      <c r="B115" s="49" t="s">
        <v>1359</v>
      </c>
    </row>
    <row r="116" spans="2:3">
      <c r="B116" t="s">
        <v>286</v>
      </c>
    </row>
    <row r="117" spans="2:3">
      <c r="B117" s="114" t="s">
        <v>700</v>
      </c>
    </row>
    <row r="118" spans="2:3">
      <c r="B118" s="114" t="s">
        <v>927</v>
      </c>
    </row>
    <row r="119" spans="2:3">
      <c r="B119" s="114" t="s">
        <v>959</v>
      </c>
    </row>
    <row r="120" spans="2:3">
      <c r="B120" s="114" t="s">
        <v>1073</v>
      </c>
    </row>
    <row r="121" spans="2:3">
      <c r="B121" s="114" t="s">
        <v>703</v>
      </c>
    </row>
    <row r="122" spans="2:3">
      <c r="B122" s="114" t="s">
        <v>1017</v>
      </c>
    </row>
    <row r="123" spans="2:3">
      <c r="B123" s="114" t="s">
        <v>698</v>
      </c>
    </row>
    <row r="126" spans="2:3">
      <c r="B126" s="49" t="s">
        <v>1361</v>
      </c>
      <c r="C126" s="17">
        <v>0.1</v>
      </c>
    </row>
    <row r="129" spans="2:2">
      <c r="B129" s="49" t="s">
        <v>2289</v>
      </c>
    </row>
    <row r="130" spans="2:2">
      <c r="B130" t="s">
        <v>2285</v>
      </c>
    </row>
    <row r="131" spans="2:2">
      <c r="B131" t="s">
        <v>2297</v>
      </c>
    </row>
    <row r="132" spans="2:2">
      <c r="B132" t="s">
        <v>2290</v>
      </c>
    </row>
    <row r="133" spans="2:2">
      <c r="B133" t="s">
        <v>2298</v>
      </c>
    </row>
    <row r="134" spans="2:2">
      <c r="B134" t="s">
        <v>2291</v>
      </c>
    </row>
    <row r="135" spans="2:2">
      <c r="B135" t="s">
        <v>2292</v>
      </c>
    </row>
    <row r="138" spans="2:2">
      <c r="B138" s="49" t="s">
        <v>2293</v>
      </c>
    </row>
    <row r="139" spans="2:2">
      <c r="B139" t="s">
        <v>2282</v>
      </c>
    </row>
    <row r="140" spans="2:2">
      <c r="B140" t="s">
        <v>2294</v>
      </c>
    </row>
    <row r="141" spans="2:2">
      <c r="B141" t="s">
        <v>2295</v>
      </c>
    </row>
    <row r="145" spans="2:2">
      <c r="B145" s="49" t="s">
        <v>2296</v>
      </c>
    </row>
    <row r="146" spans="2:2">
      <c r="B146" t="s">
        <v>2287</v>
      </c>
    </row>
    <row r="147" spans="2:2">
      <c r="B147" t="s">
        <v>129</v>
      </c>
    </row>
    <row r="151" spans="2:2">
      <c r="B151" s="49" t="s">
        <v>8483</v>
      </c>
    </row>
    <row r="152" spans="2:2">
      <c r="B152" t="s">
        <v>2324</v>
      </c>
    </row>
    <row r="153" spans="2:2">
      <c r="B153" t="s">
        <v>2325</v>
      </c>
    </row>
    <row r="154" spans="2:2">
      <c r="B154" t="s">
        <v>2326</v>
      </c>
    </row>
    <row r="155" spans="2:2">
      <c r="B155" t="s">
        <v>2327</v>
      </c>
    </row>
    <row r="156" spans="2:2">
      <c r="B156" t="s">
        <v>2331</v>
      </c>
    </row>
    <row r="157" spans="2:2">
      <c r="B157" t="s">
        <v>2328</v>
      </c>
    </row>
    <row r="158" spans="2:2">
      <c r="B158" t="s">
        <v>2329</v>
      </c>
    </row>
    <row r="159" spans="2:2">
      <c r="B159" t="s">
        <v>2330</v>
      </c>
    </row>
    <row r="160" spans="2:2">
      <c r="B160" t="s">
        <v>2334</v>
      </c>
    </row>
    <row r="161" spans="2:4">
      <c r="B161" t="s">
        <v>2339</v>
      </c>
    </row>
    <row r="164" spans="2:4">
      <c r="B164" s="49" t="s">
        <v>23</v>
      </c>
      <c r="C164" s="49" t="s">
        <v>3160</v>
      </c>
      <c r="D164" s="49" t="s">
        <v>3159</v>
      </c>
    </row>
    <row r="165" spans="2:4">
      <c r="B165" s="16" t="s">
        <v>2817</v>
      </c>
      <c r="C165" t="s">
        <v>3161</v>
      </c>
      <c r="D165" t="s">
        <v>3163</v>
      </c>
    </row>
    <row r="166" spans="2:4">
      <c r="B166" s="16" t="s">
        <v>3156</v>
      </c>
      <c r="C166" t="s">
        <v>3161</v>
      </c>
      <c r="D166" t="s">
        <v>3163</v>
      </c>
    </row>
    <row r="169" spans="2:4">
      <c r="B169" s="49" t="s">
        <v>8499</v>
      </c>
      <c r="C169" s="17">
        <v>0.2</v>
      </c>
    </row>
    <row r="172" spans="2:4">
      <c r="B172" s="49" t="s">
        <v>8385</v>
      </c>
    </row>
    <row r="173" spans="2:4">
      <c r="B173" t="s">
        <v>8386</v>
      </c>
    </row>
    <row r="174" spans="2:4">
      <c r="B174" t="s">
        <v>8387</v>
      </c>
    </row>
    <row r="175" spans="2:4">
      <c r="B175" t="s">
        <v>8388</v>
      </c>
    </row>
    <row r="176" spans="2:4">
      <c r="B176" t="s">
        <v>8389</v>
      </c>
    </row>
    <row r="177" spans="2:3">
      <c r="B177" t="s">
        <v>8390</v>
      </c>
    </row>
    <row r="178" spans="2:3">
      <c r="B178" t="s">
        <v>8391</v>
      </c>
    </row>
    <row r="179" spans="2:3">
      <c r="B179" t="s">
        <v>8392</v>
      </c>
    </row>
    <row r="180" spans="2:3">
      <c r="B180" t="s">
        <v>8393</v>
      </c>
    </row>
    <row r="181" spans="2:3">
      <c r="B181" t="s">
        <v>8394</v>
      </c>
    </row>
    <row r="182" spans="2:3">
      <c r="B182" t="s">
        <v>8395</v>
      </c>
    </row>
    <row r="183" spans="2:3">
      <c r="B183" t="s">
        <v>8396</v>
      </c>
    </row>
    <row r="184" spans="2:3">
      <c r="B184" t="s">
        <v>8397</v>
      </c>
    </row>
    <row r="185" spans="2:3">
      <c r="B185" t="s">
        <v>8398</v>
      </c>
    </row>
    <row r="186" spans="2:3">
      <c r="B186" t="s">
        <v>8399</v>
      </c>
    </row>
    <row r="187" spans="2:3">
      <c r="B187" t="s">
        <v>8400</v>
      </c>
    </row>
    <row r="188" spans="2:3">
      <c r="B188" t="s">
        <v>8401</v>
      </c>
    </row>
    <row r="189" spans="2:3">
      <c r="B189" t="s">
        <v>8402</v>
      </c>
    </row>
    <row r="192" spans="2:3">
      <c r="B192" s="49" t="s">
        <v>8487</v>
      </c>
      <c r="C192" s="309">
        <v>5.0000000000000001E-3</v>
      </c>
    </row>
    <row r="193" spans="2:3">
      <c r="B193" s="49" t="s">
        <v>5611</v>
      </c>
      <c r="C193" s="17">
        <v>0.01</v>
      </c>
    </row>
    <row r="197" spans="2:3">
      <c r="B197" s="49" t="s">
        <v>8559</v>
      </c>
      <c r="C197" s="49" t="s">
        <v>8560</v>
      </c>
    </row>
    <row r="198" spans="2:3">
      <c r="B198" t="s">
        <v>256</v>
      </c>
      <c r="C198" t="s">
        <v>256</v>
      </c>
    </row>
    <row r="199" spans="2:3">
      <c r="B199" t="s">
        <v>0</v>
      </c>
      <c r="C199" t="s">
        <v>0</v>
      </c>
    </row>
    <row r="200" spans="2:3">
      <c r="B200" t="s">
        <v>1362</v>
      </c>
      <c r="C200" t="s">
        <v>1362</v>
      </c>
    </row>
    <row r="201" spans="2:3">
      <c r="B201" t="s">
        <v>1</v>
      </c>
      <c r="C201" t="s">
        <v>1</v>
      </c>
    </row>
    <row r="202" spans="2:3">
      <c r="B202" t="s">
        <v>2</v>
      </c>
      <c r="C202" t="s">
        <v>2</v>
      </c>
    </row>
    <row r="203" spans="2:3">
      <c r="B203" t="s">
        <v>219</v>
      </c>
      <c r="C203" t="s">
        <v>219</v>
      </c>
    </row>
    <row r="204" spans="2:3">
      <c r="B204" t="s">
        <v>4</v>
      </c>
      <c r="C204" t="s">
        <v>4</v>
      </c>
    </row>
    <row r="205" spans="2:3">
      <c r="B205" t="s">
        <v>220</v>
      </c>
      <c r="C205" t="s">
        <v>220</v>
      </c>
    </row>
    <row r="206" spans="2:3">
      <c r="B206" t="s">
        <v>5</v>
      </c>
      <c r="C206" t="s">
        <v>5</v>
      </c>
    </row>
    <row r="207" spans="2:3">
      <c r="B207" t="s">
        <v>9</v>
      </c>
      <c r="C207" t="s">
        <v>9</v>
      </c>
    </row>
    <row r="208" spans="2:3">
      <c r="B208" t="s">
        <v>13</v>
      </c>
      <c r="C208" t="s">
        <v>13</v>
      </c>
    </row>
    <row r="209" spans="2:3">
      <c r="B209" t="s">
        <v>2351</v>
      </c>
      <c r="C209" t="s">
        <v>2351</v>
      </c>
    </row>
    <row r="210" spans="2:3">
      <c r="B210" t="s">
        <v>2352</v>
      </c>
      <c r="C210" t="s">
        <v>2352</v>
      </c>
    </row>
    <row r="211" spans="2:3">
      <c r="B211" t="s">
        <v>1363</v>
      </c>
      <c r="C211" t="s">
        <v>1363</v>
      </c>
    </row>
    <row r="212" spans="2:3">
      <c r="B212" t="s">
        <v>8476</v>
      </c>
      <c r="C212" t="s">
        <v>8476</v>
      </c>
    </row>
    <row r="216" spans="2:3">
      <c r="B216" s="49" t="s">
        <v>8559</v>
      </c>
      <c r="C216" s="49" t="s">
        <v>8560</v>
      </c>
    </row>
    <row r="217" spans="2:3">
      <c r="B217" t="s">
        <v>0</v>
      </c>
      <c r="C217" t="s">
        <v>0</v>
      </c>
    </row>
    <row r="218" spans="2:3">
      <c r="B218" t="s">
        <v>1362</v>
      </c>
      <c r="C218" t="s">
        <v>1362</v>
      </c>
    </row>
    <row r="219" spans="2:3">
      <c r="B219" t="s">
        <v>1</v>
      </c>
      <c r="C219" t="s">
        <v>1</v>
      </c>
    </row>
    <row r="220" spans="2:3">
      <c r="B220" t="s">
        <v>8572</v>
      </c>
      <c r="C220" t="s">
        <v>244</v>
      </c>
    </row>
    <row r="221" spans="2:3">
      <c r="B221" t="s">
        <v>8573</v>
      </c>
    </row>
    <row r="225" spans="2:3">
      <c r="B225" s="49" t="s">
        <v>8560</v>
      </c>
      <c r="C225" s="49" t="s">
        <v>8559</v>
      </c>
    </row>
    <row r="226" spans="2:3">
      <c r="B226" t="s">
        <v>8574</v>
      </c>
      <c r="C226" t="s">
        <v>8575</v>
      </c>
    </row>
    <row r="227" spans="2:3">
      <c r="B227" t="s">
        <v>16</v>
      </c>
      <c r="C227" t="s">
        <v>16</v>
      </c>
    </row>
    <row r="228" spans="2:3">
      <c r="B228" t="s">
        <v>2845</v>
      </c>
      <c r="C228" t="s">
        <v>2845</v>
      </c>
    </row>
    <row r="229" spans="2:3">
      <c r="B229" t="s">
        <v>2865</v>
      </c>
      <c r="C229" t="s">
        <v>8576</v>
      </c>
    </row>
    <row r="230" spans="2:3">
      <c r="B230" t="s">
        <v>2353</v>
      </c>
      <c r="C230" t="s">
        <v>8577</v>
      </c>
    </row>
    <row r="231" spans="2:3">
      <c r="B231" t="s">
        <v>1362</v>
      </c>
      <c r="C231" t="s">
        <v>2458</v>
      </c>
    </row>
    <row r="232" spans="2:3">
      <c r="B232" t="s">
        <v>2847</v>
      </c>
      <c r="C232" t="s">
        <v>2847</v>
      </c>
    </row>
    <row r="233" spans="2:3">
      <c r="B233" t="s">
        <v>2846</v>
      </c>
      <c r="C233" t="s">
        <v>2846</v>
      </c>
    </row>
    <row r="234" spans="2:3">
      <c r="B234" t="s">
        <v>13</v>
      </c>
      <c r="C234" t="s">
        <v>13</v>
      </c>
    </row>
    <row r="235" spans="2:3">
      <c r="B235" t="s">
        <v>8578</v>
      </c>
      <c r="C235" t="s">
        <v>5549</v>
      </c>
    </row>
    <row r="236" spans="2:3">
      <c r="B236" t="s">
        <v>8579</v>
      </c>
      <c r="C236" t="s">
        <v>136</v>
      </c>
    </row>
    <row r="240" spans="2:3">
      <c r="B240" s="49" t="s">
        <v>8560</v>
      </c>
      <c r="C240" s="49" t="s">
        <v>8559</v>
      </c>
    </row>
    <row r="241" spans="2:3">
      <c r="B241" s="228" t="s">
        <v>1362</v>
      </c>
      <c r="C241" s="228" t="s">
        <v>9519</v>
      </c>
    </row>
    <row r="242" spans="2:3">
      <c r="B242" t="s">
        <v>26</v>
      </c>
      <c r="C242" t="s">
        <v>9513</v>
      </c>
    </row>
    <row r="243" spans="2:3">
      <c r="B243" t="s">
        <v>27</v>
      </c>
      <c r="C243" t="s">
        <v>9518</v>
      </c>
    </row>
    <row r="244" spans="2:3">
      <c r="B244" t="s">
        <v>9666</v>
      </c>
      <c r="C244" t="s">
        <v>9512</v>
      </c>
    </row>
    <row r="245" spans="2:3">
      <c r="B245" t="s">
        <v>129</v>
      </c>
      <c r="C245" t="s">
        <v>9516</v>
      </c>
    </row>
    <row r="246" spans="2:3">
      <c r="B246" t="s">
        <v>9667</v>
      </c>
      <c r="C246" t="s">
        <v>9515</v>
      </c>
    </row>
    <row r="249" spans="2:3">
      <c r="B249" t="s">
        <v>9903</v>
      </c>
      <c r="C249" t="s">
        <v>9904</v>
      </c>
    </row>
    <row r="252" spans="2:3">
      <c r="B252" s="49" t="s">
        <v>9936</v>
      </c>
    </row>
    <row r="253" spans="2:3">
      <c r="B253" t="s">
        <v>41</v>
      </c>
    </row>
    <row r="254" spans="2:3">
      <c r="B254" t="s">
        <v>2429</v>
      </c>
    </row>
    <row r="255" spans="2:3">
      <c r="B255" t="s">
        <v>31</v>
      </c>
    </row>
    <row r="256" spans="2:3">
      <c r="B256" t="s">
        <v>2820</v>
      </c>
    </row>
    <row r="257" spans="2:3">
      <c r="B257" t="s">
        <v>8480</v>
      </c>
    </row>
    <row r="258" spans="2:3">
      <c r="B258" t="s">
        <v>9937</v>
      </c>
    </row>
    <row r="259" spans="2:3">
      <c r="B259" t="s">
        <v>9938</v>
      </c>
    </row>
    <row r="260" spans="2:3">
      <c r="B260" t="s">
        <v>9939</v>
      </c>
    </row>
    <row r="261" spans="2:3">
      <c r="B261" t="s">
        <v>9940</v>
      </c>
    </row>
    <row r="262" spans="2:3">
      <c r="B262" t="s">
        <v>3141</v>
      </c>
    </row>
    <row r="263" spans="2:3">
      <c r="B263" t="s">
        <v>9941</v>
      </c>
    </row>
    <row r="264" spans="2:3">
      <c r="B264" t="s">
        <v>9942</v>
      </c>
    </row>
    <row r="267" spans="2:3" ht="45">
      <c r="B267" s="184" t="s">
        <v>10990</v>
      </c>
      <c r="C267" s="324" t="s">
        <v>4765</v>
      </c>
    </row>
    <row r="268" spans="2:3">
      <c r="B268" t="s">
        <v>8501</v>
      </c>
      <c r="C268" t="s">
        <v>5615</v>
      </c>
    </row>
    <row r="269" spans="2:3">
      <c r="B269" t="s">
        <v>1362</v>
      </c>
      <c r="C269" t="s">
        <v>2371</v>
      </c>
    </row>
    <row r="270" spans="2:3">
      <c r="B270" t="s">
        <v>256</v>
      </c>
      <c r="C270" t="s">
        <v>10991</v>
      </c>
    </row>
    <row r="271" spans="2:3">
      <c r="B271" t="s">
        <v>8502</v>
      </c>
      <c r="C271" t="s">
        <v>10992</v>
      </c>
    </row>
    <row r="272" spans="2:3">
      <c r="B272" t="s">
        <v>10993</v>
      </c>
      <c r="C272" t="s">
        <v>10993</v>
      </c>
    </row>
    <row r="275" spans="2:3" ht="45">
      <c r="B275" s="184" t="s">
        <v>10990</v>
      </c>
      <c r="C275" s="324" t="s">
        <v>75</v>
      </c>
    </row>
    <row r="276" spans="2:3">
      <c r="B276" t="s">
        <v>8501</v>
      </c>
      <c r="C276" t="s">
        <v>5615</v>
      </c>
    </row>
    <row r="277" spans="2:3">
      <c r="B277" t="s">
        <v>1362</v>
      </c>
      <c r="C277" t="s">
        <v>2371</v>
      </c>
    </row>
    <row r="278" spans="2:3">
      <c r="B278" t="s">
        <v>256</v>
      </c>
      <c r="C278" t="s">
        <v>10991</v>
      </c>
    </row>
    <row r="279" spans="2:3">
      <c r="B279" t="s">
        <v>8502</v>
      </c>
      <c r="C279" t="s">
        <v>10992</v>
      </c>
    </row>
    <row r="280" spans="2:3">
      <c r="B280" t="s">
        <v>10993</v>
      </c>
      <c r="C280" t="s">
        <v>10993</v>
      </c>
    </row>
    <row r="283" spans="2:3" ht="45">
      <c r="B283" s="184" t="s">
        <v>10990</v>
      </c>
      <c r="C283" s="324" t="s">
        <v>8949</v>
      </c>
    </row>
    <row r="284" spans="2:3">
      <c r="B284" t="s">
        <v>8501</v>
      </c>
      <c r="C284" t="s">
        <v>5615</v>
      </c>
    </row>
    <row r="285" spans="2:3">
      <c r="B285" t="s">
        <v>1362</v>
      </c>
      <c r="C285" t="s">
        <v>2371</v>
      </c>
    </row>
    <row r="286" spans="2:3">
      <c r="B286" t="s">
        <v>256</v>
      </c>
      <c r="C286" t="s">
        <v>10991</v>
      </c>
    </row>
    <row r="287" spans="2:3">
      <c r="B287" t="s">
        <v>8502</v>
      </c>
      <c r="C287" t="s">
        <v>10992</v>
      </c>
    </row>
    <row r="288" spans="2:3">
      <c r="B288" t="s">
        <v>10993</v>
      </c>
      <c r="C288" t="s">
        <v>10993</v>
      </c>
    </row>
    <row r="291" spans="2:2">
      <c r="B291" s="49" t="s">
        <v>10994</v>
      </c>
    </row>
    <row r="292" spans="2:2">
      <c r="B292" t="s">
        <v>4765</v>
      </c>
    </row>
    <row r="293" spans="2:2">
      <c r="B293" t="s">
        <v>75</v>
      </c>
    </row>
    <row r="294" spans="2:2">
      <c r="B294" t="s">
        <v>8949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33"/>
  <sheetViews>
    <sheetView workbookViewId="0"/>
  </sheetViews>
  <sheetFormatPr baseColWidth="10" defaultRowHeight="15"/>
  <sheetData>
    <row r="2" spans="2:13">
      <c r="C2" t="s">
        <v>8406</v>
      </c>
      <c r="D2" t="s">
        <v>8407</v>
      </c>
    </row>
    <row r="3" spans="2:13">
      <c r="B3" t="s">
        <v>8479</v>
      </c>
      <c r="C3" t="s">
        <v>8408</v>
      </c>
      <c r="D3" t="s">
        <v>8409</v>
      </c>
      <c r="J3" s="256" t="s">
        <v>8410</v>
      </c>
      <c r="K3" s="256" t="s">
        <v>8411</v>
      </c>
      <c r="L3" s="256" t="s">
        <v>8406</v>
      </c>
      <c r="M3" s="256" t="s">
        <v>8407</v>
      </c>
    </row>
    <row r="4" spans="2:13" ht="15.75">
      <c r="B4" s="257" t="s">
        <v>8412</v>
      </c>
      <c r="C4" s="258">
        <v>38</v>
      </c>
      <c r="D4">
        <v>12</v>
      </c>
      <c r="J4">
        <v>1</v>
      </c>
      <c r="K4" s="259" t="e">
        <f>a*(1-h)^(1/coef)+k</f>
        <v>#NAME?</v>
      </c>
      <c r="L4" s="260" t="e">
        <f t="shared" ref="L4:L33" si="0">a*(J4-h)^(1/coef)+k</f>
        <v>#NAME?</v>
      </c>
      <c r="M4" s="260" t="e">
        <f t="shared" ref="M4:M33" si="1">ah*(J4-hh)^(1/coefh)+kh</f>
        <v>#NAME?</v>
      </c>
    </row>
    <row r="5" spans="2:13" ht="15.75">
      <c r="B5" s="257" t="s">
        <v>8413</v>
      </c>
      <c r="C5" s="258">
        <v>0</v>
      </c>
      <c r="D5">
        <v>0</v>
      </c>
      <c r="J5">
        <f>J4+1</f>
        <v>2</v>
      </c>
      <c r="K5" t="e">
        <f>$K$4*J5</f>
        <v>#NAME?</v>
      </c>
      <c r="L5" s="260" t="e">
        <f t="shared" si="0"/>
        <v>#NAME?</v>
      </c>
      <c r="M5" s="260" t="e">
        <f t="shared" si="1"/>
        <v>#NAME?</v>
      </c>
    </row>
    <row r="6" spans="2:13" ht="15.75">
      <c r="B6" s="257" t="s">
        <v>8414</v>
      </c>
      <c r="C6" s="258">
        <v>-20</v>
      </c>
      <c r="D6">
        <v>-10</v>
      </c>
      <c r="J6">
        <f t="shared" ref="J6:J33" si="2">J5+1</f>
        <v>3</v>
      </c>
      <c r="K6" t="e">
        <f t="shared" ref="K6:K33" si="3">$K$4*J6</f>
        <v>#NAME?</v>
      </c>
      <c r="L6" s="260" t="e">
        <f t="shared" si="0"/>
        <v>#NAME?</v>
      </c>
      <c r="M6" s="260" t="e">
        <f t="shared" si="1"/>
        <v>#NAME?</v>
      </c>
    </row>
    <row r="7" spans="2:13" ht="15.75">
      <c r="B7" s="257" t="s">
        <v>8415</v>
      </c>
      <c r="C7" s="258">
        <v>2.7</v>
      </c>
      <c r="D7">
        <v>5</v>
      </c>
      <c r="J7">
        <f t="shared" si="2"/>
        <v>4</v>
      </c>
      <c r="K7" t="e">
        <f t="shared" si="3"/>
        <v>#NAME?</v>
      </c>
      <c r="L7" s="260" t="e">
        <f t="shared" si="0"/>
        <v>#NAME?</v>
      </c>
      <c r="M7" s="260" t="e">
        <f t="shared" si="1"/>
        <v>#NAME?</v>
      </c>
    </row>
    <row r="8" spans="2:13" ht="15.75">
      <c r="B8" s="257" t="s">
        <v>8416</v>
      </c>
      <c r="C8">
        <v>1</v>
      </c>
      <c r="D8">
        <v>30</v>
      </c>
      <c r="E8" t="s">
        <v>8484</v>
      </c>
      <c r="J8">
        <f t="shared" si="2"/>
        <v>5</v>
      </c>
      <c r="K8" t="e">
        <f t="shared" si="3"/>
        <v>#NAME?</v>
      </c>
      <c r="L8" s="260" t="e">
        <f t="shared" si="0"/>
        <v>#NAME?</v>
      </c>
      <c r="M8" s="260" t="e">
        <f t="shared" si="1"/>
        <v>#NAME?</v>
      </c>
    </row>
    <row r="9" spans="2:13" ht="15.75">
      <c r="B9" s="257" t="s">
        <v>8417</v>
      </c>
      <c r="C9" s="260" t="e">
        <f>a*(x-h)^(1/coef)+k</f>
        <v>#NAME?</v>
      </c>
      <c r="D9" s="260" t="e">
        <f>ah*(xh-hh)^(1/coefh)+kh</f>
        <v>#NAME?</v>
      </c>
      <c r="E9" t="s">
        <v>8418</v>
      </c>
      <c r="J9">
        <f t="shared" si="2"/>
        <v>6</v>
      </c>
      <c r="K9" t="e">
        <f t="shared" si="3"/>
        <v>#NAME?</v>
      </c>
      <c r="L9" s="260" t="e">
        <f t="shared" si="0"/>
        <v>#NAME?</v>
      </c>
      <c r="M9" s="260" t="e">
        <f t="shared" si="1"/>
        <v>#NAME?</v>
      </c>
    </row>
    <row r="10" spans="2:13">
      <c r="B10" t="s">
        <v>8419</v>
      </c>
      <c r="J10">
        <f t="shared" si="2"/>
        <v>7</v>
      </c>
      <c r="K10" t="e">
        <f t="shared" si="3"/>
        <v>#NAME?</v>
      </c>
      <c r="L10" s="260" t="e">
        <f t="shared" si="0"/>
        <v>#NAME?</v>
      </c>
      <c r="M10" s="260" t="e">
        <f t="shared" si="1"/>
        <v>#NAME?</v>
      </c>
    </row>
    <row r="11" spans="2:13">
      <c r="J11">
        <f t="shared" si="2"/>
        <v>8</v>
      </c>
      <c r="K11" t="e">
        <f t="shared" si="3"/>
        <v>#NAME?</v>
      </c>
      <c r="L11" s="260" t="e">
        <f t="shared" si="0"/>
        <v>#NAME?</v>
      </c>
      <c r="M11" s="260" t="e">
        <f t="shared" si="1"/>
        <v>#NAME?</v>
      </c>
    </row>
    <row r="12" spans="2:13">
      <c r="J12">
        <f t="shared" si="2"/>
        <v>9</v>
      </c>
      <c r="K12" t="e">
        <f t="shared" si="3"/>
        <v>#NAME?</v>
      </c>
      <c r="L12" s="260" t="e">
        <f t="shared" si="0"/>
        <v>#NAME?</v>
      </c>
      <c r="M12" s="260" t="e">
        <f t="shared" si="1"/>
        <v>#NAME?</v>
      </c>
    </row>
    <row r="13" spans="2:13">
      <c r="B13" t="s">
        <v>8420</v>
      </c>
      <c r="J13">
        <f t="shared" si="2"/>
        <v>10</v>
      </c>
      <c r="K13" t="e">
        <f t="shared" si="3"/>
        <v>#NAME?</v>
      </c>
      <c r="L13" s="260" t="e">
        <f t="shared" si="0"/>
        <v>#NAME?</v>
      </c>
      <c r="M13" s="260" t="e">
        <f t="shared" si="1"/>
        <v>#NAME?</v>
      </c>
    </row>
    <row r="14" spans="2:13">
      <c r="B14" t="s">
        <v>8421</v>
      </c>
      <c r="C14">
        <v>55</v>
      </c>
      <c r="J14">
        <f t="shared" si="2"/>
        <v>11</v>
      </c>
      <c r="K14" t="e">
        <f t="shared" si="3"/>
        <v>#NAME?</v>
      </c>
      <c r="L14" s="260" t="e">
        <f t="shared" si="0"/>
        <v>#NAME?</v>
      </c>
      <c r="M14" s="260" t="e">
        <f t="shared" si="1"/>
        <v>#NAME?</v>
      </c>
    </row>
    <row r="15" spans="2:13">
      <c r="B15" t="s">
        <v>8422</v>
      </c>
      <c r="C15" s="261">
        <v>0.1</v>
      </c>
      <c r="J15">
        <f t="shared" si="2"/>
        <v>12</v>
      </c>
      <c r="K15" t="e">
        <f t="shared" si="3"/>
        <v>#NAME?</v>
      </c>
      <c r="L15" s="260" t="e">
        <f t="shared" si="0"/>
        <v>#NAME?</v>
      </c>
      <c r="M15" s="260" t="e">
        <f t="shared" si="1"/>
        <v>#NAME?</v>
      </c>
    </row>
    <row r="16" spans="2:13">
      <c r="J16">
        <f t="shared" si="2"/>
        <v>13</v>
      </c>
      <c r="K16" t="e">
        <f t="shared" si="3"/>
        <v>#NAME?</v>
      </c>
      <c r="L16" s="260" t="e">
        <f t="shared" si="0"/>
        <v>#NAME?</v>
      </c>
      <c r="M16" s="260" t="e">
        <f t="shared" si="1"/>
        <v>#NAME?</v>
      </c>
    </row>
    <row r="17" spans="10:13">
      <c r="J17">
        <f t="shared" si="2"/>
        <v>14</v>
      </c>
      <c r="K17" t="e">
        <f t="shared" si="3"/>
        <v>#NAME?</v>
      </c>
      <c r="L17" s="260" t="e">
        <f t="shared" si="0"/>
        <v>#NAME?</v>
      </c>
      <c r="M17" s="260" t="e">
        <f t="shared" si="1"/>
        <v>#NAME?</v>
      </c>
    </row>
    <row r="18" spans="10:13">
      <c r="J18">
        <f t="shared" si="2"/>
        <v>15</v>
      </c>
      <c r="K18" t="e">
        <f t="shared" si="3"/>
        <v>#NAME?</v>
      </c>
      <c r="L18" s="260" t="e">
        <f t="shared" si="0"/>
        <v>#NAME?</v>
      </c>
      <c r="M18" s="260" t="e">
        <f t="shared" si="1"/>
        <v>#NAME?</v>
      </c>
    </row>
    <row r="19" spans="10:13">
      <c r="J19">
        <f t="shared" si="2"/>
        <v>16</v>
      </c>
      <c r="K19" t="e">
        <f t="shared" si="3"/>
        <v>#NAME?</v>
      </c>
      <c r="L19" s="260" t="e">
        <f t="shared" si="0"/>
        <v>#NAME?</v>
      </c>
      <c r="M19" s="260" t="e">
        <f t="shared" si="1"/>
        <v>#NAME?</v>
      </c>
    </row>
    <row r="20" spans="10:13">
      <c r="J20">
        <f t="shared" si="2"/>
        <v>17</v>
      </c>
      <c r="K20" t="e">
        <f t="shared" si="3"/>
        <v>#NAME?</v>
      </c>
      <c r="L20" s="260" t="e">
        <f t="shared" si="0"/>
        <v>#NAME?</v>
      </c>
      <c r="M20" s="260" t="e">
        <f t="shared" si="1"/>
        <v>#NAME?</v>
      </c>
    </row>
    <row r="21" spans="10:13">
      <c r="J21">
        <f t="shared" si="2"/>
        <v>18</v>
      </c>
      <c r="K21" t="e">
        <f t="shared" si="3"/>
        <v>#NAME?</v>
      </c>
      <c r="L21" s="260" t="e">
        <f t="shared" si="0"/>
        <v>#NAME?</v>
      </c>
      <c r="M21" s="260" t="e">
        <f t="shared" si="1"/>
        <v>#NAME?</v>
      </c>
    </row>
    <row r="22" spans="10:13">
      <c r="J22">
        <f t="shared" si="2"/>
        <v>19</v>
      </c>
      <c r="K22" t="e">
        <f t="shared" si="3"/>
        <v>#NAME?</v>
      </c>
      <c r="L22" s="260" t="e">
        <f t="shared" si="0"/>
        <v>#NAME?</v>
      </c>
      <c r="M22" s="260" t="e">
        <f t="shared" si="1"/>
        <v>#NAME?</v>
      </c>
    </row>
    <row r="23" spans="10:13">
      <c r="J23">
        <f t="shared" si="2"/>
        <v>20</v>
      </c>
      <c r="K23" t="e">
        <f t="shared" si="3"/>
        <v>#NAME?</v>
      </c>
      <c r="L23" s="260" t="e">
        <f t="shared" si="0"/>
        <v>#NAME?</v>
      </c>
      <c r="M23" s="260" t="e">
        <f t="shared" si="1"/>
        <v>#NAME?</v>
      </c>
    </row>
    <row r="24" spans="10:13">
      <c r="J24">
        <f t="shared" si="2"/>
        <v>21</v>
      </c>
      <c r="K24" t="e">
        <f t="shared" si="3"/>
        <v>#NAME?</v>
      </c>
      <c r="L24" s="260" t="e">
        <f t="shared" si="0"/>
        <v>#NAME?</v>
      </c>
      <c r="M24" s="260" t="e">
        <f t="shared" si="1"/>
        <v>#NAME?</v>
      </c>
    </row>
    <row r="25" spans="10:13">
      <c r="J25">
        <f t="shared" si="2"/>
        <v>22</v>
      </c>
      <c r="K25" t="e">
        <f t="shared" si="3"/>
        <v>#NAME?</v>
      </c>
      <c r="L25" s="260" t="e">
        <f t="shared" si="0"/>
        <v>#NAME?</v>
      </c>
      <c r="M25" s="260" t="e">
        <f t="shared" si="1"/>
        <v>#NAME?</v>
      </c>
    </row>
    <row r="26" spans="10:13">
      <c r="J26">
        <f t="shared" si="2"/>
        <v>23</v>
      </c>
      <c r="K26" t="e">
        <f t="shared" si="3"/>
        <v>#NAME?</v>
      </c>
      <c r="L26" s="260" t="e">
        <f t="shared" si="0"/>
        <v>#NAME?</v>
      </c>
      <c r="M26" s="260" t="e">
        <f t="shared" si="1"/>
        <v>#NAME?</v>
      </c>
    </row>
    <row r="27" spans="10:13">
      <c r="J27">
        <f t="shared" si="2"/>
        <v>24</v>
      </c>
      <c r="K27" t="e">
        <f t="shared" si="3"/>
        <v>#NAME?</v>
      </c>
      <c r="L27" s="260" t="e">
        <f t="shared" si="0"/>
        <v>#NAME?</v>
      </c>
      <c r="M27" s="260" t="e">
        <f t="shared" si="1"/>
        <v>#NAME?</v>
      </c>
    </row>
    <row r="28" spans="10:13">
      <c r="J28">
        <f t="shared" si="2"/>
        <v>25</v>
      </c>
      <c r="K28" t="e">
        <f t="shared" si="3"/>
        <v>#NAME?</v>
      </c>
      <c r="L28" s="260" t="e">
        <f t="shared" si="0"/>
        <v>#NAME?</v>
      </c>
      <c r="M28" s="260" t="e">
        <f t="shared" si="1"/>
        <v>#NAME?</v>
      </c>
    </row>
    <row r="29" spans="10:13">
      <c r="J29">
        <f t="shared" si="2"/>
        <v>26</v>
      </c>
      <c r="K29" t="e">
        <f t="shared" si="3"/>
        <v>#NAME?</v>
      </c>
      <c r="L29" s="260" t="e">
        <f t="shared" si="0"/>
        <v>#NAME?</v>
      </c>
      <c r="M29" s="260" t="e">
        <f t="shared" si="1"/>
        <v>#NAME?</v>
      </c>
    </row>
    <row r="30" spans="10:13">
      <c r="J30">
        <f t="shared" si="2"/>
        <v>27</v>
      </c>
      <c r="K30" t="e">
        <f t="shared" si="3"/>
        <v>#NAME?</v>
      </c>
      <c r="L30" s="260" t="e">
        <f t="shared" si="0"/>
        <v>#NAME?</v>
      </c>
      <c r="M30" s="260" t="e">
        <f t="shared" si="1"/>
        <v>#NAME?</v>
      </c>
    </row>
    <row r="31" spans="10:13">
      <c r="J31">
        <f t="shared" si="2"/>
        <v>28</v>
      </c>
      <c r="K31" t="e">
        <f t="shared" si="3"/>
        <v>#NAME?</v>
      </c>
      <c r="L31" s="260" t="e">
        <f t="shared" si="0"/>
        <v>#NAME?</v>
      </c>
      <c r="M31" s="260" t="e">
        <f t="shared" si="1"/>
        <v>#NAME?</v>
      </c>
    </row>
    <row r="32" spans="10:13">
      <c r="J32">
        <f t="shared" si="2"/>
        <v>29</v>
      </c>
      <c r="K32" t="e">
        <f t="shared" si="3"/>
        <v>#NAME?</v>
      </c>
      <c r="L32" s="260" t="e">
        <f t="shared" si="0"/>
        <v>#NAME?</v>
      </c>
      <c r="M32" s="260" t="e">
        <f t="shared" si="1"/>
        <v>#NAME?</v>
      </c>
    </row>
    <row r="33" spans="10:13">
      <c r="J33">
        <f t="shared" si="2"/>
        <v>30</v>
      </c>
      <c r="K33" t="e">
        <f t="shared" si="3"/>
        <v>#NAME?</v>
      </c>
      <c r="L33" s="260" t="e">
        <f t="shared" si="0"/>
        <v>#NAME?</v>
      </c>
      <c r="M33" s="260" t="e">
        <f t="shared" si="1"/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"/>
  <sheetViews>
    <sheetView workbookViewId="0"/>
  </sheetViews>
  <sheetFormatPr baseColWidth="10" defaultRowHeight="15"/>
  <sheetData>
    <row r="1" spans="1:12">
      <c r="A1" s="52" t="s">
        <v>221</v>
      </c>
      <c r="B1" s="1"/>
      <c r="C1" s="2"/>
      <c r="D1" s="2"/>
      <c r="E1" s="2"/>
      <c r="F1" s="2"/>
      <c r="G1" s="2"/>
      <c r="H1" s="3"/>
      <c r="I1" s="2"/>
      <c r="J1" s="1"/>
      <c r="K1" s="1"/>
    </row>
    <row r="2" spans="1:12">
      <c r="A2" s="1"/>
      <c r="B2" s="2"/>
      <c r="C2" s="1"/>
      <c r="D2" s="1"/>
      <c r="E2" s="1"/>
      <c r="F2" s="1"/>
      <c r="G2" s="1"/>
      <c r="H2" s="1"/>
      <c r="I2" s="1"/>
      <c r="J2" s="1"/>
      <c r="K2" s="1"/>
    </row>
    <row r="3" spans="1:12" ht="22.5">
      <c r="A3" s="56" t="s">
        <v>0</v>
      </c>
      <c r="B3" s="57" t="s">
        <v>1362</v>
      </c>
      <c r="C3" s="57" t="s">
        <v>1</v>
      </c>
      <c r="D3" s="58" t="s">
        <v>2</v>
      </c>
      <c r="E3" s="58" t="s">
        <v>3</v>
      </c>
      <c r="F3" s="58" t="s">
        <v>17</v>
      </c>
      <c r="G3" s="58" t="s">
        <v>240</v>
      </c>
      <c r="H3" s="59" t="s">
        <v>242</v>
      </c>
      <c r="I3" s="58" t="s">
        <v>241</v>
      </c>
      <c r="J3" s="58" t="s">
        <v>8</v>
      </c>
      <c r="K3" s="58" t="s">
        <v>243</v>
      </c>
      <c r="L3" s="10" t="s">
        <v>13</v>
      </c>
    </row>
    <row r="4" spans="1:12">
      <c r="A4" s="86"/>
      <c r="B4" s="6"/>
      <c r="C4" s="7"/>
      <c r="D4" s="8"/>
      <c r="E4" s="8" t="str">
        <f>IF(AND(ISNUMBER(C4),ISNUMBER(D4)),C4*D4,"")</f>
        <v/>
      </c>
      <c r="F4" s="38"/>
      <c r="G4" s="8" t="str">
        <f>IF(AND(ISNUMBER(D4),ISNUMBER(F4)),D4*(1-F4),"")</f>
        <v/>
      </c>
      <c r="H4" s="38"/>
      <c r="I4" s="9" t="str">
        <f>IF(AND(ISNUMBER(D4),ISNUMBER(H4)),D4*(1-H4),IF(AND(ISNUMBER(G4),ISNUMBER(H4)),G4*(1-H4),""))</f>
        <v/>
      </c>
      <c r="J4" s="40" t="str">
        <f>IF(AND(ISNUMBER(I4),ISNUMBER(C4)),I4*C4,"")</f>
        <v/>
      </c>
      <c r="K4" s="40" t="str">
        <f>IF(AND(ISNUMBER(J4),ISNUMBER(D4)),J4*D4,"")</f>
        <v/>
      </c>
      <c r="L4" s="87"/>
    </row>
    <row r="5" spans="1:12">
      <c r="A5" s="86"/>
      <c r="B5" s="6"/>
      <c r="C5" s="7"/>
      <c r="D5" s="8"/>
      <c r="E5" s="8" t="str">
        <f t="shared" ref="E5:E18" si="0">IF(AND(ISNUMBER(C5),ISNUMBER(D5)),C5*D5,"")</f>
        <v/>
      </c>
      <c r="F5" s="38"/>
      <c r="G5" s="8" t="str">
        <f t="shared" ref="G5:G18" si="1">IF(AND(ISNUMBER(D5),ISNUMBER(F5)),D5*(1-F5),"")</f>
        <v/>
      </c>
      <c r="H5" s="38"/>
      <c r="I5" s="9" t="str">
        <f t="shared" ref="I5:I18" si="2">IF(AND(ISNUMBER(D5),ISNUMBER(H5)),D5*(1-H5),IF(AND(ISNUMBER(G5),ISNUMBER(H5)),G5*(1-H5),""))</f>
        <v/>
      </c>
      <c r="J5" s="40" t="str">
        <f t="shared" ref="J5:K18" si="3">IF(AND(ISNUMBER(I5),ISNUMBER(C5)),I5*C5,"")</f>
        <v/>
      </c>
      <c r="K5" s="40" t="str">
        <f t="shared" si="3"/>
        <v/>
      </c>
      <c r="L5" s="87"/>
    </row>
    <row r="6" spans="1:12">
      <c r="A6" s="86"/>
      <c r="B6" s="6"/>
      <c r="C6" s="7"/>
      <c r="D6" s="8"/>
      <c r="E6" s="8" t="str">
        <f t="shared" si="0"/>
        <v/>
      </c>
      <c r="F6" s="38"/>
      <c r="G6" s="8" t="str">
        <f t="shared" si="1"/>
        <v/>
      </c>
      <c r="H6" s="38"/>
      <c r="I6" s="9" t="str">
        <f t="shared" si="2"/>
        <v/>
      </c>
      <c r="J6" s="40" t="str">
        <f t="shared" si="3"/>
        <v/>
      </c>
      <c r="K6" s="40" t="str">
        <f t="shared" si="3"/>
        <v/>
      </c>
      <c r="L6" s="87"/>
    </row>
    <row r="7" spans="1:12">
      <c r="A7" s="86"/>
      <c r="B7" s="6"/>
      <c r="C7" s="7"/>
      <c r="D7" s="8"/>
      <c r="E7" s="8" t="str">
        <f t="shared" si="0"/>
        <v/>
      </c>
      <c r="F7" s="38"/>
      <c r="G7" s="8" t="str">
        <f t="shared" si="1"/>
        <v/>
      </c>
      <c r="H7" s="38"/>
      <c r="I7" s="9" t="str">
        <f t="shared" si="2"/>
        <v/>
      </c>
      <c r="J7" s="40" t="str">
        <f t="shared" si="3"/>
        <v/>
      </c>
      <c r="K7" s="40" t="str">
        <f t="shared" si="3"/>
        <v/>
      </c>
      <c r="L7" s="87"/>
    </row>
    <row r="8" spans="1:12">
      <c r="A8" s="86"/>
      <c r="B8" s="6"/>
      <c r="C8" s="7"/>
      <c r="D8" s="8"/>
      <c r="E8" s="8" t="str">
        <f t="shared" si="0"/>
        <v/>
      </c>
      <c r="F8" s="38"/>
      <c r="G8" s="8" t="str">
        <f t="shared" si="1"/>
        <v/>
      </c>
      <c r="H8" s="38"/>
      <c r="I8" s="9" t="str">
        <f t="shared" si="2"/>
        <v/>
      </c>
      <c r="J8" s="40" t="str">
        <f t="shared" si="3"/>
        <v/>
      </c>
      <c r="K8" s="40" t="str">
        <f t="shared" si="3"/>
        <v/>
      </c>
      <c r="L8" s="87"/>
    </row>
    <row r="9" spans="1:12">
      <c r="A9" s="86"/>
      <c r="B9" s="6"/>
      <c r="C9" s="7"/>
      <c r="D9" s="8"/>
      <c r="E9" s="8" t="str">
        <f t="shared" si="0"/>
        <v/>
      </c>
      <c r="F9" s="38"/>
      <c r="G9" s="8" t="str">
        <f t="shared" si="1"/>
        <v/>
      </c>
      <c r="H9" s="38"/>
      <c r="I9" s="9" t="str">
        <f t="shared" si="2"/>
        <v/>
      </c>
      <c r="J9" s="40" t="str">
        <f t="shared" si="3"/>
        <v/>
      </c>
      <c r="K9" s="40" t="str">
        <f t="shared" si="3"/>
        <v/>
      </c>
      <c r="L9" s="87"/>
    </row>
    <row r="10" spans="1:12">
      <c r="A10" s="86"/>
      <c r="B10" s="6"/>
      <c r="C10" s="7"/>
      <c r="D10" s="8"/>
      <c r="E10" s="8" t="str">
        <f t="shared" si="0"/>
        <v/>
      </c>
      <c r="F10" s="38"/>
      <c r="G10" s="8" t="str">
        <f t="shared" si="1"/>
        <v/>
      </c>
      <c r="H10" s="38"/>
      <c r="I10" s="9" t="str">
        <f t="shared" si="2"/>
        <v/>
      </c>
      <c r="J10" s="40" t="str">
        <f t="shared" si="3"/>
        <v/>
      </c>
      <c r="K10" s="40" t="str">
        <f t="shared" si="3"/>
        <v/>
      </c>
      <c r="L10" s="87"/>
    </row>
    <row r="11" spans="1:12">
      <c r="A11" s="86"/>
      <c r="B11" s="6"/>
      <c r="C11" s="7"/>
      <c r="D11" s="8"/>
      <c r="E11" s="8" t="str">
        <f t="shared" si="0"/>
        <v/>
      </c>
      <c r="F11" s="38"/>
      <c r="G11" s="8" t="str">
        <f t="shared" si="1"/>
        <v/>
      </c>
      <c r="H11" s="38"/>
      <c r="I11" s="9" t="str">
        <f t="shared" si="2"/>
        <v/>
      </c>
      <c r="J11" s="40" t="str">
        <f t="shared" si="3"/>
        <v/>
      </c>
      <c r="K11" s="40" t="str">
        <f t="shared" si="3"/>
        <v/>
      </c>
      <c r="L11" s="87"/>
    </row>
    <row r="12" spans="1:12">
      <c r="A12" s="86"/>
      <c r="B12" s="6"/>
      <c r="C12" s="7"/>
      <c r="D12" s="8"/>
      <c r="E12" s="8" t="str">
        <f t="shared" si="0"/>
        <v/>
      </c>
      <c r="F12" s="38"/>
      <c r="G12" s="8" t="str">
        <f t="shared" si="1"/>
        <v/>
      </c>
      <c r="H12" s="38"/>
      <c r="I12" s="9" t="str">
        <f t="shared" si="2"/>
        <v/>
      </c>
      <c r="J12" s="40" t="str">
        <f t="shared" si="3"/>
        <v/>
      </c>
      <c r="K12" s="40" t="str">
        <f t="shared" si="3"/>
        <v/>
      </c>
      <c r="L12" s="87"/>
    </row>
    <row r="13" spans="1:12">
      <c r="A13" s="86"/>
      <c r="B13" s="6"/>
      <c r="C13" s="7"/>
      <c r="D13" s="8"/>
      <c r="E13" s="8" t="str">
        <f t="shared" si="0"/>
        <v/>
      </c>
      <c r="F13" s="38"/>
      <c r="G13" s="8" t="str">
        <f t="shared" si="1"/>
        <v/>
      </c>
      <c r="H13" s="38"/>
      <c r="I13" s="9" t="str">
        <f t="shared" si="2"/>
        <v/>
      </c>
      <c r="J13" s="40" t="str">
        <f t="shared" si="3"/>
        <v/>
      </c>
      <c r="K13" s="40" t="str">
        <f t="shared" si="3"/>
        <v/>
      </c>
      <c r="L13" s="87"/>
    </row>
    <row r="14" spans="1:12">
      <c r="A14" s="86"/>
      <c r="B14" s="6"/>
      <c r="C14" s="7"/>
      <c r="D14" s="8"/>
      <c r="E14" s="8" t="str">
        <f t="shared" si="0"/>
        <v/>
      </c>
      <c r="F14" s="38"/>
      <c r="G14" s="8" t="str">
        <f t="shared" si="1"/>
        <v/>
      </c>
      <c r="H14" s="38"/>
      <c r="I14" s="9" t="str">
        <f t="shared" si="2"/>
        <v/>
      </c>
      <c r="J14" s="40" t="str">
        <f t="shared" si="3"/>
        <v/>
      </c>
      <c r="K14" s="40" t="str">
        <f t="shared" si="3"/>
        <v/>
      </c>
      <c r="L14" s="87"/>
    </row>
    <row r="15" spans="1:12">
      <c r="A15" s="86"/>
      <c r="B15" s="6"/>
      <c r="C15" s="7"/>
      <c r="D15" s="8"/>
      <c r="E15" s="8" t="str">
        <f t="shared" si="0"/>
        <v/>
      </c>
      <c r="F15" s="38"/>
      <c r="G15" s="8" t="str">
        <f t="shared" si="1"/>
        <v/>
      </c>
      <c r="H15" s="38"/>
      <c r="I15" s="9" t="str">
        <f t="shared" si="2"/>
        <v/>
      </c>
      <c r="J15" s="40" t="str">
        <f t="shared" si="3"/>
        <v/>
      </c>
      <c r="K15" s="40" t="str">
        <f t="shared" si="3"/>
        <v/>
      </c>
      <c r="L15" s="87"/>
    </row>
    <row r="16" spans="1:12">
      <c r="A16" s="86"/>
      <c r="B16" s="6"/>
      <c r="C16" s="7"/>
      <c r="D16" s="8"/>
      <c r="E16" s="8" t="str">
        <f t="shared" si="0"/>
        <v/>
      </c>
      <c r="F16" s="38"/>
      <c r="G16" s="8" t="str">
        <f t="shared" si="1"/>
        <v/>
      </c>
      <c r="H16" s="38"/>
      <c r="I16" s="9" t="str">
        <f t="shared" si="2"/>
        <v/>
      </c>
      <c r="J16" s="40" t="str">
        <f t="shared" si="3"/>
        <v/>
      </c>
      <c r="K16" s="40" t="str">
        <f t="shared" si="3"/>
        <v/>
      </c>
      <c r="L16" s="87"/>
    </row>
    <row r="17" spans="1:12">
      <c r="A17" s="86"/>
      <c r="B17" s="6"/>
      <c r="C17" s="7"/>
      <c r="D17" s="8"/>
      <c r="E17" s="8" t="str">
        <f t="shared" si="0"/>
        <v/>
      </c>
      <c r="F17" s="38"/>
      <c r="G17" s="8" t="str">
        <f t="shared" si="1"/>
        <v/>
      </c>
      <c r="H17" s="38"/>
      <c r="I17" s="9" t="str">
        <f t="shared" si="2"/>
        <v/>
      </c>
      <c r="J17" s="40" t="str">
        <f t="shared" si="3"/>
        <v/>
      </c>
      <c r="K17" s="40" t="str">
        <f t="shared" si="3"/>
        <v/>
      </c>
      <c r="L17" s="87"/>
    </row>
    <row r="18" spans="1:12">
      <c r="A18" s="86"/>
      <c r="B18" s="6"/>
      <c r="C18" s="7"/>
      <c r="D18" s="8"/>
      <c r="E18" s="8" t="str">
        <f t="shared" si="0"/>
        <v/>
      </c>
      <c r="F18" s="38"/>
      <c r="G18" s="8" t="str">
        <f t="shared" si="1"/>
        <v/>
      </c>
      <c r="H18" s="38"/>
      <c r="I18" s="9" t="str">
        <f t="shared" si="2"/>
        <v/>
      </c>
      <c r="J18" s="40" t="str">
        <f t="shared" si="3"/>
        <v/>
      </c>
      <c r="K18" s="40" t="str">
        <f t="shared" si="3"/>
        <v/>
      </c>
      <c r="L18" s="87"/>
    </row>
    <row r="19" spans="1:12">
      <c r="A19" s="354" t="s">
        <v>12</v>
      </c>
      <c r="B19" s="355"/>
      <c r="C19" s="356"/>
      <c r="D19" s="34"/>
      <c r="E19" s="39"/>
      <c r="F19" s="41"/>
      <c r="G19" s="41"/>
      <c r="H19" s="42"/>
      <c r="I19" s="37"/>
      <c r="J19" s="50">
        <f>SUM(J4:J18)</f>
        <v>0</v>
      </c>
      <c r="K19" s="76"/>
      <c r="L19" s="53"/>
    </row>
    <row r="20" spans="1:12">
      <c r="A20" s="357"/>
      <c r="B20" s="358"/>
      <c r="C20" s="359"/>
      <c r="D20" s="35"/>
      <c r="E20" s="47"/>
      <c r="F20" s="43"/>
      <c r="G20" s="43"/>
      <c r="H20" s="44"/>
      <c r="I20" s="48"/>
      <c r="J20" s="51"/>
      <c r="K20" s="85"/>
      <c r="L20" s="5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/>
  </sheetViews>
  <sheetFormatPr baseColWidth="10" defaultRowHeight="15"/>
  <sheetData>
    <row r="1" spans="1:7">
      <c r="A1" s="49" t="s">
        <v>221</v>
      </c>
      <c r="C1" s="96"/>
      <c r="D1" s="96"/>
      <c r="E1" s="96"/>
      <c r="F1" s="96"/>
    </row>
    <row r="2" spans="1:7">
      <c r="A2" s="49" t="s">
        <v>245</v>
      </c>
    </row>
    <row r="3" spans="1:7" ht="22.5">
      <c r="A3" s="64" t="s">
        <v>0</v>
      </c>
      <c r="B3" s="65" t="s">
        <v>1362</v>
      </c>
      <c r="C3" s="65" t="s">
        <v>1</v>
      </c>
      <c r="D3" s="66" t="s">
        <v>237</v>
      </c>
      <c r="E3" s="66" t="s">
        <v>236</v>
      </c>
      <c r="F3" s="66" t="s">
        <v>235</v>
      </c>
      <c r="G3" s="67" t="s">
        <v>246</v>
      </c>
    </row>
    <row r="4" spans="1:7">
      <c r="A4" s="68" t="s">
        <v>74</v>
      </c>
      <c r="B4" s="63"/>
      <c r="C4" s="62"/>
      <c r="D4" s="61"/>
      <c r="E4" s="61" t="str">
        <f>IF(AND(ISNUMBER(C4),ISNUMBER(D4)),C4*D4,"")</f>
        <v/>
      </c>
      <c r="F4" s="91" t="str">
        <f>IF(AND(ISNUMBER(E4),ISNUMBER(G4)),(E4-G4)/E4,"")</f>
        <v/>
      </c>
      <c r="G4" s="95"/>
    </row>
    <row r="5" spans="1:7">
      <c r="A5" s="68" t="s">
        <v>74</v>
      </c>
      <c r="B5" s="63"/>
      <c r="C5" s="62"/>
      <c r="D5" s="61"/>
      <c r="E5" s="61" t="str">
        <f t="shared" ref="E5:E18" si="0">IF(AND(ISNUMBER(C5),ISNUMBER(D5)),C5*D5,"")</f>
        <v/>
      </c>
      <c r="F5" s="91" t="str">
        <f t="shared" ref="F5:F18" si="1">IF(AND(ISNUMBER(E5),ISNUMBER(G5)),(E5-G5)/E5,"")</f>
        <v/>
      </c>
      <c r="G5" s="95"/>
    </row>
    <row r="6" spans="1:7">
      <c r="A6" s="68" t="s">
        <v>74</v>
      </c>
      <c r="B6" s="63"/>
      <c r="C6" s="62"/>
      <c r="D6" s="61"/>
      <c r="E6" s="61" t="str">
        <f t="shared" si="0"/>
        <v/>
      </c>
      <c r="F6" s="91" t="str">
        <f t="shared" si="1"/>
        <v/>
      </c>
      <c r="G6" s="95"/>
    </row>
    <row r="7" spans="1:7">
      <c r="A7" s="68" t="s">
        <v>74</v>
      </c>
      <c r="B7" s="63"/>
      <c r="C7" s="62"/>
      <c r="D7" s="61"/>
      <c r="E7" s="61" t="str">
        <f t="shared" si="0"/>
        <v/>
      </c>
      <c r="F7" s="91" t="str">
        <f t="shared" si="1"/>
        <v/>
      </c>
      <c r="G7" s="95"/>
    </row>
    <row r="8" spans="1:7">
      <c r="A8" s="68" t="s">
        <v>74</v>
      </c>
      <c r="B8" s="63"/>
      <c r="C8" s="62"/>
      <c r="D8" s="61"/>
      <c r="E8" s="61" t="str">
        <f t="shared" si="0"/>
        <v/>
      </c>
      <c r="F8" s="91" t="str">
        <f t="shared" si="1"/>
        <v/>
      </c>
      <c r="G8" s="95"/>
    </row>
    <row r="9" spans="1:7">
      <c r="A9" s="68" t="s">
        <v>74</v>
      </c>
      <c r="B9" s="63"/>
      <c r="C9" s="62"/>
      <c r="D9" s="61"/>
      <c r="E9" s="61" t="str">
        <f t="shared" si="0"/>
        <v/>
      </c>
      <c r="F9" s="91" t="str">
        <f t="shared" si="1"/>
        <v/>
      </c>
      <c r="G9" s="95"/>
    </row>
    <row r="10" spans="1:7">
      <c r="A10" s="68" t="s">
        <v>74</v>
      </c>
      <c r="B10" s="63"/>
      <c r="C10" s="62"/>
      <c r="D10" s="61"/>
      <c r="E10" s="61" t="str">
        <f t="shared" si="0"/>
        <v/>
      </c>
      <c r="F10" s="91" t="str">
        <f t="shared" si="1"/>
        <v/>
      </c>
      <c r="G10" s="95"/>
    </row>
    <row r="11" spans="1:7">
      <c r="A11" s="68" t="s">
        <v>74</v>
      </c>
      <c r="B11" s="63"/>
      <c r="C11" s="62"/>
      <c r="D11" s="61"/>
      <c r="E11" s="61" t="str">
        <f t="shared" si="0"/>
        <v/>
      </c>
      <c r="F11" s="91" t="str">
        <f t="shared" si="1"/>
        <v/>
      </c>
      <c r="G11" s="95"/>
    </row>
    <row r="12" spans="1:7">
      <c r="A12" s="68" t="s">
        <v>74</v>
      </c>
      <c r="B12" s="63"/>
      <c r="C12" s="62"/>
      <c r="D12" s="61"/>
      <c r="E12" s="61" t="str">
        <f t="shared" si="0"/>
        <v/>
      </c>
      <c r="F12" s="91" t="str">
        <f t="shared" si="1"/>
        <v/>
      </c>
      <c r="G12" s="95"/>
    </row>
    <row r="13" spans="1:7">
      <c r="A13" s="68" t="s">
        <v>74</v>
      </c>
      <c r="B13" s="63"/>
      <c r="C13" s="62"/>
      <c r="D13" s="61"/>
      <c r="E13" s="61" t="str">
        <f t="shared" si="0"/>
        <v/>
      </c>
      <c r="F13" s="91" t="str">
        <f t="shared" si="1"/>
        <v/>
      </c>
      <c r="G13" s="95"/>
    </row>
    <row r="14" spans="1:7">
      <c r="A14" s="68" t="s">
        <v>74</v>
      </c>
      <c r="B14" s="63"/>
      <c r="C14" s="62"/>
      <c r="D14" s="61"/>
      <c r="E14" s="61" t="str">
        <f t="shared" si="0"/>
        <v/>
      </c>
      <c r="F14" s="91" t="str">
        <f t="shared" si="1"/>
        <v/>
      </c>
      <c r="G14" s="95"/>
    </row>
    <row r="15" spans="1:7">
      <c r="A15" s="68" t="s">
        <v>74</v>
      </c>
      <c r="B15" s="63"/>
      <c r="C15" s="62"/>
      <c r="D15" s="61"/>
      <c r="E15" s="61" t="str">
        <f t="shared" si="0"/>
        <v/>
      </c>
      <c r="F15" s="91" t="str">
        <f t="shared" si="1"/>
        <v/>
      </c>
      <c r="G15" s="95"/>
    </row>
    <row r="16" spans="1:7">
      <c r="A16" s="68" t="s">
        <v>74</v>
      </c>
      <c r="B16" s="63"/>
      <c r="C16" s="62"/>
      <c r="D16" s="61"/>
      <c r="E16" s="61" t="str">
        <f t="shared" si="0"/>
        <v/>
      </c>
      <c r="F16" s="91" t="str">
        <f t="shared" si="1"/>
        <v/>
      </c>
      <c r="G16" s="95"/>
    </row>
    <row r="17" spans="1:7">
      <c r="A17" s="68" t="s">
        <v>74</v>
      </c>
      <c r="B17" s="63"/>
      <c r="C17" s="62"/>
      <c r="D17" s="61"/>
      <c r="E17" s="61" t="str">
        <f t="shared" si="0"/>
        <v/>
      </c>
      <c r="F17" s="91" t="str">
        <f t="shared" si="1"/>
        <v/>
      </c>
      <c r="G17" s="95"/>
    </row>
    <row r="18" spans="1:7">
      <c r="A18" s="69" t="s">
        <v>74</v>
      </c>
      <c r="B18" s="70"/>
      <c r="C18" s="71"/>
      <c r="D18" s="72"/>
      <c r="E18" s="61" t="str">
        <f t="shared" si="0"/>
        <v/>
      </c>
      <c r="F18" s="91" t="str">
        <f t="shared" si="1"/>
        <v/>
      </c>
      <c r="G18" s="95"/>
    </row>
    <row r="19" spans="1:7">
      <c r="A19" s="360" t="s">
        <v>12</v>
      </c>
      <c r="B19" s="361"/>
      <c r="C19" s="73"/>
      <c r="D19" s="74"/>
      <c r="E19" s="74"/>
      <c r="F19" s="94">
        <f>IF(AND(E19&gt;0,G19&gt;0),(E19-G19)/E19,0)</f>
        <v>0</v>
      </c>
      <c r="G19" s="76"/>
    </row>
    <row r="20" spans="1:7" ht="24">
      <c r="A20" s="362" t="s">
        <v>235</v>
      </c>
      <c r="B20" s="363"/>
      <c r="C20" s="77"/>
      <c r="D20" s="78"/>
      <c r="E20" s="78">
        <f>IF(AND(E19&gt;0,G19&gt;0),(E19-G19)/E19,0)</f>
        <v>0</v>
      </c>
      <c r="F20" s="78"/>
      <c r="G20" s="92"/>
    </row>
    <row r="21" spans="1:7">
      <c r="A21" s="364" t="s">
        <v>238</v>
      </c>
      <c r="B21" s="365"/>
      <c r="C21" s="75"/>
      <c r="D21" s="79"/>
      <c r="E21" s="79">
        <f>E19*(1-E20)</f>
        <v>0</v>
      </c>
      <c r="F21" s="79"/>
      <c r="G21" s="9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194"/>
  <sheetViews>
    <sheetView workbookViewId="0"/>
  </sheetViews>
  <sheetFormatPr baseColWidth="10" defaultRowHeight="15"/>
  <sheetData>
    <row r="1" spans="1:7">
      <c r="A1" s="323" t="s">
        <v>13955</v>
      </c>
      <c r="B1" s="290"/>
      <c r="C1" s="291"/>
      <c r="D1" s="290"/>
      <c r="E1" s="292"/>
      <c r="F1" s="292"/>
    </row>
    <row r="2" spans="1:7">
      <c r="A2" s="289"/>
      <c r="B2" s="290">
        <v>8.11</v>
      </c>
      <c r="C2" s="291"/>
      <c r="D2" s="290"/>
      <c r="E2" s="292"/>
      <c r="F2" s="292"/>
    </row>
    <row r="3" spans="1:7">
      <c r="A3" s="289"/>
      <c r="B3" s="290"/>
      <c r="C3" s="291"/>
      <c r="D3" s="290"/>
      <c r="E3" s="292"/>
      <c r="F3" s="292"/>
    </row>
    <row r="4" spans="1:7" ht="23.25">
      <c r="A4" s="289"/>
      <c r="B4" s="290"/>
      <c r="C4" s="293" t="s">
        <v>8500</v>
      </c>
      <c r="D4" s="290"/>
      <c r="E4" s="292"/>
      <c r="F4" s="292"/>
    </row>
    <row r="5" spans="1:7">
      <c r="A5" s="289"/>
      <c r="B5" s="290"/>
      <c r="C5" s="290"/>
      <c r="D5" s="290"/>
      <c r="E5" s="292"/>
      <c r="F5" s="292"/>
    </row>
    <row r="6" spans="1:7">
      <c r="A6" s="289"/>
      <c r="B6" s="290"/>
      <c r="C6" s="291"/>
      <c r="D6" s="290"/>
      <c r="E6" s="291"/>
      <c r="F6" s="292"/>
    </row>
    <row r="7" spans="1:7">
      <c r="A7" s="289"/>
      <c r="B7" s="294"/>
      <c r="C7" s="295"/>
      <c r="D7" s="296"/>
      <c r="E7" s="297"/>
      <c r="F7" s="297"/>
    </row>
    <row r="8" spans="1:7">
      <c r="A8" s="298"/>
      <c r="B8" s="299" t="s">
        <v>8501</v>
      </c>
      <c r="C8" s="300" t="s">
        <v>1362</v>
      </c>
      <c r="D8" s="299" t="s">
        <v>3161</v>
      </c>
      <c r="E8" s="301" t="s">
        <v>8502</v>
      </c>
      <c r="F8" s="301" t="s">
        <v>256</v>
      </c>
      <c r="G8" s="301" t="s">
        <v>10993</v>
      </c>
    </row>
    <row r="9" spans="1:7">
      <c r="A9" s="302"/>
      <c r="B9" t="s">
        <v>5616</v>
      </c>
    </row>
    <row r="10" spans="1:7">
      <c r="A10" s="303"/>
      <c r="B10" t="s">
        <v>5617</v>
      </c>
      <c r="C10" t="s">
        <v>5618</v>
      </c>
      <c r="E10">
        <v>3289.1304347826085</v>
      </c>
      <c r="F10" t="s">
        <v>10995</v>
      </c>
      <c r="G10" t="s">
        <v>10996</v>
      </c>
    </row>
    <row r="11" spans="1:7">
      <c r="A11" s="303"/>
      <c r="B11" t="s">
        <v>5619</v>
      </c>
      <c r="C11" t="s">
        <v>5620</v>
      </c>
      <c r="E11">
        <v>3506.5217391304345</v>
      </c>
      <c r="F11" t="s">
        <v>10995</v>
      </c>
      <c r="G11" t="s">
        <v>10997</v>
      </c>
    </row>
    <row r="12" spans="1:7">
      <c r="A12" s="303"/>
      <c r="B12" t="s">
        <v>5621</v>
      </c>
      <c r="C12" t="s">
        <v>5622</v>
      </c>
      <c r="E12">
        <v>3909.782608695652</v>
      </c>
      <c r="F12" t="s">
        <v>10995</v>
      </c>
      <c r="G12" t="s">
        <v>10997</v>
      </c>
    </row>
    <row r="13" spans="1:7">
      <c r="A13" s="303"/>
      <c r="B13" t="s">
        <v>5623</v>
      </c>
      <c r="C13" t="s">
        <v>5624</v>
      </c>
      <c r="E13">
        <v>4138.0434782608691</v>
      </c>
      <c r="F13" t="s">
        <v>10995</v>
      </c>
      <c r="G13" t="s">
        <v>10996</v>
      </c>
    </row>
    <row r="14" spans="1:7">
      <c r="A14" s="303"/>
      <c r="B14" t="s">
        <v>5625</v>
      </c>
      <c r="C14" t="s">
        <v>5626</v>
      </c>
      <c r="E14">
        <v>3970.6521739130435</v>
      </c>
      <c r="F14" t="s">
        <v>10995</v>
      </c>
      <c r="G14" t="s">
        <v>10996</v>
      </c>
    </row>
    <row r="15" spans="1:7">
      <c r="A15" s="303"/>
      <c r="B15" t="s">
        <v>5627</v>
      </c>
      <c r="C15" t="s">
        <v>5628</v>
      </c>
      <c r="E15">
        <v>4445.652173913043</v>
      </c>
      <c r="F15" t="s">
        <v>10995</v>
      </c>
      <c r="G15" t="s">
        <v>10997</v>
      </c>
    </row>
    <row r="16" spans="1:7">
      <c r="A16" s="303"/>
      <c r="B16" t="s">
        <v>5629</v>
      </c>
      <c r="C16" t="s">
        <v>5630</v>
      </c>
      <c r="E16">
        <v>5169.565217391304</v>
      </c>
      <c r="F16" t="s">
        <v>10995</v>
      </c>
      <c r="G16" t="s">
        <v>10997</v>
      </c>
    </row>
    <row r="17" spans="1:7">
      <c r="A17" s="303"/>
      <c r="B17" t="s">
        <v>5631</v>
      </c>
      <c r="C17" t="s">
        <v>5632</v>
      </c>
      <c r="E17">
        <v>6091.304347826087</v>
      </c>
      <c r="F17" t="s">
        <v>10995</v>
      </c>
      <c r="G17" t="s">
        <v>10997</v>
      </c>
    </row>
    <row r="18" spans="1:7">
      <c r="A18" s="303"/>
      <c r="B18" t="s">
        <v>5633</v>
      </c>
      <c r="C18" t="s">
        <v>5634</v>
      </c>
      <c r="E18">
        <v>6260.869565217391</v>
      </c>
      <c r="F18" t="s">
        <v>10995</v>
      </c>
      <c r="G18" t="s">
        <v>10996</v>
      </c>
    </row>
    <row r="19" spans="1:7">
      <c r="A19" s="303"/>
      <c r="B19" t="s">
        <v>5635</v>
      </c>
      <c r="C19" t="s">
        <v>5636</v>
      </c>
      <c r="E19">
        <v>7321.7391304347821</v>
      </c>
      <c r="F19" t="s">
        <v>10995</v>
      </c>
      <c r="G19" t="s">
        <v>10997</v>
      </c>
    </row>
    <row r="20" spans="1:7">
      <c r="A20" s="303"/>
      <c r="B20" t="s">
        <v>5637</v>
      </c>
      <c r="C20" t="s">
        <v>5638</v>
      </c>
      <c r="E20">
        <v>7726.086956521739</v>
      </c>
      <c r="F20" t="s">
        <v>10995</v>
      </c>
      <c r="G20" t="s">
        <v>10997</v>
      </c>
    </row>
    <row r="21" spans="1:7">
      <c r="A21" s="303"/>
      <c r="B21" t="s">
        <v>5639</v>
      </c>
    </row>
    <row r="22" spans="1:7">
      <c r="A22" s="303"/>
      <c r="B22" t="s">
        <v>5640</v>
      </c>
      <c r="C22" t="s">
        <v>5641</v>
      </c>
      <c r="E22">
        <v>1313.0434782608695</v>
      </c>
      <c r="F22" t="s">
        <v>10998</v>
      </c>
      <c r="G22" t="s">
        <v>10999</v>
      </c>
    </row>
    <row r="23" spans="1:7">
      <c r="A23" s="303"/>
      <c r="B23" t="s">
        <v>2607</v>
      </c>
      <c r="C23" t="s">
        <v>5642</v>
      </c>
      <c r="E23">
        <v>1596.7391304347825</v>
      </c>
      <c r="F23" t="s">
        <v>10998</v>
      </c>
      <c r="G23" t="s">
        <v>10997</v>
      </c>
    </row>
    <row r="24" spans="1:7">
      <c r="A24" s="303"/>
      <c r="B24" t="s">
        <v>5643</v>
      </c>
      <c r="C24" t="s">
        <v>5644</v>
      </c>
      <c r="E24">
        <v>1879.3478260869565</v>
      </c>
      <c r="F24" t="s">
        <v>10998</v>
      </c>
      <c r="G24" t="s">
        <v>10996</v>
      </c>
    </row>
    <row r="25" spans="1:7">
      <c r="A25" s="303"/>
      <c r="B25" t="s">
        <v>5649</v>
      </c>
      <c r="C25" t="s">
        <v>11000</v>
      </c>
      <c r="E25">
        <v>1872.8260869565217</v>
      </c>
      <c r="F25" t="s">
        <v>10998</v>
      </c>
      <c r="G25" t="s">
        <v>10996</v>
      </c>
    </row>
    <row r="26" spans="1:7">
      <c r="A26" s="303"/>
      <c r="B26" t="s">
        <v>5645</v>
      </c>
      <c r="C26" t="s">
        <v>5646</v>
      </c>
      <c r="E26">
        <v>1905.4347826086955</v>
      </c>
      <c r="F26" t="s">
        <v>10998</v>
      </c>
      <c r="G26" t="s">
        <v>10997</v>
      </c>
    </row>
    <row r="27" spans="1:7">
      <c r="A27" s="303"/>
      <c r="B27" t="s">
        <v>5647</v>
      </c>
      <c r="C27" t="s">
        <v>5648</v>
      </c>
      <c r="E27">
        <v>2289.1304347826085</v>
      </c>
      <c r="F27" t="s">
        <v>10998</v>
      </c>
      <c r="G27" t="s">
        <v>10997</v>
      </c>
    </row>
    <row r="28" spans="1:7">
      <c r="A28" s="303"/>
      <c r="B28" t="s">
        <v>5650</v>
      </c>
    </row>
    <row r="29" spans="1:7">
      <c r="A29" s="303"/>
      <c r="B29" t="s">
        <v>2614</v>
      </c>
      <c r="C29" t="s">
        <v>5651</v>
      </c>
      <c r="E29">
        <v>4650</v>
      </c>
      <c r="F29" t="s">
        <v>10995</v>
      </c>
      <c r="G29" t="s">
        <v>10997</v>
      </c>
    </row>
    <row r="30" spans="1:7">
      <c r="A30" s="303"/>
      <c r="B30" t="s">
        <v>2615</v>
      </c>
      <c r="C30" t="s">
        <v>5652</v>
      </c>
      <c r="E30">
        <v>6044.565217391304</v>
      </c>
      <c r="F30" t="s">
        <v>10995</v>
      </c>
      <c r="G30" t="s">
        <v>10997</v>
      </c>
    </row>
    <row r="31" spans="1:7">
      <c r="A31" s="303"/>
      <c r="B31" t="s">
        <v>2616</v>
      </c>
      <c r="C31" t="s">
        <v>5653</v>
      </c>
      <c r="E31">
        <v>7310.869565217391</v>
      </c>
      <c r="F31" t="s">
        <v>10995</v>
      </c>
      <c r="G31" t="s">
        <v>10997</v>
      </c>
    </row>
    <row r="32" spans="1:7">
      <c r="A32" s="303"/>
      <c r="B32" t="s">
        <v>2617</v>
      </c>
      <c r="C32" t="s">
        <v>5654</v>
      </c>
      <c r="E32">
        <v>5504.347826086956</v>
      </c>
      <c r="F32" t="s">
        <v>10995</v>
      </c>
      <c r="G32" t="s">
        <v>10999</v>
      </c>
    </row>
    <row r="33" spans="1:7">
      <c r="A33" s="303"/>
      <c r="B33" t="s">
        <v>2618</v>
      </c>
      <c r="C33" t="s">
        <v>5654</v>
      </c>
      <c r="E33">
        <v>8338.04347826087</v>
      </c>
      <c r="F33" t="s">
        <v>10995</v>
      </c>
      <c r="G33" t="s">
        <v>10997</v>
      </c>
    </row>
    <row r="34" spans="1:7">
      <c r="A34" s="303"/>
      <c r="B34" t="s">
        <v>2619</v>
      </c>
      <c r="C34" t="s">
        <v>5655</v>
      </c>
      <c r="E34">
        <v>9034.782608695652</v>
      </c>
      <c r="F34" t="s">
        <v>10995</v>
      </c>
      <c r="G34" t="s">
        <v>10997</v>
      </c>
    </row>
    <row r="35" spans="1:7">
      <c r="A35" s="303"/>
      <c r="B35" t="s">
        <v>2620</v>
      </c>
      <c r="C35" t="s">
        <v>5656</v>
      </c>
      <c r="E35">
        <v>2616.304347826087</v>
      </c>
      <c r="F35" t="s">
        <v>10995</v>
      </c>
      <c r="G35" t="s">
        <v>10996</v>
      </c>
    </row>
    <row r="36" spans="1:7">
      <c r="A36" s="303"/>
      <c r="B36" t="s">
        <v>2621</v>
      </c>
      <c r="C36" t="s">
        <v>5657</v>
      </c>
      <c r="E36">
        <v>2883.695652173913</v>
      </c>
      <c r="F36" t="s">
        <v>10995</v>
      </c>
      <c r="G36" t="s">
        <v>10996</v>
      </c>
    </row>
    <row r="37" spans="1:7">
      <c r="A37" s="303"/>
      <c r="B37" t="s">
        <v>2622</v>
      </c>
      <c r="C37" t="s">
        <v>5658</v>
      </c>
      <c r="E37">
        <v>3176.086956521739</v>
      </c>
      <c r="F37" t="s">
        <v>10995</v>
      </c>
      <c r="G37" t="s">
        <v>10997</v>
      </c>
    </row>
    <row r="38" spans="1:7">
      <c r="A38" s="303"/>
      <c r="B38" t="s">
        <v>2623</v>
      </c>
      <c r="C38" t="s">
        <v>5659</v>
      </c>
      <c r="E38">
        <v>3180.4347826086955</v>
      </c>
      <c r="F38" t="s">
        <v>10995</v>
      </c>
      <c r="G38" t="s">
        <v>10997</v>
      </c>
    </row>
    <row r="39" spans="1:7">
      <c r="A39" s="303"/>
      <c r="B39" t="s">
        <v>2624</v>
      </c>
      <c r="C39" t="s">
        <v>5660</v>
      </c>
      <c r="E39">
        <v>4089.1304347826085</v>
      </c>
      <c r="F39" t="s">
        <v>10995</v>
      </c>
      <c r="G39" t="s">
        <v>10997</v>
      </c>
    </row>
    <row r="40" spans="1:7">
      <c r="A40" s="303"/>
      <c r="B40" t="s">
        <v>2627</v>
      </c>
      <c r="C40" t="s">
        <v>5661</v>
      </c>
      <c r="E40">
        <v>4771.7391304347821</v>
      </c>
      <c r="F40" t="s">
        <v>10995</v>
      </c>
      <c r="G40" t="s">
        <v>10997</v>
      </c>
    </row>
    <row r="41" spans="1:7">
      <c r="A41" s="303"/>
      <c r="B41" t="s">
        <v>2628</v>
      </c>
      <c r="C41" t="s">
        <v>5662</v>
      </c>
      <c r="E41">
        <v>5377.173913043478</v>
      </c>
      <c r="F41" t="s">
        <v>10995</v>
      </c>
      <c r="G41" t="s">
        <v>10997</v>
      </c>
    </row>
    <row r="42" spans="1:7">
      <c r="A42" s="303"/>
      <c r="B42" t="s">
        <v>2629</v>
      </c>
      <c r="C42" t="s">
        <v>5663</v>
      </c>
      <c r="E42">
        <v>5934.782608695652</v>
      </c>
      <c r="F42" t="s">
        <v>10995</v>
      </c>
      <c r="G42" t="s">
        <v>10997</v>
      </c>
    </row>
    <row r="43" spans="1:7">
      <c r="A43" s="303"/>
      <c r="B43" t="s">
        <v>2630</v>
      </c>
      <c r="C43" t="s">
        <v>5664</v>
      </c>
      <c r="E43">
        <v>6352.173913043478</v>
      </c>
      <c r="F43" t="s">
        <v>10995</v>
      </c>
      <c r="G43" t="s">
        <v>10997</v>
      </c>
    </row>
    <row r="44" spans="1:7">
      <c r="A44" s="303"/>
      <c r="B44" t="s">
        <v>2631</v>
      </c>
      <c r="C44" t="s">
        <v>5665</v>
      </c>
      <c r="E44">
        <v>6801.086956521739</v>
      </c>
      <c r="F44" t="s">
        <v>10995</v>
      </c>
      <c r="G44" t="s">
        <v>10997</v>
      </c>
    </row>
    <row r="45" spans="1:7">
      <c r="A45" s="303"/>
      <c r="B45" t="s">
        <v>2632</v>
      </c>
      <c r="C45" t="s">
        <v>5666</v>
      </c>
      <c r="E45">
        <v>7310.869565217391</v>
      </c>
      <c r="F45" t="s">
        <v>10995</v>
      </c>
      <c r="G45" t="s">
        <v>10997</v>
      </c>
    </row>
    <row r="46" spans="1:7">
      <c r="A46" s="303"/>
      <c r="B46" t="s">
        <v>5667</v>
      </c>
    </row>
    <row r="47" spans="1:7">
      <c r="A47" s="303"/>
      <c r="B47" t="s">
        <v>5668</v>
      </c>
      <c r="C47" t="s">
        <v>5669</v>
      </c>
      <c r="E47">
        <v>6958.695652173913</v>
      </c>
      <c r="F47" t="s">
        <v>10995</v>
      </c>
      <c r="G47" t="s">
        <v>10997</v>
      </c>
    </row>
    <row r="48" spans="1:7">
      <c r="A48" s="303"/>
      <c r="B48" t="s">
        <v>5670</v>
      </c>
      <c r="C48" t="s">
        <v>5671</v>
      </c>
      <c r="E48">
        <v>3031.5217391304345</v>
      </c>
      <c r="F48" t="s">
        <v>10995</v>
      </c>
      <c r="G48" t="s">
        <v>10996</v>
      </c>
    </row>
    <row r="49" spans="1:7">
      <c r="A49" s="303"/>
      <c r="B49" t="s">
        <v>5672</v>
      </c>
      <c r="C49" t="s">
        <v>5673</v>
      </c>
      <c r="E49">
        <v>3203.260869565217</v>
      </c>
      <c r="F49" t="s">
        <v>10995</v>
      </c>
      <c r="G49" t="s">
        <v>10996</v>
      </c>
    </row>
    <row r="50" spans="1:7">
      <c r="A50" s="303"/>
      <c r="B50" t="s">
        <v>5674</v>
      </c>
      <c r="C50" t="s">
        <v>5675</v>
      </c>
      <c r="E50">
        <v>3691.304347826087</v>
      </c>
      <c r="F50" t="s">
        <v>10995</v>
      </c>
      <c r="G50" t="s">
        <v>10997</v>
      </c>
    </row>
    <row r="51" spans="1:7">
      <c r="A51" s="303"/>
      <c r="B51" t="s">
        <v>5676</v>
      </c>
      <c r="C51" t="s">
        <v>5677</v>
      </c>
      <c r="E51">
        <v>3660.869565217391</v>
      </c>
      <c r="F51" t="s">
        <v>10995</v>
      </c>
      <c r="G51" t="s">
        <v>10997</v>
      </c>
    </row>
    <row r="52" spans="1:7">
      <c r="A52" s="303"/>
      <c r="B52" t="s">
        <v>5688</v>
      </c>
      <c r="C52" t="s">
        <v>11001</v>
      </c>
      <c r="E52">
        <v>3240.2173913043475</v>
      </c>
      <c r="F52" t="s">
        <v>10995</v>
      </c>
    </row>
    <row r="53" spans="1:7">
      <c r="A53" s="303"/>
      <c r="B53" t="s">
        <v>5689</v>
      </c>
      <c r="C53" t="s">
        <v>11002</v>
      </c>
      <c r="E53">
        <v>4421.7391304347821</v>
      </c>
      <c r="F53" t="s">
        <v>10995</v>
      </c>
    </row>
    <row r="54" spans="1:7">
      <c r="A54" s="303"/>
      <c r="B54" t="s">
        <v>5690</v>
      </c>
      <c r="C54" t="s">
        <v>11003</v>
      </c>
      <c r="E54">
        <v>4126.086956521739</v>
      </c>
      <c r="F54" t="s">
        <v>10995</v>
      </c>
    </row>
    <row r="55" spans="1:7">
      <c r="A55" s="303"/>
      <c r="B55" t="s">
        <v>5691</v>
      </c>
      <c r="C55" t="s">
        <v>11004</v>
      </c>
      <c r="E55">
        <v>5814.1304347826081</v>
      </c>
      <c r="F55" t="s">
        <v>10995</v>
      </c>
    </row>
    <row r="56" spans="1:7">
      <c r="A56" s="303"/>
      <c r="B56" t="s">
        <v>5692</v>
      </c>
      <c r="C56" t="s">
        <v>11005</v>
      </c>
      <c r="E56">
        <v>11952.173913043478</v>
      </c>
      <c r="F56" t="s">
        <v>10995</v>
      </c>
    </row>
    <row r="57" spans="1:7">
      <c r="A57" s="303"/>
      <c r="B57" t="s">
        <v>5693</v>
      </c>
      <c r="C57" t="s">
        <v>11006</v>
      </c>
      <c r="E57">
        <v>3330.4347826086955</v>
      </c>
      <c r="F57" t="s">
        <v>10995</v>
      </c>
    </row>
    <row r="58" spans="1:7">
      <c r="A58" s="303"/>
      <c r="B58" t="s">
        <v>5694</v>
      </c>
      <c r="C58" t="s">
        <v>11007</v>
      </c>
      <c r="E58">
        <v>4216.304347826087</v>
      </c>
      <c r="F58" t="s">
        <v>10995</v>
      </c>
    </row>
    <row r="59" spans="1:7">
      <c r="A59" s="303"/>
      <c r="B59" t="s">
        <v>5678</v>
      </c>
      <c r="C59" t="s">
        <v>5679</v>
      </c>
      <c r="E59">
        <v>5357.608695652174</v>
      </c>
      <c r="F59" t="s">
        <v>10995</v>
      </c>
      <c r="G59" t="s">
        <v>10997</v>
      </c>
    </row>
    <row r="60" spans="1:7">
      <c r="A60" s="303"/>
      <c r="B60" t="s">
        <v>5680</v>
      </c>
      <c r="C60" t="s">
        <v>5681</v>
      </c>
      <c r="E60">
        <v>4534.782608695652</v>
      </c>
      <c r="F60" t="s">
        <v>10995</v>
      </c>
      <c r="G60" t="s">
        <v>10997</v>
      </c>
    </row>
    <row r="61" spans="1:7">
      <c r="A61" s="303"/>
      <c r="B61" t="s">
        <v>5682</v>
      </c>
      <c r="C61" t="s">
        <v>5683</v>
      </c>
      <c r="E61">
        <v>7350</v>
      </c>
      <c r="F61" t="s">
        <v>10995</v>
      </c>
      <c r="G61" t="s">
        <v>10997</v>
      </c>
    </row>
    <row r="62" spans="1:7">
      <c r="A62" s="303"/>
      <c r="B62" t="s">
        <v>5684</v>
      </c>
      <c r="C62" t="s">
        <v>5685</v>
      </c>
      <c r="E62">
        <v>7803.260869565217</v>
      </c>
      <c r="F62" t="s">
        <v>10995</v>
      </c>
      <c r="G62" t="s">
        <v>10997</v>
      </c>
    </row>
    <row r="63" spans="1:7">
      <c r="A63" s="303"/>
      <c r="B63" t="s">
        <v>5686</v>
      </c>
      <c r="C63" t="s">
        <v>5687</v>
      </c>
      <c r="E63">
        <v>12845.652173913042</v>
      </c>
      <c r="F63" t="s">
        <v>10995</v>
      </c>
      <c r="G63" t="s">
        <v>10997</v>
      </c>
    </row>
    <row r="64" spans="1:7">
      <c r="A64" s="303"/>
      <c r="B64" t="s">
        <v>11008</v>
      </c>
      <c r="C64" t="s">
        <v>11009</v>
      </c>
      <c r="E64">
        <v>9825</v>
      </c>
      <c r="F64" t="s">
        <v>10995</v>
      </c>
      <c r="G64" t="s">
        <v>10997</v>
      </c>
    </row>
    <row r="65" spans="1:7">
      <c r="A65" s="303"/>
      <c r="B65" t="s">
        <v>11010</v>
      </c>
      <c r="C65" t="s">
        <v>11011</v>
      </c>
      <c r="E65">
        <v>6647.8260869565211</v>
      </c>
      <c r="F65" t="s">
        <v>10995</v>
      </c>
      <c r="G65" t="s">
        <v>10997</v>
      </c>
    </row>
    <row r="66" spans="1:7">
      <c r="A66" s="303"/>
      <c r="B66" t="s">
        <v>11012</v>
      </c>
      <c r="C66" t="s">
        <v>11013</v>
      </c>
      <c r="E66">
        <v>8207.608695652174</v>
      </c>
      <c r="F66" t="s">
        <v>10995</v>
      </c>
      <c r="G66" t="s">
        <v>10997</v>
      </c>
    </row>
    <row r="67" spans="1:7">
      <c r="A67" s="303"/>
      <c r="B67" t="s">
        <v>5695</v>
      </c>
    </row>
    <row r="68" spans="1:7">
      <c r="A68" s="303"/>
      <c r="B68" t="s">
        <v>2635</v>
      </c>
      <c r="C68" t="s">
        <v>5696</v>
      </c>
      <c r="E68">
        <v>4607.608695652174</v>
      </c>
      <c r="F68" t="s">
        <v>10995</v>
      </c>
      <c r="G68" t="s">
        <v>10997</v>
      </c>
    </row>
    <row r="69" spans="1:7">
      <c r="A69" s="303"/>
      <c r="B69" t="s">
        <v>2636</v>
      </c>
      <c r="C69" t="s">
        <v>5697</v>
      </c>
      <c r="E69">
        <v>6053.260869565217</v>
      </c>
      <c r="F69" t="s">
        <v>10995</v>
      </c>
      <c r="G69" t="s">
        <v>10997</v>
      </c>
    </row>
    <row r="70" spans="1:7">
      <c r="A70" s="303"/>
      <c r="B70" t="s">
        <v>2637</v>
      </c>
      <c r="C70" t="s">
        <v>5698</v>
      </c>
      <c r="E70">
        <v>7366.304347826087</v>
      </c>
      <c r="F70" t="s">
        <v>10995</v>
      </c>
      <c r="G70" t="s">
        <v>10997</v>
      </c>
    </row>
    <row r="71" spans="1:7">
      <c r="A71" s="303"/>
      <c r="B71" t="s">
        <v>2638</v>
      </c>
      <c r="C71" t="s">
        <v>5699</v>
      </c>
      <c r="E71">
        <v>5448.913043478261</v>
      </c>
      <c r="F71" t="s">
        <v>10995</v>
      </c>
      <c r="G71" t="s">
        <v>10999</v>
      </c>
    </row>
    <row r="72" spans="1:7">
      <c r="A72" s="303"/>
      <c r="B72" t="s">
        <v>2587</v>
      </c>
      <c r="C72" t="s">
        <v>2588</v>
      </c>
      <c r="E72">
        <v>8397.826086956522</v>
      </c>
      <c r="F72" t="s">
        <v>10995</v>
      </c>
      <c r="G72" t="s">
        <v>10997</v>
      </c>
    </row>
    <row r="73" spans="1:7">
      <c r="A73" s="303"/>
      <c r="B73" t="s">
        <v>2639</v>
      </c>
      <c r="C73" t="s">
        <v>5700</v>
      </c>
      <c r="E73">
        <v>9120.652173913044</v>
      </c>
      <c r="F73" t="s">
        <v>10995</v>
      </c>
      <c r="G73" t="s">
        <v>10997</v>
      </c>
    </row>
    <row r="74" spans="1:7">
      <c r="A74" s="303"/>
      <c r="B74" t="s">
        <v>2640</v>
      </c>
      <c r="C74" t="s">
        <v>5701</v>
      </c>
      <c r="E74">
        <v>2606.5217391304345</v>
      </c>
      <c r="F74" t="s">
        <v>10995</v>
      </c>
      <c r="G74" t="s">
        <v>10996</v>
      </c>
    </row>
    <row r="75" spans="1:7">
      <c r="A75" s="303"/>
      <c r="B75" t="s">
        <v>2641</v>
      </c>
      <c r="C75" t="s">
        <v>5702</v>
      </c>
      <c r="E75">
        <v>2826.086956521739</v>
      </c>
      <c r="F75" t="s">
        <v>10995</v>
      </c>
      <c r="G75" t="s">
        <v>10996</v>
      </c>
    </row>
    <row r="76" spans="1:7">
      <c r="A76" s="303"/>
      <c r="B76" t="s">
        <v>2589</v>
      </c>
      <c r="C76" t="s">
        <v>2590</v>
      </c>
      <c r="E76">
        <v>3129.3478260869565</v>
      </c>
      <c r="F76" t="s">
        <v>10995</v>
      </c>
      <c r="G76" t="s">
        <v>10997</v>
      </c>
    </row>
    <row r="77" spans="1:7">
      <c r="A77" s="303"/>
      <c r="B77" t="s">
        <v>2642</v>
      </c>
      <c r="C77" t="s">
        <v>5703</v>
      </c>
      <c r="E77">
        <v>3130.4347826086955</v>
      </c>
      <c r="F77" t="s">
        <v>10995</v>
      </c>
      <c r="G77" t="s">
        <v>10999</v>
      </c>
    </row>
    <row r="78" spans="1:7">
      <c r="A78" s="303"/>
      <c r="B78" t="s">
        <v>2643</v>
      </c>
      <c r="C78" t="s">
        <v>5704</v>
      </c>
      <c r="E78">
        <v>3976.086956521739</v>
      </c>
      <c r="F78" t="s">
        <v>10995</v>
      </c>
      <c r="G78" t="s">
        <v>10997</v>
      </c>
    </row>
    <row r="79" spans="1:7">
      <c r="A79" s="303"/>
      <c r="B79" t="s">
        <v>2648</v>
      </c>
      <c r="C79" t="s">
        <v>5705</v>
      </c>
      <c r="E79">
        <v>4684.782608695652</v>
      </c>
      <c r="F79" t="s">
        <v>10995</v>
      </c>
      <c r="G79" t="s">
        <v>10997</v>
      </c>
    </row>
    <row r="80" spans="1:7">
      <c r="A80" s="303"/>
      <c r="B80" t="s">
        <v>2649</v>
      </c>
      <c r="C80" t="s">
        <v>5706</v>
      </c>
      <c r="E80">
        <v>5336.95652173913</v>
      </c>
      <c r="F80" t="s">
        <v>10995</v>
      </c>
      <c r="G80" t="s">
        <v>10997</v>
      </c>
    </row>
    <row r="81" spans="1:7">
      <c r="A81" s="303"/>
      <c r="B81" t="s">
        <v>2650</v>
      </c>
      <c r="C81" t="s">
        <v>5707</v>
      </c>
      <c r="E81">
        <v>5915.217391304348</v>
      </c>
      <c r="F81" t="s">
        <v>10995</v>
      </c>
      <c r="G81" t="s">
        <v>10997</v>
      </c>
    </row>
    <row r="82" spans="1:7">
      <c r="A82" s="303"/>
      <c r="B82" t="s">
        <v>2651</v>
      </c>
      <c r="C82" t="s">
        <v>5708</v>
      </c>
      <c r="E82">
        <v>6344.565217391304</v>
      </c>
      <c r="F82" t="s">
        <v>10995</v>
      </c>
      <c r="G82" t="s">
        <v>10997</v>
      </c>
    </row>
    <row r="83" spans="1:7">
      <c r="A83" s="303"/>
      <c r="B83" t="s">
        <v>2652</v>
      </c>
      <c r="C83" t="s">
        <v>5709</v>
      </c>
      <c r="E83">
        <v>6804.347826086956</v>
      </c>
      <c r="F83" t="s">
        <v>10995</v>
      </c>
      <c r="G83" t="s">
        <v>10997</v>
      </c>
    </row>
    <row r="84" spans="1:7">
      <c r="A84" s="303"/>
      <c r="B84" t="s">
        <v>2653</v>
      </c>
      <c r="C84" t="s">
        <v>5710</v>
      </c>
      <c r="E84">
        <v>7332.608695652174</v>
      </c>
      <c r="F84" t="s">
        <v>10995</v>
      </c>
      <c r="G84" t="s">
        <v>10997</v>
      </c>
    </row>
    <row r="85" spans="1:7">
      <c r="A85" s="303"/>
      <c r="B85" t="s">
        <v>2778</v>
      </c>
      <c r="C85" t="s">
        <v>11014</v>
      </c>
      <c r="E85">
        <v>3830.4347826086955</v>
      </c>
      <c r="F85" t="s">
        <v>10995</v>
      </c>
    </row>
    <row r="86" spans="1:7">
      <c r="A86" s="303"/>
      <c r="B86" t="s">
        <v>2779</v>
      </c>
      <c r="C86" t="s">
        <v>11015</v>
      </c>
      <c r="E86">
        <v>5260.869565217391</v>
      </c>
      <c r="F86" t="s">
        <v>10995</v>
      </c>
    </row>
    <row r="87" spans="1:7">
      <c r="A87" s="303"/>
      <c r="B87" t="s">
        <v>5711</v>
      </c>
    </row>
    <row r="88" spans="1:7">
      <c r="A88" s="303"/>
      <c r="B88" t="s">
        <v>5712</v>
      </c>
      <c r="C88" t="s">
        <v>5713</v>
      </c>
      <c r="E88">
        <v>4793.478260869565</v>
      </c>
      <c r="F88" t="s">
        <v>10995</v>
      </c>
    </row>
    <row r="89" spans="1:7">
      <c r="A89" s="303"/>
      <c r="B89" t="s">
        <v>5714</v>
      </c>
      <c r="C89" t="s">
        <v>5715</v>
      </c>
      <c r="E89">
        <v>7313.0434782608691</v>
      </c>
      <c r="F89" t="s">
        <v>10995</v>
      </c>
    </row>
    <row r="90" spans="1:7">
      <c r="A90" s="303"/>
      <c r="B90" t="s">
        <v>5716</v>
      </c>
      <c r="C90" t="s">
        <v>5717</v>
      </c>
      <c r="E90">
        <v>3028.260869565217</v>
      </c>
      <c r="F90" t="s">
        <v>10995</v>
      </c>
    </row>
    <row r="91" spans="1:7">
      <c r="A91" s="303"/>
      <c r="B91" t="s">
        <v>5718</v>
      </c>
      <c r="C91" t="s">
        <v>5719</v>
      </c>
      <c r="E91">
        <v>3372.8260869565215</v>
      </c>
      <c r="F91" t="s">
        <v>10995</v>
      </c>
    </row>
    <row r="92" spans="1:7">
      <c r="A92" s="303"/>
      <c r="B92" t="s">
        <v>5720</v>
      </c>
      <c r="C92" t="s">
        <v>5721</v>
      </c>
      <c r="E92">
        <v>3917.391304347826</v>
      </c>
      <c r="F92" t="s">
        <v>10995</v>
      </c>
      <c r="G92" t="s">
        <v>10997</v>
      </c>
    </row>
    <row r="93" spans="1:7">
      <c r="A93" s="303"/>
      <c r="B93" t="s">
        <v>5722</v>
      </c>
      <c r="C93" t="s">
        <v>5723</v>
      </c>
      <c r="E93">
        <v>4097.826086956522</v>
      </c>
      <c r="F93" t="s">
        <v>10995</v>
      </c>
      <c r="G93" t="s">
        <v>10996</v>
      </c>
    </row>
    <row r="94" spans="1:7">
      <c r="A94" s="303"/>
      <c r="B94" t="s">
        <v>5724</v>
      </c>
      <c r="C94" t="s">
        <v>5725</v>
      </c>
      <c r="E94">
        <v>4934.782608695652</v>
      </c>
      <c r="F94" t="s">
        <v>10995</v>
      </c>
    </row>
    <row r="95" spans="1:7">
      <c r="A95" s="303"/>
      <c r="B95" t="s">
        <v>5726</v>
      </c>
      <c r="C95" t="s">
        <v>5727</v>
      </c>
      <c r="E95">
        <v>5350</v>
      </c>
      <c r="F95" t="s">
        <v>10995</v>
      </c>
    </row>
    <row r="96" spans="1:7">
      <c r="A96" s="303"/>
      <c r="B96" t="s">
        <v>5745</v>
      </c>
      <c r="C96" t="s">
        <v>11016</v>
      </c>
      <c r="E96">
        <v>3659.782608695652</v>
      </c>
      <c r="F96" t="s">
        <v>10995</v>
      </c>
    </row>
    <row r="97" spans="1:7">
      <c r="A97" s="303"/>
      <c r="B97" t="s">
        <v>5746</v>
      </c>
      <c r="C97" t="s">
        <v>11017</v>
      </c>
      <c r="E97">
        <v>4296.7391304347821</v>
      </c>
      <c r="F97" t="s">
        <v>10995</v>
      </c>
    </row>
    <row r="98" spans="1:7">
      <c r="A98" s="303"/>
      <c r="B98" t="s">
        <v>5748</v>
      </c>
      <c r="C98" t="s">
        <v>11018</v>
      </c>
      <c r="E98">
        <v>4871.7391304347821</v>
      </c>
      <c r="F98" t="s">
        <v>10995</v>
      </c>
    </row>
    <row r="99" spans="1:7">
      <c r="A99" s="303"/>
      <c r="B99" t="s">
        <v>5750</v>
      </c>
      <c r="C99" t="s">
        <v>11019</v>
      </c>
      <c r="E99">
        <v>4905.4347826086951</v>
      </c>
      <c r="F99" t="s">
        <v>10995</v>
      </c>
    </row>
    <row r="100" spans="1:7">
      <c r="A100" s="303"/>
      <c r="B100" t="s">
        <v>5752</v>
      </c>
      <c r="C100" t="s">
        <v>11020</v>
      </c>
      <c r="E100">
        <v>9088.04347826087</v>
      </c>
      <c r="F100" t="s">
        <v>10995</v>
      </c>
    </row>
    <row r="101" spans="1:7">
      <c r="A101" s="303"/>
      <c r="B101" t="s">
        <v>5756</v>
      </c>
      <c r="C101" t="s">
        <v>11021</v>
      </c>
      <c r="E101">
        <v>7145.652173913043</v>
      </c>
      <c r="F101" t="s">
        <v>10995</v>
      </c>
    </row>
    <row r="102" spans="1:7">
      <c r="A102" s="303"/>
      <c r="B102" t="s">
        <v>5730</v>
      </c>
      <c r="C102" t="s">
        <v>5731</v>
      </c>
      <c r="E102">
        <v>5705.4347826086951</v>
      </c>
      <c r="F102" t="s">
        <v>10995</v>
      </c>
    </row>
    <row r="103" spans="1:7">
      <c r="A103" s="303"/>
      <c r="B103" t="s">
        <v>5734</v>
      </c>
      <c r="C103" t="s">
        <v>5735</v>
      </c>
      <c r="E103">
        <v>7729.347826086956</v>
      </c>
      <c r="F103" t="s">
        <v>10995</v>
      </c>
    </row>
    <row r="104" spans="1:7">
      <c r="A104" s="303"/>
      <c r="B104" t="s">
        <v>5736</v>
      </c>
      <c r="C104" t="s">
        <v>5737</v>
      </c>
      <c r="E104">
        <v>8127.173913043478</v>
      </c>
      <c r="F104" t="s">
        <v>10995</v>
      </c>
    </row>
    <row r="105" spans="1:7">
      <c r="A105" s="303"/>
      <c r="B105" t="s">
        <v>5738</v>
      </c>
      <c r="C105" t="s">
        <v>5739</v>
      </c>
      <c r="E105">
        <v>13394.565217391304</v>
      </c>
      <c r="F105" t="s">
        <v>10995</v>
      </c>
    </row>
    <row r="106" spans="1:7">
      <c r="A106" s="303"/>
      <c r="B106" t="s">
        <v>11022</v>
      </c>
      <c r="C106" t="s">
        <v>11023</v>
      </c>
      <c r="E106">
        <v>6973.913043478261</v>
      </c>
      <c r="F106" t="s">
        <v>10995</v>
      </c>
    </row>
    <row r="107" spans="1:7">
      <c r="A107" s="303"/>
      <c r="B107" t="s">
        <v>11024</v>
      </c>
      <c r="C107" t="s">
        <v>11025</v>
      </c>
      <c r="E107">
        <v>8576.0869565217381</v>
      </c>
      <c r="F107" t="s">
        <v>10995</v>
      </c>
    </row>
    <row r="108" spans="1:7">
      <c r="A108" s="289"/>
      <c r="B108" t="s">
        <v>11026</v>
      </c>
      <c r="C108" t="s">
        <v>11027</v>
      </c>
      <c r="E108">
        <v>10266.304347826086</v>
      </c>
      <c r="F108" t="s">
        <v>10995</v>
      </c>
    </row>
    <row r="109" spans="1:7">
      <c r="A109" s="289"/>
      <c r="B109" t="s">
        <v>5757</v>
      </c>
    </row>
    <row r="110" spans="1:7">
      <c r="A110" s="289"/>
      <c r="B110" t="s">
        <v>5758</v>
      </c>
      <c r="C110" t="s">
        <v>5759</v>
      </c>
      <c r="E110">
        <v>15476.086956521738</v>
      </c>
      <c r="F110" t="s">
        <v>11028</v>
      </c>
      <c r="G110" t="s">
        <v>10996</v>
      </c>
    </row>
    <row r="111" spans="1:7">
      <c r="A111" s="289"/>
      <c r="B111" t="s">
        <v>5760</v>
      </c>
      <c r="C111" t="s">
        <v>5761</v>
      </c>
      <c r="E111">
        <v>4750</v>
      </c>
      <c r="F111" t="s">
        <v>11028</v>
      </c>
      <c r="G111" t="s">
        <v>10996</v>
      </c>
    </row>
    <row r="112" spans="1:7">
      <c r="A112" s="289"/>
      <c r="B112" t="s">
        <v>5762</v>
      </c>
      <c r="C112" t="s">
        <v>5763</v>
      </c>
      <c r="E112">
        <v>9066.3043478260861</v>
      </c>
      <c r="F112" t="s">
        <v>11028</v>
      </c>
      <c r="G112" t="s">
        <v>10996</v>
      </c>
    </row>
    <row r="113" spans="1:7">
      <c r="A113" s="289"/>
      <c r="B113" t="s">
        <v>5764</v>
      </c>
      <c r="C113" t="s">
        <v>5765</v>
      </c>
      <c r="E113">
        <v>10606.521739130434</v>
      </c>
      <c r="F113" t="s">
        <v>11028</v>
      </c>
      <c r="G113" t="s">
        <v>10996</v>
      </c>
    </row>
    <row r="114" spans="1:7">
      <c r="A114" s="289"/>
      <c r="B114" t="s">
        <v>5766</v>
      </c>
      <c r="C114" t="s">
        <v>5767</v>
      </c>
      <c r="E114">
        <v>12975</v>
      </c>
      <c r="F114" t="s">
        <v>11028</v>
      </c>
      <c r="G114" t="s">
        <v>10999</v>
      </c>
    </row>
    <row r="115" spans="1:7">
      <c r="A115" s="289"/>
      <c r="B115" t="s">
        <v>5768</v>
      </c>
      <c r="C115" t="s">
        <v>5769</v>
      </c>
      <c r="E115">
        <v>19307.608695652172</v>
      </c>
      <c r="F115" t="s">
        <v>11028</v>
      </c>
      <c r="G115" t="s">
        <v>10996</v>
      </c>
    </row>
    <row r="116" spans="1:7">
      <c r="A116" s="289"/>
      <c r="B116" t="s">
        <v>5770</v>
      </c>
      <c r="C116" t="s">
        <v>5771</v>
      </c>
      <c r="E116">
        <v>24395.652173913044</v>
      </c>
      <c r="F116" t="s">
        <v>11028</v>
      </c>
      <c r="G116" t="s">
        <v>10996</v>
      </c>
    </row>
    <row r="117" spans="1:7">
      <c r="A117" s="289"/>
      <c r="B117" t="s">
        <v>5772</v>
      </c>
    </row>
    <row r="118" spans="1:7">
      <c r="A118" s="289"/>
      <c r="B118" t="s">
        <v>5778</v>
      </c>
      <c r="C118" t="s">
        <v>5773</v>
      </c>
      <c r="E118">
        <v>50816.304347826088</v>
      </c>
      <c r="F118" t="s">
        <v>11028</v>
      </c>
      <c r="G118" t="s">
        <v>10999</v>
      </c>
    </row>
    <row r="119" spans="1:7">
      <c r="A119" s="291"/>
      <c r="B119" t="s">
        <v>5779</v>
      </c>
      <c r="C119" t="s">
        <v>5774</v>
      </c>
      <c r="E119">
        <v>52773.913043478256</v>
      </c>
      <c r="F119" t="s">
        <v>11028</v>
      </c>
      <c r="G119" t="s">
        <v>10999</v>
      </c>
    </row>
    <row r="120" spans="1:7">
      <c r="A120" s="291"/>
      <c r="B120" t="s">
        <v>5780</v>
      </c>
      <c r="C120" t="s">
        <v>5775</v>
      </c>
      <c r="E120">
        <v>60128.260869565216</v>
      </c>
      <c r="F120" t="s">
        <v>11028</v>
      </c>
      <c r="G120" t="s">
        <v>10999</v>
      </c>
    </row>
    <row r="121" spans="1:7">
      <c r="A121" s="291"/>
      <c r="B121" t="s">
        <v>5781</v>
      </c>
      <c r="C121" t="s">
        <v>5776</v>
      </c>
      <c r="E121">
        <v>88665.217391304337</v>
      </c>
      <c r="F121" t="s">
        <v>11028</v>
      </c>
      <c r="G121" t="s">
        <v>10999</v>
      </c>
    </row>
    <row r="122" spans="1:7">
      <c r="A122" s="291"/>
      <c r="B122" t="s">
        <v>5782</v>
      </c>
      <c r="C122" t="s">
        <v>5777</v>
      </c>
      <c r="E122">
        <v>104142.39130434782</v>
      </c>
      <c r="F122" t="s">
        <v>11028</v>
      </c>
      <c r="G122" t="s">
        <v>10999</v>
      </c>
    </row>
    <row r="123" spans="1:7">
      <c r="A123" s="291"/>
      <c r="B123" t="s">
        <v>11029</v>
      </c>
      <c r="C123" t="s">
        <v>11030</v>
      </c>
      <c r="E123">
        <v>8640.217391304348</v>
      </c>
      <c r="F123" t="s">
        <v>11028</v>
      </c>
    </row>
    <row r="124" spans="1:7">
      <c r="A124" s="291"/>
      <c r="B124" t="s">
        <v>11031</v>
      </c>
      <c r="C124" t="s">
        <v>11032</v>
      </c>
      <c r="E124">
        <v>8707.608695652174</v>
      </c>
      <c r="F124" t="s">
        <v>11028</v>
      </c>
    </row>
    <row r="125" spans="1:7">
      <c r="A125" s="291"/>
      <c r="B125" t="s">
        <v>11033</v>
      </c>
      <c r="C125" t="s">
        <v>11034</v>
      </c>
      <c r="E125">
        <v>15197.826086956522</v>
      </c>
      <c r="F125" t="s">
        <v>11028</v>
      </c>
    </row>
    <row r="126" spans="1:7">
      <c r="A126" s="291"/>
      <c r="B126" t="s">
        <v>11035</v>
      </c>
      <c r="C126" t="s">
        <v>11036</v>
      </c>
      <c r="E126">
        <v>15325</v>
      </c>
      <c r="F126" t="s">
        <v>11028</v>
      </c>
    </row>
    <row r="127" spans="1:7">
      <c r="A127" s="291"/>
      <c r="B127" t="s">
        <v>11037</v>
      </c>
      <c r="C127" t="s">
        <v>11038</v>
      </c>
      <c r="E127">
        <v>21727.173913043476</v>
      </c>
      <c r="F127" t="s">
        <v>11028</v>
      </c>
    </row>
    <row r="128" spans="1:7">
      <c r="A128" s="291"/>
      <c r="B128" t="s">
        <v>11039</v>
      </c>
      <c r="C128" t="s">
        <v>11040</v>
      </c>
      <c r="E128">
        <v>21854.347826086956</v>
      </c>
      <c r="F128" t="s">
        <v>11028</v>
      </c>
    </row>
    <row r="129" spans="1:7">
      <c r="A129" s="291"/>
      <c r="B129" t="s">
        <v>11041</v>
      </c>
      <c r="C129" t="s">
        <v>11042</v>
      </c>
      <c r="E129">
        <v>26488.043478260868</v>
      </c>
      <c r="F129" t="s">
        <v>11028</v>
      </c>
    </row>
    <row r="130" spans="1:7">
      <c r="A130" s="291"/>
      <c r="B130" t="s">
        <v>11043</v>
      </c>
      <c r="C130" t="s">
        <v>11044</v>
      </c>
      <c r="E130">
        <v>26616.304347826084</v>
      </c>
      <c r="F130" t="s">
        <v>11028</v>
      </c>
    </row>
    <row r="131" spans="1:7">
      <c r="A131" s="291"/>
      <c r="B131" t="s">
        <v>11045</v>
      </c>
      <c r="C131" t="s">
        <v>11046</v>
      </c>
      <c r="E131">
        <v>42973.913043478256</v>
      </c>
      <c r="F131" t="s">
        <v>11028</v>
      </c>
    </row>
    <row r="132" spans="1:7">
      <c r="A132" s="291"/>
      <c r="B132" t="s">
        <v>11047</v>
      </c>
      <c r="C132" t="s">
        <v>11048</v>
      </c>
      <c r="E132">
        <v>43101.086956521736</v>
      </c>
      <c r="F132" t="s">
        <v>11028</v>
      </c>
    </row>
    <row r="133" spans="1:7">
      <c r="A133" s="291"/>
      <c r="B133" t="s">
        <v>11049</v>
      </c>
      <c r="C133" t="s">
        <v>11050</v>
      </c>
      <c r="E133">
        <v>97842.391304347824</v>
      </c>
      <c r="F133" t="s">
        <v>11028</v>
      </c>
    </row>
    <row r="134" spans="1:7">
      <c r="A134" s="291"/>
      <c r="B134" t="s">
        <v>11051</v>
      </c>
      <c r="C134" t="s">
        <v>11052</v>
      </c>
      <c r="E134">
        <v>87629.34782608696</v>
      </c>
      <c r="F134" t="s">
        <v>11028</v>
      </c>
    </row>
    <row r="135" spans="1:7">
      <c r="A135" s="291"/>
      <c r="B135" t="s">
        <v>11053</v>
      </c>
      <c r="C135" t="s">
        <v>11054</v>
      </c>
      <c r="E135">
        <v>56976.086956521736</v>
      </c>
      <c r="F135" t="s">
        <v>11028</v>
      </c>
    </row>
    <row r="136" spans="1:7">
      <c r="A136" s="291"/>
      <c r="B136" t="s">
        <v>11055</v>
      </c>
      <c r="C136" t="s">
        <v>11056</v>
      </c>
      <c r="E136">
        <v>52253.260869565216</v>
      </c>
      <c r="F136" t="s">
        <v>11028</v>
      </c>
    </row>
    <row r="137" spans="1:7">
      <c r="A137" s="291"/>
      <c r="B137" t="s">
        <v>11057</v>
      </c>
      <c r="C137" t="s">
        <v>11058</v>
      </c>
      <c r="E137">
        <v>50326.086956521736</v>
      </c>
      <c r="F137" t="s">
        <v>11028</v>
      </c>
    </row>
    <row r="138" spans="1:7">
      <c r="A138" s="291"/>
      <c r="B138" t="s">
        <v>11059</v>
      </c>
      <c r="C138" t="s">
        <v>11060</v>
      </c>
      <c r="E138">
        <v>102821.73913043478</v>
      </c>
      <c r="F138" t="s">
        <v>11028</v>
      </c>
    </row>
    <row r="139" spans="1:7">
      <c r="A139" s="291"/>
      <c r="B139" t="s">
        <v>11061</v>
      </c>
      <c r="C139" t="s">
        <v>11062</v>
      </c>
      <c r="E139">
        <v>87344.565217391297</v>
      </c>
      <c r="F139" t="s">
        <v>11028</v>
      </c>
    </row>
    <row r="140" spans="1:7">
      <c r="A140" s="291"/>
      <c r="B140" t="s">
        <v>11063</v>
      </c>
      <c r="C140" t="s">
        <v>11064</v>
      </c>
      <c r="E140">
        <v>59466.304347826088</v>
      </c>
      <c r="F140" t="s">
        <v>11028</v>
      </c>
    </row>
    <row r="141" spans="1:7">
      <c r="A141" s="291"/>
      <c r="B141" t="s">
        <v>11065</v>
      </c>
      <c r="C141" t="s">
        <v>11066</v>
      </c>
      <c r="E141">
        <v>52110.869565217392</v>
      </c>
      <c r="F141" t="s">
        <v>11028</v>
      </c>
    </row>
    <row r="142" spans="1:7">
      <c r="A142" s="291"/>
      <c r="B142" t="s">
        <v>11067</v>
      </c>
      <c r="C142" t="s">
        <v>11068</v>
      </c>
      <c r="E142">
        <v>50154.347826086952</v>
      </c>
      <c r="F142" t="s">
        <v>11028</v>
      </c>
    </row>
    <row r="143" spans="1:7">
      <c r="A143" s="291"/>
      <c r="B143" t="s">
        <v>11069</v>
      </c>
    </row>
    <row r="144" spans="1:7">
      <c r="A144" s="291"/>
      <c r="B144" t="s">
        <v>5786</v>
      </c>
      <c r="C144" t="s">
        <v>5783</v>
      </c>
      <c r="E144">
        <v>92740.217391304337</v>
      </c>
      <c r="F144" t="s">
        <v>11028</v>
      </c>
      <c r="G144" t="s">
        <v>10999</v>
      </c>
    </row>
    <row r="145" spans="1:7">
      <c r="A145" s="291"/>
      <c r="B145" t="s">
        <v>5787</v>
      </c>
      <c r="C145" t="s">
        <v>5784</v>
      </c>
      <c r="E145">
        <v>115748.91304347826</v>
      </c>
      <c r="F145" t="s">
        <v>11028</v>
      </c>
      <c r="G145" t="s">
        <v>10999</v>
      </c>
    </row>
    <row r="146" spans="1:7">
      <c r="A146" s="291"/>
      <c r="B146" t="s">
        <v>5788</v>
      </c>
      <c r="C146" t="s">
        <v>5785</v>
      </c>
      <c r="E146">
        <v>201805.43478260867</v>
      </c>
      <c r="F146" t="s">
        <v>11028</v>
      </c>
      <c r="G146" t="s">
        <v>10999</v>
      </c>
    </row>
    <row r="147" spans="1:7">
      <c r="A147" s="291"/>
      <c r="B147" t="s">
        <v>11070</v>
      </c>
      <c r="C147" t="s">
        <v>11071</v>
      </c>
      <c r="E147">
        <v>52114.130434782608</v>
      </c>
      <c r="F147" t="s">
        <v>11028</v>
      </c>
    </row>
    <row r="148" spans="1:7">
      <c r="A148" s="291"/>
      <c r="B148" t="s">
        <v>11072</v>
      </c>
      <c r="C148" t="s">
        <v>11073</v>
      </c>
      <c r="E148">
        <v>57702.173913043473</v>
      </c>
      <c r="F148" t="s">
        <v>11028</v>
      </c>
    </row>
    <row r="149" spans="1:7">
      <c r="A149" s="291"/>
      <c r="B149" t="s">
        <v>11074</v>
      </c>
      <c r="C149" t="s">
        <v>11075</v>
      </c>
      <c r="E149">
        <v>85084.782608695648</v>
      </c>
      <c r="F149" t="s">
        <v>11028</v>
      </c>
    </row>
    <row r="150" spans="1:7">
      <c r="A150" s="291"/>
      <c r="B150" t="s">
        <v>11076</v>
      </c>
      <c r="C150" t="s">
        <v>11077</v>
      </c>
      <c r="E150">
        <v>52369.565217391304</v>
      </c>
      <c r="F150" t="s">
        <v>11028</v>
      </c>
    </row>
    <row r="151" spans="1:7">
      <c r="A151" s="291"/>
      <c r="B151" t="s">
        <v>11078</v>
      </c>
      <c r="C151" t="s">
        <v>11079</v>
      </c>
      <c r="E151">
        <v>91415.217391304337</v>
      </c>
      <c r="F151" t="s">
        <v>11028</v>
      </c>
    </row>
    <row r="152" spans="1:7">
      <c r="A152" s="291"/>
      <c r="B152" t="s">
        <v>11080</v>
      </c>
      <c r="C152" t="s">
        <v>11081</v>
      </c>
      <c r="E152">
        <v>114423.91304347826</v>
      </c>
      <c r="F152" t="s">
        <v>11028</v>
      </c>
    </row>
    <row r="153" spans="1:7">
      <c r="A153" s="291"/>
      <c r="B153" t="s">
        <v>11082</v>
      </c>
      <c r="C153" t="s">
        <v>11083</v>
      </c>
      <c r="E153">
        <v>199164.13043478259</v>
      </c>
      <c r="F153" t="s">
        <v>11028</v>
      </c>
    </row>
    <row r="154" spans="1:7">
      <c r="A154" s="291"/>
      <c r="B154" t="s">
        <v>11084</v>
      </c>
      <c r="C154" t="s">
        <v>11085</v>
      </c>
      <c r="E154">
        <v>91698.913043478256</v>
      </c>
      <c r="F154" t="s">
        <v>11028</v>
      </c>
    </row>
    <row r="155" spans="1:7">
      <c r="A155" s="291"/>
      <c r="B155" t="s">
        <v>11086</v>
      </c>
      <c r="C155" t="s">
        <v>11087</v>
      </c>
      <c r="E155">
        <v>109444.5652173913</v>
      </c>
      <c r="F155" t="s">
        <v>11028</v>
      </c>
    </row>
    <row r="156" spans="1:7">
      <c r="A156" s="291"/>
      <c r="B156" t="s">
        <v>11088</v>
      </c>
      <c r="C156" t="s">
        <v>11089</v>
      </c>
      <c r="E156">
        <v>189205.43478260867</v>
      </c>
      <c r="F156" t="s">
        <v>11028</v>
      </c>
    </row>
    <row r="157" spans="1:7">
      <c r="A157" s="291"/>
      <c r="B157" t="s">
        <v>11090</v>
      </c>
      <c r="C157" t="s">
        <v>11091</v>
      </c>
      <c r="E157">
        <v>57957.608695652169</v>
      </c>
      <c r="F157" t="s">
        <v>11028</v>
      </c>
    </row>
    <row r="158" spans="1:7">
      <c r="A158" s="291"/>
      <c r="B158" t="s">
        <v>11092</v>
      </c>
      <c r="C158" t="s">
        <v>11093</v>
      </c>
      <c r="E158">
        <v>85340.217391304337</v>
      </c>
      <c r="F158" t="s">
        <v>11028</v>
      </c>
    </row>
    <row r="159" spans="1:7">
      <c r="A159" s="291"/>
      <c r="B159" t="s">
        <v>11094</v>
      </c>
    </row>
    <row r="160" spans="1:7">
      <c r="A160" s="291"/>
      <c r="B160" t="s">
        <v>480</v>
      </c>
      <c r="C160" t="s">
        <v>11095</v>
      </c>
      <c r="E160">
        <v>4309.782608695652</v>
      </c>
      <c r="F160" t="s">
        <v>11096</v>
      </c>
      <c r="G160" t="s">
        <v>10996</v>
      </c>
    </row>
    <row r="161" spans="1:7">
      <c r="A161" s="291"/>
      <c r="B161" t="s">
        <v>2412</v>
      </c>
      <c r="C161" t="s">
        <v>11097</v>
      </c>
      <c r="E161">
        <v>6731.5217391304341</v>
      </c>
      <c r="F161" t="s">
        <v>11096</v>
      </c>
      <c r="G161" t="s">
        <v>10997</v>
      </c>
    </row>
    <row r="162" spans="1:7">
      <c r="A162" s="291"/>
      <c r="B162" t="s">
        <v>688</v>
      </c>
      <c r="C162" t="s">
        <v>11098</v>
      </c>
      <c r="E162">
        <v>16732.608695652172</v>
      </c>
      <c r="F162" t="s">
        <v>11096</v>
      </c>
      <c r="G162" t="s">
        <v>10999</v>
      </c>
    </row>
    <row r="163" spans="1:7">
      <c r="A163" s="291"/>
      <c r="B163" t="s">
        <v>689</v>
      </c>
      <c r="C163" t="s">
        <v>11099</v>
      </c>
      <c r="E163">
        <v>15378.260869565216</v>
      </c>
      <c r="F163" t="s">
        <v>11096</v>
      </c>
      <c r="G163" t="s">
        <v>10999</v>
      </c>
    </row>
    <row r="164" spans="1:7">
      <c r="A164" s="291"/>
      <c r="B164" t="s">
        <v>5789</v>
      </c>
    </row>
    <row r="165" spans="1:7">
      <c r="A165" s="291"/>
      <c r="B165" t="s">
        <v>1654</v>
      </c>
      <c r="C165" t="s">
        <v>5792</v>
      </c>
      <c r="E165">
        <v>3367.391304347826</v>
      </c>
      <c r="F165" t="s">
        <v>11096</v>
      </c>
      <c r="G165" t="s">
        <v>10996</v>
      </c>
    </row>
    <row r="166" spans="1:7">
      <c r="A166" s="291"/>
      <c r="B166" t="s">
        <v>1655</v>
      </c>
      <c r="C166" t="s">
        <v>5801</v>
      </c>
      <c r="E166">
        <v>5426.086956521739</v>
      </c>
      <c r="F166" t="s">
        <v>11096</v>
      </c>
      <c r="G166" t="s">
        <v>10999</v>
      </c>
    </row>
    <row r="167" spans="1:7">
      <c r="A167" s="291"/>
      <c r="B167" t="s">
        <v>2681</v>
      </c>
      <c r="C167" t="s">
        <v>11100</v>
      </c>
      <c r="E167">
        <v>4189.1304347826081</v>
      </c>
      <c r="F167" t="s">
        <v>11096</v>
      </c>
    </row>
    <row r="168" spans="1:7">
      <c r="A168" s="291"/>
      <c r="B168" t="s">
        <v>2683</v>
      </c>
      <c r="C168" t="s">
        <v>11101</v>
      </c>
      <c r="E168">
        <v>11145.652173913042</v>
      </c>
      <c r="F168" t="s">
        <v>11096</v>
      </c>
    </row>
    <row r="169" spans="1:7">
      <c r="A169" s="291"/>
      <c r="B169" t="s">
        <v>2668</v>
      </c>
      <c r="C169" t="s">
        <v>5790</v>
      </c>
      <c r="E169">
        <v>2552.173913043478</v>
      </c>
      <c r="F169" t="s">
        <v>11096</v>
      </c>
      <c r="G169" t="s">
        <v>10997</v>
      </c>
    </row>
    <row r="170" spans="1:7">
      <c r="A170" s="291"/>
      <c r="B170" t="s">
        <v>2669</v>
      </c>
      <c r="C170" t="s">
        <v>5791</v>
      </c>
      <c r="E170">
        <v>2320.6521739130435</v>
      </c>
      <c r="F170" t="s">
        <v>11096</v>
      </c>
      <c r="G170" t="s">
        <v>10997</v>
      </c>
    </row>
    <row r="171" spans="1:7">
      <c r="A171" s="291"/>
      <c r="B171" t="s">
        <v>2670</v>
      </c>
      <c r="C171" t="s">
        <v>5793</v>
      </c>
      <c r="E171">
        <v>2916.304347826087</v>
      </c>
      <c r="F171" t="s">
        <v>11096</v>
      </c>
      <c r="G171" t="s">
        <v>10997</v>
      </c>
    </row>
    <row r="172" spans="1:7">
      <c r="A172" s="291"/>
      <c r="B172" t="s">
        <v>2671</v>
      </c>
      <c r="C172" t="s">
        <v>5794</v>
      </c>
      <c r="E172">
        <v>3335.869565217391</v>
      </c>
      <c r="F172" t="s">
        <v>11096</v>
      </c>
      <c r="G172" t="s">
        <v>10997</v>
      </c>
    </row>
    <row r="173" spans="1:7">
      <c r="A173" s="291"/>
      <c r="B173" t="s">
        <v>2672</v>
      </c>
      <c r="C173" t="s">
        <v>5795</v>
      </c>
      <c r="E173">
        <v>4225</v>
      </c>
      <c r="F173" t="s">
        <v>11096</v>
      </c>
      <c r="G173" t="s">
        <v>10997</v>
      </c>
    </row>
    <row r="174" spans="1:7">
      <c r="A174" s="291"/>
      <c r="B174" t="s">
        <v>2673</v>
      </c>
      <c r="C174" t="s">
        <v>5796</v>
      </c>
      <c r="E174">
        <v>4855.4347826086951</v>
      </c>
      <c r="F174" t="s">
        <v>11096</v>
      </c>
      <c r="G174" t="s">
        <v>10996</v>
      </c>
    </row>
    <row r="175" spans="1:7">
      <c r="A175" s="291"/>
      <c r="B175" t="s">
        <v>2674</v>
      </c>
      <c r="C175" t="s">
        <v>5797</v>
      </c>
      <c r="E175">
        <v>5463.0434782608691</v>
      </c>
      <c r="F175" t="s">
        <v>11096</v>
      </c>
      <c r="G175" t="s">
        <v>10996</v>
      </c>
    </row>
    <row r="176" spans="1:7">
      <c r="A176" s="291"/>
      <c r="B176" t="s">
        <v>2675</v>
      </c>
      <c r="C176" t="s">
        <v>5798</v>
      </c>
      <c r="E176">
        <v>5907.608695652174</v>
      </c>
      <c r="F176" t="s">
        <v>11096</v>
      </c>
      <c r="G176" t="s">
        <v>10996</v>
      </c>
    </row>
    <row r="177" spans="1:7">
      <c r="A177" s="291"/>
      <c r="B177" t="s">
        <v>2676</v>
      </c>
      <c r="C177" t="s">
        <v>5799</v>
      </c>
      <c r="E177">
        <v>6376.086956521739</v>
      </c>
      <c r="F177" t="s">
        <v>11096</v>
      </c>
      <c r="G177" t="s">
        <v>10996</v>
      </c>
    </row>
    <row r="178" spans="1:7">
      <c r="A178" s="291"/>
      <c r="B178" t="s">
        <v>2677</v>
      </c>
      <c r="C178" t="s">
        <v>5800</v>
      </c>
      <c r="E178">
        <v>4994.565217391304</v>
      </c>
      <c r="F178" t="s">
        <v>11096</v>
      </c>
      <c r="G178" t="s">
        <v>10999</v>
      </c>
    </row>
    <row r="179" spans="1:7">
      <c r="A179" s="291"/>
      <c r="B179" t="s">
        <v>2682</v>
      </c>
      <c r="C179" t="s">
        <v>11102</v>
      </c>
      <c r="E179">
        <v>9040.217391304348</v>
      </c>
      <c r="F179" t="s">
        <v>11096</v>
      </c>
      <c r="G179" t="s">
        <v>10996</v>
      </c>
    </row>
    <row r="180" spans="1:7">
      <c r="A180" s="291"/>
      <c r="B180" t="s">
        <v>2678</v>
      </c>
      <c r="C180" t="s">
        <v>5802</v>
      </c>
      <c r="E180">
        <v>8813.04347826087</v>
      </c>
      <c r="F180" t="s">
        <v>11096</v>
      </c>
      <c r="G180" t="s">
        <v>10996</v>
      </c>
    </row>
    <row r="181" spans="1:7">
      <c r="A181" s="291"/>
      <c r="B181" t="s">
        <v>2679</v>
      </c>
      <c r="C181" t="s">
        <v>5803</v>
      </c>
      <c r="E181">
        <v>5461.95652173913</v>
      </c>
      <c r="F181" t="s">
        <v>11096</v>
      </c>
      <c r="G181" t="s">
        <v>10999</v>
      </c>
    </row>
    <row r="182" spans="1:7">
      <c r="A182" s="291"/>
      <c r="B182" t="s">
        <v>2680</v>
      </c>
      <c r="C182" t="s">
        <v>5804</v>
      </c>
      <c r="E182">
        <v>6711.95652173913</v>
      </c>
      <c r="F182" t="s">
        <v>11096</v>
      </c>
      <c r="G182" t="s">
        <v>10999</v>
      </c>
    </row>
    <row r="183" spans="1:7">
      <c r="A183" s="291"/>
      <c r="B183" t="s">
        <v>11103</v>
      </c>
    </row>
    <row r="184" spans="1:7">
      <c r="A184" s="291"/>
      <c r="B184" t="s">
        <v>11104</v>
      </c>
      <c r="C184" t="s">
        <v>11105</v>
      </c>
      <c r="E184">
        <v>6871.7391304347821</v>
      </c>
      <c r="F184" t="s">
        <v>11096</v>
      </c>
      <c r="G184" t="s">
        <v>10997</v>
      </c>
    </row>
    <row r="185" spans="1:7">
      <c r="A185" s="291"/>
      <c r="B185" t="s">
        <v>11106</v>
      </c>
      <c r="C185" t="s">
        <v>11107</v>
      </c>
      <c r="E185">
        <v>8215.217391304348</v>
      </c>
      <c r="F185" t="s">
        <v>11096</v>
      </c>
      <c r="G185" t="s">
        <v>10997</v>
      </c>
    </row>
    <row r="186" spans="1:7">
      <c r="A186" s="291"/>
      <c r="B186" t="s">
        <v>11108</v>
      </c>
      <c r="C186" t="s">
        <v>11109</v>
      </c>
      <c r="E186">
        <v>24321.73913043478</v>
      </c>
      <c r="F186" t="s">
        <v>11096</v>
      </c>
      <c r="G186" t="s">
        <v>10996</v>
      </c>
    </row>
    <row r="187" spans="1:7">
      <c r="A187" s="291"/>
      <c r="B187" t="s">
        <v>11110</v>
      </c>
      <c r="C187" t="s">
        <v>11111</v>
      </c>
      <c r="E187">
        <v>40920.65217391304</v>
      </c>
      <c r="F187" t="s">
        <v>11096</v>
      </c>
      <c r="G187" t="s">
        <v>10996</v>
      </c>
    </row>
    <row r="188" spans="1:7">
      <c r="A188" s="291"/>
      <c r="B188" t="s">
        <v>11112</v>
      </c>
      <c r="C188" t="s">
        <v>11113</v>
      </c>
      <c r="E188">
        <v>9005.434782608696</v>
      </c>
      <c r="F188" t="s">
        <v>11096</v>
      </c>
      <c r="G188" t="s">
        <v>10996</v>
      </c>
    </row>
    <row r="189" spans="1:7">
      <c r="A189" s="291"/>
      <c r="B189" t="s">
        <v>5805</v>
      </c>
    </row>
    <row r="190" spans="1:7">
      <c r="A190" s="291"/>
      <c r="B190" t="s">
        <v>2051</v>
      </c>
      <c r="C190" t="s">
        <v>11114</v>
      </c>
      <c r="E190">
        <v>11838.043478260868</v>
      </c>
      <c r="F190" t="s">
        <v>11096</v>
      </c>
      <c r="G190" t="s">
        <v>10999</v>
      </c>
    </row>
    <row r="191" spans="1:7">
      <c r="A191" s="291"/>
      <c r="B191" t="s">
        <v>5806</v>
      </c>
    </row>
    <row r="192" spans="1:7">
      <c r="A192" s="291"/>
      <c r="B192" t="s">
        <v>5807</v>
      </c>
    </row>
    <row r="193" spans="1:7">
      <c r="A193" s="291"/>
      <c r="B193" t="s">
        <v>5808</v>
      </c>
      <c r="C193" t="s">
        <v>11115</v>
      </c>
      <c r="E193">
        <v>2735.869565217391</v>
      </c>
      <c r="F193" t="s">
        <v>11096</v>
      </c>
      <c r="G193" t="s">
        <v>10997</v>
      </c>
    </row>
    <row r="194" spans="1:7">
      <c r="A194" s="291"/>
      <c r="B194" t="s">
        <v>5809</v>
      </c>
      <c r="C194" t="s">
        <v>11116</v>
      </c>
      <c r="E194">
        <v>3046.7391304347825</v>
      </c>
      <c r="F194" t="s">
        <v>11096</v>
      </c>
      <c r="G194" t="s">
        <v>10997</v>
      </c>
    </row>
    <row r="195" spans="1:7">
      <c r="A195" s="291"/>
      <c r="B195" t="s">
        <v>5810</v>
      </c>
      <c r="C195" t="s">
        <v>11116</v>
      </c>
      <c r="E195">
        <v>3354.3478260869565</v>
      </c>
      <c r="F195" t="s">
        <v>11096</v>
      </c>
      <c r="G195" t="s">
        <v>10997</v>
      </c>
    </row>
    <row r="196" spans="1:7">
      <c r="A196" s="291"/>
      <c r="B196" t="s">
        <v>5811</v>
      </c>
      <c r="C196" t="s">
        <v>11116</v>
      </c>
      <c r="E196">
        <v>3391.304347826087</v>
      </c>
      <c r="F196" t="s">
        <v>11096</v>
      </c>
    </row>
    <row r="197" spans="1:7">
      <c r="A197" s="291"/>
      <c r="B197" t="s">
        <v>5812</v>
      </c>
      <c r="C197" t="s">
        <v>11117</v>
      </c>
      <c r="E197">
        <v>3622.8260869565215</v>
      </c>
      <c r="F197" t="s">
        <v>11096</v>
      </c>
      <c r="G197" t="s">
        <v>10997</v>
      </c>
    </row>
    <row r="198" spans="1:7">
      <c r="A198" s="291"/>
      <c r="B198" t="s">
        <v>5813</v>
      </c>
      <c r="C198" t="s">
        <v>11118</v>
      </c>
      <c r="E198">
        <v>4388.0434782608691</v>
      </c>
      <c r="F198" t="s">
        <v>11096</v>
      </c>
      <c r="G198" t="s">
        <v>10997</v>
      </c>
    </row>
    <row r="199" spans="1:7">
      <c r="A199" s="291"/>
      <c r="B199" t="s">
        <v>5814</v>
      </c>
      <c r="C199" t="s">
        <v>11118</v>
      </c>
      <c r="E199">
        <v>4695.652173913043</v>
      </c>
      <c r="F199" t="s">
        <v>11096</v>
      </c>
      <c r="G199" t="s">
        <v>10997</v>
      </c>
    </row>
    <row r="200" spans="1:7">
      <c r="A200" s="291"/>
      <c r="B200" t="s">
        <v>5815</v>
      </c>
      <c r="C200" t="s">
        <v>11118</v>
      </c>
      <c r="E200">
        <v>4732.608695652174</v>
      </c>
      <c r="F200" t="s">
        <v>11096</v>
      </c>
    </row>
    <row r="201" spans="1:7">
      <c r="A201" s="291"/>
      <c r="B201" t="s">
        <v>5818</v>
      </c>
      <c r="C201" t="s">
        <v>11119</v>
      </c>
      <c r="E201">
        <v>5627.173913043478</v>
      </c>
      <c r="F201" t="s">
        <v>11096</v>
      </c>
      <c r="G201" t="s">
        <v>10997</v>
      </c>
    </row>
    <row r="202" spans="1:7">
      <c r="A202" s="291"/>
      <c r="B202" t="s">
        <v>5819</v>
      </c>
      <c r="C202" t="s">
        <v>11119</v>
      </c>
      <c r="E202">
        <v>5934.782608695652</v>
      </c>
      <c r="F202" t="s">
        <v>11096</v>
      </c>
      <c r="G202" t="s">
        <v>10997</v>
      </c>
    </row>
    <row r="203" spans="1:7">
      <c r="A203" s="291"/>
      <c r="B203" t="s">
        <v>5820</v>
      </c>
      <c r="C203" t="s">
        <v>11119</v>
      </c>
      <c r="E203">
        <v>5971.7391304347821</v>
      </c>
      <c r="F203" t="s">
        <v>11096</v>
      </c>
    </row>
    <row r="204" spans="1:7">
      <c r="A204" s="291"/>
      <c r="B204" t="s">
        <v>5821</v>
      </c>
      <c r="C204" t="s">
        <v>11120</v>
      </c>
      <c r="E204">
        <v>6031.5217391304341</v>
      </c>
      <c r="F204" t="s">
        <v>11096</v>
      </c>
      <c r="G204" t="s">
        <v>10997</v>
      </c>
    </row>
    <row r="205" spans="1:7">
      <c r="A205" s="291"/>
      <c r="B205" t="s">
        <v>5822</v>
      </c>
      <c r="C205" t="s">
        <v>11120</v>
      </c>
      <c r="E205">
        <v>6056.5217391304341</v>
      </c>
      <c r="F205" t="s">
        <v>11096</v>
      </c>
      <c r="G205" t="s">
        <v>10997</v>
      </c>
    </row>
    <row r="206" spans="1:7">
      <c r="A206" s="291"/>
      <c r="B206" t="s">
        <v>5823</v>
      </c>
      <c r="C206" t="s">
        <v>11120</v>
      </c>
      <c r="E206">
        <v>6376.086956521739</v>
      </c>
      <c r="F206" t="s">
        <v>11096</v>
      </c>
    </row>
    <row r="207" spans="1:7">
      <c r="A207" s="291"/>
      <c r="B207" t="s">
        <v>5824</v>
      </c>
      <c r="C207" t="s">
        <v>11121</v>
      </c>
      <c r="E207">
        <v>6467.391304347826</v>
      </c>
      <c r="F207" t="s">
        <v>11096</v>
      </c>
      <c r="G207" t="s">
        <v>10997</v>
      </c>
    </row>
    <row r="208" spans="1:7">
      <c r="A208" s="291"/>
      <c r="B208" t="s">
        <v>5825</v>
      </c>
      <c r="C208" t="s">
        <v>11121</v>
      </c>
      <c r="E208">
        <v>6775</v>
      </c>
      <c r="F208" t="s">
        <v>11096</v>
      </c>
      <c r="G208" t="s">
        <v>10997</v>
      </c>
    </row>
    <row r="209" spans="1:7">
      <c r="A209" s="291"/>
      <c r="B209" t="s">
        <v>5826</v>
      </c>
      <c r="C209" t="s">
        <v>11121</v>
      </c>
      <c r="E209">
        <v>6811.95652173913</v>
      </c>
      <c r="F209" t="s">
        <v>11096</v>
      </c>
    </row>
    <row r="210" spans="1:7">
      <c r="A210" s="291"/>
      <c r="B210" t="s">
        <v>5827</v>
      </c>
      <c r="C210" t="s">
        <v>11122</v>
      </c>
      <c r="E210">
        <v>7432.608695652174</v>
      </c>
      <c r="F210" t="s">
        <v>11096</v>
      </c>
      <c r="G210" t="s">
        <v>10997</v>
      </c>
    </row>
    <row r="211" spans="1:7">
      <c r="A211" s="291"/>
      <c r="B211" t="s">
        <v>5829</v>
      </c>
      <c r="C211" t="s">
        <v>11123</v>
      </c>
      <c r="E211">
        <v>10611.95652173913</v>
      </c>
      <c r="F211" t="s">
        <v>11096</v>
      </c>
      <c r="G211" t="s">
        <v>10997</v>
      </c>
    </row>
    <row r="212" spans="1:7">
      <c r="A212" s="291"/>
      <c r="B212" t="s">
        <v>5816</v>
      </c>
      <c r="C212" t="s">
        <v>11124</v>
      </c>
      <c r="E212">
        <v>5303.260869565217</v>
      </c>
      <c r="F212" t="s">
        <v>11096</v>
      </c>
      <c r="G212" t="s">
        <v>10997</v>
      </c>
    </row>
    <row r="213" spans="1:7">
      <c r="A213" s="291"/>
      <c r="B213" t="s">
        <v>5817</v>
      </c>
      <c r="C213" t="s">
        <v>11125</v>
      </c>
      <c r="E213">
        <v>4848.913043478261</v>
      </c>
      <c r="F213" t="s">
        <v>11096</v>
      </c>
      <c r="G213" t="s">
        <v>10997</v>
      </c>
    </row>
    <row r="214" spans="1:7">
      <c r="A214" s="291"/>
      <c r="B214" t="s">
        <v>5828</v>
      </c>
      <c r="C214" t="s">
        <v>11126</v>
      </c>
      <c r="E214">
        <v>9185.8695652173901</v>
      </c>
      <c r="F214" t="s">
        <v>11096</v>
      </c>
      <c r="G214" t="s">
        <v>10997</v>
      </c>
    </row>
    <row r="215" spans="1:7">
      <c r="A215" s="291"/>
      <c r="B215" t="s">
        <v>5830</v>
      </c>
      <c r="C215" t="s">
        <v>11127</v>
      </c>
      <c r="E215">
        <v>4952.173913043478</v>
      </c>
      <c r="F215" t="s">
        <v>11096</v>
      </c>
      <c r="G215" t="s">
        <v>10996</v>
      </c>
    </row>
    <row r="216" spans="1:7">
      <c r="A216" s="291"/>
      <c r="B216" t="s">
        <v>5831</v>
      </c>
      <c r="C216" t="s">
        <v>11128</v>
      </c>
      <c r="E216">
        <v>8221.7391304347821</v>
      </c>
      <c r="F216" t="s">
        <v>11096</v>
      </c>
      <c r="G216" t="s">
        <v>10996</v>
      </c>
    </row>
    <row r="217" spans="1:7">
      <c r="A217" s="291"/>
      <c r="B217" t="s">
        <v>5832</v>
      </c>
      <c r="C217" t="s">
        <v>11129</v>
      </c>
      <c r="E217">
        <v>9142.391304347826</v>
      </c>
      <c r="F217" t="s">
        <v>11096</v>
      </c>
      <c r="G217" t="s">
        <v>10996</v>
      </c>
    </row>
    <row r="218" spans="1:7">
      <c r="A218" s="291"/>
      <c r="B218" t="s">
        <v>5833</v>
      </c>
      <c r="C218" t="s">
        <v>11130</v>
      </c>
      <c r="E218">
        <v>12683.695652173912</v>
      </c>
      <c r="F218" t="s">
        <v>11096</v>
      </c>
      <c r="G218" t="s">
        <v>10996</v>
      </c>
    </row>
    <row r="219" spans="1:7">
      <c r="A219" s="291"/>
      <c r="B219" t="s">
        <v>5834</v>
      </c>
      <c r="C219" t="s">
        <v>11131</v>
      </c>
      <c r="E219">
        <v>15484.782608695652</v>
      </c>
      <c r="F219" t="s">
        <v>11096</v>
      </c>
      <c r="G219" t="s">
        <v>10996</v>
      </c>
    </row>
    <row r="220" spans="1:7">
      <c r="A220" s="291"/>
      <c r="B220" t="s">
        <v>11132</v>
      </c>
      <c r="C220" t="s">
        <v>11133</v>
      </c>
      <c r="E220">
        <v>2953.2608695652175</v>
      </c>
      <c r="F220" t="s">
        <v>11096</v>
      </c>
    </row>
    <row r="221" spans="1:7">
      <c r="A221" s="291"/>
      <c r="B221" t="s">
        <v>11134</v>
      </c>
      <c r="C221" t="s">
        <v>11135</v>
      </c>
      <c r="E221">
        <v>3763.0434782608695</v>
      </c>
      <c r="F221" t="s">
        <v>11096</v>
      </c>
    </row>
    <row r="222" spans="1:7">
      <c r="A222" s="291"/>
      <c r="B222" t="s">
        <v>11136</v>
      </c>
      <c r="C222" t="s">
        <v>11137</v>
      </c>
      <c r="E222">
        <v>5164.1304347826081</v>
      </c>
      <c r="F222" t="s">
        <v>11096</v>
      </c>
    </row>
    <row r="223" spans="1:7">
      <c r="A223" s="291"/>
      <c r="B223" t="s">
        <v>11138</v>
      </c>
      <c r="C223" t="s">
        <v>11139</v>
      </c>
      <c r="E223">
        <v>5596.7391304347821</v>
      </c>
      <c r="F223" t="s">
        <v>11096</v>
      </c>
    </row>
    <row r="224" spans="1:7">
      <c r="A224" s="291"/>
      <c r="B224" t="s">
        <v>11140</v>
      </c>
      <c r="C224" t="s">
        <v>11141</v>
      </c>
      <c r="E224">
        <v>6284.782608695652</v>
      </c>
      <c r="F224" t="s">
        <v>11096</v>
      </c>
    </row>
    <row r="225" spans="1:7">
      <c r="A225" s="291"/>
      <c r="B225" t="s">
        <v>5835</v>
      </c>
    </row>
    <row r="226" spans="1:7">
      <c r="A226" s="291"/>
      <c r="B226" t="s">
        <v>11142</v>
      </c>
      <c r="C226" t="s">
        <v>11143</v>
      </c>
      <c r="E226">
        <v>18334.782608695652</v>
      </c>
      <c r="F226" t="s">
        <v>11096</v>
      </c>
      <c r="G226" t="s">
        <v>10999</v>
      </c>
    </row>
    <row r="227" spans="1:7">
      <c r="A227" s="291"/>
      <c r="B227" t="s">
        <v>11144</v>
      </c>
      <c r="C227" t="s">
        <v>11145</v>
      </c>
      <c r="E227">
        <v>32155.434782608696</v>
      </c>
      <c r="F227" t="s">
        <v>11096</v>
      </c>
      <c r="G227" t="s">
        <v>10999</v>
      </c>
    </row>
    <row r="228" spans="1:7">
      <c r="A228" s="291"/>
      <c r="B228" t="s">
        <v>11146</v>
      </c>
      <c r="C228" t="s">
        <v>11147</v>
      </c>
      <c r="E228">
        <v>38382.608695652176</v>
      </c>
      <c r="F228" t="s">
        <v>11096</v>
      </c>
      <c r="G228" t="s">
        <v>10999</v>
      </c>
    </row>
    <row r="229" spans="1:7">
      <c r="A229" s="291"/>
      <c r="B229" t="s">
        <v>5836</v>
      </c>
    </row>
    <row r="230" spans="1:7">
      <c r="A230" s="291"/>
      <c r="B230" t="s">
        <v>5837</v>
      </c>
      <c r="C230" t="s">
        <v>11148</v>
      </c>
      <c r="E230">
        <v>5242.391304347826</v>
      </c>
      <c r="F230" t="s">
        <v>11096</v>
      </c>
      <c r="G230" t="s">
        <v>10996</v>
      </c>
    </row>
    <row r="231" spans="1:7">
      <c r="A231" s="291"/>
      <c r="B231" t="s">
        <v>5838</v>
      </c>
      <c r="C231" t="s">
        <v>11149</v>
      </c>
      <c r="E231">
        <v>6034.782608695652</v>
      </c>
      <c r="F231" t="s">
        <v>11096</v>
      </c>
      <c r="G231" t="s">
        <v>10996</v>
      </c>
    </row>
    <row r="232" spans="1:7">
      <c r="A232" s="291"/>
      <c r="B232" t="s">
        <v>5839</v>
      </c>
      <c r="C232" t="s">
        <v>11150</v>
      </c>
      <c r="E232">
        <v>7135.869565217391</v>
      </c>
      <c r="F232" t="s">
        <v>11096</v>
      </c>
      <c r="G232" t="s">
        <v>10996</v>
      </c>
    </row>
    <row r="233" spans="1:7">
      <c r="A233" s="291"/>
      <c r="B233" t="s">
        <v>5840</v>
      </c>
      <c r="C233" t="s">
        <v>11150</v>
      </c>
      <c r="E233">
        <v>7280.4347826086951</v>
      </c>
      <c r="F233" t="s">
        <v>11096</v>
      </c>
      <c r="G233" t="s">
        <v>10996</v>
      </c>
    </row>
    <row r="234" spans="1:7">
      <c r="A234" s="291"/>
      <c r="B234" t="s">
        <v>5841</v>
      </c>
      <c r="C234" t="s">
        <v>11151</v>
      </c>
      <c r="E234">
        <v>12743.478260869564</v>
      </c>
      <c r="F234" t="s">
        <v>11096</v>
      </c>
      <c r="G234" t="s">
        <v>10996</v>
      </c>
    </row>
    <row r="235" spans="1:7">
      <c r="A235" s="291"/>
      <c r="B235" t="s">
        <v>5842</v>
      </c>
      <c r="C235" t="s">
        <v>11152</v>
      </c>
      <c r="E235">
        <v>14922.826086956522</v>
      </c>
      <c r="F235" t="s">
        <v>11096</v>
      </c>
      <c r="G235" t="s">
        <v>10996</v>
      </c>
    </row>
    <row r="236" spans="1:7">
      <c r="A236" s="291"/>
      <c r="B236" t="s">
        <v>11153</v>
      </c>
    </row>
    <row r="237" spans="1:7">
      <c r="A237" s="291"/>
      <c r="B237" t="s">
        <v>11154</v>
      </c>
      <c r="C237" t="s">
        <v>11155</v>
      </c>
      <c r="E237">
        <v>11153.260869565216</v>
      </c>
      <c r="F237" t="s">
        <v>11096</v>
      </c>
      <c r="G237" t="s">
        <v>10996</v>
      </c>
    </row>
    <row r="238" spans="1:7">
      <c r="A238" s="291"/>
      <c r="B238" t="s">
        <v>11156</v>
      </c>
      <c r="C238" t="s">
        <v>11157</v>
      </c>
      <c r="E238">
        <v>11925</v>
      </c>
      <c r="F238" t="s">
        <v>11096</v>
      </c>
      <c r="G238" t="s">
        <v>10996</v>
      </c>
    </row>
    <row r="239" spans="1:7">
      <c r="A239" s="291"/>
      <c r="B239" t="s">
        <v>11158</v>
      </c>
      <c r="C239" t="s">
        <v>11159</v>
      </c>
      <c r="E239">
        <v>15386.95652173913</v>
      </c>
      <c r="F239" t="s">
        <v>11096</v>
      </c>
      <c r="G239" t="s">
        <v>10996</v>
      </c>
    </row>
    <row r="240" spans="1:7">
      <c r="A240" s="291"/>
      <c r="B240" t="s">
        <v>11160</v>
      </c>
      <c r="C240" t="s">
        <v>11159</v>
      </c>
      <c r="E240">
        <v>15660.86956521739</v>
      </c>
      <c r="F240" t="s">
        <v>11096</v>
      </c>
      <c r="G240" t="s">
        <v>10996</v>
      </c>
    </row>
    <row r="241" spans="1:7">
      <c r="A241" s="291"/>
      <c r="B241" t="s">
        <v>11161</v>
      </c>
      <c r="C241" t="s">
        <v>11162</v>
      </c>
      <c r="E241">
        <v>18469.565217391304</v>
      </c>
      <c r="F241" t="s">
        <v>11096</v>
      </c>
      <c r="G241" t="s">
        <v>10996</v>
      </c>
    </row>
    <row r="242" spans="1:7">
      <c r="A242" s="291"/>
      <c r="B242" t="s">
        <v>11163</v>
      </c>
    </row>
    <row r="243" spans="1:7">
      <c r="A243" s="291"/>
      <c r="B243" t="s">
        <v>11164</v>
      </c>
      <c r="C243" t="s">
        <v>11165</v>
      </c>
      <c r="E243">
        <v>23267.391304347824</v>
      </c>
      <c r="F243" t="s">
        <v>11096</v>
      </c>
      <c r="G243" t="s">
        <v>10996</v>
      </c>
    </row>
    <row r="244" spans="1:7">
      <c r="A244" s="291"/>
      <c r="B244" t="s">
        <v>11166</v>
      </c>
      <c r="C244" t="s">
        <v>11165</v>
      </c>
      <c r="E244">
        <v>23541.304347826084</v>
      </c>
      <c r="F244" t="s">
        <v>11096</v>
      </c>
      <c r="G244" t="s">
        <v>10996</v>
      </c>
    </row>
    <row r="245" spans="1:7">
      <c r="A245" s="291"/>
      <c r="B245" t="s">
        <v>11167</v>
      </c>
      <c r="C245" t="s">
        <v>11168</v>
      </c>
      <c r="E245">
        <v>26413.043478260868</v>
      </c>
      <c r="F245" t="s">
        <v>11096</v>
      </c>
      <c r="G245" t="s">
        <v>10996</v>
      </c>
    </row>
    <row r="246" spans="1:7">
      <c r="A246" s="291"/>
      <c r="B246" t="s">
        <v>11169</v>
      </c>
      <c r="C246" t="s">
        <v>11170</v>
      </c>
      <c r="E246">
        <v>33261.956521739128</v>
      </c>
      <c r="F246" t="s">
        <v>11096</v>
      </c>
      <c r="G246" t="s">
        <v>10996</v>
      </c>
    </row>
    <row r="247" spans="1:7">
      <c r="A247" s="291"/>
      <c r="B247" t="s">
        <v>11171</v>
      </c>
      <c r="C247" t="s">
        <v>11172</v>
      </c>
      <c r="E247">
        <v>40422.82608695652</v>
      </c>
      <c r="F247" t="s">
        <v>11096</v>
      </c>
      <c r="G247" t="s">
        <v>10996</v>
      </c>
    </row>
    <row r="248" spans="1:7">
      <c r="A248" s="291"/>
      <c r="B248" t="s">
        <v>11173</v>
      </c>
    </row>
    <row r="249" spans="1:7">
      <c r="A249" s="291"/>
      <c r="B249" t="s">
        <v>11174</v>
      </c>
      <c r="C249" t="s">
        <v>11175</v>
      </c>
      <c r="E249">
        <v>4743.478260869565</v>
      </c>
      <c r="F249" t="s">
        <v>11176</v>
      </c>
      <c r="G249" t="s">
        <v>10996</v>
      </c>
    </row>
    <row r="250" spans="1:7">
      <c r="A250" s="291"/>
      <c r="B250" t="s">
        <v>11177</v>
      </c>
      <c r="C250" t="s">
        <v>11178</v>
      </c>
      <c r="E250">
        <v>3998.9130434782605</v>
      </c>
      <c r="F250" t="s">
        <v>11176</v>
      </c>
      <c r="G250" t="s">
        <v>10996</v>
      </c>
    </row>
    <row r="251" spans="1:7">
      <c r="A251" s="291"/>
      <c r="B251" t="s">
        <v>11179</v>
      </c>
      <c r="C251" t="s">
        <v>11180</v>
      </c>
      <c r="E251">
        <v>5073.913043478261</v>
      </c>
      <c r="F251" t="s">
        <v>11176</v>
      </c>
      <c r="G251" t="s">
        <v>10996</v>
      </c>
    </row>
    <row r="252" spans="1:7">
      <c r="A252" s="291"/>
      <c r="B252" t="s">
        <v>5843</v>
      </c>
    </row>
    <row r="253" spans="1:7">
      <c r="A253" s="291"/>
      <c r="B253" t="s">
        <v>5844</v>
      </c>
      <c r="C253" t="s">
        <v>11181</v>
      </c>
      <c r="E253">
        <v>4210.869565217391</v>
      </c>
      <c r="F253" t="s">
        <v>11176</v>
      </c>
      <c r="G253" t="s">
        <v>10999</v>
      </c>
    </row>
    <row r="254" spans="1:7">
      <c r="A254" s="291"/>
      <c r="B254" t="s">
        <v>5845</v>
      </c>
      <c r="C254" t="s">
        <v>11182</v>
      </c>
      <c r="E254">
        <v>7981.5217391304341</v>
      </c>
      <c r="F254" t="s">
        <v>11176</v>
      </c>
      <c r="G254" t="s">
        <v>10999</v>
      </c>
    </row>
    <row r="255" spans="1:7">
      <c r="A255" s="291"/>
      <c r="B255" t="s">
        <v>5846</v>
      </c>
      <c r="C255" t="s">
        <v>11183</v>
      </c>
      <c r="E255">
        <v>11395.652173913042</v>
      </c>
      <c r="F255" t="s">
        <v>11176</v>
      </c>
      <c r="G255" t="s">
        <v>10999</v>
      </c>
    </row>
    <row r="256" spans="1:7">
      <c r="A256" s="291"/>
      <c r="B256" t="s">
        <v>5847</v>
      </c>
    </row>
    <row r="257" spans="1:7">
      <c r="A257" s="291"/>
      <c r="B257" t="s">
        <v>470</v>
      </c>
      <c r="C257" t="s">
        <v>11184</v>
      </c>
      <c r="E257">
        <v>1485.8695652173913</v>
      </c>
      <c r="F257" t="s">
        <v>11185</v>
      </c>
      <c r="G257" t="s">
        <v>10999</v>
      </c>
    </row>
    <row r="258" spans="1:7">
      <c r="A258" s="291"/>
      <c r="B258" t="s">
        <v>1130</v>
      </c>
      <c r="C258" t="s">
        <v>11186</v>
      </c>
      <c r="E258">
        <v>2177.173913043478</v>
      </c>
      <c r="F258" t="s">
        <v>11185</v>
      </c>
      <c r="G258" t="s">
        <v>10999</v>
      </c>
    </row>
    <row r="259" spans="1:7">
      <c r="A259" s="291"/>
      <c r="B259" t="s">
        <v>476</v>
      </c>
      <c r="C259" t="s">
        <v>477</v>
      </c>
      <c r="E259">
        <v>2301.086956521739</v>
      </c>
      <c r="F259" t="s">
        <v>11185</v>
      </c>
      <c r="G259" t="s">
        <v>10996</v>
      </c>
    </row>
    <row r="260" spans="1:7">
      <c r="A260" s="291"/>
      <c r="B260" t="s">
        <v>464</v>
      </c>
      <c r="C260" t="s">
        <v>465</v>
      </c>
      <c r="E260">
        <v>2343.478260869565</v>
      </c>
      <c r="F260" t="s">
        <v>11185</v>
      </c>
      <c r="G260" t="s">
        <v>10997</v>
      </c>
    </row>
    <row r="261" spans="1:7">
      <c r="A261" s="291"/>
      <c r="B261" t="s">
        <v>1126</v>
      </c>
      <c r="C261" t="s">
        <v>11187</v>
      </c>
      <c r="E261">
        <v>2978.260869565217</v>
      </c>
      <c r="F261" t="s">
        <v>11185</v>
      </c>
      <c r="G261" t="s">
        <v>10999</v>
      </c>
    </row>
    <row r="262" spans="1:7">
      <c r="A262" s="291"/>
      <c r="B262" t="s">
        <v>1128</v>
      </c>
      <c r="C262" t="s">
        <v>11188</v>
      </c>
      <c r="E262">
        <v>3382.608695652174</v>
      </c>
      <c r="F262" t="s">
        <v>11185</v>
      </c>
      <c r="G262" t="s">
        <v>10997</v>
      </c>
    </row>
    <row r="263" spans="1:7">
      <c r="A263" s="291"/>
      <c r="B263" t="s">
        <v>1138</v>
      </c>
      <c r="C263" t="s">
        <v>11189</v>
      </c>
      <c r="E263">
        <v>4194.565217391304</v>
      </c>
      <c r="F263" t="s">
        <v>11190</v>
      </c>
      <c r="G263" t="s">
        <v>10999</v>
      </c>
    </row>
    <row r="264" spans="1:7">
      <c r="A264" s="291"/>
      <c r="B264" t="s">
        <v>1142</v>
      </c>
      <c r="C264" t="s">
        <v>11191</v>
      </c>
      <c r="E264">
        <v>2706.5217391304345</v>
      </c>
      <c r="F264" t="s">
        <v>11185</v>
      </c>
      <c r="G264" t="s">
        <v>10999</v>
      </c>
    </row>
    <row r="265" spans="1:7">
      <c r="A265" s="291"/>
      <c r="B265" t="s">
        <v>1968</v>
      </c>
      <c r="C265" t="s">
        <v>11192</v>
      </c>
      <c r="E265">
        <v>3745.6521739130435</v>
      </c>
      <c r="F265" t="s">
        <v>11185</v>
      </c>
      <c r="G265" t="s">
        <v>10999</v>
      </c>
    </row>
    <row r="266" spans="1:7">
      <c r="A266" s="291"/>
      <c r="B266" t="s">
        <v>1970</v>
      </c>
      <c r="C266" t="s">
        <v>11193</v>
      </c>
      <c r="E266">
        <v>3970.6521739130435</v>
      </c>
      <c r="F266" t="s">
        <v>11185</v>
      </c>
      <c r="G266" t="s">
        <v>10999</v>
      </c>
    </row>
    <row r="267" spans="1:7">
      <c r="A267" s="291"/>
      <c r="B267" t="s">
        <v>5848</v>
      </c>
    </row>
    <row r="268" spans="1:7">
      <c r="A268" s="291"/>
      <c r="B268" t="s">
        <v>5849</v>
      </c>
      <c r="C268" t="s">
        <v>5850</v>
      </c>
      <c r="E268">
        <v>179.3478260869565</v>
      </c>
      <c r="F268" t="s">
        <v>11185</v>
      </c>
    </row>
    <row r="269" spans="1:7">
      <c r="A269" s="291"/>
      <c r="B269" t="s">
        <v>5851</v>
      </c>
      <c r="C269" t="s">
        <v>5852</v>
      </c>
      <c r="E269">
        <v>191.30434782608694</v>
      </c>
      <c r="F269" t="s">
        <v>11185</v>
      </c>
      <c r="G269" t="s">
        <v>10999</v>
      </c>
    </row>
    <row r="270" spans="1:7">
      <c r="A270" s="291"/>
      <c r="B270" t="s">
        <v>5853</v>
      </c>
      <c r="C270" t="s">
        <v>11194</v>
      </c>
      <c r="E270">
        <v>161.95652173913044</v>
      </c>
      <c r="F270" t="s">
        <v>11185</v>
      </c>
      <c r="G270" t="s">
        <v>10996</v>
      </c>
    </row>
    <row r="271" spans="1:7">
      <c r="A271" s="291"/>
      <c r="B271" t="s">
        <v>7810</v>
      </c>
      <c r="C271" t="s">
        <v>7811</v>
      </c>
      <c r="E271">
        <v>310.86956521739131</v>
      </c>
      <c r="F271" t="s">
        <v>11185</v>
      </c>
      <c r="G271" t="s">
        <v>10996</v>
      </c>
    </row>
    <row r="272" spans="1:7">
      <c r="A272" s="291"/>
      <c r="B272" t="s">
        <v>7812</v>
      </c>
      <c r="C272" t="s">
        <v>7813</v>
      </c>
      <c r="E272">
        <v>420.65217391304344</v>
      </c>
      <c r="F272" t="s">
        <v>11185</v>
      </c>
      <c r="G272" t="s">
        <v>10996</v>
      </c>
    </row>
    <row r="273" spans="1:7">
      <c r="A273" s="291"/>
      <c r="B273" t="s">
        <v>7802</v>
      </c>
      <c r="C273" t="s">
        <v>7803</v>
      </c>
      <c r="E273">
        <v>67.391304347826079</v>
      </c>
      <c r="F273" t="s">
        <v>11185</v>
      </c>
      <c r="G273" t="s">
        <v>10999</v>
      </c>
    </row>
    <row r="274" spans="1:7">
      <c r="A274" s="291"/>
      <c r="B274" t="s">
        <v>7804</v>
      </c>
      <c r="C274" t="s">
        <v>7805</v>
      </c>
      <c r="E274">
        <v>182.60869565217391</v>
      </c>
      <c r="F274" t="s">
        <v>11185</v>
      </c>
      <c r="G274" t="s">
        <v>10999</v>
      </c>
    </row>
    <row r="275" spans="1:7">
      <c r="A275" s="291"/>
      <c r="B275" t="s">
        <v>7806</v>
      </c>
      <c r="C275" t="s">
        <v>7807</v>
      </c>
      <c r="E275">
        <v>267.39130434782606</v>
      </c>
      <c r="F275" t="s">
        <v>11185</v>
      </c>
      <c r="G275" t="s">
        <v>10999</v>
      </c>
    </row>
    <row r="276" spans="1:7">
      <c r="A276" s="291"/>
      <c r="B276" t="s">
        <v>7808</v>
      </c>
      <c r="C276" t="s">
        <v>7809</v>
      </c>
      <c r="E276">
        <v>67.391304347826079</v>
      </c>
      <c r="F276" t="s">
        <v>11185</v>
      </c>
      <c r="G276" t="s">
        <v>10999</v>
      </c>
    </row>
    <row r="277" spans="1:7">
      <c r="A277" s="291"/>
      <c r="B277" t="s">
        <v>5854</v>
      </c>
      <c r="C277" t="s">
        <v>11195</v>
      </c>
      <c r="E277">
        <v>167.39130434782609</v>
      </c>
      <c r="F277" t="s">
        <v>11185</v>
      </c>
      <c r="G277" t="s">
        <v>10996</v>
      </c>
    </row>
    <row r="278" spans="1:7">
      <c r="A278" s="291"/>
      <c r="B278" t="s">
        <v>5857</v>
      </c>
      <c r="C278" t="s">
        <v>5858</v>
      </c>
      <c r="E278">
        <v>280.43478260869563</v>
      </c>
      <c r="F278" t="s">
        <v>11185</v>
      </c>
      <c r="G278" t="s">
        <v>10997</v>
      </c>
    </row>
    <row r="279" spans="1:7">
      <c r="A279" s="291"/>
      <c r="B279" t="s">
        <v>11196</v>
      </c>
      <c r="C279" t="s">
        <v>11197</v>
      </c>
      <c r="E279">
        <v>175</v>
      </c>
      <c r="F279" t="s">
        <v>11185</v>
      </c>
      <c r="G279" t="s">
        <v>10999</v>
      </c>
    </row>
    <row r="280" spans="1:7">
      <c r="A280" s="291"/>
      <c r="B280" t="s">
        <v>5859</v>
      </c>
    </row>
    <row r="281" spans="1:7">
      <c r="A281" s="291"/>
      <c r="B281" t="s">
        <v>5616</v>
      </c>
    </row>
    <row r="282" spans="1:7">
      <c r="A282" s="291"/>
      <c r="B282" t="s">
        <v>6231</v>
      </c>
      <c r="C282" t="s">
        <v>6084</v>
      </c>
      <c r="E282">
        <v>661.95652173913038</v>
      </c>
      <c r="F282" t="s">
        <v>11198</v>
      </c>
      <c r="G282" t="s">
        <v>10997</v>
      </c>
    </row>
    <row r="283" spans="1:7">
      <c r="A283" s="291"/>
      <c r="B283" t="s">
        <v>11199</v>
      </c>
      <c r="C283" t="s">
        <v>6170</v>
      </c>
      <c r="E283">
        <v>1079.3478260869565</v>
      </c>
      <c r="F283" t="s">
        <v>11198</v>
      </c>
    </row>
    <row r="284" spans="1:7">
      <c r="A284" s="291"/>
      <c r="B284" t="s">
        <v>6232</v>
      </c>
      <c r="C284" t="s">
        <v>6086</v>
      </c>
      <c r="E284">
        <v>876.08695652173913</v>
      </c>
      <c r="F284" t="s">
        <v>11198</v>
      </c>
      <c r="G284" t="s">
        <v>10997</v>
      </c>
    </row>
    <row r="285" spans="1:7">
      <c r="A285" s="291"/>
      <c r="B285" t="s">
        <v>11200</v>
      </c>
      <c r="C285" t="s">
        <v>6172</v>
      </c>
      <c r="E285">
        <v>1821.7391304347825</v>
      </c>
      <c r="F285" t="s">
        <v>11198</v>
      </c>
    </row>
    <row r="286" spans="1:7">
      <c r="A286" s="291"/>
      <c r="B286" t="s">
        <v>6233</v>
      </c>
      <c r="C286" t="s">
        <v>6088</v>
      </c>
      <c r="E286">
        <v>1160.8695652173913</v>
      </c>
      <c r="F286" t="s">
        <v>11198</v>
      </c>
      <c r="G286" t="s">
        <v>10997</v>
      </c>
    </row>
    <row r="287" spans="1:7">
      <c r="A287" s="291"/>
      <c r="B287" t="s">
        <v>6183</v>
      </c>
      <c r="C287" t="s">
        <v>6184</v>
      </c>
      <c r="E287">
        <v>1229.3478260869565</v>
      </c>
      <c r="F287" t="s">
        <v>11198</v>
      </c>
      <c r="G287" t="s">
        <v>10996</v>
      </c>
    </row>
    <row r="288" spans="1:7">
      <c r="A288" s="291"/>
      <c r="B288" t="s">
        <v>11201</v>
      </c>
      <c r="C288" t="s">
        <v>6174</v>
      </c>
      <c r="E288">
        <v>3105.4347826086955</v>
      </c>
      <c r="F288" t="s">
        <v>11198</v>
      </c>
    </row>
    <row r="289" spans="1:7">
      <c r="A289" s="291"/>
      <c r="B289" t="s">
        <v>6234</v>
      </c>
      <c r="C289" t="s">
        <v>6116</v>
      </c>
      <c r="E289">
        <v>1688.0434782608695</v>
      </c>
      <c r="F289" t="s">
        <v>11198</v>
      </c>
      <c r="G289" t="s">
        <v>10997</v>
      </c>
    </row>
    <row r="290" spans="1:7">
      <c r="A290" s="291"/>
      <c r="B290" t="s">
        <v>6154</v>
      </c>
      <c r="C290" t="s">
        <v>6155</v>
      </c>
      <c r="E290">
        <v>1548.9130434782608</v>
      </c>
      <c r="F290" t="s">
        <v>11198</v>
      </c>
      <c r="G290" t="s">
        <v>10997</v>
      </c>
    </row>
    <row r="291" spans="1:7">
      <c r="A291" s="291"/>
      <c r="B291" t="s">
        <v>11202</v>
      </c>
      <c r="C291" t="s">
        <v>11203</v>
      </c>
      <c r="E291">
        <v>2532.608695652174</v>
      </c>
      <c r="F291" t="s">
        <v>11198</v>
      </c>
    </row>
    <row r="292" spans="1:7">
      <c r="A292" s="291"/>
      <c r="B292" t="s">
        <v>6235</v>
      </c>
      <c r="C292" t="s">
        <v>3142</v>
      </c>
      <c r="E292">
        <v>2390.2173913043475</v>
      </c>
      <c r="F292" t="s">
        <v>11198</v>
      </c>
      <c r="G292" t="s">
        <v>10997</v>
      </c>
    </row>
    <row r="293" spans="1:7">
      <c r="A293" s="291"/>
      <c r="B293" t="s">
        <v>11204</v>
      </c>
      <c r="C293" t="s">
        <v>11205</v>
      </c>
      <c r="E293">
        <v>3800</v>
      </c>
      <c r="F293" t="s">
        <v>11198</v>
      </c>
    </row>
    <row r="294" spans="1:7">
      <c r="A294" s="291"/>
      <c r="B294" t="s">
        <v>11206</v>
      </c>
      <c r="C294" t="s">
        <v>6176</v>
      </c>
      <c r="E294">
        <v>3502.173913043478</v>
      </c>
      <c r="F294" t="s">
        <v>11198</v>
      </c>
    </row>
    <row r="295" spans="1:7">
      <c r="A295" s="291"/>
      <c r="B295" t="s">
        <v>6236</v>
      </c>
      <c r="C295" t="s">
        <v>6110</v>
      </c>
      <c r="E295">
        <v>2813.0434782608695</v>
      </c>
      <c r="F295" t="s">
        <v>11198</v>
      </c>
      <c r="G295" t="s">
        <v>10997</v>
      </c>
    </row>
    <row r="296" spans="1:7">
      <c r="A296" s="291"/>
      <c r="B296" t="s">
        <v>6239</v>
      </c>
      <c r="C296" t="s">
        <v>6240</v>
      </c>
      <c r="E296">
        <v>3229.3478260869565</v>
      </c>
      <c r="F296" t="s">
        <v>11198</v>
      </c>
      <c r="G296" t="s">
        <v>10997</v>
      </c>
    </row>
    <row r="297" spans="1:7">
      <c r="A297" s="291"/>
      <c r="B297" t="s">
        <v>11207</v>
      </c>
      <c r="C297" t="s">
        <v>6178</v>
      </c>
      <c r="E297">
        <v>4133.695652173913</v>
      </c>
      <c r="F297" t="s">
        <v>11198</v>
      </c>
    </row>
    <row r="298" spans="1:7">
      <c r="A298" s="291"/>
      <c r="B298" t="s">
        <v>6179</v>
      </c>
      <c r="C298" t="s">
        <v>6180</v>
      </c>
      <c r="E298">
        <v>3526.086956521739</v>
      </c>
      <c r="F298" t="s">
        <v>11198</v>
      </c>
      <c r="G298" t="s">
        <v>10997</v>
      </c>
    </row>
    <row r="299" spans="1:7">
      <c r="A299" s="291"/>
      <c r="B299" t="s">
        <v>6181</v>
      </c>
      <c r="C299" t="s">
        <v>6182</v>
      </c>
      <c r="E299">
        <v>5095.652173913043</v>
      </c>
      <c r="F299" t="s">
        <v>11198</v>
      </c>
      <c r="G299" t="s">
        <v>10997</v>
      </c>
    </row>
    <row r="300" spans="1:7">
      <c r="A300" s="291"/>
      <c r="B300" t="s">
        <v>6237</v>
      </c>
      <c r="C300" t="s">
        <v>6106</v>
      </c>
      <c r="E300">
        <v>3896.7391304347825</v>
      </c>
      <c r="F300" t="s">
        <v>11198</v>
      </c>
      <c r="G300" t="s">
        <v>10997</v>
      </c>
    </row>
    <row r="301" spans="1:7">
      <c r="A301" s="291"/>
      <c r="B301" t="s">
        <v>6238</v>
      </c>
      <c r="C301" t="s">
        <v>6104</v>
      </c>
      <c r="E301">
        <v>4296.7391304347821</v>
      </c>
      <c r="F301" t="s">
        <v>11198</v>
      </c>
      <c r="G301" t="s">
        <v>10997</v>
      </c>
    </row>
    <row r="302" spans="1:7">
      <c r="A302" s="291"/>
      <c r="B302" t="s">
        <v>11208</v>
      </c>
      <c r="C302" t="s">
        <v>11209</v>
      </c>
      <c r="E302">
        <v>4020.6521739130435</v>
      </c>
      <c r="F302" t="s">
        <v>11198</v>
      </c>
    </row>
    <row r="303" spans="1:7">
      <c r="A303" s="291"/>
      <c r="B303" t="s">
        <v>11210</v>
      </c>
      <c r="C303" t="s">
        <v>11211</v>
      </c>
      <c r="E303">
        <v>5475</v>
      </c>
      <c r="F303" t="s">
        <v>11198</v>
      </c>
    </row>
    <row r="304" spans="1:7">
      <c r="A304" s="291"/>
      <c r="B304" t="s">
        <v>6151</v>
      </c>
      <c r="C304" t="s">
        <v>6102</v>
      </c>
      <c r="E304">
        <v>5181.521739130435</v>
      </c>
      <c r="F304" t="s">
        <v>11198</v>
      </c>
      <c r="G304" t="s">
        <v>10997</v>
      </c>
    </row>
    <row r="305" spans="1:7">
      <c r="A305" s="291"/>
      <c r="B305" t="s">
        <v>11212</v>
      </c>
      <c r="C305" t="s">
        <v>11213</v>
      </c>
      <c r="E305">
        <v>6036.95652173913</v>
      </c>
      <c r="F305" t="s">
        <v>11198</v>
      </c>
    </row>
    <row r="306" spans="1:7">
      <c r="A306" s="291"/>
      <c r="B306" t="s">
        <v>6152</v>
      </c>
      <c r="C306" t="s">
        <v>6098</v>
      </c>
      <c r="E306">
        <v>6751.086956521739</v>
      </c>
      <c r="F306" t="s">
        <v>11198</v>
      </c>
      <c r="G306" t="s">
        <v>10997</v>
      </c>
    </row>
    <row r="307" spans="1:7">
      <c r="A307" s="291"/>
      <c r="B307" t="s">
        <v>11214</v>
      </c>
      <c r="C307" t="s">
        <v>11215</v>
      </c>
      <c r="E307">
        <v>8094.565217391304</v>
      </c>
      <c r="F307" t="s">
        <v>11198</v>
      </c>
    </row>
    <row r="308" spans="1:7">
      <c r="A308" s="291"/>
      <c r="B308" t="s">
        <v>6153</v>
      </c>
      <c r="C308" t="s">
        <v>6148</v>
      </c>
      <c r="E308">
        <v>10378.260869565216</v>
      </c>
      <c r="F308" t="s">
        <v>11198</v>
      </c>
      <c r="G308" t="s">
        <v>10997</v>
      </c>
    </row>
    <row r="309" spans="1:7">
      <c r="A309" s="291"/>
      <c r="B309" t="s">
        <v>6241</v>
      </c>
      <c r="C309" t="s">
        <v>6242</v>
      </c>
      <c r="E309">
        <v>72.826086956521735</v>
      </c>
      <c r="F309" t="s">
        <v>11198</v>
      </c>
    </row>
    <row r="310" spans="1:7">
      <c r="A310" s="291"/>
      <c r="B310" t="s">
        <v>5650</v>
      </c>
    </row>
    <row r="311" spans="1:7">
      <c r="A311" s="291"/>
      <c r="B311" t="s">
        <v>6000</v>
      </c>
      <c r="C311" t="s">
        <v>5862</v>
      </c>
      <c r="E311">
        <v>595.6521739130435</v>
      </c>
      <c r="F311" t="s">
        <v>11198</v>
      </c>
      <c r="G311" t="s">
        <v>10997</v>
      </c>
    </row>
    <row r="312" spans="1:7">
      <c r="A312" s="291"/>
      <c r="B312" t="s">
        <v>6001</v>
      </c>
      <c r="C312" t="s">
        <v>5863</v>
      </c>
      <c r="E312">
        <v>811.95652173913038</v>
      </c>
      <c r="F312" t="s">
        <v>11198</v>
      </c>
      <c r="G312" t="s">
        <v>10997</v>
      </c>
    </row>
    <row r="313" spans="1:7">
      <c r="A313" s="291"/>
      <c r="B313" t="s">
        <v>6010</v>
      </c>
      <c r="C313" t="s">
        <v>5867</v>
      </c>
      <c r="E313">
        <v>2490.2173913043475</v>
      </c>
      <c r="F313" t="s">
        <v>11198</v>
      </c>
      <c r="G313" t="s">
        <v>10997</v>
      </c>
    </row>
    <row r="314" spans="1:7">
      <c r="A314" s="291"/>
      <c r="B314" t="s">
        <v>6002</v>
      </c>
      <c r="C314" t="s">
        <v>5887</v>
      </c>
      <c r="E314">
        <v>1097.8260869565217</v>
      </c>
      <c r="F314" t="s">
        <v>11198</v>
      </c>
      <c r="G314" t="s">
        <v>10997</v>
      </c>
    </row>
    <row r="315" spans="1:7">
      <c r="A315" s="291"/>
      <c r="B315" t="s">
        <v>6013</v>
      </c>
      <c r="C315" t="s">
        <v>5864</v>
      </c>
      <c r="E315">
        <v>1626.086956521739</v>
      </c>
      <c r="F315" t="s">
        <v>11198</v>
      </c>
      <c r="G315" t="s">
        <v>10999</v>
      </c>
    </row>
    <row r="316" spans="1:7">
      <c r="A316" s="291"/>
      <c r="B316" t="s">
        <v>6003</v>
      </c>
      <c r="C316" t="s">
        <v>5866</v>
      </c>
      <c r="E316">
        <v>1626.086956521739</v>
      </c>
      <c r="F316" t="s">
        <v>11198</v>
      </c>
      <c r="G316" t="s">
        <v>10997</v>
      </c>
    </row>
    <row r="317" spans="1:7">
      <c r="A317" s="291"/>
      <c r="B317" t="s">
        <v>6011</v>
      </c>
      <c r="C317" t="s">
        <v>5860</v>
      </c>
      <c r="E317">
        <v>3917.391304347826</v>
      </c>
      <c r="F317" t="s">
        <v>11198</v>
      </c>
      <c r="G317" t="s">
        <v>10997</v>
      </c>
    </row>
    <row r="318" spans="1:7">
      <c r="A318" s="291"/>
      <c r="B318" t="s">
        <v>5986</v>
      </c>
      <c r="C318" t="s">
        <v>5882</v>
      </c>
      <c r="E318">
        <v>2743.478260869565</v>
      </c>
      <c r="F318" t="s">
        <v>11198</v>
      </c>
      <c r="G318" t="s">
        <v>10999</v>
      </c>
    </row>
    <row r="319" spans="1:7">
      <c r="A319" s="291"/>
      <c r="B319" t="s">
        <v>6004</v>
      </c>
      <c r="C319" t="s">
        <v>5891</v>
      </c>
      <c r="E319">
        <v>2325</v>
      </c>
      <c r="F319" t="s">
        <v>11198</v>
      </c>
      <c r="G319" t="s">
        <v>10997</v>
      </c>
    </row>
    <row r="320" spans="1:7">
      <c r="A320" s="291"/>
      <c r="B320" t="s">
        <v>6005</v>
      </c>
      <c r="C320" t="s">
        <v>5895</v>
      </c>
      <c r="E320">
        <v>2919.565217391304</v>
      </c>
      <c r="F320" t="s">
        <v>11198</v>
      </c>
      <c r="G320" t="s">
        <v>10997</v>
      </c>
    </row>
    <row r="321" spans="1:7">
      <c r="A321" s="291"/>
      <c r="B321" t="s">
        <v>6012</v>
      </c>
      <c r="C321" t="s">
        <v>5861</v>
      </c>
      <c r="E321">
        <v>5213.0434782608691</v>
      </c>
      <c r="F321" t="s">
        <v>11198</v>
      </c>
      <c r="G321" t="s">
        <v>10997</v>
      </c>
    </row>
    <row r="322" spans="1:7">
      <c r="A322" s="291"/>
      <c r="B322" t="s">
        <v>5987</v>
      </c>
      <c r="C322" t="s">
        <v>5879</v>
      </c>
      <c r="E322">
        <v>3322.8260869565215</v>
      </c>
      <c r="F322" t="s">
        <v>11198</v>
      </c>
      <c r="G322" t="s">
        <v>10999</v>
      </c>
    </row>
    <row r="323" spans="1:7">
      <c r="A323" s="291"/>
      <c r="B323" t="s">
        <v>6014</v>
      </c>
      <c r="C323" t="s">
        <v>5865</v>
      </c>
      <c r="E323">
        <v>3050</v>
      </c>
      <c r="F323" t="s">
        <v>11198</v>
      </c>
      <c r="G323" t="s">
        <v>10999</v>
      </c>
    </row>
    <row r="324" spans="1:7">
      <c r="A324" s="291"/>
      <c r="B324" t="s">
        <v>6006</v>
      </c>
      <c r="C324" t="s">
        <v>5893</v>
      </c>
      <c r="E324">
        <v>3490.2173913043475</v>
      </c>
      <c r="F324" t="s">
        <v>11198</v>
      </c>
      <c r="G324" t="s">
        <v>10997</v>
      </c>
    </row>
    <row r="325" spans="1:7">
      <c r="A325" s="291"/>
      <c r="B325" t="s">
        <v>6007</v>
      </c>
      <c r="C325" t="s">
        <v>5900</v>
      </c>
      <c r="E325">
        <v>3917.391304347826</v>
      </c>
      <c r="F325" t="s">
        <v>11198</v>
      </c>
      <c r="G325" t="s">
        <v>10997</v>
      </c>
    </row>
    <row r="326" spans="1:7">
      <c r="A326" s="291"/>
      <c r="B326" t="s">
        <v>6008</v>
      </c>
      <c r="C326" t="s">
        <v>5902</v>
      </c>
      <c r="E326">
        <v>4356.521739130435</v>
      </c>
      <c r="F326" t="s">
        <v>11198</v>
      </c>
      <c r="G326" t="s">
        <v>10997</v>
      </c>
    </row>
    <row r="327" spans="1:7">
      <c r="A327" s="291"/>
      <c r="B327" t="s">
        <v>6009</v>
      </c>
      <c r="C327" t="s">
        <v>5918</v>
      </c>
      <c r="E327">
        <v>5213.0434782608691</v>
      </c>
      <c r="F327" t="s">
        <v>11198</v>
      </c>
      <c r="G327" t="s">
        <v>10997</v>
      </c>
    </row>
    <row r="328" spans="1:7">
      <c r="A328" s="291"/>
      <c r="B328" t="s">
        <v>5998</v>
      </c>
      <c r="C328" t="s">
        <v>5898</v>
      </c>
      <c r="E328">
        <v>5929.347826086956</v>
      </c>
      <c r="F328" t="s">
        <v>11198</v>
      </c>
      <c r="G328" t="s">
        <v>10997</v>
      </c>
    </row>
    <row r="329" spans="1:7">
      <c r="A329" s="291"/>
      <c r="B329" t="s">
        <v>5999</v>
      </c>
      <c r="C329" t="s">
        <v>5907</v>
      </c>
      <c r="E329">
        <v>6642.391304347826</v>
      </c>
      <c r="F329" t="s">
        <v>11198</v>
      </c>
      <c r="G329" t="s">
        <v>10997</v>
      </c>
    </row>
    <row r="330" spans="1:7">
      <c r="A330" s="291"/>
      <c r="B330" t="s">
        <v>5667</v>
      </c>
    </row>
    <row r="331" spans="1:7">
      <c r="A331" s="291"/>
      <c r="B331" t="s">
        <v>6134</v>
      </c>
      <c r="C331" t="s">
        <v>6084</v>
      </c>
      <c r="E331">
        <v>657.60869565217388</v>
      </c>
      <c r="F331" t="s">
        <v>11198</v>
      </c>
      <c r="G331" t="s">
        <v>10997</v>
      </c>
    </row>
    <row r="332" spans="1:7">
      <c r="A332" s="291"/>
      <c r="B332" t="s">
        <v>6196</v>
      </c>
      <c r="C332" t="s">
        <v>6170</v>
      </c>
      <c r="E332">
        <v>1076.086956521739</v>
      </c>
      <c r="F332" t="s">
        <v>11198</v>
      </c>
      <c r="G332" t="s">
        <v>10999</v>
      </c>
    </row>
    <row r="333" spans="1:7">
      <c r="A333" s="291"/>
      <c r="B333" t="s">
        <v>6197</v>
      </c>
      <c r="C333" t="s">
        <v>6172</v>
      </c>
      <c r="E333">
        <v>1818.4782608695652</v>
      </c>
      <c r="F333" t="s">
        <v>11198</v>
      </c>
      <c r="G333" t="s">
        <v>10999</v>
      </c>
    </row>
    <row r="334" spans="1:7">
      <c r="A334" s="291"/>
      <c r="B334" t="s">
        <v>6131</v>
      </c>
      <c r="C334" t="s">
        <v>6088</v>
      </c>
      <c r="E334">
        <v>1157.6086956521738</v>
      </c>
      <c r="F334" t="s">
        <v>11198</v>
      </c>
      <c r="G334" t="s">
        <v>10997</v>
      </c>
    </row>
    <row r="335" spans="1:7">
      <c r="A335" s="291"/>
      <c r="B335" t="s">
        <v>6192</v>
      </c>
      <c r="C335" t="s">
        <v>6146</v>
      </c>
      <c r="E335">
        <v>1226.086956521739</v>
      </c>
      <c r="F335" t="s">
        <v>11198</v>
      </c>
      <c r="G335" t="s">
        <v>10996</v>
      </c>
    </row>
    <row r="336" spans="1:7">
      <c r="A336" s="291"/>
      <c r="B336" t="s">
        <v>6198</v>
      </c>
      <c r="C336" t="s">
        <v>6174</v>
      </c>
      <c r="E336">
        <v>3102.173913043478</v>
      </c>
      <c r="F336" t="s">
        <v>11198</v>
      </c>
      <c r="G336" t="s">
        <v>10999</v>
      </c>
    </row>
    <row r="337" spans="1:7">
      <c r="A337" s="291"/>
      <c r="B337" t="s">
        <v>6132</v>
      </c>
      <c r="C337" t="s">
        <v>6090</v>
      </c>
      <c r="E337">
        <v>1684.782608695652</v>
      </c>
      <c r="F337" t="s">
        <v>11198</v>
      </c>
      <c r="G337" t="s">
        <v>10997</v>
      </c>
    </row>
    <row r="338" spans="1:7">
      <c r="A338" s="291"/>
      <c r="B338" t="s">
        <v>6193</v>
      </c>
      <c r="C338" t="s">
        <v>6130</v>
      </c>
      <c r="E338">
        <v>2556.5217391304345</v>
      </c>
      <c r="F338" t="s">
        <v>11198</v>
      </c>
      <c r="G338" t="s">
        <v>10999</v>
      </c>
    </row>
    <row r="339" spans="1:7">
      <c r="A339" s="291"/>
      <c r="B339" t="s">
        <v>6133</v>
      </c>
      <c r="C339" t="s">
        <v>3142</v>
      </c>
      <c r="E339">
        <v>2386.9565217391305</v>
      </c>
      <c r="F339" t="s">
        <v>11198</v>
      </c>
      <c r="G339" t="s">
        <v>10997</v>
      </c>
    </row>
    <row r="340" spans="1:7">
      <c r="A340" s="291"/>
      <c r="B340" t="s">
        <v>6194</v>
      </c>
      <c r="C340" t="s">
        <v>6128</v>
      </c>
      <c r="E340">
        <v>3822.8260869565215</v>
      </c>
      <c r="F340" t="s">
        <v>11198</v>
      </c>
      <c r="G340" t="s">
        <v>10996</v>
      </c>
    </row>
    <row r="341" spans="1:7">
      <c r="A341" s="291"/>
      <c r="B341" t="s">
        <v>6199</v>
      </c>
      <c r="C341" t="s">
        <v>6176</v>
      </c>
      <c r="E341">
        <v>3498.9130434782605</v>
      </c>
      <c r="F341" t="s">
        <v>11198</v>
      </c>
      <c r="G341" t="s">
        <v>10999</v>
      </c>
    </row>
    <row r="342" spans="1:7">
      <c r="A342" s="291"/>
      <c r="B342" t="s">
        <v>6191</v>
      </c>
      <c r="C342" t="s">
        <v>6112</v>
      </c>
      <c r="E342">
        <v>3226.086956521739</v>
      </c>
      <c r="F342" t="s">
        <v>11198</v>
      </c>
      <c r="G342" t="s">
        <v>10997</v>
      </c>
    </row>
    <row r="343" spans="1:7">
      <c r="A343" s="291"/>
      <c r="B343" t="s">
        <v>6200</v>
      </c>
      <c r="C343" t="s">
        <v>6178</v>
      </c>
      <c r="E343">
        <v>4156.521739130435</v>
      </c>
      <c r="F343" t="s">
        <v>11198</v>
      </c>
      <c r="G343" t="s">
        <v>10999</v>
      </c>
    </row>
    <row r="344" spans="1:7">
      <c r="A344" s="291"/>
      <c r="B344" t="s">
        <v>6185</v>
      </c>
      <c r="C344" t="s">
        <v>6108</v>
      </c>
      <c r="E344">
        <v>3522.8260869565215</v>
      </c>
      <c r="F344" t="s">
        <v>11198</v>
      </c>
      <c r="G344" t="s">
        <v>10997</v>
      </c>
    </row>
    <row r="345" spans="1:7">
      <c r="A345" s="291"/>
      <c r="B345" t="s">
        <v>6195</v>
      </c>
      <c r="C345" t="s">
        <v>6182</v>
      </c>
      <c r="E345">
        <v>5118.478260869565</v>
      </c>
      <c r="F345" t="s">
        <v>11198</v>
      </c>
      <c r="G345" t="s">
        <v>10997</v>
      </c>
    </row>
    <row r="346" spans="1:7">
      <c r="A346" s="291"/>
      <c r="B346" t="s">
        <v>6186</v>
      </c>
      <c r="C346" t="s">
        <v>6142</v>
      </c>
      <c r="E346">
        <v>4043.478260869565</v>
      </c>
      <c r="F346" t="s">
        <v>11198</v>
      </c>
      <c r="G346" t="s">
        <v>10999</v>
      </c>
    </row>
    <row r="347" spans="1:7">
      <c r="A347" s="291"/>
      <c r="B347" t="s">
        <v>6187</v>
      </c>
      <c r="C347" t="s">
        <v>6157</v>
      </c>
      <c r="E347">
        <v>5470.652173913043</v>
      </c>
      <c r="F347" t="s">
        <v>11198</v>
      </c>
      <c r="G347" t="s">
        <v>10999</v>
      </c>
    </row>
    <row r="348" spans="1:7">
      <c r="A348" s="291"/>
      <c r="B348" t="s">
        <v>6188</v>
      </c>
      <c r="C348" t="s">
        <v>6100</v>
      </c>
      <c r="E348">
        <v>6033.695652173913</v>
      </c>
      <c r="F348" t="s">
        <v>11198</v>
      </c>
      <c r="G348" t="s">
        <v>10999</v>
      </c>
    </row>
    <row r="349" spans="1:7">
      <c r="A349" s="291"/>
      <c r="B349" t="s">
        <v>6189</v>
      </c>
      <c r="C349" t="s">
        <v>6098</v>
      </c>
      <c r="E349">
        <v>6773.913043478261</v>
      </c>
      <c r="F349" t="s">
        <v>11198</v>
      </c>
      <c r="G349" t="s">
        <v>10997</v>
      </c>
    </row>
    <row r="350" spans="1:7">
      <c r="A350" s="291"/>
      <c r="B350" t="s">
        <v>6190</v>
      </c>
      <c r="C350" t="s">
        <v>6144</v>
      </c>
      <c r="E350">
        <v>8118.478260869565</v>
      </c>
      <c r="F350" t="s">
        <v>11198</v>
      </c>
      <c r="G350" t="s">
        <v>10997</v>
      </c>
    </row>
    <row r="351" spans="1:7">
      <c r="A351" s="291"/>
      <c r="B351" t="s">
        <v>6140</v>
      </c>
      <c r="C351" t="s">
        <v>6120</v>
      </c>
      <c r="E351">
        <v>1544.5652173913043</v>
      </c>
      <c r="F351" t="s">
        <v>11198</v>
      </c>
      <c r="G351" t="s">
        <v>10997</v>
      </c>
    </row>
    <row r="352" spans="1:7">
      <c r="A352" s="291"/>
      <c r="B352" t="s">
        <v>5904</v>
      </c>
      <c r="C352" t="s">
        <v>5882</v>
      </c>
      <c r="E352">
        <v>2704.3478260869565</v>
      </c>
      <c r="F352" t="s">
        <v>11198</v>
      </c>
      <c r="G352" t="s">
        <v>10999</v>
      </c>
    </row>
    <row r="353" spans="1:7">
      <c r="A353" s="291"/>
      <c r="B353" t="s">
        <v>6135</v>
      </c>
      <c r="C353" t="s">
        <v>6122</v>
      </c>
      <c r="E353">
        <v>871.73913043478262</v>
      </c>
      <c r="F353" t="s">
        <v>11198</v>
      </c>
      <c r="G353" t="s">
        <v>10997</v>
      </c>
    </row>
    <row r="354" spans="1:7">
      <c r="A354" s="291"/>
      <c r="B354" t="s">
        <v>6150</v>
      </c>
      <c r="C354" t="s">
        <v>6148</v>
      </c>
      <c r="E354">
        <v>10401.086956521738</v>
      </c>
      <c r="F354" t="s">
        <v>11198</v>
      </c>
      <c r="G354" t="s">
        <v>10997</v>
      </c>
    </row>
    <row r="355" spans="1:7">
      <c r="A355" s="291"/>
      <c r="B355" t="s">
        <v>6139</v>
      </c>
      <c r="C355" t="s">
        <v>6102</v>
      </c>
      <c r="E355">
        <v>5177.173913043478</v>
      </c>
      <c r="F355" t="s">
        <v>11198</v>
      </c>
      <c r="G355" t="s">
        <v>10997</v>
      </c>
    </row>
    <row r="356" spans="1:7">
      <c r="A356" s="291"/>
      <c r="B356" t="s">
        <v>6138</v>
      </c>
      <c r="C356" t="s">
        <v>6104</v>
      </c>
      <c r="E356">
        <v>4293.478260869565</v>
      </c>
      <c r="F356" t="s">
        <v>11198</v>
      </c>
      <c r="G356" t="s">
        <v>10997</v>
      </c>
    </row>
    <row r="357" spans="1:7">
      <c r="A357" s="291"/>
      <c r="B357" t="s">
        <v>6137</v>
      </c>
      <c r="C357" t="s">
        <v>6106</v>
      </c>
      <c r="E357">
        <v>3893.478260869565</v>
      </c>
      <c r="F357" t="s">
        <v>11198</v>
      </c>
      <c r="G357" t="s">
        <v>10997</v>
      </c>
    </row>
    <row r="358" spans="1:7">
      <c r="A358" s="291"/>
      <c r="B358" t="s">
        <v>6136</v>
      </c>
      <c r="C358" t="s">
        <v>6110</v>
      </c>
      <c r="E358">
        <v>2808.695652173913</v>
      </c>
      <c r="F358" t="s">
        <v>11198</v>
      </c>
      <c r="G358" t="s">
        <v>10997</v>
      </c>
    </row>
    <row r="359" spans="1:7">
      <c r="A359" s="291"/>
      <c r="B359" t="s">
        <v>5903</v>
      </c>
      <c r="C359" t="s">
        <v>5879</v>
      </c>
      <c r="E359">
        <v>3283.695652173913</v>
      </c>
      <c r="F359" t="s">
        <v>11198</v>
      </c>
      <c r="G359" t="s">
        <v>10999</v>
      </c>
    </row>
    <row r="360" spans="1:7">
      <c r="A360" s="291"/>
      <c r="B360" t="s">
        <v>5695</v>
      </c>
    </row>
    <row r="361" spans="1:7">
      <c r="A361" s="291"/>
      <c r="B361" t="s">
        <v>6015</v>
      </c>
      <c r="C361" t="s">
        <v>5862</v>
      </c>
      <c r="E361">
        <v>580.43478260869563</v>
      </c>
      <c r="F361" t="s">
        <v>11198</v>
      </c>
      <c r="G361" t="s">
        <v>10997</v>
      </c>
    </row>
    <row r="362" spans="1:7">
      <c r="A362" s="291"/>
      <c r="B362" t="s">
        <v>6016</v>
      </c>
      <c r="C362" t="s">
        <v>5863</v>
      </c>
      <c r="E362">
        <v>796.73913043478262</v>
      </c>
      <c r="F362" t="s">
        <v>11198</v>
      </c>
      <c r="G362" t="s">
        <v>10997</v>
      </c>
    </row>
    <row r="363" spans="1:7">
      <c r="A363" s="291"/>
      <c r="B363" t="s">
        <v>6017</v>
      </c>
      <c r="C363" t="s">
        <v>5867</v>
      </c>
      <c r="E363">
        <v>2504.3478260869565</v>
      </c>
      <c r="F363" t="s">
        <v>11198</v>
      </c>
      <c r="G363" t="s">
        <v>10997</v>
      </c>
    </row>
    <row r="364" spans="1:7">
      <c r="A364" s="291"/>
      <c r="B364" t="s">
        <v>6018</v>
      </c>
      <c r="C364" t="s">
        <v>5887</v>
      </c>
      <c r="E364">
        <v>1082.6086956521738</v>
      </c>
      <c r="F364" t="s">
        <v>11198</v>
      </c>
      <c r="G364" t="s">
        <v>10997</v>
      </c>
    </row>
    <row r="365" spans="1:7">
      <c r="A365" s="291"/>
      <c r="B365" t="s">
        <v>6030</v>
      </c>
      <c r="C365" t="s">
        <v>5864</v>
      </c>
      <c r="E365">
        <v>1610.8695652173913</v>
      </c>
      <c r="F365" t="s">
        <v>11198</v>
      </c>
      <c r="G365" t="s">
        <v>10999</v>
      </c>
    </row>
    <row r="366" spans="1:7">
      <c r="A366" s="291"/>
      <c r="B366" t="s">
        <v>6019</v>
      </c>
      <c r="C366" t="s">
        <v>5866</v>
      </c>
      <c r="E366">
        <v>1610.8695652173913</v>
      </c>
      <c r="F366" t="s">
        <v>11198</v>
      </c>
      <c r="G366" t="s">
        <v>10997</v>
      </c>
    </row>
    <row r="367" spans="1:7">
      <c r="A367" s="291"/>
      <c r="B367" t="s">
        <v>6025</v>
      </c>
      <c r="C367" t="s">
        <v>5860</v>
      </c>
      <c r="E367">
        <v>3930.4347826086955</v>
      </c>
      <c r="F367" t="s">
        <v>11198</v>
      </c>
      <c r="G367" t="s">
        <v>10997</v>
      </c>
    </row>
    <row r="368" spans="1:7">
      <c r="A368" s="291"/>
      <c r="B368" t="s">
        <v>5994</v>
      </c>
      <c r="C368" t="s">
        <v>5882</v>
      </c>
      <c r="E368">
        <v>2728.2608695652175</v>
      </c>
      <c r="F368" t="s">
        <v>11198</v>
      </c>
      <c r="G368" t="s">
        <v>10999</v>
      </c>
    </row>
    <row r="369" spans="1:7">
      <c r="A369" s="291"/>
      <c r="B369" t="s">
        <v>6022</v>
      </c>
      <c r="C369" t="s">
        <v>5891</v>
      </c>
      <c r="E369">
        <v>2309.782608695652</v>
      </c>
      <c r="F369" t="s">
        <v>11198</v>
      </c>
      <c r="G369" t="s">
        <v>10997</v>
      </c>
    </row>
    <row r="370" spans="1:7">
      <c r="A370" s="291"/>
      <c r="B370" t="s">
        <v>6020</v>
      </c>
      <c r="C370" t="s">
        <v>5895</v>
      </c>
      <c r="E370">
        <v>2904.3478260869565</v>
      </c>
      <c r="F370" t="s">
        <v>11198</v>
      </c>
      <c r="G370" t="s">
        <v>10997</v>
      </c>
    </row>
    <row r="371" spans="1:7">
      <c r="A371" s="291"/>
      <c r="B371" t="s">
        <v>6026</v>
      </c>
      <c r="C371" t="s">
        <v>5861</v>
      </c>
      <c r="E371">
        <v>5226.086956521739</v>
      </c>
      <c r="F371" t="s">
        <v>11198</v>
      </c>
      <c r="G371" t="s">
        <v>10997</v>
      </c>
    </row>
    <row r="372" spans="1:7">
      <c r="A372" s="291"/>
      <c r="B372" t="s">
        <v>5995</v>
      </c>
      <c r="C372" t="s">
        <v>5879</v>
      </c>
      <c r="E372">
        <v>3307.608695652174</v>
      </c>
      <c r="F372" t="s">
        <v>11198</v>
      </c>
      <c r="G372" t="s">
        <v>10999</v>
      </c>
    </row>
    <row r="373" spans="1:7">
      <c r="A373" s="291"/>
      <c r="B373" t="s">
        <v>6029</v>
      </c>
      <c r="C373" t="s">
        <v>5865</v>
      </c>
      <c r="E373">
        <v>3034.782608695652</v>
      </c>
      <c r="F373" t="s">
        <v>11198</v>
      </c>
      <c r="G373" t="s">
        <v>10999</v>
      </c>
    </row>
    <row r="374" spans="1:7">
      <c r="A374" s="291"/>
      <c r="B374" t="s">
        <v>6021</v>
      </c>
      <c r="C374" t="s">
        <v>5893</v>
      </c>
      <c r="E374">
        <v>3475</v>
      </c>
      <c r="F374" t="s">
        <v>11198</v>
      </c>
      <c r="G374" t="s">
        <v>10997</v>
      </c>
    </row>
    <row r="375" spans="1:7">
      <c r="A375" s="291"/>
      <c r="B375" t="s">
        <v>6023</v>
      </c>
      <c r="C375" t="s">
        <v>5900</v>
      </c>
      <c r="E375">
        <v>3897.8260869565215</v>
      </c>
      <c r="F375" t="s">
        <v>11198</v>
      </c>
      <c r="G375" t="s">
        <v>10997</v>
      </c>
    </row>
    <row r="376" spans="1:7">
      <c r="A376" s="291"/>
      <c r="B376" t="s">
        <v>6024</v>
      </c>
      <c r="C376" t="s">
        <v>5902</v>
      </c>
      <c r="E376">
        <v>4336.95652173913</v>
      </c>
      <c r="F376" t="s">
        <v>11198</v>
      </c>
      <c r="G376" t="s">
        <v>10997</v>
      </c>
    </row>
    <row r="377" spans="1:7">
      <c r="A377" s="291"/>
      <c r="B377" t="s">
        <v>6031</v>
      </c>
      <c r="C377" t="s">
        <v>5918</v>
      </c>
      <c r="E377">
        <v>5193.478260869565</v>
      </c>
      <c r="F377" t="s">
        <v>11198</v>
      </c>
      <c r="G377" t="s">
        <v>10997</v>
      </c>
    </row>
    <row r="378" spans="1:7">
      <c r="A378" s="291"/>
      <c r="B378" t="s">
        <v>6027</v>
      </c>
      <c r="C378" t="s">
        <v>5898</v>
      </c>
      <c r="E378">
        <v>5909.782608695652</v>
      </c>
      <c r="F378" t="s">
        <v>11198</v>
      </c>
      <c r="G378" t="s">
        <v>10997</v>
      </c>
    </row>
    <row r="379" spans="1:7">
      <c r="A379" s="291"/>
      <c r="B379" t="s">
        <v>6028</v>
      </c>
      <c r="C379" t="s">
        <v>5907</v>
      </c>
      <c r="E379">
        <v>6622.8260869565211</v>
      </c>
      <c r="F379" t="s">
        <v>11198</v>
      </c>
      <c r="G379" t="s">
        <v>10997</v>
      </c>
    </row>
    <row r="380" spans="1:7">
      <c r="A380" s="291"/>
      <c r="B380" t="s">
        <v>5711</v>
      </c>
    </row>
    <row r="381" spans="1:7">
      <c r="A381" s="291"/>
      <c r="B381" t="s">
        <v>6083</v>
      </c>
      <c r="C381" t="s">
        <v>6084</v>
      </c>
      <c r="E381">
        <v>660.86956521739125</v>
      </c>
      <c r="F381" t="s">
        <v>11198</v>
      </c>
      <c r="G381" t="s">
        <v>10996</v>
      </c>
    </row>
    <row r="382" spans="1:7">
      <c r="A382" s="291"/>
      <c r="B382" t="s">
        <v>6169</v>
      </c>
      <c r="C382" t="s">
        <v>6170</v>
      </c>
      <c r="E382">
        <v>1079.3478260869565</v>
      </c>
      <c r="F382" t="s">
        <v>11198</v>
      </c>
      <c r="G382" t="s">
        <v>10999</v>
      </c>
    </row>
    <row r="383" spans="1:7">
      <c r="A383" s="291"/>
      <c r="B383" t="s">
        <v>6085</v>
      </c>
      <c r="C383" t="s">
        <v>6086</v>
      </c>
      <c r="E383">
        <v>875</v>
      </c>
      <c r="F383" t="s">
        <v>11198</v>
      </c>
      <c r="G383" t="s">
        <v>10997</v>
      </c>
    </row>
    <row r="384" spans="1:7">
      <c r="A384" s="291"/>
      <c r="B384" t="s">
        <v>6171</v>
      </c>
      <c r="C384" t="s">
        <v>6172</v>
      </c>
      <c r="E384">
        <v>1821.7391304347825</v>
      </c>
      <c r="F384" t="s">
        <v>11198</v>
      </c>
      <c r="G384" t="s">
        <v>10999</v>
      </c>
    </row>
    <row r="385" spans="1:7">
      <c r="A385" s="291"/>
      <c r="B385" t="s">
        <v>6087</v>
      </c>
      <c r="C385" t="s">
        <v>6088</v>
      </c>
      <c r="E385">
        <v>1160.8695652173913</v>
      </c>
      <c r="F385" t="s">
        <v>11198</v>
      </c>
      <c r="G385" t="s">
        <v>10997</v>
      </c>
    </row>
    <row r="386" spans="1:7">
      <c r="A386" s="291"/>
      <c r="B386" t="s">
        <v>6165</v>
      </c>
      <c r="C386" t="s">
        <v>6146</v>
      </c>
      <c r="E386">
        <v>1229.3478260869565</v>
      </c>
      <c r="F386" t="s">
        <v>11198</v>
      </c>
      <c r="G386" t="s">
        <v>10996</v>
      </c>
    </row>
    <row r="387" spans="1:7">
      <c r="A387" s="291"/>
      <c r="B387" t="s">
        <v>6173</v>
      </c>
      <c r="C387" t="s">
        <v>6174</v>
      </c>
      <c r="E387">
        <v>3105.4347826086955</v>
      </c>
      <c r="F387" t="s">
        <v>11198</v>
      </c>
      <c r="G387" t="s">
        <v>10999</v>
      </c>
    </row>
    <row r="388" spans="1:7">
      <c r="A388" s="291"/>
      <c r="B388" t="s">
        <v>6089</v>
      </c>
      <c r="C388" t="s">
        <v>6090</v>
      </c>
      <c r="E388">
        <v>1688.0434782608695</v>
      </c>
      <c r="F388" t="s">
        <v>11198</v>
      </c>
      <c r="G388" t="s">
        <v>10997</v>
      </c>
    </row>
    <row r="389" spans="1:7">
      <c r="A389" s="291"/>
      <c r="B389" t="s">
        <v>6166</v>
      </c>
      <c r="C389" t="s">
        <v>6130</v>
      </c>
      <c r="E389">
        <v>2532.608695652174</v>
      </c>
      <c r="F389" t="s">
        <v>11198</v>
      </c>
      <c r="G389" t="s">
        <v>10999</v>
      </c>
    </row>
    <row r="390" spans="1:7">
      <c r="A390" s="291"/>
      <c r="B390" t="s">
        <v>6091</v>
      </c>
      <c r="C390" t="s">
        <v>3142</v>
      </c>
      <c r="E390">
        <v>2390.2173913043475</v>
      </c>
      <c r="F390" t="s">
        <v>11198</v>
      </c>
      <c r="G390" t="s">
        <v>10997</v>
      </c>
    </row>
    <row r="391" spans="1:7">
      <c r="A391" s="291"/>
      <c r="B391" t="s">
        <v>6167</v>
      </c>
      <c r="C391" t="s">
        <v>6128</v>
      </c>
      <c r="E391">
        <v>3800</v>
      </c>
      <c r="F391" t="s">
        <v>11198</v>
      </c>
      <c r="G391" t="s">
        <v>10996</v>
      </c>
    </row>
    <row r="392" spans="1:7">
      <c r="A392" s="291"/>
      <c r="B392" t="s">
        <v>6175</v>
      </c>
      <c r="C392" t="s">
        <v>6176</v>
      </c>
      <c r="E392">
        <v>3502.173913043478</v>
      </c>
      <c r="F392" t="s">
        <v>11198</v>
      </c>
      <c r="G392" t="s">
        <v>10999</v>
      </c>
    </row>
    <row r="393" spans="1:7">
      <c r="A393" s="291"/>
      <c r="B393" t="s">
        <v>6164</v>
      </c>
      <c r="C393" t="s">
        <v>6112</v>
      </c>
      <c r="E393">
        <v>3229.3478260869565</v>
      </c>
      <c r="F393" t="s">
        <v>11198</v>
      </c>
      <c r="G393" t="s">
        <v>10997</v>
      </c>
    </row>
    <row r="394" spans="1:7">
      <c r="A394" s="291"/>
      <c r="B394" t="s">
        <v>6177</v>
      </c>
      <c r="C394" t="s">
        <v>6178</v>
      </c>
      <c r="E394">
        <v>4132.608695652174</v>
      </c>
      <c r="F394" t="s">
        <v>11198</v>
      </c>
      <c r="G394" t="s">
        <v>10999</v>
      </c>
    </row>
    <row r="395" spans="1:7">
      <c r="A395" s="291"/>
      <c r="B395" t="s">
        <v>6158</v>
      </c>
      <c r="C395" t="s">
        <v>6108</v>
      </c>
      <c r="E395">
        <v>3526.086956521739</v>
      </c>
      <c r="F395" t="s">
        <v>11198</v>
      </c>
      <c r="G395" t="s">
        <v>10997</v>
      </c>
    </row>
    <row r="396" spans="1:7">
      <c r="A396" s="291"/>
      <c r="B396" t="s">
        <v>6168</v>
      </c>
      <c r="C396" t="s">
        <v>6126</v>
      </c>
      <c r="E396">
        <v>5095.652173913043</v>
      </c>
      <c r="F396" t="s">
        <v>11198</v>
      </c>
      <c r="G396" t="s">
        <v>10997</v>
      </c>
    </row>
    <row r="397" spans="1:7">
      <c r="A397" s="291"/>
      <c r="B397" t="s">
        <v>6159</v>
      </c>
      <c r="C397" t="s">
        <v>6142</v>
      </c>
      <c r="E397">
        <v>4019.565217391304</v>
      </c>
      <c r="F397" t="s">
        <v>11198</v>
      </c>
      <c r="G397" t="s">
        <v>10999</v>
      </c>
    </row>
    <row r="398" spans="1:7">
      <c r="A398" s="291"/>
      <c r="B398" t="s">
        <v>6160</v>
      </c>
      <c r="C398" t="s">
        <v>6157</v>
      </c>
      <c r="E398">
        <v>5473.913043478261</v>
      </c>
      <c r="F398" t="s">
        <v>11198</v>
      </c>
      <c r="G398" t="s">
        <v>10999</v>
      </c>
    </row>
    <row r="399" spans="1:7">
      <c r="A399" s="291"/>
      <c r="B399" t="s">
        <v>6161</v>
      </c>
      <c r="C399" t="s">
        <v>6100</v>
      </c>
      <c r="E399">
        <v>6036.95652173913</v>
      </c>
      <c r="F399" t="s">
        <v>11198</v>
      </c>
      <c r="G399" t="s">
        <v>10999</v>
      </c>
    </row>
    <row r="400" spans="1:7">
      <c r="A400" s="291"/>
      <c r="B400" t="s">
        <v>6162</v>
      </c>
      <c r="C400" t="s">
        <v>6098</v>
      </c>
      <c r="E400">
        <v>6763.0434782608691</v>
      </c>
      <c r="F400" t="s">
        <v>11198</v>
      </c>
      <c r="G400" t="s">
        <v>10997</v>
      </c>
    </row>
    <row r="401" spans="1:7">
      <c r="A401" s="291"/>
      <c r="B401" t="s">
        <v>6163</v>
      </c>
      <c r="C401" t="s">
        <v>6144</v>
      </c>
      <c r="E401">
        <v>8094.565217391304</v>
      </c>
      <c r="F401" t="s">
        <v>11198</v>
      </c>
      <c r="G401" t="s">
        <v>10997</v>
      </c>
    </row>
    <row r="402" spans="1:7">
      <c r="A402" s="291"/>
      <c r="B402" t="s">
        <v>6096</v>
      </c>
      <c r="C402" t="s">
        <v>6120</v>
      </c>
      <c r="E402">
        <v>1547.8260869565217</v>
      </c>
      <c r="F402" t="s">
        <v>11198</v>
      </c>
      <c r="G402" t="s">
        <v>10997</v>
      </c>
    </row>
    <row r="403" spans="1:7">
      <c r="A403" s="291"/>
      <c r="B403" t="s">
        <v>6095</v>
      </c>
      <c r="C403" t="s">
        <v>6102</v>
      </c>
      <c r="E403">
        <v>5180.4347826086951</v>
      </c>
      <c r="F403" t="s">
        <v>11198</v>
      </c>
      <c r="G403" t="s">
        <v>10997</v>
      </c>
    </row>
    <row r="404" spans="1:7">
      <c r="A404" s="291"/>
      <c r="B404" t="s">
        <v>6094</v>
      </c>
      <c r="C404" t="s">
        <v>6104</v>
      </c>
      <c r="E404">
        <v>4296.7391304347821</v>
      </c>
      <c r="F404" t="s">
        <v>11198</v>
      </c>
      <c r="G404" t="s">
        <v>10997</v>
      </c>
    </row>
    <row r="405" spans="1:7">
      <c r="A405" s="291"/>
      <c r="B405" t="s">
        <v>6093</v>
      </c>
      <c r="C405" t="s">
        <v>6106</v>
      </c>
      <c r="E405">
        <v>3896.7391304347825</v>
      </c>
      <c r="F405" t="s">
        <v>11198</v>
      </c>
      <c r="G405" t="s">
        <v>10997</v>
      </c>
    </row>
    <row r="406" spans="1:7">
      <c r="A406" s="291"/>
      <c r="B406" t="s">
        <v>6092</v>
      </c>
      <c r="C406" t="s">
        <v>6110</v>
      </c>
      <c r="E406">
        <v>2811.9565217391305</v>
      </c>
      <c r="F406" t="s">
        <v>11198</v>
      </c>
      <c r="G406" t="s">
        <v>10997</v>
      </c>
    </row>
    <row r="407" spans="1:7">
      <c r="A407" s="291"/>
      <c r="B407" t="s">
        <v>6149</v>
      </c>
      <c r="C407" t="s">
        <v>6148</v>
      </c>
      <c r="E407">
        <v>10390.217391304348</v>
      </c>
      <c r="F407" t="s">
        <v>11198</v>
      </c>
      <c r="G407" t="s">
        <v>10997</v>
      </c>
    </row>
    <row r="408" spans="1:7">
      <c r="A408" s="291"/>
      <c r="B408" t="s">
        <v>5757</v>
      </c>
    </row>
    <row r="409" spans="1:7">
      <c r="A409" s="291"/>
      <c r="B409" t="s">
        <v>5959</v>
      </c>
      <c r="C409" t="s">
        <v>11216</v>
      </c>
      <c r="E409">
        <v>1435.8695652173913</v>
      </c>
      <c r="F409" t="s">
        <v>11198</v>
      </c>
      <c r="G409" t="s">
        <v>10997</v>
      </c>
    </row>
    <row r="410" spans="1:7">
      <c r="A410" s="291"/>
      <c r="B410" t="s">
        <v>5960</v>
      </c>
      <c r="C410" t="s">
        <v>11217</v>
      </c>
      <c r="E410">
        <v>2291.304347826087</v>
      </c>
      <c r="F410" t="s">
        <v>11198</v>
      </c>
      <c r="G410" t="s">
        <v>10996</v>
      </c>
    </row>
    <row r="411" spans="1:7">
      <c r="A411" s="291"/>
      <c r="B411" t="s">
        <v>5961</v>
      </c>
      <c r="C411" t="s">
        <v>11218</v>
      </c>
      <c r="E411">
        <v>3017.391304347826</v>
      </c>
      <c r="F411" t="s">
        <v>11198</v>
      </c>
      <c r="G411" t="s">
        <v>10997</v>
      </c>
    </row>
    <row r="412" spans="1:7">
      <c r="A412" s="291"/>
      <c r="B412" t="s">
        <v>5962</v>
      </c>
      <c r="C412" t="s">
        <v>11219</v>
      </c>
      <c r="E412">
        <v>4027.173913043478</v>
      </c>
      <c r="F412" t="s">
        <v>11198</v>
      </c>
      <c r="G412" t="s">
        <v>10997</v>
      </c>
    </row>
    <row r="413" spans="1:7">
      <c r="A413" s="291"/>
      <c r="B413" t="s">
        <v>5965</v>
      </c>
      <c r="C413" t="s">
        <v>11220</v>
      </c>
      <c r="E413">
        <v>5300</v>
      </c>
      <c r="F413" t="s">
        <v>11198</v>
      </c>
      <c r="G413" t="s">
        <v>10997</v>
      </c>
    </row>
    <row r="414" spans="1:7">
      <c r="A414" s="291"/>
      <c r="B414" t="s">
        <v>5957</v>
      </c>
      <c r="C414" t="s">
        <v>5958</v>
      </c>
      <c r="E414">
        <v>5320.652173913043</v>
      </c>
      <c r="F414" t="s">
        <v>11198</v>
      </c>
      <c r="G414" t="s">
        <v>10999</v>
      </c>
    </row>
    <row r="415" spans="1:7">
      <c r="A415" s="291"/>
      <c r="B415" t="s">
        <v>5963</v>
      </c>
      <c r="C415" t="s">
        <v>11221</v>
      </c>
      <c r="E415">
        <v>6883.695652173913</v>
      </c>
      <c r="F415" t="s">
        <v>11198</v>
      </c>
      <c r="G415" t="s">
        <v>10997</v>
      </c>
    </row>
    <row r="416" spans="1:7">
      <c r="A416" s="291"/>
      <c r="B416" t="s">
        <v>5964</v>
      </c>
      <c r="C416" t="s">
        <v>11222</v>
      </c>
      <c r="E416">
        <v>9167.391304347826</v>
      </c>
      <c r="F416" t="s">
        <v>11198</v>
      </c>
      <c r="G416" t="s">
        <v>10997</v>
      </c>
    </row>
    <row r="417" spans="1:7">
      <c r="A417" s="291"/>
      <c r="B417" t="s">
        <v>5966</v>
      </c>
      <c r="C417" t="s">
        <v>5967</v>
      </c>
      <c r="E417">
        <v>11165.217391304348</v>
      </c>
      <c r="F417" t="s">
        <v>11198</v>
      </c>
      <c r="G417" t="s">
        <v>10997</v>
      </c>
    </row>
    <row r="418" spans="1:7">
      <c r="A418" s="291"/>
      <c r="B418" t="s">
        <v>11223</v>
      </c>
    </row>
    <row r="419" spans="1:7">
      <c r="A419" s="291"/>
      <c r="B419" t="s">
        <v>6204</v>
      </c>
      <c r="C419" t="s">
        <v>6205</v>
      </c>
      <c r="E419">
        <v>6155.4347826086951</v>
      </c>
      <c r="F419" t="s">
        <v>11198</v>
      </c>
      <c r="G419" t="s">
        <v>10997</v>
      </c>
    </row>
    <row r="420" spans="1:7">
      <c r="A420" s="291"/>
      <c r="B420" t="s">
        <v>6225</v>
      </c>
      <c r="C420" t="s">
        <v>6226</v>
      </c>
      <c r="E420">
        <v>17427.173913043476</v>
      </c>
      <c r="F420" t="s">
        <v>11198</v>
      </c>
      <c r="G420" t="s">
        <v>10999</v>
      </c>
    </row>
    <row r="421" spans="1:7">
      <c r="A421" s="291"/>
      <c r="B421" t="s">
        <v>6206</v>
      </c>
      <c r="C421" t="s">
        <v>11224</v>
      </c>
      <c r="E421">
        <v>7353.260869565217</v>
      </c>
      <c r="F421" t="s">
        <v>11198</v>
      </c>
      <c r="G421" t="s">
        <v>10997</v>
      </c>
    </row>
    <row r="422" spans="1:7">
      <c r="A422" s="291"/>
      <c r="B422" t="s">
        <v>6207</v>
      </c>
      <c r="C422" t="s">
        <v>6208</v>
      </c>
      <c r="E422">
        <v>9921.7391304347821</v>
      </c>
      <c r="F422" t="s">
        <v>11198</v>
      </c>
      <c r="G422" t="s">
        <v>10997</v>
      </c>
    </row>
    <row r="423" spans="1:7">
      <c r="A423" s="291"/>
      <c r="B423" t="s">
        <v>6215</v>
      </c>
      <c r="C423" t="s">
        <v>6216</v>
      </c>
      <c r="E423">
        <v>7723.913043478261</v>
      </c>
      <c r="F423" t="s">
        <v>11198</v>
      </c>
      <c r="G423" t="s">
        <v>10997</v>
      </c>
    </row>
    <row r="424" spans="1:7">
      <c r="A424" s="291"/>
      <c r="B424" t="s">
        <v>6227</v>
      </c>
      <c r="C424" t="s">
        <v>6228</v>
      </c>
      <c r="E424">
        <v>9721.7391304347821</v>
      </c>
      <c r="F424" t="s">
        <v>11198</v>
      </c>
      <c r="G424" t="s">
        <v>10999</v>
      </c>
    </row>
    <row r="425" spans="1:7">
      <c r="A425" s="291"/>
      <c r="B425" t="s">
        <v>6209</v>
      </c>
      <c r="C425" t="s">
        <v>6210</v>
      </c>
      <c r="E425">
        <v>11347.826086956522</v>
      </c>
      <c r="F425" t="s">
        <v>11198</v>
      </c>
      <c r="G425" t="s">
        <v>10997</v>
      </c>
    </row>
    <row r="426" spans="1:7">
      <c r="A426" s="291"/>
      <c r="B426" t="s">
        <v>6211</v>
      </c>
      <c r="C426" t="s">
        <v>6212</v>
      </c>
      <c r="E426">
        <v>14202.173913043478</v>
      </c>
      <c r="F426" t="s">
        <v>11198</v>
      </c>
      <c r="G426" t="s">
        <v>10997</v>
      </c>
    </row>
    <row r="427" spans="1:7">
      <c r="A427" s="291"/>
      <c r="B427" t="s">
        <v>6213</v>
      </c>
      <c r="C427" t="s">
        <v>6214</v>
      </c>
      <c r="E427">
        <v>17055.434782608696</v>
      </c>
      <c r="F427" t="s">
        <v>11198</v>
      </c>
      <c r="G427" t="s">
        <v>10997</v>
      </c>
    </row>
    <row r="428" spans="1:7">
      <c r="A428" s="291"/>
      <c r="B428" t="s">
        <v>6219</v>
      </c>
      <c r="C428" t="s">
        <v>6220</v>
      </c>
      <c r="E428">
        <v>11719.565217391304</v>
      </c>
      <c r="F428" t="s">
        <v>11198</v>
      </c>
      <c r="G428" t="s">
        <v>10999</v>
      </c>
    </row>
    <row r="429" spans="1:7">
      <c r="A429" s="291"/>
      <c r="B429" t="s">
        <v>6229</v>
      </c>
      <c r="C429" t="s">
        <v>6230</v>
      </c>
      <c r="E429">
        <v>14372.826086956522</v>
      </c>
      <c r="F429" t="s">
        <v>11198</v>
      </c>
      <c r="G429" t="s">
        <v>10999</v>
      </c>
    </row>
    <row r="430" spans="1:7">
      <c r="A430" s="291"/>
      <c r="B430" t="s">
        <v>6221</v>
      </c>
      <c r="C430" t="s">
        <v>6222</v>
      </c>
      <c r="E430">
        <v>14572.826086956522</v>
      </c>
      <c r="F430" t="s">
        <v>11198</v>
      </c>
      <c r="G430" t="s">
        <v>10997</v>
      </c>
    </row>
    <row r="431" spans="1:7">
      <c r="A431" s="291"/>
      <c r="B431" t="s">
        <v>6223</v>
      </c>
      <c r="C431" t="s">
        <v>6224</v>
      </c>
      <c r="E431">
        <v>17427.173913043476</v>
      </c>
      <c r="F431" t="s">
        <v>11198</v>
      </c>
      <c r="G431" t="s">
        <v>10999</v>
      </c>
    </row>
    <row r="432" spans="1:7">
      <c r="A432" s="291"/>
      <c r="B432" t="s">
        <v>6201</v>
      </c>
      <c r="C432" t="s">
        <v>6202</v>
      </c>
      <c r="E432">
        <v>4215.217391304348</v>
      </c>
      <c r="F432" t="s">
        <v>11198</v>
      </c>
      <c r="G432" t="s">
        <v>10997</v>
      </c>
    </row>
    <row r="433" spans="1:7">
      <c r="A433" s="291"/>
      <c r="B433" t="s">
        <v>6217</v>
      </c>
      <c r="C433" t="s">
        <v>6218</v>
      </c>
      <c r="E433">
        <v>17427.173913043476</v>
      </c>
      <c r="F433" t="s">
        <v>11198</v>
      </c>
      <c r="G433" t="s">
        <v>10999</v>
      </c>
    </row>
    <row r="434" spans="1:7">
      <c r="A434" s="291"/>
      <c r="B434" t="s">
        <v>6203</v>
      </c>
      <c r="C434" t="s">
        <v>11225</v>
      </c>
      <c r="E434">
        <v>4585.869565217391</v>
      </c>
      <c r="F434" t="s">
        <v>11198</v>
      </c>
      <c r="G434" t="s">
        <v>10997</v>
      </c>
    </row>
    <row r="435" spans="1:7">
      <c r="A435" s="291"/>
      <c r="B435" t="s">
        <v>11226</v>
      </c>
      <c r="C435" t="s">
        <v>11227</v>
      </c>
      <c r="E435">
        <v>4147.826086956522</v>
      </c>
      <c r="F435" t="s">
        <v>11198</v>
      </c>
      <c r="G435" t="s">
        <v>10996</v>
      </c>
    </row>
    <row r="436" spans="1:7">
      <c r="A436" s="291"/>
      <c r="B436" t="s">
        <v>11228</v>
      </c>
      <c r="C436" t="s">
        <v>11229</v>
      </c>
      <c r="E436">
        <v>4502.173913043478</v>
      </c>
      <c r="F436" t="s">
        <v>11198</v>
      </c>
      <c r="G436" t="s">
        <v>10996</v>
      </c>
    </row>
    <row r="437" spans="1:7">
      <c r="A437" s="291"/>
      <c r="B437" t="s">
        <v>11230</v>
      </c>
      <c r="C437" t="s">
        <v>11231</v>
      </c>
      <c r="E437">
        <v>6214.1304347826081</v>
      </c>
      <c r="F437" t="s">
        <v>11198</v>
      </c>
      <c r="G437" t="s">
        <v>10996</v>
      </c>
    </row>
    <row r="438" spans="1:7">
      <c r="A438" s="291"/>
      <c r="B438" t="s">
        <v>11232</v>
      </c>
      <c r="C438" t="s">
        <v>11233</v>
      </c>
      <c r="E438">
        <v>7501.086956521739</v>
      </c>
      <c r="F438" t="s">
        <v>11198</v>
      </c>
      <c r="G438" t="s">
        <v>10996</v>
      </c>
    </row>
    <row r="439" spans="1:7">
      <c r="A439" s="291"/>
      <c r="B439" t="s">
        <v>11234</v>
      </c>
      <c r="C439" t="s">
        <v>11235</v>
      </c>
      <c r="E439">
        <v>9826.0869565217381</v>
      </c>
      <c r="F439" t="s">
        <v>11198</v>
      </c>
      <c r="G439" t="s">
        <v>10996</v>
      </c>
    </row>
    <row r="440" spans="1:7">
      <c r="A440" s="291"/>
      <c r="B440" t="s">
        <v>11236</v>
      </c>
      <c r="C440" t="s">
        <v>11237</v>
      </c>
      <c r="E440">
        <v>11104.347826086956</v>
      </c>
      <c r="F440" t="s">
        <v>11198</v>
      </c>
      <c r="G440" t="s">
        <v>10996</v>
      </c>
    </row>
    <row r="441" spans="1:7">
      <c r="A441" s="291"/>
      <c r="B441" t="s">
        <v>11238</v>
      </c>
      <c r="C441" t="s">
        <v>11239</v>
      </c>
      <c r="E441">
        <v>11142.391304347826</v>
      </c>
      <c r="F441" t="s">
        <v>11198</v>
      </c>
      <c r="G441" t="s">
        <v>10996</v>
      </c>
    </row>
    <row r="442" spans="1:7">
      <c r="A442" s="291"/>
      <c r="B442" t="s">
        <v>11240</v>
      </c>
      <c r="C442" t="s">
        <v>11241</v>
      </c>
      <c r="E442">
        <v>14281.521739130434</v>
      </c>
      <c r="F442" t="s">
        <v>11198</v>
      </c>
      <c r="G442" t="s">
        <v>10996</v>
      </c>
    </row>
    <row r="443" spans="1:7">
      <c r="A443" s="291"/>
      <c r="B443" t="s">
        <v>11242</v>
      </c>
      <c r="C443" t="s">
        <v>11243</v>
      </c>
      <c r="E443">
        <v>14708.695652173912</v>
      </c>
      <c r="F443" t="s">
        <v>11198</v>
      </c>
      <c r="G443" t="s">
        <v>10996</v>
      </c>
    </row>
    <row r="444" spans="1:7">
      <c r="A444" s="291"/>
      <c r="B444" t="s">
        <v>11244</v>
      </c>
      <c r="C444" t="s">
        <v>11245</v>
      </c>
      <c r="E444">
        <v>17563.043478260868</v>
      </c>
      <c r="F444" t="s">
        <v>11198</v>
      </c>
      <c r="G444" t="s">
        <v>10996</v>
      </c>
    </row>
    <row r="445" spans="1:7">
      <c r="A445" s="291"/>
      <c r="B445" t="s">
        <v>11246</v>
      </c>
      <c r="C445" t="s">
        <v>11247</v>
      </c>
      <c r="E445">
        <v>16706.521739130432</v>
      </c>
      <c r="F445" t="s">
        <v>11198</v>
      </c>
      <c r="G445" t="s">
        <v>10996</v>
      </c>
    </row>
    <row r="446" spans="1:7">
      <c r="A446" s="291"/>
      <c r="B446" t="s">
        <v>11248</v>
      </c>
      <c r="C446" t="s">
        <v>11249</v>
      </c>
      <c r="E446">
        <v>16706.521739130432</v>
      </c>
      <c r="F446" t="s">
        <v>11198</v>
      </c>
      <c r="G446" t="s">
        <v>10996</v>
      </c>
    </row>
    <row r="447" spans="1:7">
      <c r="A447" s="291"/>
      <c r="B447" t="s">
        <v>11250</v>
      </c>
      <c r="C447" t="s">
        <v>11251</v>
      </c>
      <c r="E447">
        <v>4205.4347826086951</v>
      </c>
      <c r="F447" t="s">
        <v>11198</v>
      </c>
      <c r="G447" t="s">
        <v>10996</v>
      </c>
    </row>
    <row r="448" spans="1:7">
      <c r="A448" s="291"/>
      <c r="B448" t="s">
        <v>11252</v>
      </c>
      <c r="C448" t="s">
        <v>11253</v>
      </c>
      <c r="E448">
        <v>4559.782608695652</v>
      </c>
      <c r="F448" t="s">
        <v>11198</v>
      </c>
      <c r="G448" t="s">
        <v>10996</v>
      </c>
    </row>
    <row r="449" spans="1:7">
      <c r="A449" s="291"/>
      <c r="B449" t="s">
        <v>11254</v>
      </c>
      <c r="C449" t="s">
        <v>11255</v>
      </c>
      <c r="E449">
        <v>6271.7391304347821</v>
      </c>
      <c r="F449" t="s">
        <v>11198</v>
      </c>
      <c r="G449" t="s">
        <v>10996</v>
      </c>
    </row>
    <row r="450" spans="1:7">
      <c r="A450" s="291"/>
      <c r="B450" t="s">
        <v>11256</v>
      </c>
      <c r="C450" t="s">
        <v>11257</v>
      </c>
      <c r="E450">
        <v>7558.695652173913</v>
      </c>
      <c r="F450" t="s">
        <v>11198</v>
      </c>
      <c r="G450" t="s">
        <v>10996</v>
      </c>
    </row>
    <row r="451" spans="1:7">
      <c r="A451" s="291"/>
      <c r="B451" t="s">
        <v>11258</v>
      </c>
      <c r="C451" t="s">
        <v>11259</v>
      </c>
      <c r="E451">
        <v>9883.6956521739121</v>
      </c>
      <c r="F451" t="s">
        <v>11198</v>
      </c>
      <c r="G451" t="s">
        <v>10996</v>
      </c>
    </row>
    <row r="452" spans="1:7">
      <c r="A452" s="291"/>
      <c r="B452" t="s">
        <v>11260</v>
      </c>
      <c r="C452" t="s">
        <v>11261</v>
      </c>
      <c r="E452">
        <v>11161.95652173913</v>
      </c>
      <c r="F452" t="s">
        <v>11198</v>
      </c>
      <c r="G452" t="s">
        <v>10996</v>
      </c>
    </row>
    <row r="453" spans="1:7">
      <c r="A453" s="291"/>
      <c r="B453" t="s">
        <v>11262</v>
      </c>
      <c r="C453" t="s">
        <v>11263</v>
      </c>
      <c r="E453">
        <v>11200</v>
      </c>
      <c r="F453" t="s">
        <v>11198</v>
      </c>
      <c r="G453" t="s">
        <v>10996</v>
      </c>
    </row>
    <row r="454" spans="1:7">
      <c r="A454" s="291"/>
      <c r="B454" t="s">
        <v>11264</v>
      </c>
      <c r="C454" t="s">
        <v>11265</v>
      </c>
      <c r="E454">
        <v>14339.130434782608</v>
      </c>
      <c r="F454" t="s">
        <v>11198</v>
      </c>
      <c r="G454" t="s">
        <v>10996</v>
      </c>
    </row>
    <row r="455" spans="1:7">
      <c r="A455" s="291"/>
      <c r="B455" t="s">
        <v>11266</v>
      </c>
      <c r="C455" t="s">
        <v>11267</v>
      </c>
      <c r="E455">
        <v>14766.304347826086</v>
      </c>
      <c r="F455" t="s">
        <v>11198</v>
      </c>
      <c r="G455" t="s">
        <v>10996</v>
      </c>
    </row>
    <row r="456" spans="1:7">
      <c r="A456" s="291"/>
      <c r="B456" t="s">
        <v>11268</v>
      </c>
      <c r="C456" t="s">
        <v>11269</v>
      </c>
      <c r="E456">
        <v>17620.652173913044</v>
      </c>
      <c r="F456" t="s">
        <v>11198</v>
      </c>
      <c r="G456" t="s">
        <v>10996</v>
      </c>
    </row>
    <row r="457" spans="1:7">
      <c r="A457" s="291"/>
      <c r="B457" t="s">
        <v>11270</v>
      </c>
      <c r="C457" t="s">
        <v>11271</v>
      </c>
      <c r="E457">
        <v>16764.130434782608</v>
      </c>
      <c r="F457" t="s">
        <v>11198</v>
      </c>
      <c r="G457" t="s">
        <v>10996</v>
      </c>
    </row>
    <row r="458" spans="1:7">
      <c r="A458" s="291"/>
      <c r="B458" t="s">
        <v>11272</v>
      </c>
      <c r="C458" t="s">
        <v>11273</v>
      </c>
      <c r="E458">
        <v>16764.130434782608</v>
      </c>
      <c r="F458" t="s">
        <v>11198</v>
      </c>
      <c r="G458" t="s">
        <v>10996</v>
      </c>
    </row>
    <row r="459" spans="1:7">
      <c r="A459" s="291"/>
      <c r="B459" t="s">
        <v>11274</v>
      </c>
    </row>
    <row r="460" spans="1:7">
      <c r="A460" s="291"/>
      <c r="B460" t="s">
        <v>5877</v>
      </c>
      <c r="C460" t="s">
        <v>11275</v>
      </c>
      <c r="E460">
        <v>1431.5217391304348</v>
      </c>
      <c r="F460" t="s">
        <v>11190</v>
      </c>
      <c r="G460" t="s">
        <v>10999</v>
      </c>
    </row>
    <row r="461" spans="1:7">
      <c r="A461" s="291"/>
      <c r="B461" t="s">
        <v>5878</v>
      </c>
      <c r="C461" t="s">
        <v>11276</v>
      </c>
      <c r="E461">
        <v>3292.391304347826</v>
      </c>
      <c r="F461" t="s">
        <v>11190</v>
      </c>
      <c r="G461" t="s">
        <v>10999</v>
      </c>
    </row>
    <row r="462" spans="1:7">
      <c r="A462" s="291"/>
      <c r="B462" t="s">
        <v>5880</v>
      </c>
      <c r="C462" t="s">
        <v>11277</v>
      </c>
      <c r="E462">
        <v>3885.869565217391</v>
      </c>
      <c r="F462" t="s">
        <v>11190</v>
      </c>
      <c r="G462" t="s">
        <v>10999</v>
      </c>
    </row>
    <row r="463" spans="1:7">
      <c r="A463" s="291"/>
      <c r="B463" t="s">
        <v>5881</v>
      </c>
      <c r="C463" t="s">
        <v>11278</v>
      </c>
      <c r="E463">
        <v>2713.0434782608695</v>
      </c>
      <c r="F463" t="s">
        <v>11190</v>
      </c>
      <c r="G463" t="s">
        <v>10999</v>
      </c>
    </row>
    <row r="464" spans="1:7">
      <c r="A464" s="291"/>
      <c r="B464" t="s">
        <v>6243</v>
      </c>
      <c r="C464" t="s">
        <v>6244</v>
      </c>
      <c r="E464">
        <v>2297.8260869565215</v>
      </c>
      <c r="F464" t="s">
        <v>11190</v>
      </c>
      <c r="G464" t="s">
        <v>10996</v>
      </c>
    </row>
    <row r="465" spans="1:7">
      <c r="A465" s="291"/>
      <c r="B465" t="s">
        <v>6245</v>
      </c>
      <c r="C465" t="s">
        <v>6246</v>
      </c>
      <c r="E465">
        <v>3022.8260869565215</v>
      </c>
      <c r="F465" t="s">
        <v>11190</v>
      </c>
      <c r="G465" t="s">
        <v>10997</v>
      </c>
    </row>
    <row r="466" spans="1:7">
      <c r="A466" s="291"/>
      <c r="B466" t="s">
        <v>6247</v>
      </c>
      <c r="C466" t="s">
        <v>6248</v>
      </c>
      <c r="E466">
        <v>4033.695652173913</v>
      </c>
      <c r="F466" t="s">
        <v>11190</v>
      </c>
      <c r="G466" t="s">
        <v>10997</v>
      </c>
    </row>
    <row r="467" spans="1:7">
      <c r="A467" s="291"/>
      <c r="B467" t="s">
        <v>6249</v>
      </c>
      <c r="C467" t="s">
        <v>6250</v>
      </c>
      <c r="E467">
        <v>9172.826086956522</v>
      </c>
      <c r="F467" t="s">
        <v>11190</v>
      </c>
      <c r="G467" t="s">
        <v>10997</v>
      </c>
    </row>
    <row r="468" spans="1:7">
      <c r="A468" s="291"/>
      <c r="B468" t="s">
        <v>6251</v>
      </c>
      <c r="C468" t="s">
        <v>6252</v>
      </c>
      <c r="E468">
        <v>11170.652173913042</v>
      </c>
      <c r="F468" t="s">
        <v>11190</v>
      </c>
      <c r="G468" t="s">
        <v>10997</v>
      </c>
    </row>
    <row r="469" spans="1:7">
      <c r="A469" s="291"/>
      <c r="B469" t="s">
        <v>6253</v>
      </c>
      <c r="C469" t="s">
        <v>6254</v>
      </c>
      <c r="E469">
        <v>5306.521739130435</v>
      </c>
      <c r="F469" t="s">
        <v>11190</v>
      </c>
      <c r="G469" t="s">
        <v>10997</v>
      </c>
    </row>
    <row r="470" spans="1:7">
      <c r="A470" s="291"/>
      <c r="B470" t="s">
        <v>6255</v>
      </c>
      <c r="C470" t="s">
        <v>6256</v>
      </c>
      <c r="E470">
        <v>6723.913043478261</v>
      </c>
      <c r="F470" t="s">
        <v>11190</v>
      </c>
      <c r="G470" t="s">
        <v>10997</v>
      </c>
    </row>
    <row r="471" spans="1:7">
      <c r="A471" s="291"/>
      <c r="B471" t="s">
        <v>6257</v>
      </c>
      <c r="C471" t="s">
        <v>6258</v>
      </c>
      <c r="E471">
        <v>5976.086956521739</v>
      </c>
      <c r="F471" t="s">
        <v>11190</v>
      </c>
      <c r="G471" t="s">
        <v>10999</v>
      </c>
    </row>
    <row r="472" spans="1:7">
      <c r="A472" s="291"/>
      <c r="B472" t="s">
        <v>6259</v>
      </c>
      <c r="C472" t="s">
        <v>6260</v>
      </c>
      <c r="E472">
        <v>5119.565217391304</v>
      </c>
      <c r="F472" t="s">
        <v>11190</v>
      </c>
      <c r="G472" t="s">
        <v>10997</v>
      </c>
    </row>
    <row r="473" spans="1:7">
      <c r="A473" s="291"/>
      <c r="B473" t="s">
        <v>6261</v>
      </c>
      <c r="C473" t="s">
        <v>6262</v>
      </c>
      <c r="E473">
        <v>4234.782608695652</v>
      </c>
      <c r="F473" t="s">
        <v>11190</v>
      </c>
      <c r="G473" t="s">
        <v>10997</v>
      </c>
    </row>
    <row r="474" spans="1:7">
      <c r="A474" s="291"/>
      <c r="B474" t="s">
        <v>6263</v>
      </c>
      <c r="C474" t="s">
        <v>6264</v>
      </c>
      <c r="E474">
        <v>3834.782608695652</v>
      </c>
      <c r="F474" t="s">
        <v>11190</v>
      </c>
      <c r="G474" t="s">
        <v>10997</v>
      </c>
    </row>
    <row r="475" spans="1:7">
      <c r="A475" s="291"/>
      <c r="B475" t="s">
        <v>6265</v>
      </c>
      <c r="C475" t="s">
        <v>6266</v>
      </c>
      <c r="E475">
        <v>3464.1304347826085</v>
      </c>
      <c r="F475" t="s">
        <v>11190</v>
      </c>
      <c r="G475" t="s">
        <v>10997</v>
      </c>
    </row>
    <row r="476" spans="1:7">
      <c r="A476" s="291"/>
      <c r="B476" t="s">
        <v>6267</v>
      </c>
      <c r="C476" t="s">
        <v>6268</v>
      </c>
      <c r="E476">
        <v>2751.086956521739</v>
      </c>
      <c r="F476" t="s">
        <v>11190</v>
      </c>
      <c r="G476" t="s">
        <v>10997</v>
      </c>
    </row>
    <row r="477" spans="1:7">
      <c r="A477" s="291"/>
      <c r="B477" t="s">
        <v>6269</v>
      </c>
      <c r="C477" t="s">
        <v>6270</v>
      </c>
      <c r="E477">
        <v>3167.391304347826</v>
      </c>
      <c r="F477" t="s">
        <v>11190</v>
      </c>
      <c r="G477" t="s">
        <v>10997</v>
      </c>
    </row>
    <row r="478" spans="1:7">
      <c r="A478" s="291"/>
      <c r="B478" t="s">
        <v>6271</v>
      </c>
      <c r="C478" t="s">
        <v>6272</v>
      </c>
      <c r="E478">
        <v>2328.2608695652175</v>
      </c>
      <c r="F478" t="s">
        <v>11190</v>
      </c>
      <c r="G478" t="s">
        <v>10997</v>
      </c>
    </row>
    <row r="479" spans="1:7">
      <c r="A479" s="291"/>
      <c r="B479" t="s">
        <v>6273</v>
      </c>
      <c r="C479" t="s">
        <v>6274</v>
      </c>
      <c r="E479">
        <v>1626.086956521739</v>
      </c>
      <c r="F479" t="s">
        <v>11190</v>
      </c>
      <c r="G479" t="s">
        <v>10997</v>
      </c>
    </row>
    <row r="480" spans="1:7">
      <c r="A480" s="291"/>
      <c r="B480" t="s">
        <v>6275</v>
      </c>
      <c r="C480" t="s">
        <v>6276</v>
      </c>
      <c r="E480">
        <v>1098.9130434782608</v>
      </c>
      <c r="F480" t="s">
        <v>11190</v>
      </c>
      <c r="G480" t="s">
        <v>10997</v>
      </c>
    </row>
    <row r="481" spans="1:7">
      <c r="A481" s="291"/>
      <c r="B481" t="s">
        <v>6277</v>
      </c>
      <c r="C481" t="s">
        <v>6278</v>
      </c>
      <c r="E481">
        <v>1486.9565217391303</v>
      </c>
      <c r="F481" t="s">
        <v>11190</v>
      </c>
      <c r="G481" t="s">
        <v>10997</v>
      </c>
    </row>
    <row r="482" spans="1:7">
      <c r="A482" s="291"/>
      <c r="B482" t="s">
        <v>6279</v>
      </c>
      <c r="C482" t="s">
        <v>6280</v>
      </c>
      <c r="E482">
        <v>814.13043478260863</v>
      </c>
      <c r="F482" t="s">
        <v>11190</v>
      </c>
      <c r="G482" t="s">
        <v>10997</v>
      </c>
    </row>
    <row r="483" spans="1:7">
      <c r="A483" s="291"/>
      <c r="B483" t="s">
        <v>6281</v>
      </c>
      <c r="C483" t="s">
        <v>6282</v>
      </c>
      <c r="E483">
        <v>600</v>
      </c>
      <c r="F483" t="s">
        <v>11190</v>
      </c>
      <c r="G483" t="s">
        <v>10996</v>
      </c>
    </row>
    <row r="484" spans="1:7">
      <c r="A484" s="291"/>
      <c r="B484" t="s">
        <v>6283</v>
      </c>
      <c r="C484" t="s">
        <v>6284</v>
      </c>
      <c r="E484">
        <v>5068.478260869565</v>
      </c>
      <c r="F484" t="s">
        <v>11190</v>
      </c>
      <c r="G484" t="s">
        <v>10997</v>
      </c>
    </row>
    <row r="485" spans="1:7">
      <c r="A485" s="291"/>
      <c r="B485" t="s">
        <v>6285</v>
      </c>
      <c r="C485" t="s">
        <v>6286</v>
      </c>
      <c r="E485">
        <v>3772.8260869565215</v>
      </c>
      <c r="F485" t="s">
        <v>11190</v>
      </c>
      <c r="G485" t="s">
        <v>10996</v>
      </c>
    </row>
    <row r="486" spans="1:7">
      <c r="A486" s="291"/>
      <c r="B486" t="s">
        <v>6287</v>
      </c>
      <c r="C486" t="s">
        <v>6288</v>
      </c>
      <c r="E486">
        <v>2505.4347826086955</v>
      </c>
      <c r="F486" t="s">
        <v>11190</v>
      </c>
      <c r="G486" t="s">
        <v>10999</v>
      </c>
    </row>
    <row r="487" spans="1:7">
      <c r="A487" s="291"/>
      <c r="B487" t="s">
        <v>6289</v>
      </c>
      <c r="C487" t="s">
        <v>6290</v>
      </c>
      <c r="E487">
        <v>10316.304347826086</v>
      </c>
      <c r="F487" t="s">
        <v>11190</v>
      </c>
      <c r="G487" t="s">
        <v>10997</v>
      </c>
    </row>
    <row r="488" spans="1:7">
      <c r="A488" s="291"/>
      <c r="B488" t="s">
        <v>6291</v>
      </c>
      <c r="C488" t="s">
        <v>6292</v>
      </c>
      <c r="E488">
        <v>4071.7391304347825</v>
      </c>
      <c r="F488" t="s">
        <v>11190</v>
      </c>
      <c r="G488" t="s">
        <v>10999</v>
      </c>
    </row>
    <row r="489" spans="1:7">
      <c r="A489" s="291"/>
      <c r="B489" t="s">
        <v>6293</v>
      </c>
      <c r="C489" t="s">
        <v>6294</v>
      </c>
      <c r="E489">
        <v>8033.695652173913</v>
      </c>
      <c r="F489" t="s">
        <v>11190</v>
      </c>
      <c r="G489" t="s">
        <v>10997</v>
      </c>
    </row>
    <row r="490" spans="1:7">
      <c r="A490" s="291"/>
      <c r="B490" t="s">
        <v>6295</v>
      </c>
      <c r="C490" t="s">
        <v>6296</v>
      </c>
      <c r="E490">
        <v>5413.0434782608691</v>
      </c>
      <c r="F490" t="s">
        <v>11190</v>
      </c>
      <c r="G490" t="s">
        <v>10999</v>
      </c>
    </row>
    <row r="491" spans="1:7">
      <c r="A491" s="291"/>
      <c r="B491" t="s">
        <v>6297</v>
      </c>
      <c r="C491" t="s">
        <v>6298</v>
      </c>
      <c r="E491">
        <v>3958.695652173913</v>
      </c>
      <c r="F491" t="s">
        <v>11190</v>
      </c>
      <c r="G491" t="s">
        <v>10999</v>
      </c>
    </row>
    <row r="492" spans="1:7">
      <c r="A492" s="291"/>
      <c r="B492" t="s">
        <v>6299</v>
      </c>
      <c r="C492" t="s">
        <v>6300</v>
      </c>
      <c r="E492">
        <v>1167.391304347826</v>
      </c>
      <c r="F492" t="s">
        <v>11190</v>
      </c>
      <c r="G492" t="s">
        <v>10996</v>
      </c>
    </row>
    <row r="493" spans="1:7">
      <c r="A493" s="291"/>
      <c r="B493" t="s">
        <v>6301</v>
      </c>
      <c r="C493" t="s">
        <v>6302</v>
      </c>
      <c r="E493">
        <v>3441.304347826087</v>
      </c>
      <c r="F493" t="s">
        <v>11190</v>
      </c>
      <c r="G493" t="s">
        <v>10999</v>
      </c>
    </row>
    <row r="494" spans="1:7">
      <c r="A494" s="291"/>
      <c r="B494" t="s">
        <v>6303</v>
      </c>
      <c r="C494" t="s">
        <v>6304</v>
      </c>
      <c r="E494">
        <v>3044.565217391304</v>
      </c>
      <c r="F494" t="s">
        <v>11190</v>
      </c>
      <c r="G494" t="s">
        <v>10999</v>
      </c>
    </row>
    <row r="495" spans="1:7">
      <c r="A495" s="291"/>
      <c r="B495" t="s">
        <v>6305</v>
      </c>
      <c r="C495" t="s">
        <v>6306</v>
      </c>
      <c r="E495">
        <v>1759.782608695652</v>
      </c>
      <c r="F495" t="s">
        <v>11190</v>
      </c>
      <c r="G495" t="s">
        <v>10999</v>
      </c>
    </row>
    <row r="496" spans="1:7">
      <c r="A496" s="291"/>
      <c r="B496" t="s">
        <v>6307</v>
      </c>
      <c r="C496" t="s">
        <v>6308</v>
      </c>
      <c r="E496">
        <v>1018.4782608695651</v>
      </c>
      <c r="F496" t="s">
        <v>11190</v>
      </c>
      <c r="G496" t="s">
        <v>10999</v>
      </c>
    </row>
    <row r="497" spans="1:7">
      <c r="A497" s="291"/>
      <c r="B497" t="s">
        <v>5905</v>
      </c>
      <c r="C497" t="s">
        <v>11279</v>
      </c>
      <c r="E497">
        <v>5889.1304347826081</v>
      </c>
      <c r="F497" t="s">
        <v>11190</v>
      </c>
      <c r="G497" t="s">
        <v>10997</v>
      </c>
    </row>
    <row r="498" spans="1:7">
      <c r="A498" s="291"/>
      <c r="B498" t="s">
        <v>5906</v>
      </c>
      <c r="C498" t="s">
        <v>11280</v>
      </c>
      <c r="E498">
        <v>6602.173913043478</v>
      </c>
      <c r="F498" t="s">
        <v>11190</v>
      </c>
      <c r="G498" t="s">
        <v>10997</v>
      </c>
    </row>
    <row r="499" spans="1:7">
      <c r="A499" s="291"/>
      <c r="B499" t="s">
        <v>5908</v>
      </c>
      <c r="C499" t="s">
        <v>11281</v>
      </c>
      <c r="E499">
        <v>566.30434782608688</v>
      </c>
      <c r="F499" t="s">
        <v>11190</v>
      </c>
      <c r="G499" t="s">
        <v>10997</v>
      </c>
    </row>
    <row r="500" spans="1:7">
      <c r="A500" s="291"/>
      <c r="B500" t="s">
        <v>5909</v>
      </c>
      <c r="C500" t="s">
        <v>11282</v>
      </c>
      <c r="E500">
        <v>782.60869565217388</v>
      </c>
      <c r="F500" t="s">
        <v>11190</v>
      </c>
      <c r="G500" t="s">
        <v>10997</v>
      </c>
    </row>
    <row r="501" spans="1:7">
      <c r="A501" s="291"/>
      <c r="B501" t="s">
        <v>5910</v>
      </c>
      <c r="C501" t="s">
        <v>11283</v>
      </c>
      <c r="E501">
        <v>1068.4782608695652</v>
      </c>
      <c r="F501" t="s">
        <v>11190</v>
      </c>
      <c r="G501" t="s">
        <v>10997</v>
      </c>
    </row>
    <row r="502" spans="1:7">
      <c r="A502" s="291"/>
      <c r="B502" t="s">
        <v>5911</v>
      </c>
      <c r="C502" t="s">
        <v>11284</v>
      </c>
      <c r="E502">
        <v>1595.6521739130435</v>
      </c>
      <c r="F502" t="s">
        <v>11190</v>
      </c>
      <c r="G502" t="s">
        <v>10997</v>
      </c>
    </row>
    <row r="503" spans="1:7">
      <c r="A503" s="291"/>
      <c r="B503" t="s">
        <v>5912</v>
      </c>
      <c r="C503" t="s">
        <v>11285</v>
      </c>
      <c r="E503">
        <v>2295.6521739130435</v>
      </c>
      <c r="F503" t="s">
        <v>11190</v>
      </c>
      <c r="G503" t="s">
        <v>10997</v>
      </c>
    </row>
    <row r="504" spans="1:7">
      <c r="A504" s="291"/>
      <c r="B504" t="s">
        <v>5913</v>
      </c>
      <c r="C504" t="s">
        <v>11286</v>
      </c>
      <c r="E504">
        <v>2889.1304347826085</v>
      </c>
      <c r="F504" t="s">
        <v>11190</v>
      </c>
      <c r="G504" t="s">
        <v>10997</v>
      </c>
    </row>
    <row r="505" spans="1:7">
      <c r="A505" s="291"/>
      <c r="B505" t="s">
        <v>5914</v>
      </c>
      <c r="C505" t="s">
        <v>11287</v>
      </c>
      <c r="E505">
        <v>3459.782608695652</v>
      </c>
      <c r="F505" t="s">
        <v>11190</v>
      </c>
      <c r="G505" t="s">
        <v>10997</v>
      </c>
    </row>
    <row r="506" spans="1:7">
      <c r="A506" s="291"/>
      <c r="B506" t="s">
        <v>5915</v>
      </c>
      <c r="C506" t="s">
        <v>11288</v>
      </c>
      <c r="E506">
        <v>3877.173913043478</v>
      </c>
      <c r="F506" t="s">
        <v>11190</v>
      </c>
      <c r="G506" t="s">
        <v>10997</v>
      </c>
    </row>
    <row r="507" spans="1:7">
      <c r="A507" s="291"/>
      <c r="B507" t="s">
        <v>5916</v>
      </c>
      <c r="C507" t="s">
        <v>11289</v>
      </c>
      <c r="E507">
        <v>4316.304347826087</v>
      </c>
      <c r="F507" t="s">
        <v>11190</v>
      </c>
      <c r="G507" t="s">
        <v>10997</v>
      </c>
    </row>
    <row r="508" spans="1:7">
      <c r="A508" s="291"/>
      <c r="B508" t="s">
        <v>5917</v>
      </c>
      <c r="C508" t="s">
        <v>11290</v>
      </c>
      <c r="E508">
        <v>5172.8260869565211</v>
      </c>
      <c r="F508" t="s">
        <v>11190</v>
      </c>
      <c r="G508" t="s">
        <v>10997</v>
      </c>
    </row>
    <row r="509" spans="1:7">
      <c r="A509" s="291"/>
      <c r="B509" t="s">
        <v>5919</v>
      </c>
      <c r="C509" t="s">
        <v>11291</v>
      </c>
      <c r="E509">
        <v>2450</v>
      </c>
      <c r="F509" t="s">
        <v>11190</v>
      </c>
      <c r="G509" t="s">
        <v>10997</v>
      </c>
    </row>
    <row r="510" spans="1:7">
      <c r="A510" s="291"/>
      <c r="B510" t="s">
        <v>5920</v>
      </c>
      <c r="C510" t="s">
        <v>11292</v>
      </c>
      <c r="E510">
        <v>3909.782608695652</v>
      </c>
      <c r="F510" t="s">
        <v>11190</v>
      </c>
      <c r="G510" t="s">
        <v>10997</v>
      </c>
    </row>
    <row r="511" spans="1:7">
      <c r="A511" s="291"/>
      <c r="B511" t="s">
        <v>5921</v>
      </c>
      <c r="C511" t="s">
        <v>11293</v>
      </c>
      <c r="E511">
        <v>5205.4347826086951</v>
      </c>
      <c r="F511" t="s">
        <v>11190</v>
      </c>
      <c r="G511" t="s">
        <v>10997</v>
      </c>
    </row>
    <row r="512" spans="1:7">
      <c r="A512" s="291"/>
      <c r="B512" t="s">
        <v>5923</v>
      </c>
      <c r="C512" t="s">
        <v>11294</v>
      </c>
      <c r="E512">
        <v>1595.6521739130435</v>
      </c>
      <c r="F512" t="s">
        <v>11190</v>
      </c>
      <c r="G512" t="s">
        <v>10999</v>
      </c>
    </row>
    <row r="513" spans="1:7">
      <c r="A513" s="291"/>
      <c r="B513" t="s">
        <v>6309</v>
      </c>
      <c r="C513" t="s">
        <v>6310</v>
      </c>
      <c r="E513">
        <v>2296.7391304347825</v>
      </c>
      <c r="F513" t="s">
        <v>11190</v>
      </c>
      <c r="G513" t="s">
        <v>10996</v>
      </c>
    </row>
    <row r="514" spans="1:7">
      <c r="A514" s="291"/>
      <c r="B514" t="s">
        <v>6311</v>
      </c>
      <c r="C514" t="s">
        <v>6312</v>
      </c>
      <c r="E514">
        <v>3022.8260869565215</v>
      </c>
      <c r="F514" t="s">
        <v>11190</v>
      </c>
      <c r="G514" t="s">
        <v>10997</v>
      </c>
    </row>
    <row r="515" spans="1:7">
      <c r="A515" s="291"/>
      <c r="B515" t="s">
        <v>6313</v>
      </c>
      <c r="C515" t="s">
        <v>6314</v>
      </c>
      <c r="E515">
        <v>4032.6086956521735</v>
      </c>
      <c r="F515" t="s">
        <v>11190</v>
      </c>
      <c r="G515" t="s">
        <v>10997</v>
      </c>
    </row>
    <row r="516" spans="1:7">
      <c r="A516" s="291"/>
      <c r="B516" t="s">
        <v>6315</v>
      </c>
      <c r="C516" t="s">
        <v>6316</v>
      </c>
      <c r="E516">
        <v>9172.826086956522</v>
      </c>
      <c r="F516" t="s">
        <v>11190</v>
      </c>
      <c r="G516" t="s">
        <v>10997</v>
      </c>
    </row>
    <row r="517" spans="1:7">
      <c r="A517" s="291"/>
      <c r="B517" t="s">
        <v>6317</v>
      </c>
      <c r="C517" t="s">
        <v>6318</v>
      </c>
      <c r="E517">
        <v>5305.4347826086951</v>
      </c>
      <c r="F517" t="s">
        <v>11190</v>
      </c>
      <c r="G517" t="s">
        <v>10997</v>
      </c>
    </row>
    <row r="518" spans="1:7">
      <c r="A518" s="291"/>
      <c r="B518" t="s">
        <v>6319</v>
      </c>
      <c r="C518" t="s">
        <v>6320</v>
      </c>
      <c r="E518">
        <v>11170.652173913042</v>
      </c>
      <c r="F518" t="s">
        <v>11190</v>
      </c>
      <c r="G518" t="s">
        <v>10997</v>
      </c>
    </row>
    <row r="519" spans="1:7">
      <c r="A519" s="291"/>
      <c r="B519" t="s">
        <v>3177</v>
      </c>
    </row>
    <row r="520" spans="1:7">
      <c r="A520" s="291"/>
      <c r="B520" t="s">
        <v>6064</v>
      </c>
      <c r="C520" t="s">
        <v>5862</v>
      </c>
      <c r="E520">
        <v>561.95652173913038</v>
      </c>
      <c r="F520" t="s">
        <v>11190</v>
      </c>
      <c r="G520" t="s">
        <v>10997</v>
      </c>
    </row>
    <row r="521" spans="1:7">
      <c r="A521" s="291"/>
      <c r="B521" t="s">
        <v>6065</v>
      </c>
      <c r="C521" t="s">
        <v>5863</v>
      </c>
      <c r="E521">
        <v>778.26086956521738</v>
      </c>
      <c r="F521" t="s">
        <v>11190</v>
      </c>
      <c r="G521" t="s">
        <v>10997</v>
      </c>
    </row>
    <row r="522" spans="1:7">
      <c r="A522" s="291"/>
      <c r="B522" t="s">
        <v>6074</v>
      </c>
      <c r="C522" t="s">
        <v>5867</v>
      </c>
      <c r="E522">
        <v>2445.6521739130435</v>
      </c>
      <c r="F522" t="s">
        <v>11190</v>
      </c>
      <c r="G522" t="s">
        <v>10997</v>
      </c>
    </row>
    <row r="523" spans="1:7">
      <c r="A523" s="291"/>
      <c r="B523" t="s">
        <v>6079</v>
      </c>
      <c r="C523" t="s">
        <v>5868</v>
      </c>
      <c r="E523">
        <v>1428.2608695652173</v>
      </c>
      <c r="F523" t="s">
        <v>11190</v>
      </c>
      <c r="G523" t="s">
        <v>10999</v>
      </c>
    </row>
    <row r="524" spans="1:7">
      <c r="A524" s="291"/>
      <c r="B524" t="s">
        <v>1383</v>
      </c>
      <c r="C524" t="s">
        <v>1384</v>
      </c>
      <c r="E524">
        <v>1065.2173913043478</v>
      </c>
      <c r="F524" t="s">
        <v>11190</v>
      </c>
      <c r="G524" t="s">
        <v>10997</v>
      </c>
    </row>
    <row r="525" spans="1:7">
      <c r="A525" s="291"/>
      <c r="B525" t="s">
        <v>6066</v>
      </c>
      <c r="C525" t="s">
        <v>5887</v>
      </c>
      <c r="E525">
        <v>1064.1304347826087</v>
      </c>
      <c r="F525" t="s">
        <v>11190</v>
      </c>
      <c r="G525" t="s">
        <v>10997</v>
      </c>
    </row>
    <row r="526" spans="1:7">
      <c r="A526" s="291"/>
      <c r="B526" t="s">
        <v>6075</v>
      </c>
      <c r="C526" t="s">
        <v>5864</v>
      </c>
      <c r="E526">
        <v>1591.304347826087</v>
      </c>
      <c r="F526" t="s">
        <v>11190</v>
      </c>
      <c r="G526" t="s">
        <v>10999</v>
      </c>
    </row>
    <row r="527" spans="1:7">
      <c r="A527" s="291"/>
      <c r="B527" t="s">
        <v>6067</v>
      </c>
      <c r="C527" t="s">
        <v>5866</v>
      </c>
      <c r="E527">
        <v>1591.304347826087</v>
      </c>
      <c r="F527" t="s">
        <v>11190</v>
      </c>
      <c r="G527" t="s">
        <v>10997</v>
      </c>
    </row>
    <row r="528" spans="1:7">
      <c r="A528" s="291"/>
      <c r="B528" t="s">
        <v>6080</v>
      </c>
      <c r="C528" t="s">
        <v>5882</v>
      </c>
      <c r="E528">
        <v>2708.695652173913</v>
      </c>
      <c r="F528" t="s">
        <v>11190</v>
      </c>
      <c r="G528" t="s">
        <v>10999</v>
      </c>
    </row>
    <row r="529" spans="1:7">
      <c r="A529" s="291"/>
      <c r="B529" t="s">
        <v>6068</v>
      </c>
      <c r="C529" t="s">
        <v>5891</v>
      </c>
      <c r="E529">
        <v>2291.304347826087</v>
      </c>
      <c r="F529" t="s">
        <v>11190</v>
      </c>
      <c r="G529" t="s">
        <v>10997</v>
      </c>
    </row>
    <row r="530" spans="1:7">
      <c r="A530" s="291"/>
      <c r="B530" t="s">
        <v>1759</v>
      </c>
      <c r="C530" t="s">
        <v>1760</v>
      </c>
      <c r="E530">
        <v>2995.6521739130435</v>
      </c>
      <c r="F530" t="s">
        <v>11190</v>
      </c>
      <c r="G530" t="s">
        <v>10999</v>
      </c>
    </row>
    <row r="531" spans="1:7">
      <c r="A531" s="291"/>
      <c r="B531" t="s">
        <v>6069</v>
      </c>
      <c r="C531" t="s">
        <v>5895</v>
      </c>
      <c r="E531">
        <v>2884.782608695652</v>
      </c>
      <c r="F531" t="s">
        <v>11190</v>
      </c>
      <c r="G531" t="s">
        <v>10997</v>
      </c>
    </row>
    <row r="532" spans="1:7">
      <c r="A532" s="291"/>
      <c r="B532" t="s">
        <v>1761</v>
      </c>
      <c r="C532" t="s">
        <v>1762</v>
      </c>
      <c r="E532">
        <v>3083.695652173913</v>
      </c>
      <c r="F532" t="s">
        <v>11190</v>
      </c>
      <c r="G532" t="s">
        <v>10999</v>
      </c>
    </row>
    <row r="533" spans="1:7">
      <c r="A533" s="291"/>
      <c r="B533" t="s">
        <v>6081</v>
      </c>
      <c r="C533" t="s">
        <v>5879</v>
      </c>
      <c r="E533">
        <v>3288.0434782608695</v>
      </c>
      <c r="F533" t="s">
        <v>11190</v>
      </c>
      <c r="G533" t="s">
        <v>10999</v>
      </c>
    </row>
    <row r="534" spans="1:7">
      <c r="A534" s="291"/>
      <c r="B534" t="s">
        <v>6076</v>
      </c>
      <c r="C534" t="s">
        <v>5865</v>
      </c>
      <c r="E534">
        <v>3016.304347826087</v>
      </c>
      <c r="F534" t="s">
        <v>11190</v>
      </c>
      <c r="G534" t="s">
        <v>10999</v>
      </c>
    </row>
    <row r="535" spans="1:7">
      <c r="A535" s="291"/>
      <c r="B535" t="s">
        <v>6082</v>
      </c>
      <c r="C535" t="s">
        <v>5869</v>
      </c>
      <c r="E535">
        <v>3882.6086956521735</v>
      </c>
      <c r="F535" t="s">
        <v>11190</v>
      </c>
      <c r="G535" t="s">
        <v>10999</v>
      </c>
    </row>
    <row r="536" spans="1:7">
      <c r="A536" s="291"/>
      <c r="B536" t="s">
        <v>6070</v>
      </c>
      <c r="C536" t="s">
        <v>5893</v>
      </c>
      <c r="E536">
        <v>3455.4347826086955</v>
      </c>
      <c r="F536" t="s">
        <v>11190</v>
      </c>
      <c r="G536" t="s">
        <v>10997</v>
      </c>
    </row>
    <row r="537" spans="1:7">
      <c r="A537" s="291"/>
      <c r="B537" t="s">
        <v>6071</v>
      </c>
      <c r="C537" t="s">
        <v>5900</v>
      </c>
      <c r="E537">
        <v>3872.8260869565215</v>
      </c>
      <c r="F537" t="s">
        <v>11190</v>
      </c>
      <c r="G537" t="s">
        <v>10997</v>
      </c>
    </row>
    <row r="538" spans="1:7">
      <c r="A538" s="291"/>
      <c r="B538" t="s">
        <v>6072</v>
      </c>
      <c r="C538" t="s">
        <v>5902</v>
      </c>
      <c r="E538">
        <v>4311.95652173913</v>
      </c>
      <c r="F538" t="s">
        <v>11190</v>
      </c>
      <c r="G538" t="s">
        <v>10997</v>
      </c>
    </row>
    <row r="539" spans="1:7">
      <c r="A539" s="291"/>
      <c r="B539" t="s">
        <v>6073</v>
      </c>
      <c r="C539" t="s">
        <v>5918</v>
      </c>
      <c r="E539">
        <v>5168.478260869565</v>
      </c>
      <c r="F539" t="s">
        <v>11190</v>
      </c>
      <c r="G539" t="s">
        <v>10997</v>
      </c>
    </row>
    <row r="540" spans="1:7">
      <c r="A540" s="291"/>
      <c r="B540" t="s">
        <v>6077</v>
      </c>
      <c r="C540" t="s">
        <v>5898</v>
      </c>
      <c r="E540">
        <v>5884.782608695652</v>
      </c>
      <c r="F540" t="s">
        <v>11190</v>
      </c>
      <c r="G540" t="s">
        <v>10997</v>
      </c>
    </row>
    <row r="541" spans="1:7">
      <c r="A541" s="291"/>
      <c r="B541" t="s">
        <v>6078</v>
      </c>
      <c r="C541" t="s">
        <v>5907</v>
      </c>
      <c r="E541">
        <v>6597.8260869565211</v>
      </c>
      <c r="F541" t="s">
        <v>11190</v>
      </c>
      <c r="G541" t="s">
        <v>10997</v>
      </c>
    </row>
    <row r="542" spans="1:7">
      <c r="A542" s="291"/>
      <c r="B542" t="s">
        <v>11295</v>
      </c>
    </row>
    <row r="543" spans="1:7">
      <c r="A543" s="291"/>
      <c r="B543" t="s">
        <v>6097</v>
      </c>
      <c r="C543" t="s">
        <v>6098</v>
      </c>
      <c r="E543">
        <v>6707.608695652174</v>
      </c>
      <c r="F543" t="s">
        <v>11198</v>
      </c>
      <c r="G543" t="s">
        <v>10997</v>
      </c>
    </row>
    <row r="544" spans="1:7">
      <c r="A544" s="291"/>
      <c r="B544" t="s">
        <v>6099</v>
      </c>
      <c r="C544" t="s">
        <v>6100</v>
      </c>
      <c r="E544">
        <v>5994.565217391304</v>
      </c>
      <c r="F544" t="s">
        <v>11198</v>
      </c>
      <c r="G544" t="s">
        <v>10999</v>
      </c>
    </row>
    <row r="545" spans="1:7">
      <c r="A545" s="291"/>
      <c r="B545" t="s">
        <v>6101</v>
      </c>
      <c r="C545" t="s">
        <v>6102</v>
      </c>
      <c r="E545">
        <v>5138.0434782608691</v>
      </c>
      <c r="F545" t="s">
        <v>11198</v>
      </c>
      <c r="G545" t="s">
        <v>10997</v>
      </c>
    </row>
    <row r="546" spans="1:7">
      <c r="A546" s="291"/>
      <c r="B546" t="s">
        <v>6103</v>
      </c>
      <c r="C546" t="s">
        <v>6104</v>
      </c>
      <c r="E546">
        <v>4253.260869565217</v>
      </c>
      <c r="F546" t="s">
        <v>11198</v>
      </c>
      <c r="G546" t="s">
        <v>10997</v>
      </c>
    </row>
    <row r="547" spans="1:7">
      <c r="A547" s="291"/>
      <c r="B547" t="s">
        <v>6105</v>
      </c>
      <c r="C547" t="s">
        <v>6106</v>
      </c>
      <c r="E547">
        <v>3854.3478260869565</v>
      </c>
      <c r="F547" t="s">
        <v>11198</v>
      </c>
      <c r="G547" t="s">
        <v>10997</v>
      </c>
    </row>
    <row r="548" spans="1:7">
      <c r="A548" s="291"/>
      <c r="B548" t="s">
        <v>6107</v>
      </c>
      <c r="C548" t="s">
        <v>6108</v>
      </c>
      <c r="E548">
        <v>3482.6086956521735</v>
      </c>
      <c r="F548" t="s">
        <v>11198</v>
      </c>
      <c r="G548" t="s">
        <v>10997</v>
      </c>
    </row>
    <row r="549" spans="1:7">
      <c r="A549" s="291"/>
      <c r="B549" t="s">
        <v>6109</v>
      </c>
      <c r="C549" t="s">
        <v>6110</v>
      </c>
      <c r="E549">
        <v>2769.565217391304</v>
      </c>
      <c r="F549" t="s">
        <v>11198</v>
      </c>
      <c r="G549" t="s">
        <v>10997</v>
      </c>
    </row>
    <row r="550" spans="1:7">
      <c r="A550" s="291"/>
      <c r="B550" t="s">
        <v>6111</v>
      </c>
      <c r="C550" t="s">
        <v>6112</v>
      </c>
      <c r="E550">
        <v>3185.869565217391</v>
      </c>
      <c r="F550" t="s">
        <v>11198</v>
      </c>
      <c r="G550" t="s">
        <v>10997</v>
      </c>
    </row>
    <row r="551" spans="1:7">
      <c r="A551" s="304"/>
      <c r="B551" t="s">
        <v>6113</v>
      </c>
      <c r="C551" t="s">
        <v>6114</v>
      </c>
      <c r="E551">
        <v>2346.7391304347825</v>
      </c>
      <c r="F551" t="s">
        <v>11198</v>
      </c>
      <c r="G551" t="s">
        <v>10997</v>
      </c>
    </row>
    <row r="552" spans="1:7">
      <c r="A552" s="305"/>
      <c r="B552" t="s">
        <v>6115</v>
      </c>
      <c r="C552" t="s">
        <v>6116</v>
      </c>
      <c r="E552">
        <v>1645.6521739130435</v>
      </c>
      <c r="F552" t="s">
        <v>11198</v>
      </c>
      <c r="G552" t="s">
        <v>10997</v>
      </c>
    </row>
    <row r="553" spans="1:7">
      <c r="A553" s="305"/>
      <c r="B553" t="s">
        <v>6117</v>
      </c>
      <c r="C553" t="s">
        <v>6118</v>
      </c>
      <c r="E553">
        <v>1118.4782608695652</v>
      </c>
      <c r="F553" t="s">
        <v>11198</v>
      </c>
      <c r="G553" t="s">
        <v>10997</v>
      </c>
    </row>
    <row r="554" spans="1:7">
      <c r="A554" s="305"/>
      <c r="B554" t="s">
        <v>6119</v>
      </c>
      <c r="C554" t="s">
        <v>6120</v>
      </c>
      <c r="E554">
        <v>1505.4347826086955</v>
      </c>
      <c r="F554" t="s">
        <v>11198</v>
      </c>
      <c r="G554" t="s">
        <v>10997</v>
      </c>
    </row>
    <row r="555" spans="1:7">
      <c r="A555" s="305"/>
      <c r="B555" t="s">
        <v>6121</v>
      </c>
      <c r="C555" t="s">
        <v>6122</v>
      </c>
      <c r="E555">
        <v>832.60869565217388</v>
      </c>
      <c r="F555" t="s">
        <v>11198</v>
      </c>
      <c r="G555" t="s">
        <v>10997</v>
      </c>
    </row>
    <row r="556" spans="1:7">
      <c r="A556" s="305"/>
      <c r="B556" t="s">
        <v>6123</v>
      </c>
      <c r="C556" t="s">
        <v>6124</v>
      </c>
      <c r="E556">
        <v>618.47826086956525</v>
      </c>
      <c r="F556" t="s">
        <v>11198</v>
      </c>
      <c r="G556" t="s">
        <v>10997</v>
      </c>
    </row>
    <row r="557" spans="1:7">
      <c r="A557" s="305"/>
      <c r="B557" t="s">
        <v>6125</v>
      </c>
      <c r="C557" t="s">
        <v>6126</v>
      </c>
      <c r="E557">
        <v>5052.173913043478</v>
      </c>
      <c r="F557" t="s">
        <v>11198</v>
      </c>
      <c r="G557" t="s">
        <v>10997</v>
      </c>
    </row>
    <row r="558" spans="1:7">
      <c r="A558" s="305"/>
      <c r="B558" t="s">
        <v>6127</v>
      </c>
      <c r="C558" t="s">
        <v>6128</v>
      </c>
      <c r="E558">
        <v>3756.5217391304345</v>
      </c>
      <c r="F558" t="s">
        <v>11198</v>
      </c>
      <c r="G558" t="s">
        <v>10996</v>
      </c>
    </row>
    <row r="559" spans="1:7">
      <c r="A559" s="305"/>
      <c r="B559" t="s">
        <v>6129</v>
      </c>
      <c r="C559" t="s">
        <v>6130</v>
      </c>
      <c r="E559">
        <v>2490.2173913043475</v>
      </c>
      <c r="F559" t="s">
        <v>11198</v>
      </c>
      <c r="G559" t="s">
        <v>10999</v>
      </c>
    </row>
    <row r="560" spans="1:7">
      <c r="A560" s="305"/>
      <c r="B560" t="s">
        <v>6141</v>
      </c>
      <c r="C560" t="s">
        <v>6142</v>
      </c>
      <c r="E560">
        <v>3977.173913043478</v>
      </c>
      <c r="F560" t="s">
        <v>11198</v>
      </c>
      <c r="G560" t="s">
        <v>10999</v>
      </c>
    </row>
    <row r="561" spans="1:7">
      <c r="A561" s="305"/>
      <c r="B561" t="s">
        <v>6143</v>
      </c>
      <c r="C561" t="s">
        <v>6144</v>
      </c>
      <c r="E561">
        <v>8052.173913043478</v>
      </c>
      <c r="F561" t="s">
        <v>11198</v>
      </c>
      <c r="G561" t="s">
        <v>10997</v>
      </c>
    </row>
    <row r="562" spans="1:7">
      <c r="A562" s="305"/>
      <c r="B562" t="s">
        <v>6145</v>
      </c>
      <c r="C562" t="s">
        <v>6146</v>
      </c>
      <c r="E562">
        <v>1186.9565217391305</v>
      </c>
      <c r="F562" t="s">
        <v>11198</v>
      </c>
      <c r="G562" t="s">
        <v>10996</v>
      </c>
    </row>
    <row r="563" spans="1:7">
      <c r="A563" s="305"/>
      <c r="B563" t="s">
        <v>6147</v>
      </c>
      <c r="C563" t="s">
        <v>6148</v>
      </c>
      <c r="E563">
        <v>10334.782608695652</v>
      </c>
      <c r="F563" t="s">
        <v>11198</v>
      </c>
      <c r="G563" t="s">
        <v>10997</v>
      </c>
    </row>
    <row r="564" spans="1:7">
      <c r="A564" s="305"/>
      <c r="B564" t="s">
        <v>6156</v>
      </c>
      <c r="C564" t="s">
        <v>6157</v>
      </c>
      <c r="E564">
        <v>5431.521739130435</v>
      </c>
      <c r="F564" t="s">
        <v>11198</v>
      </c>
      <c r="G564" t="s">
        <v>10999</v>
      </c>
    </row>
    <row r="565" spans="1:7">
      <c r="A565" s="305"/>
      <c r="B565" t="s">
        <v>11296</v>
      </c>
    </row>
    <row r="566" spans="1:7">
      <c r="A566" s="305"/>
      <c r="B566" t="s">
        <v>5955</v>
      </c>
      <c r="C566" t="s">
        <v>5956</v>
      </c>
      <c r="E566">
        <v>36.95652173913043</v>
      </c>
      <c r="F566" t="s">
        <v>11198</v>
      </c>
      <c r="G566" t="s">
        <v>10997</v>
      </c>
    </row>
    <row r="567" spans="1:7">
      <c r="A567" s="305"/>
      <c r="B567" t="s">
        <v>5968</v>
      </c>
      <c r="C567" t="s">
        <v>5969</v>
      </c>
      <c r="E567">
        <v>529.3478260869565</v>
      </c>
      <c r="F567" t="s">
        <v>11198</v>
      </c>
      <c r="G567" t="s">
        <v>10997</v>
      </c>
    </row>
    <row r="568" spans="1:7">
      <c r="A568" s="305"/>
      <c r="B568" t="s">
        <v>5883</v>
      </c>
      <c r="C568" t="s">
        <v>5862</v>
      </c>
      <c r="E568">
        <v>556.52173913043475</v>
      </c>
      <c r="F568" t="s">
        <v>11198</v>
      </c>
      <c r="G568" t="s">
        <v>10997</v>
      </c>
    </row>
    <row r="569" spans="1:7">
      <c r="A569" s="305"/>
      <c r="B569" t="s">
        <v>5928</v>
      </c>
      <c r="C569" t="s">
        <v>5929</v>
      </c>
      <c r="E569">
        <v>556.52173913043475</v>
      </c>
      <c r="F569" t="s">
        <v>11198</v>
      </c>
      <c r="G569" t="s">
        <v>10997</v>
      </c>
    </row>
    <row r="570" spans="1:7">
      <c r="A570" s="305"/>
      <c r="B570" t="s">
        <v>5970</v>
      </c>
      <c r="C570" t="s">
        <v>5971</v>
      </c>
      <c r="E570">
        <v>659.78260869565213</v>
      </c>
      <c r="F570" t="s">
        <v>11198</v>
      </c>
      <c r="G570" t="s">
        <v>10997</v>
      </c>
    </row>
    <row r="571" spans="1:7">
      <c r="A571" s="305"/>
      <c r="B571" t="s">
        <v>5884</v>
      </c>
      <c r="C571" t="s">
        <v>5885</v>
      </c>
      <c r="E571">
        <v>772.82608695652175</v>
      </c>
      <c r="F571" t="s">
        <v>11198</v>
      </c>
      <c r="G571" t="s">
        <v>10997</v>
      </c>
    </row>
    <row r="572" spans="1:7">
      <c r="A572" s="305"/>
      <c r="B572" t="s">
        <v>5930</v>
      </c>
      <c r="C572" t="s">
        <v>5931</v>
      </c>
      <c r="E572">
        <v>772.82608695652175</v>
      </c>
      <c r="F572" t="s">
        <v>11198</v>
      </c>
      <c r="G572" t="s">
        <v>10997</v>
      </c>
    </row>
    <row r="573" spans="1:7">
      <c r="A573" s="305"/>
      <c r="B573" t="s">
        <v>835</v>
      </c>
      <c r="C573" t="s">
        <v>288</v>
      </c>
      <c r="E573">
        <v>964.13043478260863</v>
      </c>
      <c r="F573" t="s">
        <v>11198</v>
      </c>
    </row>
    <row r="574" spans="1:7">
      <c r="A574" s="305"/>
      <c r="B574" t="s">
        <v>5886</v>
      </c>
      <c r="C574" t="s">
        <v>5887</v>
      </c>
      <c r="E574">
        <v>1058.695652173913</v>
      </c>
      <c r="F574" t="s">
        <v>11198</v>
      </c>
      <c r="G574" t="s">
        <v>10997</v>
      </c>
    </row>
    <row r="575" spans="1:7">
      <c r="A575" s="305"/>
      <c r="B575" t="s">
        <v>5934</v>
      </c>
      <c r="C575" t="s">
        <v>5870</v>
      </c>
      <c r="E575">
        <v>1058.695652173913</v>
      </c>
      <c r="F575" t="s">
        <v>11198</v>
      </c>
      <c r="G575" t="s">
        <v>10997</v>
      </c>
    </row>
    <row r="576" spans="1:7">
      <c r="A576" s="305"/>
      <c r="B576" t="s">
        <v>5972</v>
      </c>
      <c r="C576" t="s">
        <v>5973</v>
      </c>
      <c r="E576">
        <v>1059.782608695652</v>
      </c>
      <c r="F576" t="s">
        <v>11198</v>
      </c>
      <c r="G576" t="s">
        <v>10997</v>
      </c>
    </row>
    <row r="577" spans="1:7">
      <c r="A577" s="305"/>
      <c r="B577" t="s">
        <v>6036</v>
      </c>
      <c r="C577" t="s">
        <v>6037</v>
      </c>
      <c r="E577">
        <v>1119.5652173913043</v>
      </c>
      <c r="F577" t="s">
        <v>11198</v>
      </c>
      <c r="G577" t="s">
        <v>10997</v>
      </c>
    </row>
    <row r="578" spans="1:7">
      <c r="A578" s="305"/>
      <c r="B578" t="s">
        <v>6038</v>
      </c>
      <c r="C578" t="s">
        <v>6039</v>
      </c>
      <c r="E578">
        <v>1335.8695652173913</v>
      </c>
      <c r="F578" t="s">
        <v>11198</v>
      </c>
      <c r="G578" t="s">
        <v>10997</v>
      </c>
    </row>
    <row r="579" spans="1:7">
      <c r="A579" s="305"/>
      <c r="B579" t="s">
        <v>5988</v>
      </c>
      <c r="C579" t="s">
        <v>5989</v>
      </c>
      <c r="E579">
        <v>1369.5652173913043</v>
      </c>
      <c r="F579" t="s">
        <v>11198</v>
      </c>
      <c r="G579" t="s">
        <v>10999</v>
      </c>
    </row>
    <row r="580" spans="1:7">
      <c r="A580" s="305"/>
      <c r="B580" t="s">
        <v>5974</v>
      </c>
      <c r="C580" t="s">
        <v>5975</v>
      </c>
      <c r="E580">
        <v>1430.4347826086955</v>
      </c>
      <c r="F580" t="s">
        <v>11198</v>
      </c>
      <c r="G580" t="s">
        <v>10997</v>
      </c>
    </row>
    <row r="581" spans="1:7">
      <c r="A581" s="305"/>
      <c r="B581" t="s">
        <v>5888</v>
      </c>
      <c r="C581" t="s">
        <v>5866</v>
      </c>
      <c r="E581">
        <v>1586.9565217391303</v>
      </c>
      <c r="F581" t="s">
        <v>11198</v>
      </c>
      <c r="G581" t="s">
        <v>10997</v>
      </c>
    </row>
    <row r="582" spans="1:7">
      <c r="A582" s="305"/>
      <c r="B582" t="s">
        <v>5889</v>
      </c>
      <c r="C582" t="s">
        <v>5864</v>
      </c>
      <c r="E582">
        <v>1586.9565217391303</v>
      </c>
      <c r="F582" t="s">
        <v>11198</v>
      </c>
      <c r="G582" t="s">
        <v>10999</v>
      </c>
    </row>
    <row r="583" spans="1:7">
      <c r="A583" s="305"/>
      <c r="B583" t="s">
        <v>5935</v>
      </c>
      <c r="C583" t="s">
        <v>5936</v>
      </c>
      <c r="E583">
        <v>1586.9565217391303</v>
      </c>
      <c r="F583" t="s">
        <v>11198</v>
      </c>
      <c r="G583" t="s">
        <v>10997</v>
      </c>
    </row>
    <row r="584" spans="1:7">
      <c r="A584" s="305"/>
      <c r="B584" t="s">
        <v>5952</v>
      </c>
      <c r="C584" t="s">
        <v>5953</v>
      </c>
      <c r="E584">
        <v>1586.9565217391303</v>
      </c>
      <c r="F584" t="s">
        <v>11198</v>
      </c>
      <c r="G584" t="s">
        <v>10999</v>
      </c>
    </row>
    <row r="585" spans="1:7">
      <c r="A585" s="305"/>
      <c r="B585" t="s">
        <v>5982</v>
      </c>
      <c r="C585" t="s">
        <v>5983</v>
      </c>
      <c r="E585">
        <v>1588.0434782608695</v>
      </c>
      <c r="F585" t="s">
        <v>11198</v>
      </c>
      <c r="G585" t="s">
        <v>10999</v>
      </c>
    </row>
    <row r="586" spans="1:7">
      <c r="A586" s="305"/>
      <c r="B586" t="s">
        <v>6040</v>
      </c>
      <c r="C586" t="s">
        <v>5887</v>
      </c>
      <c r="E586">
        <v>1621.7391304347825</v>
      </c>
      <c r="F586" t="s">
        <v>11198</v>
      </c>
      <c r="G586" t="s">
        <v>10997</v>
      </c>
    </row>
    <row r="587" spans="1:7">
      <c r="A587" s="305"/>
      <c r="B587" t="s">
        <v>6041</v>
      </c>
      <c r="C587" t="s">
        <v>6042</v>
      </c>
      <c r="E587">
        <v>2148.913043478261</v>
      </c>
      <c r="F587" t="s">
        <v>11198</v>
      </c>
      <c r="G587" t="s">
        <v>10997</v>
      </c>
    </row>
    <row r="588" spans="1:7">
      <c r="A588" s="305"/>
      <c r="B588" t="s">
        <v>6060</v>
      </c>
      <c r="C588" t="s">
        <v>6061</v>
      </c>
      <c r="E588">
        <v>2148.913043478261</v>
      </c>
      <c r="F588" t="s">
        <v>11198</v>
      </c>
      <c r="G588" t="s">
        <v>10999</v>
      </c>
    </row>
    <row r="589" spans="1:7">
      <c r="A589" s="305"/>
      <c r="B589" t="s">
        <v>5976</v>
      </c>
      <c r="C589" t="s">
        <v>5977</v>
      </c>
      <c r="E589">
        <v>2155.4347826086955</v>
      </c>
      <c r="F589" t="s">
        <v>11198</v>
      </c>
      <c r="G589" t="s">
        <v>10997</v>
      </c>
    </row>
    <row r="590" spans="1:7">
      <c r="A590" s="305"/>
      <c r="B590" t="s">
        <v>5990</v>
      </c>
      <c r="C590" t="s">
        <v>5991</v>
      </c>
      <c r="E590">
        <v>2259.782608695652</v>
      </c>
      <c r="F590" t="s">
        <v>11198</v>
      </c>
      <c r="G590" t="s">
        <v>10999</v>
      </c>
    </row>
    <row r="591" spans="1:7">
      <c r="A591" s="305"/>
      <c r="B591" t="s">
        <v>5890</v>
      </c>
      <c r="C591" t="s">
        <v>5891</v>
      </c>
      <c r="E591">
        <v>2285.869565217391</v>
      </c>
      <c r="F591" t="s">
        <v>11198</v>
      </c>
      <c r="G591" t="s">
        <v>10997</v>
      </c>
    </row>
    <row r="592" spans="1:7">
      <c r="A592" s="305"/>
      <c r="B592" t="s">
        <v>5940</v>
      </c>
      <c r="C592" t="s">
        <v>5873</v>
      </c>
      <c r="E592">
        <v>2285.869565217391</v>
      </c>
      <c r="F592" t="s">
        <v>11198</v>
      </c>
      <c r="G592" t="s">
        <v>10997</v>
      </c>
    </row>
    <row r="593" spans="1:7">
      <c r="A593" s="305"/>
      <c r="B593" t="s">
        <v>5932</v>
      </c>
      <c r="C593" t="s">
        <v>5933</v>
      </c>
      <c r="E593">
        <v>2473.913043478261</v>
      </c>
      <c r="F593" t="s">
        <v>11198</v>
      </c>
      <c r="G593" t="s">
        <v>10997</v>
      </c>
    </row>
    <row r="594" spans="1:7">
      <c r="A594" s="305"/>
      <c r="B594" t="s">
        <v>5924</v>
      </c>
      <c r="C594" t="s">
        <v>5925</v>
      </c>
      <c r="E594">
        <v>2704.3478260869565</v>
      </c>
      <c r="F594" t="s">
        <v>11198</v>
      </c>
      <c r="G594" t="s">
        <v>10999</v>
      </c>
    </row>
    <row r="595" spans="1:7">
      <c r="A595" s="305"/>
      <c r="B595" t="s">
        <v>5978</v>
      </c>
      <c r="C595" t="s">
        <v>5979</v>
      </c>
      <c r="E595">
        <v>2727.173913043478</v>
      </c>
      <c r="F595" t="s">
        <v>11198</v>
      </c>
      <c r="G595" t="s">
        <v>10997</v>
      </c>
    </row>
    <row r="596" spans="1:7">
      <c r="A596" s="305"/>
      <c r="B596" t="s">
        <v>6043</v>
      </c>
      <c r="C596" t="s">
        <v>6044</v>
      </c>
      <c r="E596">
        <v>2848.9130434782605</v>
      </c>
      <c r="F596" t="s">
        <v>11198</v>
      </c>
      <c r="G596" t="s">
        <v>10997</v>
      </c>
    </row>
    <row r="597" spans="1:7">
      <c r="A597" s="305"/>
      <c r="B597" t="s">
        <v>5894</v>
      </c>
      <c r="C597" t="s">
        <v>5895</v>
      </c>
      <c r="E597">
        <v>2880.4347826086955</v>
      </c>
      <c r="F597" t="s">
        <v>11198</v>
      </c>
      <c r="G597" t="s">
        <v>10997</v>
      </c>
    </row>
    <row r="598" spans="1:7">
      <c r="A598" s="305"/>
      <c r="B598" t="s">
        <v>5937</v>
      </c>
      <c r="C598" t="s">
        <v>5871</v>
      </c>
      <c r="E598">
        <v>2880.4347826086955</v>
      </c>
      <c r="F598" t="s">
        <v>11198</v>
      </c>
      <c r="G598" t="s">
        <v>10997</v>
      </c>
    </row>
    <row r="599" spans="1:7">
      <c r="A599" s="305"/>
      <c r="B599" t="s">
        <v>6054</v>
      </c>
      <c r="C599" t="s">
        <v>6055</v>
      </c>
      <c r="E599">
        <v>3003.260869565217</v>
      </c>
      <c r="F599" t="s">
        <v>11198</v>
      </c>
      <c r="G599" t="s">
        <v>10997</v>
      </c>
    </row>
    <row r="600" spans="1:7">
      <c r="A600" s="305"/>
      <c r="B600" t="s">
        <v>5896</v>
      </c>
      <c r="C600" t="s">
        <v>5865</v>
      </c>
      <c r="E600">
        <v>3010.869565217391</v>
      </c>
      <c r="F600" t="s">
        <v>11198</v>
      </c>
      <c r="G600" t="s">
        <v>10999</v>
      </c>
    </row>
    <row r="601" spans="1:7">
      <c r="A601" s="305"/>
      <c r="B601" t="s">
        <v>5950</v>
      </c>
      <c r="C601" t="s">
        <v>5951</v>
      </c>
      <c r="E601">
        <v>3010.869565217391</v>
      </c>
      <c r="F601" t="s">
        <v>11198</v>
      </c>
      <c r="G601" t="s">
        <v>10999</v>
      </c>
    </row>
    <row r="602" spans="1:7">
      <c r="A602" s="305"/>
      <c r="B602" t="s">
        <v>5984</v>
      </c>
      <c r="C602" t="s">
        <v>5985</v>
      </c>
      <c r="E602">
        <v>3011.9565217391305</v>
      </c>
      <c r="F602" t="s">
        <v>11198</v>
      </c>
      <c r="G602" t="s">
        <v>10999</v>
      </c>
    </row>
    <row r="603" spans="1:7">
      <c r="A603" s="305"/>
      <c r="B603" t="s">
        <v>5992</v>
      </c>
      <c r="C603" t="s">
        <v>5993</v>
      </c>
      <c r="E603">
        <v>3161.9565217391305</v>
      </c>
      <c r="F603" t="s">
        <v>11198</v>
      </c>
      <c r="G603" t="s">
        <v>10999</v>
      </c>
    </row>
    <row r="604" spans="1:7">
      <c r="A604" s="305"/>
      <c r="B604" t="s">
        <v>5996</v>
      </c>
      <c r="C604" t="s">
        <v>5882</v>
      </c>
      <c r="E604">
        <v>3266.304347826087</v>
      </c>
      <c r="F604" t="s">
        <v>11198</v>
      </c>
      <c r="G604" t="s">
        <v>10999</v>
      </c>
    </row>
    <row r="605" spans="1:7">
      <c r="A605" s="305"/>
      <c r="B605" t="s">
        <v>5926</v>
      </c>
      <c r="C605" t="s">
        <v>5927</v>
      </c>
      <c r="E605">
        <v>3283.695652173913</v>
      </c>
      <c r="F605" t="s">
        <v>11198</v>
      </c>
      <c r="G605" t="s">
        <v>10999</v>
      </c>
    </row>
    <row r="606" spans="1:7">
      <c r="A606" s="305"/>
      <c r="B606" t="s">
        <v>6045</v>
      </c>
      <c r="C606" t="s">
        <v>6046</v>
      </c>
      <c r="E606">
        <v>3442.391304347826</v>
      </c>
      <c r="F606" t="s">
        <v>11198</v>
      </c>
      <c r="G606" t="s">
        <v>10997</v>
      </c>
    </row>
    <row r="607" spans="1:7">
      <c r="A607" s="305"/>
      <c r="B607" t="s">
        <v>5892</v>
      </c>
      <c r="C607" t="s">
        <v>5893</v>
      </c>
      <c r="E607">
        <v>3451.086956521739</v>
      </c>
      <c r="F607" t="s">
        <v>11198</v>
      </c>
      <c r="G607" t="s">
        <v>10997</v>
      </c>
    </row>
    <row r="608" spans="1:7">
      <c r="A608" s="305"/>
      <c r="B608" t="s">
        <v>5938</v>
      </c>
      <c r="C608" t="s">
        <v>5939</v>
      </c>
      <c r="E608">
        <v>3451.086956521739</v>
      </c>
      <c r="F608" t="s">
        <v>11198</v>
      </c>
      <c r="G608" t="s">
        <v>10997</v>
      </c>
    </row>
    <row r="609" spans="1:7">
      <c r="A609" s="305"/>
      <c r="B609" t="s">
        <v>6062</v>
      </c>
      <c r="C609" t="s">
        <v>6063</v>
      </c>
      <c r="E609">
        <v>3573.9130434782605</v>
      </c>
      <c r="F609" t="s">
        <v>11198</v>
      </c>
      <c r="G609" t="s">
        <v>10999</v>
      </c>
    </row>
    <row r="610" spans="1:7">
      <c r="A610" s="305"/>
      <c r="B610" t="s">
        <v>5980</v>
      </c>
      <c r="C610" t="s">
        <v>5981</v>
      </c>
      <c r="E610">
        <v>3583.695652173913</v>
      </c>
      <c r="F610" t="s">
        <v>11198</v>
      </c>
      <c r="G610" t="s">
        <v>10999</v>
      </c>
    </row>
    <row r="611" spans="1:7">
      <c r="A611" s="305"/>
      <c r="B611" t="s">
        <v>5997</v>
      </c>
      <c r="C611" t="s">
        <v>5879</v>
      </c>
      <c r="E611">
        <v>3845.6521739130435</v>
      </c>
      <c r="F611" t="s">
        <v>11198</v>
      </c>
      <c r="G611" t="s">
        <v>10999</v>
      </c>
    </row>
    <row r="612" spans="1:7">
      <c r="A612" s="305"/>
      <c r="B612" t="s">
        <v>5899</v>
      </c>
      <c r="C612" t="s">
        <v>5900</v>
      </c>
      <c r="E612">
        <v>3885.869565217391</v>
      </c>
      <c r="F612" t="s">
        <v>11198</v>
      </c>
      <c r="G612" t="s">
        <v>10997</v>
      </c>
    </row>
    <row r="613" spans="1:7">
      <c r="A613" s="305"/>
      <c r="B613" t="s">
        <v>5941</v>
      </c>
      <c r="C613" t="s">
        <v>5942</v>
      </c>
      <c r="E613">
        <v>3900</v>
      </c>
      <c r="F613" t="s">
        <v>11198</v>
      </c>
      <c r="G613" t="s">
        <v>10997</v>
      </c>
    </row>
    <row r="614" spans="1:7">
      <c r="A614" s="305"/>
      <c r="B614" t="s">
        <v>5945</v>
      </c>
      <c r="C614" t="s">
        <v>5946</v>
      </c>
      <c r="E614">
        <v>3900</v>
      </c>
      <c r="F614" t="s">
        <v>11198</v>
      </c>
      <c r="G614" t="s">
        <v>10997</v>
      </c>
    </row>
    <row r="615" spans="1:7">
      <c r="A615" s="305"/>
      <c r="B615" t="s">
        <v>6047</v>
      </c>
      <c r="C615" t="s">
        <v>5893</v>
      </c>
      <c r="E615">
        <v>4013.0434782608695</v>
      </c>
      <c r="F615" t="s">
        <v>11198</v>
      </c>
      <c r="G615" t="s">
        <v>10997</v>
      </c>
    </row>
    <row r="616" spans="1:7">
      <c r="A616" s="305"/>
      <c r="B616" t="s">
        <v>5901</v>
      </c>
      <c r="C616" t="s">
        <v>5902</v>
      </c>
      <c r="E616">
        <v>4325</v>
      </c>
      <c r="F616" t="s">
        <v>11198</v>
      </c>
      <c r="G616" t="s">
        <v>10997</v>
      </c>
    </row>
    <row r="617" spans="1:7">
      <c r="A617" s="305"/>
      <c r="B617" t="s">
        <v>5943</v>
      </c>
      <c r="C617" t="s">
        <v>5944</v>
      </c>
      <c r="E617">
        <v>4340.217391304348</v>
      </c>
      <c r="F617" t="s">
        <v>11198</v>
      </c>
      <c r="G617" t="s">
        <v>10997</v>
      </c>
    </row>
    <row r="618" spans="1:7">
      <c r="A618" s="305"/>
      <c r="B618" t="s">
        <v>6048</v>
      </c>
      <c r="C618" t="s">
        <v>6049</v>
      </c>
      <c r="E618">
        <v>4430.4347826086951</v>
      </c>
      <c r="F618" t="s">
        <v>11198</v>
      </c>
      <c r="G618" t="s">
        <v>10997</v>
      </c>
    </row>
    <row r="619" spans="1:7">
      <c r="A619" s="305"/>
      <c r="B619" t="s">
        <v>6056</v>
      </c>
      <c r="C619" t="s">
        <v>6057</v>
      </c>
      <c r="E619">
        <v>4430.4347826086951</v>
      </c>
      <c r="F619" t="s">
        <v>11198</v>
      </c>
      <c r="G619" t="s">
        <v>10997</v>
      </c>
    </row>
    <row r="620" spans="1:7">
      <c r="A620" s="305"/>
      <c r="B620" t="s">
        <v>6050</v>
      </c>
      <c r="C620" t="s">
        <v>6051</v>
      </c>
      <c r="E620">
        <v>4869.565217391304</v>
      </c>
      <c r="F620" t="s">
        <v>11198</v>
      </c>
      <c r="G620" t="s">
        <v>10997</v>
      </c>
    </row>
    <row r="621" spans="1:7">
      <c r="A621" s="305"/>
      <c r="B621" t="s">
        <v>5947</v>
      </c>
      <c r="C621" t="s">
        <v>5922</v>
      </c>
      <c r="E621">
        <v>5195.652173913043</v>
      </c>
      <c r="F621" t="s">
        <v>11198</v>
      </c>
      <c r="G621" t="s">
        <v>10997</v>
      </c>
    </row>
    <row r="622" spans="1:7">
      <c r="A622" s="305"/>
      <c r="B622" t="s">
        <v>5954</v>
      </c>
      <c r="C622" t="s">
        <v>5872</v>
      </c>
      <c r="E622">
        <v>5195.652173913043</v>
      </c>
      <c r="F622" t="s">
        <v>11198</v>
      </c>
      <c r="G622" t="s">
        <v>10997</v>
      </c>
    </row>
    <row r="623" spans="1:7">
      <c r="A623" s="305"/>
      <c r="B623" t="s">
        <v>6052</v>
      </c>
      <c r="C623" t="s">
        <v>6053</v>
      </c>
      <c r="E623">
        <v>5726.086956521739</v>
      </c>
      <c r="F623" t="s">
        <v>11198</v>
      </c>
      <c r="G623" t="s">
        <v>10997</v>
      </c>
    </row>
    <row r="624" spans="1:7">
      <c r="A624" s="305"/>
      <c r="B624" t="s">
        <v>6058</v>
      </c>
      <c r="C624" t="s">
        <v>6059</v>
      </c>
      <c r="E624">
        <v>5726.086956521739</v>
      </c>
      <c r="F624" t="s">
        <v>11198</v>
      </c>
      <c r="G624" t="s">
        <v>10997</v>
      </c>
    </row>
    <row r="625" spans="1:7">
      <c r="A625" s="305"/>
      <c r="B625" t="s">
        <v>5897</v>
      </c>
      <c r="C625" t="s">
        <v>5898</v>
      </c>
      <c r="E625">
        <v>5897.8260869565211</v>
      </c>
      <c r="F625" t="s">
        <v>11198</v>
      </c>
      <c r="G625" t="s">
        <v>10997</v>
      </c>
    </row>
    <row r="626" spans="1:7">
      <c r="A626" s="305"/>
      <c r="B626" t="s">
        <v>5948</v>
      </c>
      <c r="C626" t="s">
        <v>5874</v>
      </c>
      <c r="E626">
        <v>5911.95652173913</v>
      </c>
      <c r="F626" t="s">
        <v>11198</v>
      </c>
      <c r="G626" t="s">
        <v>10997</v>
      </c>
    </row>
    <row r="627" spans="1:7">
      <c r="A627" s="305"/>
      <c r="B627" t="s">
        <v>6032</v>
      </c>
      <c r="C627" t="s">
        <v>6033</v>
      </c>
      <c r="E627">
        <v>6442.391304347826</v>
      </c>
      <c r="F627" t="s">
        <v>11198</v>
      </c>
      <c r="G627" t="s">
        <v>10997</v>
      </c>
    </row>
    <row r="628" spans="1:7">
      <c r="A628" s="305"/>
      <c r="B628" t="s">
        <v>5949</v>
      </c>
      <c r="C628" t="s">
        <v>5875</v>
      </c>
      <c r="E628">
        <v>6626.086956521739</v>
      </c>
      <c r="F628" t="s">
        <v>11198</v>
      </c>
      <c r="G628" t="s">
        <v>10997</v>
      </c>
    </row>
    <row r="629" spans="1:7">
      <c r="A629" s="305"/>
      <c r="B629" t="s">
        <v>6034</v>
      </c>
      <c r="C629" t="s">
        <v>6035</v>
      </c>
      <c r="E629">
        <v>7155.4347826086951</v>
      </c>
      <c r="F629" t="s">
        <v>11198</v>
      </c>
      <c r="G629" t="s">
        <v>10997</v>
      </c>
    </row>
    <row r="630" spans="1:7">
      <c r="A630" s="305"/>
      <c r="B630" t="s">
        <v>6321</v>
      </c>
    </row>
    <row r="631" spans="1:7">
      <c r="A631" s="305"/>
      <c r="B631" t="s">
        <v>11297</v>
      </c>
    </row>
    <row r="632" spans="1:7">
      <c r="A632" s="305"/>
      <c r="B632" t="s">
        <v>6322</v>
      </c>
      <c r="C632" t="s">
        <v>6323</v>
      </c>
      <c r="E632">
        <v>1851.086956521739</v>
      </c>
      <c r="F632" t="s">
        <v>6321</v>
      </c>
      <c r="G632" t="s">
        <v>10999</v>
      </c>
    </row>
    <row r="633" spans="1:7">
      <c r="A633" s="305"/>
      <c r="B633" t="s">
        <v>11298</v>
      </c>
    </row>
    <row r="634" spans="1:7">
      <c r="A634" s="305"/>
      <c r="B634" t="s">
        <v>6353</v>
      </c>
      <c r="C634" t="s">
        <v>6354</v>
      </c>
      <c r="E634">
        <v>158.69565217391303</v>
      </c>
      <c r="F634" t="s">
        <v>6321</v>
      </c>
      <c r="G634" t="s">
        <v>10999</v>
      </c>
    </row>
    <row r="635" spans="1:7">
      <c r="A635" s="305"/>
      <c r="B635" t="s">
        <v>6328</v>
      </c>
      <c r="C635" t="s">
        <v>6329</v>
      </c>
      <c r="E635">
        <v>148.91304347826087</v>
      </c>
      <c r="F635" t="s">
        <v>6321</v>
      </c>
      <c r="G635" t="s">
        <v>10997</v>
      </c>
    </row>
    <row r="636" spans="1:7">
      <c r="A636" s="305"/>
      <c r="B636" t="s">
        <v>6334</v>
      </c>
      <c r="C636" t="s">
        <v>6335</v>
      </c>
      <c r="E636">
        <v>148.91304347826087</v>
      </c>
      <c r="F636" t="s">
        <v>6321</v>
      </c>
      <c r="G636" t="s">
        <v>10996</v>
      </c>
    </row>
    <row r="637" spans="1:7">
      <c r="A637" s="305"/>
      <c r="B637" t="s">
        <v>6340</v>
      </c>
      <c r="C637" t="s">
        <v>6326</v>
      </c>
      <c r="E637">
        <v>161.95652173913044</v>
      </c>
      <c r="F637" t="s">
        <v>6321</v>
      </c>
      <c r="G637" t="s">
        <v>10997</v>
      </c>
    </row>
    <row r="638" spans="1:7">
      <c r="A638" s="305"/>
      <c r="B638" t="s">
        <v>6343</v>
      </c>
      <c r="C638" t="s">
        <v>6344</v>
      </c>
      <c r="E638">
        <v>161.95652173913044</v>
      </c>
      <c r="F638" t="s">
        <v>6321</v>
      </c>
      <c r="G638" t="s">
        <v>10996</v>
      </c>
    </row>
    <row r="639" spans="1:7">
      <c r="A639" s="305"/>
      <c r="B639" t="s">
        <v>6330</v>
      </c>
      <c r="C639" t="s">
        <v>6331</v>
      </c>
      <c r="E639">
        <v>141.30434782608694</v>
      </c>
      <c r="F639" t="s">
        <v>6321</v>
      </c>
      <c r="G639" t="s">
        <v>10997</v>
      </c>
    </row>
    <row r="640" spans="1:7">
      <c r="A640" s="305"/>
      <c r="B640" t="s">
        <v>6355</v>
      </c>
      <c r="C640" t="s">
        <v>6356</v>
      </c>
      <c r="E640">
        <v>166.30434782608694</v>
      </c>
      <c r="F640" t="s">
        <v>6321</v>
      </c>
      <c r="G640" t="s">
        <v>10997</v>
      </c>
    </row>
    <row r="641" spans="1:7">
      <c r="A641" s="305"/>
      <c r="B641" t="s">
        <v>6359</v>
      </c>
      <c r="C641" t="s">
        <v>6360</v>
      </c>
      <c r="E641">
        <v>165.21739130434781</v>
      </c>
      <c r="F641" t="s">
        <v>6321</v>
      </c>
      <c r="G641" t="s">
        <v>10997</v>
      </c>
    </row>
    <row r="642" spans="1:7">
      <c r="A642" s="305"/>
      <c r="B642" t="s">
        <v>6363</v>
      </c>
      <c r="C642" t="s">
        <v>6364</v>
      </c>
      <c r="E642">
        <v>425</v>
      </c>
      <c r="F642" t="s">
        <v>6321</v>
      </c>
      <c r="G642" t="s">
        <v>10996</v>
      </c>
    </row>
    <row r="643" spans="1:7">
      <c r="A643" s="305"/>
      <c r="B643" t="s">
        <v>6347</v>
      </c>
      <c r="C643" t="s">
        <v>6348</v>
      </c>
      <c r="E643">
        <v>270.65217391304344</v>
      </c>
      <c r="F643" t="s">
        <v>6321</v>
      </c>
      <c r="G643" t="s">
        <v>10997</v>
      </c>
    </row>
    <row r="644" spans="1:7">
      <c r="A644" s="305"/>
      <c r="B644" t="s">
        <v>6349</v>
      </c>
      <c r="C644" t="s">
        <v>6350</v>
      </c>
      <c r="E644">
        <v>688.04347826086951</v>
      </c>
      <c r="F644" t="s">
        <v>6321</v>
      </c>
      <c r="G644" t="s">
        <v>10996</v>
      </c>
    </row>
    <row r="645" spans="1:7">
      <c r="A645" s="305"/>
      <c r="B645" t="s">
        <v>11299</v>
      </c>
    </row>
    <row r="646" spans="1:7">
      <c r="A646" s="305"/>
      <c r="B646" t="s">
        <v>6367</v>
      </c>
      <c r="C646" t="s">
        <v>6346</v>
      </c>
      <c r="E646">
        <v>270.65217391304344</v>
      </c>
      <c r="F646" t="s">
        <v>6321</v>
      </c>
      <c r="G646" t="s">
        <v>10999</v>
      </c>
    </row>
    <row r="647" spans="1:7">
      <c r="A647" s="305"/>
      <c r="B647" t="s">
        <v>11300</v>
      </c>
    </row>
    <row r="648" spans="1:7">
      <c r="A648" s="305"/>
      <c r="B648" t="s">
        <v>6332</v>
      </c>
      <c r="C648" t="s">
        <v>6333</v>
      </c>
      <c r="E648">
        <v>148.91304347826087</v>
      </c>
      <c r="F648" t="s">
        <v>6321</v>
      </c>
      <c r="G648" t="s">
        <v>10997</v>
      </c>
    </row>
    <row r="649" spans="1:7">
      <c r="A649" s="305"/>
      <c r="B649" t="s">
        <v>6336</v>
      </c>
      <c r="C649" t="s">
        <v>6337</v>
      </c>
      <c r="E649">
        <v>148.91304347826087</v>
      </c>
      <c r="F649" t="s">
        <v>6321</v>
      </c>
      <c r="G649" t="s">
        <v>10999</v>
      </c>
    </row>
    <row r="650" spans="1:7">
      <c r="A650" s="305"/>
      <c r="B650" t="s">
        <v>6351</v>
      </c>
      <c r="C650" t="s">
        <v>6352</v>
      </c>
      <c r="E650">
        <v>158.69565217391303</v>
      </c>
      <c r="F650" t="s">
        <v>6321</v>
      </c>
      <c r="G650" t="s">
        <v>10999</v>
      </c>
    </row>
    <row r="651" spans="1:7">
      <c r="A651" s="305"/>
      <c r="B651" t="s">
        <v>6338</v>
      </c>
      <c r="C651" t="s">
        <v>6339</v>
      </c>
      <c r="E651">
        <v>160.86956521739128</v>
      </c>
      <c r="F651" t="s">
        <v>6321</v>
      </c>
      <c r="G651" t="s">
        <v>10997</v>
      </c>
    </row>
    <row r="652" spans="1:7">
      <c r="A652" s="305"/>
      <c r="B652" t="s">
        <v>6341</v>
      </c>
      <c r="C652" t="s">
        <v>6342</v>
      </c>
      <c r="E652">
        <v>160.86956521739128</v>
      </c>
      <c r="F652" t="s">
        <v>6321</v>
      </c>
      <c r="G652" t="s">
        <v>10996</v>
      </c>
    </row>
    <row r="653" spans="1:7">
      <c r="A653" s="305"/>
      <c r="B653" t="s">
        <v>6357</v>
      </c>
      <c r="C653" t="s">
        <v>6358</v>
      </c>
      <c r="E653">
        <v>165.21739130434781</v>
      </c>
      <c r="F653" t="s">
        <v>6321</v>
      </c>
      <c r="G653" t="s">
        <v>10996</v>
      </c>
    </row>
    <row r="654" spans="1:7">
      <c r="A654" s="305"/>
      <c r="B654" t="s">
        <v>6345</v>
      </c>
      <c r="C654" t="s">
        <v>6346</v>
      </c>
      <c r="E654">
        <v>270.65217391304344</v>
      </c>
      <c r="F654" t="s">
        <v>6321</v>
      </c>
      <c r="G654" t="s">
        <v>10997</v>
      </c>
    </row>
    <row r="655" spans="1:7">
      <c r="A655" s="305"/>
      <c r="B655" t="s">
        <v>6361</v>
      </c>
      <c r="C655" t="s">
        <v>6362</v>
      </c>
      <c r="E655">
        <v>425</v>
      </c>
      <c r="F655" t="s">
        <v>6321</v>
      </c>
      <c r="G655" t="s">
        <v>10996</v>
      </c>
    </row>
    <row r="656" spans="1:7">
      <c r="A656" s="305"/>
      <c r="B656" t="s">
        <v>6365</v>
      </c>
      <c r="C656" t="s">
        <v>6366</v>
      </c>
      <c r="E656">
        <v>688.04347826086951</v>
      </c>
      <c r="F656" t="s">
        <v>6321</v>
      </c>
      <c r="G656" t="s">
        <v>10997</v>
      </c>
    </row>
    <row r="657" spans="1:7">
      <c r="A657" s="305"/>
      <c r="B657" t="s">
        <v>11301</v>
      </c>
    </row>
    <row r="658" spans="1:7">
      <c r="A658" s="305"/>
      <c r="B658" t="s">
        <v>6368</v>
      </c>
      <c r="C658" t="s">
        <v>6369</v>
      </c>
      <c r="E658">
        <v>128.26086956521738</v>
      </c>
      <c r="F658" t="s">
        <v>6321</v>
      </c>
      <c r="G658" t="s">
        <v>10996</v>
      </c>
    </row>
    <row r="659" spans="1:7">
      <c r="A659" s="305"/>
      <c r="B659" t="s">
        <v>6370</v>
      </c>
      <c r="C659" t="s">
        <v>6371</v>
      </c>
      <c r="E659">
        <v>169.56521739130434</v>
      </c>
      <c r="F659" t="s">
        <v>6321</v>
      </c>
      <c r="G659" t="s">
        <v>10997</v>
      </c>
    </row>
    <row r="660" spans="1:7">
      <c r="A660" s="305"/>
      <c r="B660" t="s">
        <v>6372</v>
      </c>
      <c r="C660" t="s">
        <v>6373</v>
      </c>
      <c r="E660">
        <v>163.04347826086956</v>
      </c>
      <c r="F660" t="s">
        <v>6321</v>
      </c>
      <c r="G660" t="s">
        <v>10997</v>
      </c>
    </row>
    <row r="661" spans="1:7">
      <c r="A661" s="306"/>
      <c r="B661" t="s">
        <v>6374</v>
      </c>
      <c r="C661" t="s">
        <v>3143</v>
      </c>
      <c r="E661">
        <v>281.52173913043475</v>
      </c>
      <c r="F661" t="s">
        <v>6321</v>
      </c>
      <c r="G661" t="s">
        <v>10997</v>
      </c>
    </row>
    <row r="662" spans="1:7">
      <c r="A662" s="306"/>
      <c r="B662" t="s">
        <v>6379</v>
      </c>
      <c r="C662" t="s">
        <v>3143</v>
      </c>
      <c r="E662">
        <v>281.52173913043475</v>
      </c>
      <c r="F662" t="s">
        <v>11190</v>
      </c>
      <c r="G662" t="s">
        <v>10997</v>
      </c>
    </row>
    <row r="663" spans="1:7">
      <c r="A663" s="306"/>
      <c r="B663" t="s">
        <v>6375</v>
      </c>
      <c r="C663" t="s">
        <v>6376</v>
      </c>
      <c r="E663">
        <v>688.04347826086951</v>
      </c>
      <c r="F663" t="s">
        <v>6321</v>
      </c>
      <c r="G663" t="s">
        <v>10996</v>
      </c>
    </row>
    <row r="664" spans="1:7">
      <c r="A664" s="306"/>
      <c r="B664" t="s">
        <v>11302</v>
      </c>
      <c r="C664" t="s">
        <v>11303</v>
      </c>
      <c r="E664">
        <v>552.17391304347825</v>
      </c>
      <c r="F664" t="s">
        <v>6321</v>
      </c>
      <c r="G664" t="s">
        <v>10996</v>
      </c>
    </row>
    <row r="665" spans="1:7">
      <c r="A665" s="306"/>
      <c r="B665" t="s">
        <v>6377</v>
      </c>
      <c r="C665" t="s">
        <v>6378</v>
      </c>
      <c r="E665">
        <v>2557.608695652174</v>
      </c>
      <c r="F665" t="s">
        <v>6321</v>
      </c>
      <c r="G665" t="s">
        <v>10999</v>
      </c>
    </row>
    <row r="666" spans="1:7">
      <c r="A666" s="306"/>
      <c r="B666" t="s">
        <v>11304</v>
      </c>
    </row>
    <row r="667" spans="1:7">
      <c r="A667" s="306"/>
      <c r="B667" t="s">
        <v>6324</v>
      </c>
      <c r="C667" t="s">
        <v>11305</v>
      </c>
      <c r="E667">
        <v>1834.782608695652</v>
      </c>
      <c r="F667" t="s">
        <v>6321</v>
      </c>
      <c r="G667" t="s">
        <v>11306</v>
      </c>
    </row>
    <row r="668" spans="1:7">
      <c r="A668" s="306"/>
      <c r="B668" t="s">
        <v>6325</v>
      </c>
      <c r="C668" t="s">
        <v>11307</v>
      </c>
      <c r="E668">
        <v>2556.5217391304345</v>
      </c>
      <c r="F668" t="s">
        <v>6321</v>
      </c>
      <c r="G668" t="s">
        <v>11306</v>
      </c>
    </row>
    <row r="669" spans="1:7">
      <c r="A669" s="306"/>
      <c r="B669" t="s">
        <v>6327</v>
      </c>
      <c r="C669" t="s">
        <v>11308</v>
      </c>
      <c r="E669">
        <v>731.52173913043475</v>
      </c>
      <c r="F669" t="s">
        <v>6321</v>
      </c>
      <c r="G669" t="s">
        <v>10996</v>
      </c>
    </row>
    <row r="670" spans="1:7">
      <c r="A670" s="306"/>
      <c r="B670" t="s">
        <v>11309</v>
      </c>
    </row>
    <row r="671" spans="1:7">
      <c r="A671" s="306"/>
      <c r="B671" t="s">
        <v>14036</v>
      </c>
    </row>
    <row r="672" spans="1:7">
      <c r="A672" s="306"/>
      <c r="B672" t="s">
        <v>6418</v>
      </c>
      <c r="C672" t="s">
        <v>6419</v>
      </c>
      <c r="E672">
        <v>304.3478260869565</v>
      </c>
      <c r="F672" t="s">
        <v>11310</v>
      </c>
      <c r="G672" t="s">
        <v>10997</v>
      </c>
    </row>
    <row r="673" spans="1:7">
      <c r="A673" s="306"/>
      <c r="B673" t="s">
        <v>6420</v>
      </c>
      <c r="C673" t="s">
        <v>6421</v>
      </c>
      <c r="E673">
        <v>428.26086956521738</v>
      </c>
      <c r="F673" t="s">
        <v>11310</v>
      </c>
      <c r="G673" t="s">
        <v>10997</v>
      </c>
    </row>
    <row r="674" spans="1:7">
      <c r="A674" s="306"/>
      <c r="B674" t="s">
        <v>11311</v>
      </c>
      <c r="C674" t="s">
        <v>14032</v>
      </c>
      <c r="E674">
        <v>751.08695652173913</v>
      </c>
      <c r="F674" t="s">
        <v>11310</v>
      </c>
    </row>
    <row r="675" spans="1:7">
      <c r="A675" s="306"/>
      <c r="B675" t="s">
        <v>354</v>
      </c>
      <c r="C675" t="s">
        <v>11312</v>
      </c>
      <c r="E675">
        <v>302.17391304347825</v>
      </c>
      <c r="F675" t="s">
        <v>11310</v>
      </c>
      <c r="G675" t="s">
        <v>10997</v>
      </c>
    </row>
    <row r="676" spans="1:7">
      <c r="A676" s="306"/>
      <c r="B676" t="s">
        <v>6441</v>
      </c>
      <c r="C676" t="s">
        <v>11313</v>
      </c>
      <c r="E676">
        <v>303.26086956521738</v>
      </c>
      <c r="F676" t="s">
        <v>11310</v>
      </c>
      <c r="G676" t="s">
        <v>10997</v>
      </c>
    </row>
    <row r="677" spans="1:7">
      <c r="A677" s="306"/>
      <c r="B677" t="s">
        <v>356</v>
      </c>
      <c r="C677" t="s">
        <v>11314</v>
      </c>
      <c r="E677">
        <v>426.08695652173913</v>
      </c>
      <c r="F677" t="s">
        <v>11310</v>
      </c>
      <c r="G677" t="s">
        <v>10997</v>
      </c>
    </row>
    <row r="678" spans="1:7">
      <c r="A678" s="306"/>
      <c r="B678" t="s">
        <v>6395</v>
      </c>
      <c r="C678" t="s">
        <v>11315</v>
      </c>
      <c r="E678">
        <v>427.17391304347825</v>
      </c>
      <c r="F678" t="s">
        <v>11310</v>
      </c>
      <c r="G678" t="s">
        <v>10997</v>
      </c>
    </row>
    <row r="679" spans="1:7">
      <c r="A679" s="306"/>
      <c r="B679" t="s">
        <v>11316</v>
      </c>
      <c r="C679" t="s">
        <v>14033</v>
      </c>
      <c r="E679">
        <v>750</v>
      </c>
      <c r="F679" t="s">
        <v>11310</v>
      </c>
    </row>
    <row r="680" spans="1:7">
      <c r="A680" s="306"/>
      <c r="B680" t="s">
        <v>1874</v>
      </c>
      <c r="C680" t="s">
        <v>11317</v>
      </c>
      <c r="E680">
        <v>179.3478260869565</v>
      </c>
      <c r="F680" t="s">
        <v>11310</v>
      </c>
      <c r="G680" t="s">
        <v>10997</v>
      </c>
    </row>
    <row r="681" spans="1:7">
      <c r="A681" s="306"/>
      <c r="B681" t="s">
        <v>1876</v>
      </c>
      <c r="C681" t="s">
        <v>11318</v>
      </c>
      <c r="E681">
        <v>222.82608695652172</v>
      </c>
      <c r="F681" t="s">
        <v>11310</v>
      </c>
      <c r="G681" t="s">
        <v>10997</v>
      </c>
    </row>
    <row r="682" spans="1:7">
      <c r="A682" s="306"/>
      <c r="B682" t="s">
        <v>1878</v>
      </c>
      <c r="C682" t="s">
        <v>14034</v>
      </c>
      <c r="E682">
        <v>295.65217391304344</v>
      </c>
      <c r="F682" t="s">
        <v>11310</v>
      </c>
      <c r="G682" t="s">
        <v>10999</v>
      </c>
    </row>
    <row r="683" spans="1:7">
      <c r="A683" s="306"/>
      <c r="B683" t="s">
        <v>1389</v>
      </c>
      <c r="C683" t="s">
        <v>11319</v>
      </c>
      <c r="E683">
        <v>182.60869565217391</v>
      </c>
      <c r="F683" t="s">
        <v>11310</v>
      </c>
      <c r="G683" t="s">
        <v>10996</v>
      </c>
    </row>
    <row r="684" spans="1:7">
      <c r="A684" s="306"/>
      <c r="B684" t="s">
        <v>1868</v>
      </c>
      <c r="C684" t="s">
        <v>11320</v>
      </c>
      <c r="E684">
        <v>225</v>
      </c>
      <c r="F684" t="s">
        <v>11310</v>
      </c>
      <c r="G684" t="s">
        <v>10997</v>
      </c>
    </row>
    <row r="685" spans="1:7">
      <c r="A685" s="306"/>
      <c r="B685" t="s">
        <v>6459</v>
      </c>
      <c r="C685" t="s">
        <v>11321</v>
      </c>
      <c r="E685">
        <v>325</v>
      </c>
      <c r="F685" t="s">
        <v>11310</v>
      </c>
      <c r="G685" t="s">
        <v>10996</v>
      </c>
    </row>
    <row r="686" spans="1:7">
      <c r="A686" s="306"/>
      <c r="B686" t="s">
        <v>1870</v>
      </c>
      <c r="C686" t="s">
        <v>11322</v>
      </c>
      <c r="E686">
        <v>298.91304347826087</v>
      </c>
      <c r="F686" t="s">
        <v>11310</v>
      </c>
      <c r="G686" t="s">
        <v>10999</v>
      </c>
    </row>
    <row r="687" spans="1:7">
      <c r="A687" s="306"/>
      <c r="B687" t="s">
        <v>1872</v>
      </c>
      <c r="C687" t="s">
        <v>11323</v>
      </c>
      <c r="E687">
        <v>366.30434782608694</v>
      </c>
      <c r="F687" t="s">
        <v>11310</v>
      </c>
      <c r="G687" t="s">
        <v>10999</v>
      </c>
    </row>
    <row r="688" spans="1:7">
      <c r="A688" s="306"/>
      <c r="B688" t="s">
        <v>6461</v>
      </c>
      <c r="C688" t="s">
        <v>11324</v>
      </c>
      <c r="E688">
        <v>475</v>
      </c>
      <c r="F688" t="s">
        <v>11310</v>
      </c>
      <c r="G688" t="s">
        <v>10996</v>
      </c>
    </row>
    <row r="689" spans="1:7">
      <c r="A689" s="306"/>
      <c r="B689" t="s">
        <v>6426</v>
      </c>
      <c r="C689" t="s">
        <v>11325</v>
      </c>
      <c r="E689">
        <v>451.08695652173913</v>
      </c>
      <c r="F689" t="s">
        <v>11310</v>
      </c>
      <c r="G689" t="s">
        <v>10996</v>
      </c>
    </row>
    <row r="690" spans="1:7">
      <c r="A690" s="306"/>
      <c r="B690" t="s">
        <v>6462</v>
      </c>
      <c r="C690" t="s">
        <v>14035</v>
      </c>
      <c r="E690">
        <v>726.08695652173913</v>
      </c>
      <c r="F690" t="s">
        <v>11310</v>
      </c>
      <c r="G690" t="s">
        <v>10996</v>
      </c>
    </row>
    <row r="691" spans="1:7">
      <c r="A691" s="306"/>
      <c r="B691" t="s">
        <v>6381</v>
      </c>
      <c r="C691" t="s">
        <v>11326</v>
      </c>
      <c r="E691">
        <v>277.17391304347825</v>
      </c>
      <c r="F691" t="s">
        <v>11310</v>
      </c>
      <c r="G691" t="s">
        <v>10997</v>
      </c>
    </row>
    <row r="692" spans="1:7">
      <c r="A692" s="306"/>
      <c r="B692" t="s">
        <v>1398</v>
      </c>
      <c r="C692" t="s">
        <v>11327</v>
      </c>
      <c r="E692">
        <v>276.08695652173913</v>
      </c>
      <c r="F692" t="s">
        <v>11310</v>
      </c>
      <c r="G692" t="s">
        <v>10997</v>
      </c>
    </row>
    <row r="693" spans="1:7">
      <c r="A693" s="306"/>
      <c r="B693" t="s">
        <v>6393</v>
      </c>
      <c r="C693" t="s">
        <v>11328</v>
      </c>
      <c r="E693">
        <v>235.86956521739128</v>
      </c>
      <c r="F693" t="s">
        <v>11310</v>
      </c>
      <c r="G693" t="s">
        <v>10997</v>
      </c>
    </row>
    <row r="694" spans="1:7">
      <c r="A694" s="306"/>
      <c r="B694" t="s">
        <v>6394</v>
      </c>
      <c r="C694" t="s">
        <v>11329</v>
      </c>
      <c r="E694">
        <v>235.86956521739128</v>
      </c>
      <c r="F694" t="s">
        <v>11310</v>
      </c>
      <c r="G694" t="s">
        <v>10999</v>
      </c>
    </row>
    <row r="695" spans="1:7">
      <c r="A695" s="306"/>
      <c r="B695" t="s">
        <v>1396</v>
      </c>
      <c r="C695" t="s">
        <v>11330</v>
      </c>
      <c r="E695">
        <v>231.52173913043478</v>
      </c>
      <c r="F695" t="s">
        <v>11310</v>
      </c>
      <c r="G695" t="s">
        <v>10997</v>
      </c>
    </row>
    <row r="696" spans="1:7">
      <c r="A696" s="306"/>
      <c r="B696" t="s">
        <v>1892</v>
      </c>
      <c r="C696" t="s">
        <v>11331</v>
      </c>
      <c r="E696">
        <v>234.78260869565216</v>
      </c>
      <c r="F696" t="s">
        <v>11310</v>
      </c>
      <c r="G696" t="s">
        <v>10999</v>
      </c>
    </row>
    <row r="697" spans="1:7">
      <c r="A697" s="306"/>
      <c r="B697" t="s">
        <v>11332</v>
      </c>
      <c r="C697" t="s">
        <v>11333</v>
      </c>
      <c r="E697">
        <v>232.60869565217391</v>
      </c>
      <c r="F697" t="s">
        <v>11310</v>
      </c>
    </row>
    <row r="698" spans="1:7">
      <c r="A698" s="306"/>
      <c r="B698" t="s">
        <v>11334</v>
      </c>
      <c r="C698" t="s">
        <v>11335</v>
      </c>
      <c r="E698">
        <v>232.60869565217391</v>
      </c>
      <c r="F698" t="s">
        <v>11310</v>
      </c>
    </row>
    <row r="699" spans="1:7">
      <c r="A699" s="306"/>
      <c r="B699" t="s">
        <v>6469</v>
      </c>
      <c r="C699" t="s">
        <v>11336</v>
      </c>
      <c r="E699">
        <v>404.3478260869565</v>
      </c>
      <c r="F699" t="s">
        <v>11310</v>
      </c>
      <c r="G699" t="s">
        <v>10996</v>
      </c>
    </row>
    <row r="700" spans="1:7">
      <c r="A700" s="306"/>
      <c r="B700" t="s">
        <v>11337</v>
      </c>
      <c r="C700" t="s">
        <v>11338</v>
      </c>
      <c r="E700">
        <v>359.78260869565219</v>
      </c>
      <c r="F700" t="s">
        <v>11310</v>
      </c>
    </row>
    <row r="701" spans="1:7">
      <c r="A701" s="306"/>
      <c r="B701" t="s">
        <v>334</v>
      </c>
      <c r="C701" t="s">
        <v>11339</v>
      </c>
      <c r="E701">
        <v>391.30434782608694</v>
      </c>
      <c r="F701" t="s">
        <v>11310</v>
      </c>
      <c r="G701" t="s">
        <v>10997</v>
      </c>
    </row>
    <row r="702" spans="1:7">
      <c r="A702" s="306"/>
      <c r="B702" t="s">
        <v>6452</v>
      </c>
      <c r="C702" t="s">
        <v>11340</v>
      </c>
      <c r="E702">
        <v>392.39130434782606</v>
      </c>
      <c r="F702" t="s">
        <v>11310</v>
      </c>
      <c r="G702" t="s">
        <v>10997</v>
      </c>
    </row>
    <row r="703" spans="1:7">
      <c r="A703" s="306"/>
      <c r="B703" t="s">
        <v>6440</v>
      </c>
      <c r="C703" t="s">
        <v>11341</v>
      </c>
      <c r="E703">
        <v>332.60869565217388</v>
      </c>
      <c r="F703" t="s">
        <v>11310</v>
      </c>
      <c r="G703" t="s">
        <v>10996</v>
      </c>
    </row>
    <row r="704" spans="1:7">
      <c r="A704" s="306"/>
      <c r="B704" t="s">
        <v>1400</v>
      </c>
      <c r="C704" t="s">
        <v>11342</v>
      </c>
      <c r="E704">
        <v>332.60869565217388</v>
      </c>
      <c r="F704" t="s">
        <v>11310</v>
      </c>
      <c r="G704" t="s">
        <v>10996</v>
      </c>
    </row>
    <row r="705" spans="1:7">
      <c r="A705" s="306"/>
      <c r="B705" t="s">
        <v>6471</v>
      </c>
      <c r="C705" t="s">
        <v>11343</v>
      </c>
      <c r="E705">
        <v>317.39130434782606</v>
      </c>
      <c r="F705" t="s">
        <v>11310</v>
      </c>
      <c r="G705" t="s">
        <v>10996</v>
      </c>
    </row>
    <row r="706" spans="1:7">
      <c r="A706" s="306"/>
      <c r="B706" t="s">
        <v>6475</v>
      </c>
      <c r="C706" t="s">
        <v>11344</v>
      </c>
      <c r="E706">
        <v>317.39130434782606</v>
      </c>
      <c r="F706" t="s">
        <v>11310</v>
      </c>
      <c r="G706" t="s">
        <v>10999</v>
      </c>
    </row>
    <row r="707" spans="1:7">
      <c r="A707" s="306"/>
      <c r="B707" t="s">
        <v>6453</v>
      </c>
      <c r="C707" t="s">
        <v>11345</v>
      </c>
      <c r="E707">
        <v>317.39130434782606</v>
      </c>
      <c r="F707" t="s">
        <v>11310</v>
      </c>
      <c r="G707" t="s">
        <v>10997</v>
      </c>
    </row>
    <row r="708" spans="1:7">
      <c r="A708" s="306"/>
      <c r="B708" t="s">
        <v>1394</v>
      </c>
      <c r="C708" t="s">
        <v>11346</v>
      </c>
      <c r="E708">
        <v>296.73913043478262</v>
      </c>
      <c r="F708" t="s">
        <v>11310</v>
      </c>
      <c r="G708" t="s">
        <v>10997</v>
      </c>
    </row>
    <row r="709" spans="1:7">
      <c r="A709" s="306"/>
      <c r="B709" t="s">
        <v>2160</v>
      </c>
      <c r="C709" t="s">
        <v>11347</v>
      </c>
      <c r="E709">
        <v>316.30434782608694</v>
      </c>
      <c r="F709" t="s">
        <v>11310</v>
      </c>
      <c r="G709" t="s">
        <v>10997</v>
      </c>
    </row>
    <row r="710" spans="1:7">
      <c r="A710" s="306"/>
      <c r="B710" t="s">
        <v>11348</v>
      </c>
      <c r="C710" t="s">
        <v>11349</v>
      </c>
      <c r="E710">
        <v>297.82608695652175</v>
      </c>
      <c r="F710" t="s">
        <v>11310</v>
      </c>
    </row>
    <row r="711" spans="1:7">
      <c r="A711" s="306"/>
      <c r="B711" t="s">
        <v>11350</v>
      </c>
      <c r="C711" t="s">
        <v>11351</v>
      </c>
      <c r="E711">
        <v>297.82608695652175</v>
      </c>
      <c r="F711" t="s">
        <v>11310</v>
      </c>
    </row>
    <row r="712" spans="1:7">
      <c r="A712" s="306"/>
      <c r="B712" t="s">
        <v>6457</v>
      </c>
      <c r="C712" t="s">
        <v>11352</v>
      </c>
      <c r="E712">
        <v>623.91304347826087</v>
      </c>
      <c r="F712" t="s">
        <v>11310</v>
      </c>
      <c r="G712" t="s">
        <v>10996</v>
      </c>
    </row>
    <row r="713" spans="1:7">
      <c r="A713" s="306"/>
      <c r="B713" t="s">
        <v>6454</v>
      </c>
      <c r="C713" t="s">
        <v>11353</v>
      </c>
      <c r="E713">
        <v>625</v>
      </c>
      <c r="F713" t="s">
        <v>11310</v>
      </c>
      <c r="G713" t="s">
        <v>10996</v>
      </c>
    </row>
    <row r="714" spans="1:7">
      <c r="A714" s="306"/>
      <c r="B714" t="s">
        <v>11354</v>
      </c>
      <c r="C714" t="s">
        <v>11355</v>
      </c>
      <c r="E714">
        <v>554.3478260869565</v>
      </c>
      <c r="F714" t="s">
        <v>11310</v>
      </c>
    </row>
    <row r="715" spans="1:7">
      <c r="A715" s="306"/>
      <c r="B715" t="s">
        <v>6470</v>
      </c>
      <c r="C715" t="s">
        <v>11356</v>
      </c>
      <c r="E715">
        <v>584.78260869565213</v>
      </c>
      <c r="F715" t="s">
        <v>11310</v>
      </c>
      <c r="G715" t="s">
        <v>10996</v>
      </c>
    </row>
    <row r="716" spans="1:7">
      <c r="A716" s="306"/>
      <c r="B716" t="s">
        <v>6472</v>
      </c>
      <c r="C716" t="s">
        <v>11357</v>
      </c>
      <c r="E716">
        <v>392.39130434782606</v>
      </c>
      <c r="F716" t="s">
        <v>11310</v>
      </c>
      <c r="G716" t="s">
        <v>10996</v>
      </c>
    </row>
    <row r="717" spans="1:7">
      <c r="A717" s="306"/>
      <c r="B717" t="s">
        <v>6451</v>
      </c>
      <c r="C717" t="s">
        <v>11358</v>
      </c>
      <c r="E717">
        <v>417.39130434782606</v>
      </c>
      <c r="F717" t="s">
        <v>11310</v>
      </c>
      <c r="G717" t="s">
        <v>10997</v>
      </c>
    </row>
    <row r="718" spans="1:7">
      <c r="A718" s="306"/>
      <c r="B718" t="s">
        <v>332</v>
      </c>
      <c r="C718" t="s">
        <v>11359</v>
      </c>
      <c r="E718">
        <v>364.13043478260869</v>
      </c>
      <c r="F718" t="s">
        <v>11310</v>
      </c>
      <c r="G718" t="s">
        <v>10997</v>
      </c>
    </row>
    <row r="719" spans="1:7">
      <c r="A719" s="306"/>
      <c r="B719" t="s">
        <v>11360</v>
      </c>
      <c r="C719" t="s">
        <v>11361</v>
      </c>
      <c r="E719">
        <v>365.21739130434781</v>
      </c>
      <c r="F719" t="s">
        <v>11310</v>
      </c>
    </row>
    <row r="720" spans="1:7">
      <c r="A720" s="306"/>
      <c r="B720" t="s">
        <v>11362</v>
      </c>
      <c r="C720" t="s">
        <v>11363</v>
      </c>
      <c r="E720">
        <v>365.21739130434781</v>
      </c>
      <c r="F720" t="s">
        <v>11310</v>
      </c>
    </row>
    <row r="721" spans="1:7">
      <c r="A721" s="306"/>
      <c r="B721" t="s">
        <v>6392</v>
      </c>
      <c r="C721" t="s">
        <v>11364</v>
      </c>
      <c r="E721">
        <v>456.52173913043475</v>
      </c>
      <c r="F721" t="s">
        <v>11310</v>
      </c>
      <c r="G721" t="s">
        <v>10997</v>
      </c>
    </row>
    <row r="722" spans="1:7">
      <c r="A722" s="306"/>
      <c r="B722" t="s">
        <v>358</v>
      </c>
      <c r="C722" t="s">
        <v>11365</v>
      </c>
      <c r="E722">
        <v>455.43478260869563</v>
      </c>
      <c r="F722" t="s">
        <v>11310</v>
      </c>
      <c r="G722" t="s">
        <v>10997</v>
      </c>
    </row>
    <row r="723" spans="1:7">
      <c r="A723" s="306"/>
      <c r="B723" t="s">
        <v>11366</v>
      </c>
      <c r="C723" t="s">
        <v>11367</v>
      </c>
      <c r="E723">
        <v>456.52173913043475</v>
      </c>
      <c r="F723" t="s">
        <v>11310</v>
      </c>
    </row>
    <row r="724" spans="1:7">
      <c r="A724" s="306"/>
      <c r="B724" t="s">
        <v>6449</v>
      </c>
      <c r="C724" t="s">
        <v>11368</v>
      </c>
      <c r="E724">
        <v>538.04347826086951</v>
      </c>
      <c r="F724" t="s">
        <v>11310</v>
      </c>
      <c r="G724" t="s">
        <v>10997</v>
      </c>
    </row>
    <row r="725" spans="1:7">
      <c r="A725" s="306"/>
      <c r="B725" t="s">
        <v>6450</v>
      </c>
      <c r="C725" t="s">
        <v>11369</v>
      </c>
      <c r="E725">
        <v>535.86956521739125</v>
      </c>
      <c r="F725" t="s">
        <v>11310</v>
      </c>
      <c r="G725" t="s">
        <v>10999</v>
      </c>
    </row>
    <row r="726" spans="1:7">
      <c r="A726" s="306"/>
      <c r="B726" t="s">
        <v>6455</v>
      </c>
      <c r="C726" t="s">
        <v>11370</v>
      </c>
      <c r="E726">
        <v>538.04347826086951</v>
      </c>
      <c r="F726" t="s">
        <v>11310</v>
      </c>
      <c r="G726" t="s">
        <v>10997</v>
      </c>
    </row>
    <row r="727" spans="1:7">
      <c r="A727" s="306"/>
      <c r="B727" t="s">
        <v>11371</v>
      </c>
      <c r="C727" t="s">
        <v>11372</v>
      </c>
      <c r="E727">
        <v>489.13043478260869</v>
      </c>
      <c r="F727" t="s">
        <v>11310</v>
      </c>
    </row>
    <row r="728" spans="1:7">
      <c r="A728" s="306"/>
      <c r="B728" t="s">
        <v>11373</v>
      </c>
      <c r="C728" t="s">
        <v>11374</v>
      </c>
      <c r="E728">
        <v>489.13043478260869</v>
      </c>
      <c r="F728" t="s">
        <v>11310</v>
      </c>
    </row>
    <row r="729" spans="1:7">
      <c r="A729" s="306"/>
      <c r="B729" t="s">
        <v>6473</v>
      </c>
      <c r="C729" t="s">
        <v>11375</v>
      </c>
      <c r="E729">
        <v>535.86956521739125</v>
      </c>
      <c r="F729" t="s">
        <v>11310</v>
      </c>
      <c r="G729" t="s">
        <v>10996</v>
      </c>
    </row>
    <row r="730" spans="1:7">
      <c r="A730" s="306"/>
      <c r="B730" t="s">
        <v>6476</v>
      </c>
      <c r="C730" t="s">
        <v>11376</v>
      </c>
      <c r="E730">
        <v>535.86956521739125</v>
      </c>
      <c r="F730" t="s">
        <v>11310</v>
      </c>
      <c r="G730" t="s">
        <v>10999</v>
      </c>
    </row>
    <row r="731" spans="1:7">
      <c r="A731" s="306"/>
      <c r="B731" t="s">
        <v>6474</v>
      </c>
      <c r="C731" t="s">
        <v>11377</v>
      </c>
      <c r="E731">
        <v>15.217391304347826</v>
      </c>
      <c r="F731" t="s">
        <v>11310</v>
      </c>
      <c r="G731" t="s">
        <v>10996</v>
      </c>
    </row>
    <row r="732" spans="1:7">
      <c r="A732" s="306"/>
      <c r="B732" t="s">
        <v>6480</v>
      </c>
      <c r="C732" t="s">
        <v>11378</v>
      </c>
      <c r="E732">
        <v>14.130434782608695</v>
      </c>
      <c r="F732" t="s">
        <v>11310</v>
      </c>
      <c r="G732" t="s">
        <v>10996</v>
      </c>
    </row>
    <row r="733" spans="1:7">
      <c r="A733" s="306"/>
      <c r="B733" t="s">
        <v>11379</v>
      </c>
      <c r="C733" t="s">
        <v>14029</v>
      </c>
      <c r="E733">
        <v>786.95652173913038</v>
      </c>
      <c r="F733" t="s">
        <v>11310</v>
      </c>
    </row>
    <row r="734" spans="1:7">
      <c r="A734" s="306"/>
      <c r="B734" t="s">
        <v>11380</v>
      </c>
      <c r="C734" t="s">
        <v>11381</v>
      </c>
      <c r="E734">
        <v>356.52173913043475</v>
      </c>
      <c r="F734" t="s">
        <v>11310</v>
      </c>
    </row>
    <row r="735" spans="1:7">
      <c r="A735" s="306"/>
      <c r="B735" t="s">
        <v>11382</v>
      </c>
      <c r="C735" t="s">
        <v>11383</v>
      </c>
      <c r="E735">
        <v>551.08695652173913</v>
      </c>
      <c r="F735" t="s">
        <v>11310</v>
      </c>
    </row>
    <row r="736" spans="1:7">
      <c r="A736" s="306"/>
      <c r="B736" t="s">
        <v>1882</v>
      </c>
      <c r="C736" t="s">
        <v>11384</v>
      </c>
      <c r="E736">
        <v>268.47826086956519</v>
      </c>
      <c r="F736" t="s">
        <v>11310</v>
      </c>
      <c r="G736" t="s">
        <v>10999</v>
      </c>
    </row>
    <row r="737" spans="1:7">
      <c r="A737" s="306"/>
      <c r="B737" t="s">
        <v>338</v>
      </c>
      <c r="C737" t="s">
        <v>11385</v>
      </c>
      <c r="E737">
        <v>270.65217391304344</v>
      </c>
      <c r="F737" t="s">
        <v>11310</v>
      </c>
      <c r="G737" t="s">
        <v>10999</v>
      </c>
    </row>
    <row r="738" spans="1:7">
      <c r="A738" s="306"/>
      <c r="B738" t="s">
        <v>1884</v>
      </c>
      <c r="C738" t="s">
        <v>11386</v>
      </c>
      <c r="E738">
        <v>363.04347826086956</v>
      </c>
      <c r="F738" t="s">
        <v>11310</v>
      </c>
      <c r="G738" t="s">
        <v>10996</v>
      </c>
    </row>
    <row r="739" spans="1:7">
      <c r="A739" s="306"/>
      <c r="B739" t="s">
        <v>364</v>
      </c>
      <c r="C739" t="s">
        <v>11387</v>
      </c>
      <c r="E739">
        <v>333.695652173913</v>
      </c>
      <c r="F739" t="s">
        <v>11310</v>
      </c>
      <c r="G739" t="s">
        <v>10997</v>
      </c>
    </row>
    <row r="740" spans="1:7">
      <c r="A740" s="306"/>
      <c r="B740" t="s">
        <v>6464</v>
      </c>
      <c r="C740" t="s">
        <v>11388</v>
      </c>
      <c r="E740">
        <v>314.13043478260869</v>
      </c>
      <c r="F740" t="s">
        <v>11310</v>
      </c>
      <c r="G740" t="s">
        <v>10996</v>
      </c>
    </row>
    <row r="741" spans="1:7">
      <c r="A741" s="306"/>
      <c r="B741" t="s">
        <v>1886</v>
      </c>
      <c r="C741" t="s">
        <v>11389</v>
      </c>
      <c r="E741">
        <v>390.21739130434781</v>
      </c>
      <c r="F741" t="s">
        <v>11310</v>
      </c>
      <c r="G741" t="s">
        <v>10999</v>
      </c>
    </row>
    <row r="742" spans="1:7">
      <c r="A742" s="306"/>
      <c r="B742" t="s">
        <v>6422</v>
      </c>
      <c r="C742" t="s">
        <v>11390</v>
      </c>
      <c r="E742">
        <v>504.3478260869565</v>
      </c>
      <c r="F742" t="s">
        <v>11310</v>
      </c>
      <c r="G742" t="s">
        <v>10999</v>
      </c>
    </row>
    <row r="743" spans="1:7">
      <c r="A743" s="306"/>
      <c r="B743" t="s">
        <v>6431</v>
      </c>
      <c r="C743" t="s">
        <v>11391</v>
      </c>
      <c r="E743">
        <v>481.52173913043475</v>
      </c>
      <c r="F743" t="s">
        <v>11310</v>
      </c>
      <c r="G743" t="s">
        <v>10997</v>
      </c>
    </row>
    <row r="744" spans="1:7">
      <c r="A744" s="306"/>
      <c r="B744" t="s">
        <v>6465</v>
      </c>
      <c r="C744" t="s">
        <v>11392</v>
      </c>
      <c r="E744">
        <v>423.91304347826087</v>
      </c>
      <c r="F744" t="s">
        <v>11310</v>
      </c>
      <c r="G744" t="s">
        <v>10996</v>
      </c>
    </row>
    <row r="745" spans="1:7">
      <c r="A745" s="306"/>
      <c r="B745" t="s">
        <v>6467</v>
      </c>
      <c r="C745" t="s">
        <v>11393</v>
      </c>
      <c r="E745">
        <v>728.26086956521738</v>
      </c>
      <c r="F745" t="s">
        <v>11310</v>
      </c>
      <c r="G745" t="s">
        <v>10996</v>
      </c>
    </row>
    <row r="746" spans="1:7">
      <c r="A746" s="306"/>
      <c r="B746" t="s">
        <v>6468</v>
      </c>
      <c r="C746" t="s">
        <v>14030</v>
      </c>
      <c r="E746">
        <v>747.82608695652175</v>
      </c>
      <c r="F746" t="s">
        <v>11310</v>
      </c>
      <c r="G746" t="s">
        <v>10996</v>
      </c>
    </row>
    <row r="747" spans="1:7">
      <c r="A747" s="306"/>
      <c r="B747" t="s">
        <v>6402</v>
      </c>
      <c r="C747" t="s">
        <v>11394</v>
      </c>
      <c r="E747">
        <v>357.60869565217388</v>
      </c>
      <c r="F747" t="s">
        <v>11310</v>
      </c>
      <c r="G747" t="s">
        <v>10999</v>
      </c>
    </row>
    <row r="748" spans="1:7">
      <c r="A748" s="306"/>
      <c r="B748" t="s">
        <v>6403</v>
      </c>
      <c r="C748" t="s">
        <v>11395</v>
      </c>
      <c r="E748">
        <v>557.60869565217388</v>
      </c>
      <c r="F748" t="s">
        <v>11310</v>
      </c>
      <c r="G748" t="s">
        <v>10999</v>
      </c>
    </row>
    <row r="749" spans="1:7">
      <c r="A749" s="306"/>
      <c r="B749" t="s">
        <v>6404</v>
      </c>
      <c r="C749" t="s">
        <v>11396</v>
      </c>
      <c r="E749">
        <v>943.47826086956513</v>
      </c>
      <c r="F749" t="s">
        <v>11310</v>
      </c>
      <c r="G749" t="s">
        <v>10999</v>
      </c>
    </row>
    <row r="750" spans="1:7">
      <c r="A750" s="306"/>
      <c r="B750" t="s">
        <v>6405</v>
      </c>
      <c r="C750" t="s">
        <v>11397</v>
      </c>
      <c r="E750">
        <v>1481.5217391304348</v>
      </c>
      <c r="F750" t="s">
        <v>11310</v>
      </c>
      <c r="G750" t="s">
        <v>10999</v>
      </c>
    </row>
    <row r="751" spans="1:7">
      <c r="A751" s="306"/>
      <c r="B751" t="s">
        <v>6396</v>
      </c>
      <c r="C751" t="s">
        <v>11398</v>
      </c>
      <c r="E751">
        <v>966.30434782608688</v>
      </c>
      <c r="F751" t="s">
        <v>11310</v>
      </c>
      <c r="G751" t="s">
        <v>10999</v>
      </c>
    </row>
    <row r="752" spans="1:7">
      <c r="A752" s="306"/>
      <c r="B752" t="s">
        <v>6397</v>
      </c>
      <c r="C752" t="s">
        <v>11399</v>
      </c>
      <c r="E752">
        <v>1938.0434782608695</v>
      </c>
      <c r="F752" t="s">
        <v>11310</v>
      </c>
      <c r="G752" t="s">
        <v>10999</v>
      </c>
    </row>
    <row r="753" spans="1:7">
      <c r="A753" s="306"/>
      <c r="B753" t="s">
        <v>6398</v>
      </c>
      <c r="C753" t="s">
        <v>14031</v>
      </c>
      <c r="E753">
        <v>3708.695652173913</v>
      </c>
      <c r="F753" t="s">
        <v>11310</v>
      </c>
      <c r="G753" t="s">
        <v>10999</v>
      </c>
    </row>
    <row r="754" spans="1:7">
      <c r="A754" s="306"/>
      <c r="B754" t="s">
        <v>6406</v>
      </c>
      <c r="C754" t="s">
        <v>11400</v>
      </c>
      <c r="E754">
        <v>363.04347826086956</v>
      </c>
      <c r="F754" t="s">
        <v>11310</v>
      </c>
      <c r="G754" t="s">
        <v>10997</v>
      </c>
    </row>
    <row r="755" spans="1:7">
      <c r="A755" s="306"/>
      <c r="B755" t="s">
        <v>6410</v>
      </c>
      <c r="C755" t="s">
        <v>11401</v>
      </c>
      <c r="E755">
        <v>364.13043478260869</v>
      </c>
      <c r="F755" t="s">
        <v>11310</v>
      </c>
      <c r="G755" t="s">
        <v>10997</v>
      </c>
    </row>
    <row r="756" spans="1:7">
      <c r="A756" s="306"/>
      <c r="B756" t="s">
        <v>11402</v>
      </c>
      <c r="C756" t="s">
        <v>11403</v>
      </c>
      <c r="E756">
        <v>206.52173913043478</v>
      </c>
      <c r="F756" t="s">
        <v>11310</v>
      </c>
    </row>
    <row r="757" spans="1:7">
      <c r="A757" s="306"/>
      <c r="B757" t="s">
        <v>11404</v>
      </c>
      <c r="C757" t="s">
        <v>11405</v>
      </c>
      <c r="E757">
        <v>206.52173913043478</v>
      </c>
      <c r="F757" t="s">
        <v>11310</v>
      </c>
    </row>
    <row r="758" spans="1:7">
      <c r="A758" s="306"/>
      <c r="B758" t="s">
        <v>6407</v>
      </c>
      <c r="C758" t="s">
        <v>11406</v>
      </c>
      <c r="E758">
        <v>561.95652173913038</v>
      </c>
      <c r="F758" t="s">
        <v>11310</v>
      </c>
      <c r="G758" t="s">
        <v>10996</v>
      </c>
    </row>
    <row r="759" spans="1:7">
      <c r="A759" s="306"/>
      <c r="B759" t="s">
        <v>6411</v>
      </c>
      <c r="C759" t="s">
        <v>11407</v>
      </c>
      <c r="E759">
        <v>563.04347826086951</v>
      </c>
      <c r="F759" t="s">
        <v>11310</v>
      </c>
      <c r="G759" t="s">
        <v>10996</v>
      </c>
    </row>
    <row r="760" spans="1:7">
      <c r="A760" s="306"/>
      <c r="B760" t="s">
        <v>6442</v>
      </c>
      <c r="C760" t="s">
        <v>11408</v>
      </c>
      <c r="E760">
        <v>392.39130434782606</v>
      </c>
      <c r="F760" t="s">
        <v>11310</v>
      </c>
    </row>
    <row r="761" spans="1:7">
      <c r="A761" s="306"/>
      <c r="B761" t="s">
        <v>11409</v>
      </c>
      <c r="C761" t="s">
        <v>11410</v>
      </c>
      <c r="E761">
        <v>339.13043478260869</v>
      </c>
      <c r="F761" t="s">
        <v>11310</v>
      </c>
    </row>
    <row r="762" spans="1:7">
      <c r="A762" s="306"/>
      <c r="B762" t="s">
        <v>11411</v>
      </c>
      <c r="C762" t="s">
        <v>11412</v>
      </c>
      <c r="E762">
        <v>339.13043478260869</v>
      </c>
      <c r="F762" t="s">
        <v>11310</v>
      </c>
    </row>
    <row r="763" spans="1:7">
      <c r="A763" s="306"/>
      <c r="B763" t="s">
        <v>6408</v>
      </c>
      <c r="C763" t="s">
        <v>11413</v>
      </c>
      <c r="E763">
        <v>948.91304347826087</v>
      </c>
      <c r="F763" t="s">
        <v>11310</v>
      </c>
      <c r="G763" t="s">
        <v>10996</v>
      </c>
    </row>
    <row r="764" spans="1:7">
      <c r="A764" s="306"/>
      <c r="B764" t="s">
        <v>6412</v>
      </c>
      <c r="C764" t="s">
        <v>11414</v>
      </c>
      <c r="E764">
        <v>950</v>
      </c>
      <c r="F764" t="s">
        <v>11310</v>
      </c>
      <c r="G764" t="s">
        <v>10996</v>
      </c>
    </row>
    <row r="765" spans="1:7">
      <c r="A765" s="306"/>
      <c r="B765" t="s">
        <v>11415</v>
      </c>
      <c r="C765" t="s">
        <v>11416</v>
      </c>
      <c r="E765">
        <v>604.3478260869565</v>
      </c>
      <c r="F765" t="s">
        <v>11310</v>
      </c>
    </row>
    <row r="766" spans="1:7">
      <c r="A766" s="306"/>
      <c r="B766" t="s">
        <v>11417</v>
      </c>
      <c r="C766" t="s">
        <v>11418</v>
      </c>
      <c r="E766">
        <v>604.3478260869565</v>
      </c>
      <c r="F766" t="s">
        <v>11310</v>
      </c>
    </row>
    <row r="767" spans="1:7">
      <c r="A767" s="306"/>
      <c r="B767" t="s">
        <v>6409</v>
      </c>
      <c r="C767" t="s">
        <v>11419</v>
      </c>
      <c r="E767">
        <v>1486.9565217391303</v>
      </c>
      <c r="F767" t="s">
        <v>11310</v>
      </c>
      <c r="G767" t="s">
        <v>10999</v>
      </c>
    </row>
    <row r="768" spans="1:7">
      <c r="A768" s="306"/>
      <c r="B768" t="s">
        <v>6413</v>
      </c>
      <c r="C768" t="s">
        <v>11420</v>
      </c>
      <c r="E768">
        <v>1488.0434782608695</v>
      </c>
      <c r="F768" t="s">
        <v>11310</v>
      </c>
      <c r="G768" t="s">
        <v>10999</v>
      </c>
    </row>
    <row r="769" spans="1:7">
      <c r="A769" s="306"/>
      <c r="B769" t="s">
        <v>11421</v>
      </c>
      <c r="C769" t="s">
        <v>11422</v>
      </c>
      <c r="E769">
        <v>1134.782608695652</v>
      </c>
      <c r="F769" t="s">
        <v>11310</v>
      </c>
    </row>
    <row r="770" spans="1:7">
      <c r="A770" s="306"/>
      <c r="B770" t="s">
        <v>11423</v>
      </c>
      <c r="C770" t="s">
        <v>11424</v>
      </c>
      <c r="E770">
        <v>1134.782608695652</v>
      </c>
      <c r="F770" t="s">
        <v>11310</v>
      </c>
    </row>
    <row r="771" spans="1:7">
      <c r="A771" s="306"/>
      <c r="B771" t="s">
        <v>6388</v>
      </c>
      <c r="C771" t="s">
        <v>11425</v>
      </c>
      <c r="E771">
        <v>332.60869565217388</v>
      </c>
      <c r="F771" t="s">
        <v>11310</v>
      </c>
      <c r="G771" t="s">
        <v>10997</v>
      </c>
    </row>
    <row r="772" spans="1:7">
      <c r="A772" s="306"/>
      <c r="B772" t="s">
        <v>6389</v>
      </c>
      <c r="C772" t="s">
        <v>11426</v>
      </c>
      <c r="E772">
        <v>508.695652173913</v>
      </c>
      <c r="F772" t="s">
        <v>11310</v>
      </c>
      <c r="G772" t="s">
        <v>10997</v>
      </c>
    </row>
    <row r="773" spans="1:7">
      <c r="A773" s="306"/>
      <c r="B773" t="s">
        <v>6390</v>
      </c>
      <c r="C773" t="s">
        <v>11427</v>
      </c>
      <c r="E773">
        <v>989.13043478260863</v>
      </c>
      <c r="F773" t="s">
        <v>11310</v>
      </c>
      <c r="G773" t="s">
        <v>10997</v>
      </c>
    </row>
    <row r="774" spans="1:7">
      <c r="A774" s="306"/>
      <c r="B774" t="s">
        <v>6391</v>
      </c>
      <c r="C774" t="s">
        <v>11428</v>
      </c>
      <c r="E774">
        <v>1640.2173913043478</v>
      </c>
      <c r="F774" t="s">
        <v>11310</v>
      </c>
      <c r="G774" t="s">
        <v>10996</v>
      </c>
    </row>
    <row r="775" spans="1:7">
      <c r="A775" s="306"/>
      <c r="B775" t="s">
        <v>11429</v>
      </c>
      <c r="C775" t="s">
        <v>14037</v>
      </c>
      <c r="E775">
        <v>1488.0434782608695</v>
      </c>
      <c r="F775" t="s">
        <v>11310</v>
      </c>
    </row>
    <row r="776" spans="1:7">
      <c r="A776" s="306"/>
      <c r="B776" t="s">
        <v>6414</v>
      </c>
      <c r="C776" t="s">
        <v>11430</v>
      </c>
      <c r="E776">
        <v>369.56521739130432</v>
      </c>
      <c r="F776" t="s">
        <v>11310</v>
      </c>
      <c r="G776" t="s">
        <v>10997</v>
      </c>
    </row>
    <row r="777" spans="1:7">
      <c r="A777" s="306"/>
      <c r="B777" t="s">
        <v>11431</v>
      </c>
      <c r="C777" t="s">
        <v>14038</v>
      </c>
      <c r="E777">
        <v>1130.4347826086955</v>
      </c>
      <c r="F777" t="s">
        <v>11310</v>
      </c>
    </row>
    <row r="778" spans="1:7">
      <c r="A778" s="306"/>
      <c r="B778" t="s">
        <v>6427</v>
      </c>
      <c r="C778" t="s">
        <v>11432</v>
      </c>
      <c r="E778">
        <v>868.47826086956513</v>
      </c>
      <c r="F778" t="s">
        <v>11310</v>
      </c>
      <c r="G778" t="s">
        <v>11306</v>
      </c>
    </row>
    <row r="779" spans="1:7">
      <c r="A779" s="306"/>
      <c r="B779" t="s">
        <v>6399</v>
      </c>
      <c r="C779" t="s">
        <v>11433</v>
      </c>
      <c r="E779">
        <v>869.56521739130426</v>
      </c>
      <c r="F779" t="s">
        <v>11310</v>
      </c>
      <c r="G779" t="s">
        <v>11306</v>
      </c>
    </row>
    <row r="780" spans="1:7">
      <c r="A780" s="306"/>
      <c r="B780" t="s">
        <v>6443</v>
      </c>
      <c r="C780" t="s">
        <v>11434</v>
      </c>
      <c r="E780">
        <v>1282.6086956521738</v>
      </c>
      <c r="F780" t="s">
        <v>11310</v>
      </c>
      <c r="G780" t="s">
        <v>10996</v>
      </c>
    </row>
    <row r="781" spans="1:7">
      <c r="A781" s="306"/>
      <c r="B781" t="s">
        <v>6428</v>
      </c>
      <c r="C781" t="s">
        <v>11435</v>
      </c>
      <c r="E781">
        <v>2284.782608695652</v>
      </c>
      <c r="F781" t="s">
        <v>11310</v>
      </c>
      <c r="G781" t="s">
        <v>10997</v>
      </c>
    </row>
    <row r="782" spans="1:7">
      <c r="A782" s="306"/>
      <c r="B782" t="s">
        <v>6400</v>
      </c>
      <c r="C782" t="s">
        <v>11436</v>
      </c>
      <c r="E782">
        <v>2285.869565217391</v>
      </c>
      <c r="F782" t="s">
        <v>11310</v>
      </c>
      <c r="G782" t="s">
        <v>10997</v>
      </c>
    </row>
    <row r="783" spans="1:7">
      <c r="A783" s="306"/>
      <c r="B783" t="s">
        <v>6444</v>
      </c>
      <c r="C783" t="s">
        <v>11437</v>
      </c>
      <c r="E783">
        <v>2122.8260869565215</v>
      </c>
      <c r="F783" t="s">
        <v>11310</v>
      </c>
      <c r="G783" t="s">
        <v>10996</v>
      </c>
    </row>
    <row r="784" spans="1:7">
      <c r="A784" s="306"/>
      <c r="B784" t="s">
        <v>6429</v>
      </c>
      <c r="C784" t="s">
        <v>11438</v>
      </c>
      <c r="E784">
        <v>4272.826086956522</v>
      </c>
      <c r="F784" t="s">
        <v>11310</v>
      </c>
      <c r="G784" t="s">
        <v>10996</v>
      </c>
    </row>
    <row r="785" spans="1:7">
      <c r="A785" s="306"/>
      <c r="B785" t="s">
        <v>6401</v>
      </c>
      <c r="C785" t="s">
        <v>11439</v>
      </c>
      <c r="E785">
        <v>4273.913043478261</v>
      </c>
      <c r="F785" t="s">
        <v>11310</v>
      </c>
      <c r="G785" t="s">
        <v>10996</v>
      </c>
    </row>
    <row r="786" spans="1:7">
      <c r="A786" s="306"/>
      <c r="B786" t="s">
        <v>6445</v>
      </c>
      <c r="C786" t="s">
        <v>11440</v>
      </c>
      <c r="E786">
        <v>3923.9130434782605</v>
      </c>
      <c r="F786" t="s">
        <v>11310</v>
      </c>
      <c r="G786" t="s">
        <v>10996</v>
      </c>
    </row>
    <row r="787" spans="1:7">
      <c r="A787" s="306"/>
      <c r="B787" t="s">
        <v>6430</v>
      </c>
      <c r="C787" t="s">
        <v>11441</v>
      </c>
      <c r="E787">
        <v>8261.95652173913</v>
      </c>
      <c r="F787" t="s">
        <v>11310</v>
      </c>
      <c r="G787" t="s">
        <v>10996</v>
      </c>
    </row>
    <row r="788" spans="1:7">
      <c r="A788" s="306"/>
      <c r="B788" t="s">
        <v>6446</v>
      </c>
      <c r="C788" t="s">
        <v>11442</v>
      </c>
      <c r="E788">
        <v>6955.4347826086951</v>
      </c>
      <c r="F788" t="s">
        <v>11310</v>
      </c>
      <c r="G788" t="s">
        <v>10996</v>
      </c>
    </row>
    <row r="789" spans="1:7">
      <c r="A789" s="306"/>
      <c r="B789" t="s">
        <v>11443</v>
      </c>
      <c r="C789" t="s">
        <v>14039</v>
      </c>
      <c r="E789">
        <v>5331.521739130435</v>
      </c>
      <c r="F789" t="s">
        <v>11310</v>
      </c>
    </row>
    <row r="790" spans="1:7">
      <c r="A790" s="306"/>
      <c r="B790" t="s">
        <v>6432</v>
      </c>
      <c r="C790" t="s">
        <v>6433</v>
      </c>
      <c r="E790">
        <v>1605.4347826086955</v>
      </c>
      <c r="F790" t="s">
        <v>11190</v>
      </c>
      <c r="G790" t="s">
        <v>10996</v>
      </c>
    </row>
    <row r="791" spans="1:7">
      <c r="A791" s="306"/>
      <c r="B791" t="s">
        <v>6434</v>
      </c>
      <c r="C791" t="s">
        <v>6435</v>
      </c>
      <c r="E791">
        <v>3195.6521739130435</v>
      </c>
      <c r="F791" t="s">
        <v>11190</v>
      </c>
      <c r="G791" t="s">
        <v>10996</v>
      </c>
    </row>
    <row r="792" spans="1:7">
      <c r="A792" s="306"/>
      <c r="B792" t="s">
        <v>6436</v>
      </c>
      <c r="C792" t="s">
        <v>6437</v>
      </c>
      <c r="E792">
        <v>6377.173913043478</v>
      </c>
      <c r="F792" t="s">
        <v>11190</v>
      </c>
      <c r="G792" t="s">
        <v>10996</v>
      </c>
    </row>
    <row r="793" spans="1:7">
      <c r="A793" s="306"/>
      <c r="B793" t="s">
        <v>6438</v>
      </c>
      <c r="C793" t="s">
        <v>14040</v>
      </c>
      <c r="E793">
        <v>7968.478260869565</v>
      </c>
      <c r="F793" t="s">
        <v>11190</v>
      </c>
      <c r="G793" t="s">
        <v>10996</v>
      </c>
    </row>
    <row r="794" spans="1:7">
      <c r="A794" s="306"/>
      <c r="B794" t="s">
        <v>6415</v>
      </c>
      <c r="C794" t="s">
        <v>11444</v>
      </c>
      <c r="E794">
        <v>357.60869565217388</v>
      </c>
      <c r="F794" t="s">
        <v>11310</v>
      </c>
      <c r="G794" t="s">
        <v>10997</v>
      </c>
    </row>
    <row r="795" spans="1:7">
      <c r="A795" s="306"/>
      <c r="B795" t="s">
        <v>11445</v>
      </c>
      <c r="C795" t="s">
        <v>11446</v>
      </c>
      <c r="E795">
        <v>332.60869565217388</v>
      </c>
      <c r="F795" t="s">
        <v>11310</v>
      </c>
    </row>
    <row r="796" spans="1:7">
      <c r="A796" s="306"/>
      <c r="B796" t="s">
        <v>6387</v>
      </c>
      <c r="C796" t="s">
        <v>11447</v>
      </c>
      <c r="E796">
        <v>229.3478260869565</v>
      </c>
      <c r="F796" t="s">
        <v>11310</v>
      </c>
      <c r="G796" t="s">
        <v>10997</v>
      </c>
    </row>
    <row r="797" spans="1:7">
      <c r="A797" s="306"/>
      <c r="B797" t="s">
        <v>6477</v>
      </c>
      <c r="C797" t="s">
        <v>11448</v>
      </c>
      <c r="E797">
        <v>397.82608695652175</v>
      </c>
      <c r="F797" t="s">
        <v>11310</v>
      </c>
      <c r="G797" t="s">
        <v>10996</v>
      </c>
    </row>
    <row r="798" spans="1:7">
      <c r="A798" s="306"/>
      <c r="B798" t="s">
        <v>11449</v>
      </c>
      <c r="C798" t="s">
        <v>11450</v>
      </c>
      <c r="E798">
        <v>353.26086956521738</v>
      </c>
      <c r="F798" t="s">
        <v>11310</v>
      </c>
    </row>
    <row r="799" spans="1:7">
      <c r="A799" s="306"/>
      <c r="B799" t="s">
        <v>11451</v>
      </c>
      <c r="C799" t="s">
        <v>11452</v>
      </c>
      <c r="E799">
        <v>226.08695652173913</v>
      </c>
      <c r="F799" t="s">
        <v>11310</v>
      </c>
    </row>
    <row r="800" spans="1:7">
      <c r="A800" s="306"/>
      <c r="B800" t="s">
        <v>6439</v>
      </c>
      <c r="C800" t="s">
        <v>11453</v>
      </c>
      <c r="E800">
        <v>297.82608695652175</v>
      </c>
      <c r="F800" t="s">
        <v>11310</v>
      </c>
      <c r="G800" t="s">
        <v>10997</v>
      </c>
    </row>
    <row r="801" spans="1:7">
      <c r="A801" s="306"/>
      <c r="B801" t="s">
        <v>6448</v>
      </c>
      <c r="C801" t="s">
        <v>11454</v>
      </c>
      <c r="E801">
        <v>310.86956521739131</v>
      </c>
      <c r="F801" t="s">
        <v>11310</v>
      </c>
      <c r="G801" t="s">
        <v>10997</v>
      </c>
    </row>
    <row r="802" spans="1:7">
      <c r="A802" s="306"/>
      <c r="B802" t="s">
        <v>6456</v>
      </c>
      <c r="C802" t="s">
        <v>11455</v>
      </c>
      <c r="E802">
        <v>618.47826086956525</v>
      </c>
      <c r="F802" t="s">
        <v>11310</v>
      </c>
      <c r="G802" t="s">
        <v>10996</v>
      </c>
    </row>
    <row r="803" spans="1:7">
      <c r="A803" s="306"/>
      <c r="B803" t="s">
        <v>11456</v>
      </c>
      <c r="C803" t="s">
        <v>11457</v>
      </c>
      <c r="E803">
        <v>291.30434782608694</v>
      </c>
      <c r="F803" t="s">
        <v>11310</v>
      </c>
    </row>
    <row r="804" spans="1:7">
      <c r="A804" s="306"/>
      <c r="B804" t="s">
        <v>6478</v>
      </c>
      <c r="C804" t="s">
        <v>11458</v>
      </c>
      <c r="E804">
        <v>385.86956521739131</v>
      </c>
      <c r="F804" t="s">
        <v>11310</v>
      </c>
      <c r="G804" t="s">
        <v>10996</v>
      </c>
    </row>
    <row r="805" spans="1:7">
      <c r="A805" s="306"/>
      <c r="B805" t="s">
        <v>11459</v>
      </c>
      <c r="C805" t="s">
        <v>11460</v>
      </c>
      <c r="E805">
        <v>358.695652173913</v>
      </c>
      <c r="F805" t="s">
        <v>11310</v>
      </c>
    </row>
    <row r="806" spans="1:7">
      <c r="A806" s="306"/>
      <c r="B806" t="s">
        <v>11461</v>
      </c>
      <c r="C806" t="s">
        <v>11462</v>
      </c>
      <c r="E806">
        <v>1128.2608695652173</v>
      </c>
      <c r="F806" t="s">
        <v>11310</v>
      </c>
    </row>
    <row r="807" spans="1:7">
      <c r="A807" s="306"/>
      <c r="B807" t="s">
        <v>6386</v>
      </c>
      <c r="C807" t="s">
        <v>11463</v>
      </c>
      <c r="E807">
        <v>420.65217391304344</v>
      </c>
      <c r="F807" t="s">
        <v>11310</v>
      </c>
      <c r="G807" t="s">
        <v>10997</v>
      </c>
    </row>
    <row r="808" spans="1:7">
      <c r="A808" s="306"/>
      <c r="B808" t="s">
        <v>6384</v>
      </c>
      <c r="C808" t="s">
        <v>11464</v>
      </c>
      <c r="E808">
        <v>217.39130434782606</v>
      </c>
      <c r="F808" t="s">
        <v>11310</v>
      </c>
      <c r="G808" t="s">
        <v>10997</v>
      </c>
    </row>
    <row r="809" spans="1:7">
      <c r="A809" s="306"/>
      <c r="B809" t="s">
        <v>6458</v>
      </c>
      <c r="C809" t="s">
        <v>11465</v>
      </c>
      <c r="E809">
        <v>532.60869565217388</v>
      </c>
      <c r="F809" t="s">
        <v>11310</v>
      </c>
      <c r="G809" t="s">
        <v>10997</v>
      </c>
    </row>
    <row r="810" spans="1:7">
      <c r="A810" s="306"/>
      <c r="B810" t="s">
        <v>11466</v>
      </c>
      <c r="C810" t="s">
        <v>11467</v>
      </c>
      <c r="E810">
        <v>482.60869565217388</v>
      </c>
      <c r="F810" t="s">
        <v>11310</v>
      </c>
    </row>
    <row r="811" spans="1:7">
      <c r="A811" s="306"/>
      <c r="B811" t="s">
        <v>6479</v>
      </c>
      <c r="C811" t="s">
        <v>11468</v>
      </c>
      <c r="E811">
        <v>1492.391304347826</v>
      </c>
      <c r="F811" t="s">
        <v>11310</v>
      </c>
      <c r="G811" t="s">
        <v>10996</v>
      </c>
    </row>
    <row r="812" spans="1:7">
      <c r="A812" s="306"/>
      <c r="B812" t="s">
        <v>11469</v>
      </c>
      <c r="C812" t="s">
        <v>11470</v>
      </c>
      <c r="E812">
        <v>743.47826086956513</v>
      </c>
      <c r="F812" t="s">
        <v>11310</v>
      </c>
    </row>
    <row r="813" spans="1:7">
      <c r="A813" s="306"/>
      <c r="B813" t="s">
        <v>6460</v>
      </c>
      <c r="C813" t="s">
        <v>11471</v>
      </c>
      <c r="E813">
        <v>317.39130434782606</v>
      </c>
      <c r="F813" t="s">
        <v>11310</v>
      </c>
      <c r="G813" t="s">
        <v>10996</v>
      </c>
    </row>
    <row r="814" spans="1:7">
      <c r="A814" s="306"/>
      <c r="B814" t="s">
        <v>6466</v>
      </c>
      <c r="C814" t="s">
        <v>11472</v>
      </c>
      <c r="E814">
        <v>423.91304347826087</v>
      </c>
      <c r="F814" t="s">
        <v>11310</v>
      </c>
      <c r="G814" t="s">
        <v>10996</v>
      </c>
    </row>
    <row r="815" spans="1:7">
      <c r="A815" s="306"/>
      <c r="B815" t="s">
        <v>6385</v>
      </c>
      <c r="C815" t="s">
        <v>11473</v>
      </c>
      <c r="E815">
        <v>444.56521739130432</v>
      </c>
      <c r="F815" t="s">
        <v>11310</v>
      </c>
      <c r="G815" t="s">
        <v>10996</v>
      </c>
    </row>
    <row r="816" spans="1:7">
      <c r="A816" s="306"/>
      <c r="B816" t="s">
        <v>6463</v>
      </c>
      <c r="C816" t="s">
        <v>11474</v>
      </c>
      <c r="E816">
        <v>718.47826086956513</v>
      </c>
      <c r="F816" t="s">
        <v>11310</v>
      </c>
      <c r="G816" t="s">
        <v>10996</v>
      </c>
    </row>
    <row r="817" spans="1:7">
      <c r="A817" s="306"/>
      <c r="B817" t="s">
        <v>11475</v>
      </c>
    </row>
    <row r="818" spans="1:7">
      <c r="A818" s="306"/>
      <c r="B818" t="s">
        <v>6416</v>
      </c>
      <c r="C818" t="s">
        <v>11476</v>
      </c>
      <c r="E818">
        <v>3266.304347826087</v>
      </c>
      <c r="F818" t="s">
        <v>11310</v>
      </c>
      <c r="G818" t="s">
        <v>11306</v>
      </c>
    </row>
    <row r="819" spans="1:7">
      <c r="A819" s="306"/>
      <c r="B819" t="s">
        <v>6417</v>
      </c>
      <c r="C819" t="s">
        <v>11477</v>
      </c>
      <c r="E819">
        <v>3267.391304347826</v>
      </c>
      <c r="F819" t="s">
        <v>11310</v>
      </c>
      <c r="G819" t="s">
        <v>11306</v>
      </c>
    </row>
    <row r="820" spans="1:7">
      <c r="A820" s="306"/>
      <c r="B820" t="s">
        <v>6466</v>
      </c>
      <c r="C820" t="s">
        <v>11472</v>
      </c>
      <c r="E820">
        <v>423.91304347826087</v>
      </c>
      <c r="F820" t="s">
        <v>11310</v>
      </c>
      <c r="G820" t="s">
        <v>10996</v>
      </c>
    </row>
    <row r="821" spans="1:7">
      <c r="A821" s="306"/>
      <c r="B821" t="s">
        <v>6385</v>
      </c>
      <c r="C821" t="s">
        <v>11473</v>
      </c>
      <c r="E821">
        <v>444.56521739130432</v>
      </c>
      <c r="F821" t="s">
        <v>11310</v>
      </c>
      <c r="G821" t="s">
        <v>10996</v>
      </c>
    </row>
    <row r="822" spans="1:7">
      <c r="A822" s="306"/>
      <c r="B822" t="s">
        <v>6463</v>
      </c>
      <c r="C822" t="s">
        <v>11474</v>
      </c>
      <c r="E822">
        <v>718.47826086956513</v>
      </c>
      <c r="F822" t="s">
        <v>11310</v>
      </c>
      <c r="G822" t="s">
        <v>10996</v>
      </c>
    </row>
    <row r="823" spans="1:7">
      <c r="A823" s="306"/>
      <c r="B823" t="s">
        <v>11478</v>
      </c>
      <c r="C823" t="s">
        <v>11479</v>
      </c>
      <c r="E823">
        <v>332.60869565217388</v>
      </c>
      <c r="F823" t="s">
        <v>11310</v>
      </c>
    </row>
    <row r="824" spans="1:7">
      <c r="A824" s="306"/>
      <c r="B824" t="s">
        <v>11480</v>
      </c>
      <c r="C824" t="s">
        <v>11481</v>
      </c>
      <c r="E824">
        <v>509.78260869565213</v>
      </c>
      <c r="F824" t="s">
        <v>11310</v>
      </c>
    </row>
    <row r="825" spans="1:7">
      <c r="A825" s="306"/>
      <c r="B825" t="s">
        <v>11482</v>
      </c>
      <c r="C825" t="s">
        <v>11483</v>
      </c>
      <c r="E825">
        <v>990.21739130434776</v>
      </c>
      <c r="F825" t="s">
        <v>11310</v>
      </c>
    </row>
    <row r="826" spans="1:7">
      <c r="A826" s="306"/>
      <c r="B826" t="s">
        <v>11484</v>
      </c>
      <c r="C826" t="s">
        <v>11485</v>
      </c>
      <c r="E826">
        <v>1641.304347826087</v>
      </c>
      <c r="F826" t="s">
        <v>11310</v>
      </c>
    </row>
    <row r="827" spans="1:7">
      <c r="A827" s="306"/>
      <c r="B827" t="s">
        <v>6382</v>
      </c>
      <c r="C827" t="s">
        <v>11486</v>
      </c>
      <c r="E827">
        <v>1943.478260869565</v>
      </c>
      <c r="F827" t="s">
        <v>11310</v>
      </c>
      <c r="G827" t="s">
        <v>11306</v>
      </c>
    </row>
    <row r="828" spans="1:7">
      <c r="A828" s="306"/>
      <c r="B828" t="s">
        <v>6383</v>
      </c>
      <c r="C828" t="s">
        <v>11487</v>
      </c>
      <c r="E828">
        <v>3714.1304347826085</v>
      </c>
      <c r="F828" t="s">
        <v>11310</v>
      </c>
      <c r="G828" t="s">
        <v>11306</v>
      </c>
    </row>
    <row r="829" spans="1:7">
      <c r="A829" s="306"/>
      <c r="B829" t="s">
        <v>6481</v>
      </c>
    </row>
    <row r="830" spans="1:7">
      <c r="A830" s="306"/>
      <c r="B830" t="s">
        <v>6535</v>
      </c>
      <c r="C830" t="s">
        <v>6536</v>
      </c>
      <c r="E830">
        <v>305.43478260869563</v>
      </c>
      <c r="F830" t="s">
        <v>11310</v>
      </c>
      <c r="G830" t="s">
        <v>10996</v>
      </c>
    </row>
    <row r="831" spans="1:7">
      <c r="A831" s="306"/>
      <c r="B831" t="s">
        <v>1402</v>
      </c>
      <c r="C831" t="s">
        <v>6545</v>
      </c>
      <c r="E831">
        <v>508.695652173913</v>
      </c>
      <c r="F831" t="s">
        <v>11310</v>
      </c>
      <c r="G831" t="s">
        <v>10996</v>
      </c>
    </row>
    <row r="832" spans="1:7">
      <c r="A832" s="306"/>
      <c r="B832" t="s">
        <v>6537</v>
      </c>
      <c r="C832" t="s">
        <v>6538</v>
      </c>
      <c r="E832">
        <v>508.695652173913</v>
      </c>
      <c r="F832" t="s">
        <v>11310</v>
      </c>
    </row>
    <row r="833" spans="1:7">
      <c r="A833" s="306"/>
      <c r="B833" t="s">
        <v>6543</v>
      </c>
      <c r="C833" t="s">
        <v>6544</v>
      </c>
      <c r="E833">
        <v>106.52173913043478</v>
      </c>
      <c r="F833" t="s">
        <v>11310</v>
      </c>
      <c r="G833" t="s">
        <v>10996</v>
      </c>
    </row>
    <row r="834" spans="1:7">
      <c r="A834" s="306"/>
      <c r="B834" t="s">
        <v>6539</v>
      </c>
      <c r="C834" t="s">
        <v>6540</v>
      </c>
      <c r="E834">
        <v>92.391304347826079</v>
      </c>
      <c r="F834" t="s">
        <v>11310</v>
      </c>
      <c r="G834" t="s">
        <v>10997</v>
      </c>
    </row>
    <row r="835" spans="1:7">
      <c r="A835" s="306"/>
      <c r="B835" t="s">
        <v>6509</v>
      </c>
      <c r="C835" t="s">
        <v>6510</v>
      </c>
      <c r="E835">
        <v>122.82608695652173</v>
      </c>
      <c r="F835" t="s">
        <v>11310</v>
      </c>
      <c r="G835" t="s">
        <v>10996</v>
      </c>
    </row>
    <row r="836" spans="1:7">
      <c r="A836" s="306"/>
      <c r="B836" t="s">
        <v>6484</v>
      </c>
      <c r="C836" t="s">
        <v>6485</v>
      </c>
      <c r="E836">
        <v>46.739130434782609</v>
      </c>
      <c r="F836" t="s">
        <v>11310</v>
      </c>
      <c r="G836" t="s">
        <v>10996</v>
      </c>
    </row>
    <row r="837" spans="1:7">
      <c r="A837" s="306"/>
      <c r="B837" t="s">
        <v>6487</v>
      </c>
      <c r="C837" t="s">
        <v>6488</v>
      </c>
      <c r="E837">
        <v>164.13043478260869</v>
      </c>
      <c r="F837" t="s">
        <v>11310</v>
      </c>
      <c r="G837" t="s">
        <v>10996</v>
      </c>
    </row>
    <row r="838" spans="1:7">
      <c r="A838" s="306"/>
      <c r="B838" t="s">
        <v>6498</v>
      </c>
      <c r="C838" t="s">
        <v>6488</v>
      </c>
      <c r="E838">
        <v>165.21739130434781</v>
      </c>
      <c r="F838" t="s">
        <v>11310</v>
      </c>
      <c r="G838" t="s">
        <v>10996</v>
      </c>
    </row>
    <row r="839" spans="1:7">
      <c r="A839" s="306"/>
      <c r="B839" t="s">
        <v>6507</v>
      </c>
      <c r="C839" t="s">
        <v>6508</v>
      </c>
      <c r="E839">
        <v>90.217391304347828</v>
      </c>
      <c r="F839" t="s">
        <v>11310</v>
      </c>
      <c r="G839" t="s">
        <v>10996</v>
      </c>
    </row>
    <row r="840" spans="1:7">
      <c r="A840" s="306"/>
      <c r="B840" t="s">
        <v>6533</v>
      </c>
      <c r="C840" t="s">
        <v>6534</v>
      </c>
      <c r="E840">
        <v>106.52173913043478</v>
      </c>
      <c r="F840" t="s">
        <v>11310</v>
      </c>
      <c r="G840" t="s">
        <v>10997</v>
      </c>
    </row>
    <row r="841" spans="1:7">
      <c r="A841" s="306"/>
      <c r="B841" t="s">
        <v>6519</v>
      </c>
      <c r="C841" t="s">
        <v>11488</v>
      </c>
      <c r="E841">
        <v>147.82608695652172</v>
      </c>
      <c r="F841" t="s">
        <v>11310</v>
      </c>
      <c r="G841" t="s">
        <v>10996</v>
      </c>
    </row>
    <row r="842" spans="1:7">
      <c r="A842" s="306"/>
      <c r="B842" t="s">
        <v>6581</v>
      </c>
      <c r="C842" t="s">
        <v>11489</v>
      </c>
      <c r="E842">
        <v>220.65217391304347</v>
      </c>
      <c r="F842" t="s">
        <v>11310</v>
      </c>
    </row>
    <row r="843" spans="1:7">
      <c r="A843" s="306"/>
      <c r="B843" t="s">
        <v>6582</v>
      </c>
      <c r="C843" t="s">
        <v>11490</v>
      </c>
      <c r="E843">
        <v>239.13043478260869</v>
      </c>
      <c r="F843" t="s">
        <v>11310</v>
      </c>
    </row>
    <row r="844" spans="1:7">
      <c r="A844" s="306"/>
      <c r="B844" t="s">
        <v>6579</v>
      </c>
      <c r="C844" t="s">
        <v>11491</v>
      </c>
      <c r="E844">
        <v>505.43478260869563</v>
      </c>
      <c r="F844" t="s">
        <v>11310</v>
      </c>
    </row>
    <row r="845" spans="1:7">
      <c r="A845" s="306"/>
      <c r="B845" t="s">
        <v>6585</v>
      </c>
      <c r="C845" t="s">
        <v>6586</v>
      </c>
      <c r="E845">
        <v>483.695652173913</v>
      </c>
      <c r="F845" t="s">
        <v>11310</v>
      </c>
    </row>
    <row r="846" spans="1:7">
      <c r="A846" s="306"/>
      <c r="B846" t="s">
        <v>6580</v>
      </c>
      <c r="C846" t="s">
        <v>11492</v>
      </c>
      <c r="E846">
        <v>121.73913043478261</v>
      </c>
      <c r="F846" t="s">
        <v>11310</v>
      </c>
    </row>
    <row r="847" spans="1:7">
      <c r="A847" s="306"/>
      <c r="B847" t="s">
        <v>6520</v>
      </c>
      <c r="C847" t="s">
        <v>11493</v>
      </c>
      <c r="E847">
        <v>172.82608695652172</v>
      </c>
      <c r="F847" t="s">
        <v>11310</v>
      </c>
      <c r="G847" t="s">
        <v>10997</v>
      </c>
    </row>
    <row r="848" spans="1:7">
      <c r="A848" s="306"/>
      <c r="B848" t="s">
        <v>6518</v>
      </c>
      <c r="C848" t="s">
        <v>11494</v>
      </c>
      <c r="E848">
        <v>511.95652173913044</v>
      </c>
      <c r="F848" t="s">
        <v>11310</v>
      </c>
      <c r="G848" t="s">
        <v>10996</v>
      </c>
    </row>
    <row r="849" spans="1:7">
      <c r="A849" s="306"/>
      <c r="B849" t="s">
        <v>6447</v>
      </c>
      <c r="C849" t="s">
        <v>11495</v>
      </c>
      <c r="E849">
        <v>2366.304347826087</v>
      </c>
      <c r="F849" t="s">
        <v>11190</v>
      </c>
      <c r="G849" t="s">
        <v>10999</v>
      </c>
    </row>
    <row r="850" spans="1:7">
      <c r="A850" s="306"/>
      <c r="B850" t="s">
        <v>6521</v>
      </c>
      <c r="C850" t="s">
        <v>11496</v>
      </c>
      <c r="E850">
        <v>293.47826086956519</v>
      </c>
      <c r="F850" t="s">
        <v>11310</v>
      </c>
      <c r="G850" t="s">
        <v>10999</v>
      </c>
    </row>
    <row r="851" spans="1:7">
      <c r="A851" s="306"/>
      <c r="B851" t="s">
        <v>6511</v>
      </c>
      <c r="C851" t="s">
        <v>11497</v>
      </c>
      <c r="E851">
        <v>36.95652173913043</v>
      </c>
      <c r="F851" t="s">
        <v>11190</v>
      </c>
      <c r="G851" t="s">
        <v>10997</v>
      </c>
    </row>
    <row r="852" spans="1:7">
      <c r="A852" s="306"/>
      <c r="B852" t="s">
        <v>6494</v>
      </c>
      <c r="C852" t="s">
        <v>6495</v>
      </c>
      <c r="E852">
        <v>604.3478260869565</v>
      </c>
      <c r="F852" t="s">
        <v>11310</v>
      </c>
    </row>
    <row r="853" spans="1:7">
      <c r="A853" s="306"/>
      <c r="B853" t="s">
        <v>6483</v>
      </c>
      <c r="C853" t="s">
        <v>11498</v>
      </c>
      <c r="E853">
        <v>110.8695652173913</v>
      </c>
      <c r="F853" t="s">
        <v>11190</v>
      </c>
      <c r="G853" t="s">
        <v>10997</v>
      </c>
    </row>
    <row r="854" spans="1:7">
      <c r="A854" s="306"/>
      <c r="B854" t="s">
        <v>6496</v>
      </c>
      <c r="C854" t="s">
        <v>6497</v>
      </c>
      <c r="E854">
        <v>177.17391304347825</v>
      </c>
      <c r="F854" t="s">
        <v>11310</v>
      </c>
    </row>
    <row r="855" spans="1:7">
      <c r="A855" s="306"/>
      <c r="B855" t="s">
        <v>6556</v>
      </c>
      <c r="C855" t="s">
        <v>6557</v>
      </c>
      <c r="E855">
        <v>272.82608695652175</v>
      </c>
      <c r="F855" t="s">
        <v>11310</v>
      </c>
      <c r="G855" t="s">
        <v>10996</v>
      </c>
    </row>
    <row r="856" spans="1:7">
      <c r="A856" s="306"/>
      <c r="B856" t="s">
        <v>6546</v>
      </c>
      <c r="C856" t="s">
        <v>6547</v>
      </c>
      <c r="E856">
        <v>175</v>
      </c>
      <c r="F856" t="s">
        <v>11310</v>
      </c>
      <c r="G856" t="s">
        <v>10996</v>
      </c>
    </row>
    <row r="857" spans="1:7">
      <c r="A857" s="306"/>
      <c r="B857" t="s">
        <v>6554</v>
      </c>
      <c r="C857" t="s">
        <v>6555</v>
      </c>
      <c r="E857">
        <v>34.782608695652172</v>
      </c>
      <c r="F857" t="s">
        <v>11310</v>
      </c>
      <c r="G857" t="s">
        <v>10996</v>
      </c>
    </row>
    <row r="858" spans="1:7">
      <c r="A858" s="306"/>
      <c r="B858" t="s">
        <v>6548</v>
      </c>
      <c r="C858" t="s">
        <v>6549</v>
      </c>
      <c r="E858">
        <v>53.260869565217391</v>
      </c>
      <c r="F858" t="s">
        <v>11310</v>
      </c>
      <c r="G858" t="s">
        <v>10996</v>
      </c>
    </row>
    <row r="859" spans="1:7">
      <c r="A859" s="306"/>
      <c r="B859" t="s">
        <v>6491</v>
      </c>
      <c r="C859" t="s">
        <v>6492</v>
      </c>
      <c r="E859">
        <v>78.260869565217391</v>
      </c>
      <c r="F859" t="s">
        <v>11310</v>
      </c>
      <c r="G859" t="s">
        <v>10996</v>
      </c>
    </row>
    <row r="860" spans="1:7">
      <c r="A860" s="306"/>
      <c r="B860" t="s">
        <v>6516</v>
      </c>
      <c r="C860" t="s">
        <v>6517</v>
      </c>
      <c r="E860">
        <v>88.043478260869563</v>
      </c>
      <c r="F860" t="s">
        <v>11310</v>
      </c>
      <c r="G860" t="s">
        <v>10996</v>
      </c>
    </row>
    <row r="861" spans="1:7">
      <c r="A861" s="306"/>
      <c r="B861" t="s">
        <v>6482</v>
      </c>
      <c r="C861" t="s">
        <v>11499</v>
      </c>
      <c r="E861">
        <v>213.04347826086956</v>
      </c>
      <c r="F861" t="s">
        <v>11190</v>
      </c>
      <c r="G861" t="s">
        <v>10996</v>
      </c>
    </row>
    <row r="862" spans="1:7">
      <c r="A862" s="306"/>
      <c r="B862" t="s">
        <v>11500</v>
      </c>
      <c r="C862" t="s">
        <v>11501</v>
      </c>
      <c r="E862">
        <v>764.13043478260863</v>
      </c>
      <c r="F862" t="s">
        <v>11190</v>
      </c>
      <c r="G862" t="s">
        <v>10996</v>
      </c>
    </row>
    <row r="863" spans="1:7">
      <c r="A863" s="306"/>
      <c r="B863" t="s">
        <v>6558</v>
      </c>
      <c r="C863" t="s">
        <v>11502</v>
      </c>
      <c r="E863">
        <v>1397.8260869565217</v>
      </c>
      <c r="F863" t="s">
        <v>11190</v>
      </c>
      <c r="G863" t="s">
        <v>10996</v>
      </c>
    </row>
    <row r="864" spans="1:7">
      <c r="A864" s="306"/>
      <c r="B864" t="s">
        <v>11503</v>
      </c>
      <c r="C864" t="s">
        <v>11504</v>
      </c>
      <c r="E864">
        <v>2293.478260869565</v>
      </c>
      <c r="F864" t="s">
        <v>11190</v>
      </c>
      <c r="G864" t="s">
        <v>10996</v>
      </c>
    </row>
    <row r="865" spans="1:7">
      <c r="A865" s="306"/>
      <c r="B865" t="s">
        <v>11505</v>
      </c>
      <c r="C865" t="s">
        <v>11506</v>
      </c>
      <c r="E865">
        <v>1022.8260869565217</v>
      </c>
      <c r="F865" t="s">
        <v>11190</v>
      </c>
      <c r="G865" t="s">
        <v>10996</v>
      </c>
    </row>
    <row r="866" spans="1:7">
      <c r="A866" s="306"/>
      <c r="B866" t="s">
        <v>11507</v>
      </c>
      <c r="C866" t="s">
        <v>11508</v>
      </c>
      <c r="E866">
        <v>317.39130434782606</v>
      </c>
      <c r="F866" t="s">
        <v>11310</v>
      </c>
      <c r="G866" t="s">
        <v>10996</v>
      </c>
    </row>
    <row r="867" spans="1:7">
      <c r="A867" s="306"/>
      <c r="B867" t="s">
        <v>6550</v>
      </c>
      <c r="C867" t="s">
        <v>6551</v>
      </c>
      <c r="E867">
        <v>42.391304347826086</v>
      </c>
      <c r="F867" t="s">
        <v>11310</v>
      </c>
      <c r="G867" t="s">
        <v>10999</v>
      </c>
    </row>
    <row r="868" spans="1:7">
      <c r="A868" s="306"/>
      <c r="B868" t="s">
        <v>6552</v>
      </c>
      <c r="C868" t="s">
        <v>6553</v>
      </c>
      <c r="E868">
        <v>18.478260869565215</v>
      </c>
      <c r="F868" t="s">
        <v>11310</v>
      </c>
      <c r="G868" t="s">
        <v>10996</v>
      </c>
    </row>
    <row r="869" spans="1:7">
      <c r="A869" s="306"/>
      <c r="B869" t="s">
        <v>6493</v>
      </c>
      <c r="C869" t="s">
        <v>11509</v>
      </c>
      <c r="E869">
        <v>15.217391304347826</v>
      </c>
      <c r="F869" t="s">
        <v>11310</v>
      </c>
      <c r="G869" t="s">
        <v>10996</v>
      </c>
    </row>
    <row r="870" spans="1:7">
      <c r="A870" s="306"/>
      <c r="B870" t="s">
        <v>6583</v>
      </c>
      <c r="C870" t="s">
        <v>6584</v>
      </c>
      <c r="E870">
        <v>178.26086956521738</v>
      </c>
      <c r="F870" t="s">
        <v>11310</v>
      </c>
    </row>
    <row r="871" spans="1:7">
      <c r="A871" s="306"/>
      <c r="B871" t="s">
        <v>6571</v>
      </c>
      <c r="C871" t="s">
        <v>6572</v>
      </c>
      <c r="E871">
        <v>181.52173913043478</v>
      </c>
      <c r="F871" t="s">
        <v>11310</v>
      </c>
      <c r="G871" t="s">
        <v>10996</v>
      </c>
    </row>
    <row r="872" spans="1:7">
      <c r="A872" s="306"/>
      <c r="B872" t="s">
        <v>6567</v>
      </c>
      <c r="C872" t="s">
        <v>6568</v>
      </c>
      <c r="E872">
        <v>107.60869565217391</v>
      </c>
      <c r="F872" t="s">
        <v>11310</v>
      </c>
      <c r="G872" t="s">
        <v>10997</v>
      </c>
    </row>
    <row r="873" spans="1:7">
      <c r="A873" s="306"/>
      <c r="B873" t="s">
        <v>6573</v>
      </c>
      <c r="C873" t="s">
        <v>6574</v>
      </c>
      <c r="E873">
        <v>45.652173913043477</v>
      </c>
      <c r="F873" t="s">
        <v>11310</v>
      </c>
      <c r="G873" t="s">
        <v>10996</v>
      </c>
    </row>
    <row r="874" spans="1:7">
      <c r="A874" s="306"/>
      <c r="B874" t="s">
        <v>6569</v>
      </c>
      <c r="C874" t="s">
        <v>6570</v>
      </c>
      <c r="E874">
        <v>40.217391304347821</v>
      </c>
      <c r="F874" t="s">
        <v>11310</v>
      </c>
      <c r="G874" t="s">
        <v>10996</v>
      </c>
    </row>
    <row r="875" spans="1:7">
      <c r="A875" s="306"/>
      <c r="B875" t="s">
        <v>11510</v>
      </c>
      <c r="C875" t="s">
        <v>11511</v>
      </c>
      <c r="E875">
        <v>1290.2173913043478</v>
      </c>
      <c r="F875" t="s">
        <v>11310</v>
      </c>
      <c r="G875" t="s">
        <v>10996</v>
      </c>
    </row>
    <row r="876" spans="1:7">
      <c r="A876" s="306"/>
      <c r="B876" t="s">
        <v>6565</v>
      </c>
      <c r="C876" t="s">
        <v>6566</v>
      </c>
      <c r="E876">
        <v>195.65217391304347</v>
      </c>
      <c r="F876" t="s">
        <v>11310</v>
      </c>
      <c r="G876" t="s">
        <v>10997</v>
      </c>
    </row>
    <row r="877" spans="1:7">
      <c r="A877" s="306"/>
      <c r="B877" t="s">
        <v>6563</v>
      </c>
      <c r="C877" t="s">
        <v>6564</v>
      </c>
      <c r="E877">
        <v>576.08695652173913</v>
      </c>
      <c r="F877" t="s">
        <v>11310</v>
      </c>
      <c r="G877" t="s">
        <v>10997</v>
      </c>
    </row>
    <row r="878" spans="1:7">
      <c r="A878" s="306"/>
      <c r="B878" t="s">
        <v>6559</v>
      </c>
      <c r="C878" t="s">
        <v>6560</v>
      </c>
      <c r="E878">
        <v>391.30434782608694</v>
      </c>
      <c r="F878" t="s">
        <v>11310</v>
      </c>
      <c r="G878" t="s">
        <v>10997</v>
      </c>
    </row>
    <row r="879" spans="1:7">
      <c r="A879" s="306"/>
      <c r="B879" t="s">
        <v>6561</v>
      </c>
      <c r="C879" t="s">
        <v>6562</v>
      </c>
      <c r="E879">
        <v>356.52173913043475</v>
      </c>
      <c r="F879" t="s">
        <v>11310</v>
      </c>
    </row>
    <row r="880" spans="1:7">
      <c r="A880" s="306"/>
      <c r="B880" t="s">
        <v>6486</v>
      </c>
      <c r="C880" t="s">
        <v>11512</v>
      </c>
      <c r="E880">
        <v>77.173913043478251</v>
      </c>
      <c r="F880" t="s">
        <v>11310</v>
      </c>
      <c r="G880" t="s">
        <v>10997</v>
      </c>
    </row>
    <row r="881" spans="1:7">
      <c r="A881" s="306"/>
      <c r="B881" t="s">
        <v>6512</v>
      </c>
      <c r="C881" t="s">
        <v>6513</v>
      </c>
      <c r="E881">
        <v>72.826086956521735</v>
      </c>
      <c r="F881" t="s">
        <v>11310</v>
      </c>
      <c r="G881" t="s">
        <v>10997</v>
      </c>
    </row>
    <row r="882" spans="1:7">
      <c r="A882" s="306"/>
      <c r="B882" t="s">
        <v>6531</v>
      </c>
      <c r="C882" t="s">
        <v>6532</v>
      </c>
      <c r="E882">
        <v>79.347826086956516</v>
      </c>
      <c r="F882" t="s">
        <v>11310</v>
      </c>
      <c r="G882" t="s">
        <v>10997</v>
      </c>
    </row>
    <row r="883" spans="1:7">
      <c r="A883" s="306"/>
      <c r="B883" t="s">
        <v>6527</v>
      </c>
      <c r="C883" t="s">
        <v>6528</v>
      </c>
      <c r="E883">
        <v>452.17391304347825</v>
      </c>
      <c r="F883" t="s">
        <v>11310</v>
      </c>
      <c r="G883" t="s">
        <v>10999</v>
      </c>
    </row>
    <row r="884" spans="1:7">
      <c r="A884" s="306"/>
      <c r="B884" t="s">
        <v>6529</v>
      </c>
      <c r="C884" t="s">
        <v>6530</v>
      </c>
      <c r="E884">
        <v>472.82608695652169</v>
      </c>
      <c r="F884" t="s">
        <v>11310</v>
      </c>
      <c r="G884" t="s">
        <v>10999</v>
      </c>
    </row>
    <row r="885" spans="1:7">
      <c r="A885" s="306"/>
      <c r="B885" t="s">
        <v>6525</v>
      </c>
      <c r="C885" t="s">
        <v>6526</v>
      </c>
      <c r="E885">
        <v>116.30434782608695</v>
      </c>
      <c r="F885" t="s">
        <v>11310</v>
      </c>
      <c r="G885" t="s">
        <v>10997</v>
      </c>
    </row>
    <row r="886" spans="1:7">
      <c r="A886" s="306"/>
      <c r="B886" t="s">
        <v>6541</v>
      </c>
      <c r="C886" t="s">
        <v>6542</v>
      </c>
      <c r="E886">
        <v>502.17391304347825</v>
      </c>
      <c r="F886" t="s">
        <v>11310</v>
      </c>
      <c r="G886" t="s">
        <v>10996</v>
      </c>
    </row>
    <row r="887" spans="1:7">
      <c r="A887" s="306"/>
      <c r="B887" t="s">
        <v>6575</v>
      </c>
      <c r="C887" t="s">
        <v>6576</v>
      </c>
      <c r="E887">
        <v>65.217391304347828</v>
      </c>
      <c r="F887" t="s">
        <v>11310</v>
      </c>
      <c r="G887" t="s">
        <v>10996</v>
      </c>
    </row>
    <row r="888" spans="1:7">
      <c r="A888" s="306"/>
      <c r="B888" t="s">
        <v>6577</v>
      </c>
      <c r="C888" t="s">
        <v>6578</v>
      </c>
      <c r="E888">
        <v>75</v>
      </c>
      <c r="F888" t="s">
        <v>11310</v>
      </c>
      <c r="G888" t="s">
        <v>10996</v>
      </c>
    </row>
    <row r="889" spans="1:7">
      <c r="A889" s="306"/>
      <c r="B889" t="s">
        <v>6499</v>
      </c>
      <c r="C889" t="s">
        <v>6500</v>
      </c>
      <c r="E889">
        <v>226.08695652173913</v>
      </c>
      <c r="F889" t="s">
        <v>11310</v>
      </c>
      <c r="G889" t="s">
        <v>10997</v>
      </c>
    </row>
    <row r="890" spans="1:7">
      <c r="A890" s="306"/>
      <c r="B890" t="s">
        <v>6501</v>
      </c>
      <c r="C890" t="s">
        <v>6502</v>
      </c>
      <c r="E890">
        <v>594.56521739130437</v>
      </c>
      <c r="F890" t="s">
        <v>11310</v>
      </c>
      <c r="G890" t="s">
        <v>10997</v>
      </c>
    </row>
    <row r="891" spans="1:7">
      <c r="A891" s="306"/>
      <c r="B891" t="s">
        <v>6505</v>
      </c>
      <c r="C891" t="s">
        <v>6506</v>
      </c>
      <c r="E891">
        <v>93.478260869565219</v>
      </c>
      <c r="F891" t="s">
        <v>11310</v>
      </c>
      <c r="G891" t="s">
        <v>10997</v>
      </c>
    </row>
    <row r="892" spans="1:7">
      <c r="A892" s="306"/>
      <c r="B892" t="s">
        <v>6612</v>
      </c>
      <c r="C892" t="s">
        <v>11513</v>
      </c>
      <c r="E892">
        <v>371.73913043478257</v>
      </c>
      <c r="F892" t="s">
        <v>11190</v>
      </c>
      <c r="G892" t="s">
        <v>158</v>
      </c>
    </row>
    <row r="893" spans="1:7">
      <c r="A893" s="306"/>
      <c r="B893" t="s">
        <v>6609</v>
      </c>
      <c r="C893" t="s">
        <v>11514</v>
      </c>
      <c r="E893">
        <v>820.6521739130435</v>
      </c>
      <c r="F893" t="s">
        <v>11190</v>
      </c>
      <c r="G893" t="s">
        <v>10999</v>
      </c>
    </row>
    <row r="894" spans="1:7">
      <c r="A894" s="306"/>
      <c r="B894" t="s">
        <v>6610</v>
      </c>
      <c r="C894" t="s">
        <v>11515</v>
      </c>
      <c r="E894">
        <v>519.56521739130437</v>
      </c>
      <c r="F894" t="s">
        <v>11190</v>
      </c>
      <c r="G894" t="s">
        <v>10999</v>
      </c>
    </row>
    <row r="895" spans="1:7">
      <c r="A895" s="306"/>
      <c r="B895" t="s">
        <v>11475</v>
      </c>
    </row>
    <row r="896" spans="1:7">
      <c r="A896" s="306"/>
      <c r="B896" t="s">
        <v>6522</v>
      </c>
      <c r="C896" t="s">
        <v>11516</v>
      </c>
      <c r="E896">
        <v>55.434782608695649</v>
      </c>
      <c r="F896" t="s">
        <v>11310</v>
      </c>
      <c r="G896" t="s">
        <v>10999</v>
      </c>
    </row>
    <row r="897" spans="1:7">
      <c r="A897" s="306"/>
      <c r="B897" t="s">
        <v>6523</v>
      </c>
      <c r="C897" t="s">
        <v>11517</v>
      </c>
      <c r="E897">
        <v>106.52173913043478</v>
      </c>
      <c r="F897" t="s">
        <v>11310</v>
      </c>
      <c r="G897" t="s">
        <v>10997</v>
      </c>
    </row>
    <row r="898" spans="1:7">
      <c r="A898" s="306"/>
      <c r="B898" t="s">
        <v>6524</v>
      </c>
      <c r="C898" t="s">
        <v>11518</v>
      </c>
      <c r="E898">
        <v>491.30434782608694</v>
      </c>
      <c r="F898" t="s">
        <v>11310</v>
      </c>
      <c r="G898" t="s">
        <v>10996</v>
      </c>
    </row>
    <row r="899" spans="1:7">
      <c r="A899" s="306"/>
      <c r="B899" t="s">
        <v>6489</v>
      </c>
      <c r="C899" t="s">
        <v>6490</v>
      </c>
      <c r="E899">
        <v>36.95652173913043</v>
      </c>
      <c r="F899" t="s">
        <v>11310</v>
      </c>
      <c r="G899" t="s">
        <v>10997</v>
      </c>
    </row>
    <row r="900" spans="1:7">
      <c r="A900" s="306"/>
      <c r="B900" t="s">
        <v>6503</v>
      </c>
      <c r="C900" t="s">
        <v>6504</v>
      </c>
      <c r="E900">
        <v>305.43478260869563</v>
      </c>
      <c r="F900" t="s">
        <v>11310</v>
      </c>
      <c r="G900" t="s">
        <v>10997</v>
      </c>
    </row>
    <row r="901" spans="1:7">
      <c r="A901" s="306"/>
      <c r="B901" t="s">
        <v>6587</v>
      </c>
    </row>
    <row r="902" spans="1:7">
      <c r="A902" s="306"/>
      <c r="B902" t="s">
        <v>6588</v>
      </c>
      <c r="C902" t="s">
        <v>6589</v>
      </c>
      <c r="E902">
        <v>43.478260869565219</v>
      </c>
      <c r="F902" t="s">
        <v>11185</v>
      </c>
      <c r="G902" t="s">
        <v>10996</v>
      </c>
    </row>
    <row r="903" spans="1:7">
      <c r="A903" s="306"/>
      <c r="B903" t="s">
        <v>6590</v>
      </c>
      <c r="C903" t="s">
        <v>6591</v>
      </c>
      <c r="E903">
        <v>43.478260869565219</v>
      </c>
      <c r="F903" t="s">
        <v>11185</v>
      </c>
      <c r="G903" t="s">
        <v>10996</v>
      </c>
    </row>
    <row r="904" spans="1:7">
      <c r="A904" s="306"/>
      <c r="B904" t="s">
        <v>6592</v>
      </c>
      <c r="C904" t="s">
        <v>11519</v>
      </c>
      <c r="E904">
        <v>40.217391304347821</v>
      </c>
      <c r="F904" t="s">
        <v>11185</v>
      </c>
      <c r="G904" t="s">
        <v>10999</v>
      </c>
    </row>
    <row r="905" spans="1:7">
      <c r="A905" s="306"/>
      <c r="B905" t="s">
        <v>6595</v>
      </c>
      <c r="C905" t="s">
        <v>11520</v>
      </c>
      <c r="E905">
        <v>44.565217391304344</v>
      </c>
      <c r="F905" t="s">
        <v>11185</v>
      </c>
      <c r="G905" t="s">
        <v>10997</v>
      </c>
    </row>
    <row r="906" spans="1:7">
      <c r="A906" s="306"/>
      <c r="B906" t="s">
        <v>6593</v>
      </c>
      <c r="C906" t="s">
        <v>11521</v>
      </c>
      <c r="E906">
        <v>48.913043478260867</v>
      </c>
      <c r="F906" t="s">
        <v>11185</v>
      </c>
      <c r="G906" t="s">
        <v>10997</v>
      </c>
    </row>
    <row r="907" spans="1:7">
      <c r="A907" s="306"/>
      <c r="B907" t="s">
        <v>6594</v>
      </c>
      <c r="C907" t="s">
        <v>11522</v>
      </c>
      <c r="E907">
        <v>48.913043478260867</v>
      </c>
      <c r="F907" t="s">
        <v>11185</v>
      </c>
      <c r="G907" t="s">
        <v>10997</v>
      </c>
    </row>
    <row r="908" spans="1:7">
      <c r="A908" s="306"/>
      <c r="B908" t="s">
        <v>11523</v>
      </c>
    </row>
    <row r="909" spans="1:7">
      <c r="A909" s="306"/>
      <c r="B909" t="s">
        <v>7794</v>
      </c>
      <c r="C909" t="s">
        <v>7795</v>
      </c>
      <c r="E909">
        <v>289.13043478260869</v>
      </c>
      <c r="F909" t="s">
        <v>11185</v>
      </c>
      <c r="G909" t="s">
        <v>10999</v>
      </c>
    </row>
    <row r="910" spans="1:7">
      <c r="A910" s="306"/>
      <c r="B910" t="s">
        <v>7796</v>
      </c>
      <c r="C910" t="s">
        <v>7797</v>
      </c>
      <c r="E910">
        <v>246.7391304347826</v>
      </c>
      <c r="F910" t="s">
        <v>11185</v>
      </c>
      <c r="G910" t="s">
        <v>10999</v>
      </c>
    </row>
    <row r="911" spans="1:7">
      <c r="A911" s="306"/>
      <c r="B911" t="s">
        <v>7798</v>
      </c>
      <c r="C911" t="s">
        <v>7799</v>
      </c>
      <c r="E911">
        <v>192.39130434782606</v>
      </c>
      <c r="F911" t="s">
        <v>11185</v>
      </c>
      <c r="G911" t="s">
        <v>10999</v>
      </c>
    </row>
    <row r="912" spans="1:7">
      <c r="A912" s="306"/>
      <c r="B912" t="s">
        <v>7800</v>
      </c>
      <c r="C912" t="s">
        <v>7801</v>
      </c>
      <c r="E912">
        <v>150</v>
      </c>
      <c r="F912" t="s">
        <v>11185</v>
      </c>
      <c r="G912" t="s">
        <v>10999</v>
      </c>
    </row>
    <row r="913" spans="1:7">
      <c r="A913" s="306"/>
      <c r="B913" t="s">
        <v>6596</v>
      </c>
    </row>
    <row r="914" spans="1:7">
      <c r="A914" s="306"/>
      <c r="B914" t="s">
        <v>11524</v>
      </c>
    </row>
    <row r="915" spans="1:7">
      <c r="A915" s="306"/>
      <c r="B915" t="s">
        <v>336</v>
      </c>
      <c r="C915" t="s">
        <v>11525</v>
      </c>
      <c r="E915">
        <v>164.13043478260869</v>
      </c>
      <c r="F915" t="s">
        <v>11310</v>
      </c>
      <c r="G915" t="s">
        <v>10997</v>
      </c>
    </row>
    <row r="916" spans="1:7">
      <c r="A916" s="306"/>
      <c r="B916" t="s">
        <v>1442</v>
      </c>
      <c r="C916" t="s">
        <v>11526</v>
      </c>
      <c r="E916">
        <v>88.043478260869563</v>
      </c>
      <c r="F916" t="s">
        <v>11310</v>
      </c>
    </row>
    <row r="917" spans="1:7">
      <c r="A917" s="306"/>
      <c r="B917" t="s">
        <v>1430</v>
      </c>
      <c r="C917" t="s">
        <v>11527</v>
      </c>
      <c r="E917">
        <v>222.82608695652172</v>
      </c>
      <c r="F917" t="s">
        <v>11310</v>
      </c>
      <c r="G917" t="s">
        <v>10997</v>
      </c>
    </row>
    <row r="918" spans="1:7">
      <c r="A918" s="306"/>
      <c r="B918" t="s">
        <v>6617</v>
      </c>
      <c r="C918" t="s">
        <v>11528</v>
      </c>
      <c r="E918">
        <v>69.565217391304344</v>
      </c>
      <c r="F918" t="s">
        <v>11310</v>
      </c>
    </row>
    <row r="919" spans="1:7">
      <c r="A919" s="306"/>
      <c r="B919" t="s">
        <v>6624</v>
      </c>
      <c r="C919" t="s">
        <v>11529</v>
      </c>
      <c r="E919">
        <v>243.47826086956522</v>
      </c>
      <c r="F919" t="s">
        <v>11310</v>
      </c>
      <c r="G919" t="s">
        <v>10997</v>
      </c>
    </row>
    <row r="920" spans="1:7">
      <c r="A920" s="306"/>
      <c r="B920" t="s">
        <v>6599</v>
      </c>
      <c r="C920" t="s">
        <v>11530</v>
      </c>
      <c r="E920">
        <v>638.04347826086951</v>
      </c>
      <c r="F920" t="s">
        <v>11310</v>
      </c>
      <c r="G920" t="s">
        <v>10999</v>
      </c>
    </row>
    <row r="921" spans="1:7">
      <c r="A921" s="306"/>
      <c r="B921" t="s">
        <v>1436</v>
      </c>
      <c r="C921" t="s">
        <v>11531</v>
      </c>
      <c r="E921">
        <v>175</v>
      </c>
      <c r="F921" t="s">
        <v>11310</v>
      </c>
      <c r="G921" t="s">
        <v>10997</v>
      </c>
    </row>
    <row r="922" spans="1:7">
      <c r="A922" s="306"/>
      <c r="B922" t="s">
        <v>1438</v>
      </c>
      <c r="C922" t="s">
        <v>11532</v>
      </c>
      <c r="E922">
        <v>409.78260869565213</v>
      </c>
      <c r="F922" t="s">
        <v>11310</v>
      </c>
      <c r="G922" t="s">
        <v>10997</v>
      </c>
    </row>
    <row r="923" spans="1:7">
      <c r="A923" s="306"/>
      <c r="B923" t="s">
        <v>1440</v>
      </c>
      <c r="C923" t="s">
        <v>11533</v>
      </c>
      <c r="E923">
        <v>173.91304347826087</v>
      </c>
      <c r="F923" t="s">
        <v>11310</v>
      </c>
      <c r="G923" t="s">
        <v>10996</v>
      </c>
    </row>
    <row r="924" spans="1:7">
      <c r="A924" s="306"/>
      <c r="B924" t="s">
        <v>1444</v>
      </c>
      <c r="C924" t="s">
        <v>11534</v>
      </c>
      <c r="E924">
        <v>69.565217391304344</v>
      </c>
      <c r="F924" t="s">
        <v>11310</v>
      </c>
    </row>
    <row r="925" spans="1:7">
      <c r="A925" s="306"/>
      <c r="B925" t="s">
        <v>1446</v>
      </c>
      <c r="C925" t="s">
        <v>11535</v>
      </c>
      <c r="E925">
        <v>80.434782608695642</v>
      </c>
      <c r="F925" t="s">
        <v>11310</v>
      </c>
    </row>
    <row r="926" spans="1:7">
      <c r="A926" s="306"/>
      <c r="B926" t="s">
        <v>1448</v>
      </c>
      <c r="C926" t="s">
        <v>11536</v>
      </c>
      <c r="E926">
        <v>436.95652173913044</v>
      </c>
      <c r="F926" t="s">
        <v>11310</v>
      </c>
      <c r="G926" t="s">
        <v>10997</v>
      </c>
    </row>
    <row r="927" spans="1:7">
      <c r="A927" s="306"/>
      <c r="B927" t="s">
        <v>1930</v>
      </c>
      <c r="C927" t="s">
        <v>11537</v>
      </c>
      <c r="E927">
        <v>67.391304347826079</v>
      </c>
      <c r="F927" t="s">
        <v>11310</v>
      </c>
    </row>
    <row r="928" spans="1:7">
      <c r="A928" s="306"/>
      <c r="B928" t="s">
        <v>1932</v>
      </c>
      <c r="C928" t="s">
        <v>11538</v>
      </c>
      <c r="E928">
        <v>240.21739130434781</v>
      </c>
      <c r="F928" t="s">
        <v>11310</v>
      </c>
    </row>
    <row r="929" spans="1:7">
      <c r="A929" s="306"/>
      <c r="B929" t="s">
        <v>1434</v>
      </c>
      <c r="C929" t="s">
        <v>11539</v>
      </c>
      <c r="E929">
        <v>328.26086956521738</v>
      </c>
      <c r="F929" t="s">
        <v>11310</v>
      </c>
      <c r="G929" t="s">
        <v>10997</v>
      </c>
    </row>
    <row r="930" spans="1:7">
      <c r="A930" s="306"/>
      <c r="B930" t="s">
        <v>6613</v>
      </c>
      <c r="C930" t="s">
        <v>11540</v>
      </c>
      <c r="E930">
        <v>773.91304347826087</v>
      </c>
      <c r="F930" t="s">
        <v>11190</v>
      </c>
      <c r="G930" t="s">
        <v>10996</v>
      </c>
    </row>
    <row r="931" spans="1:7">
      <c r="A931" s="306"/>
      <c r="B931" t="s">
        <v>1432</v>
      </c>
      <c r="C931" t="s">
        <v>11541</v>
      </c>
      <c r="E931">
        <v>411.95652173913044</v>
      </c>
      <c r="F931" t="s">
        <v>11310</v>
      </c>
      <c r="G931" t="s">
        <v>10996</v>
      </c>
    </row>
    <row r="932" spans="1:7">
      <c r="A932" s="306"/>
      <c r="B932" t="s">
        <v>6625</v>
      </c>
      <c r="C932" t="s">
        <v>11542</v>
      </c>
      <c r="E932">
        <v>167.39130434782609</v>
      </c>
      <c r="F932" t="s">
        <v>11310</v>
      </c>
      <c r="G932" t="s">
        <v>10997</v>
      </c>
    </row>
    <row r="933" spans="1:7">
      <c r="A933" s="306"/>
      <c r="B933" t="s">
        <v>6626</v>
      </c>
      <c r="C933" t="s">
        <v>11543</v>
      </c>
      <c r="E933">
        <v>486.95652173913044</v>
      </c>
      <c r="F933" t="s">
        <v>11310</v>
      </c>
      <c r="G933" t="s">
        <v>10997</v>
      </c>
    </row>
    <row r="934" spans="1:7">
      <c r="A934" s="306"/>
      <c r="B934" t="s">
        <v>6627</v>
      </c>
      <c r="C934" t="s">
        <v>11544</v>
      </c>
      <c r="E934">
        <v>600</v>
      </c>
      <c r="F934" t="s">
        <v>11310</v>
      </c>
      <c r="G934" t="s">
        <v>10997</v>
      </c>
    </row>
    <row r="935" spans="1:7">
      <c r="A935" s="306"/>
      <c r="B935" t="s">
        <v>6628</v>
      </c>
      <c r="C935" t="s">
        <v>11545</v>
      </c>
      <c r="E935">
        <v>823.91304347826087</v>
      </c>
      <c r="F935" t="s">
        <v>11310</v>
      </c>
      <c r="G935" t="s">
        <v>10999</v>
      </c>
    </row>
    <row r="936" spans="1:7">
      <c r="A936" s="306"/>
      <c r="B936" t="s">
        <v>6632</v>
      </c>
      <c r="C936" t="s">
        <v>11546</v>
      </c>
      <c r="E936">
        <v>67.391304347826079</v>
      </c>
      <c r="F936" t="s">
        <v>11310</v>
      </c>
    </row>
    <row r="937" spans="1:7">
      <c r="A937" s="306"/>
      <c r="B937" t="s">
        <v>6630</v>
      </c>
      <c r="C937" t="s">
        <v>11547</v>
      </c>
      <c r="E937">
        <v>80.434782608695642</v>
      </c>
      <c r="F937" t="s">
        <v>11310</v>
      </c>
    </row>
    <row r="938" spans="1:7">
      <c r="A938" s="306"/>
      <c r="B938" t="s">
        <v>6633</v>
      </c>
      <c r="C938" t="s">
        <v>11548</v>
      </c>
      <c r="E938">
        <v>240.21739130434781</v>
      </c>
      <c r="F938" t="s">
        <v>11310</v>
      </c>
    </row>
    <row r="939" spans="1:7">
      <c r="A939" s="306"/>
      <c r="B939" t="s">
        <v>6631</v>
      </c>
      <c r="C939" t="s">
        <v>11549</v>
      </c>
      <c r="E939">
        <v>69.565217391304344</v>
      </c>
      <c r="F939" t="s">
        <v>11310</v>
      </c>
    </row>
    <row r="940" spans="1:7">
      <c r="A940" s="306"/>
      <c r="B940" t="s">
        <v>6623</v>
      </c>
      <c r="C940" t="s">
        <v>11550</v>
      </c>
      <c r="E940">
        <v>342.39130434782606</v>
      </c>
      <c r="F940" t="s">
        <v>11310</v>
      </c>
      <c r="G940" t="s">
        <v>10997</v>
      </c>
    </row>
    <row r="941" spans="1:7">
      <c r="A941" s="306"/>
      <c r="B941" t="s">
        <v>6618</v>
      </c>
      <c r="C941" t="s">
        <v>11551</v>
      </c>
      <c r="E941">
        <v>1001.0869565217391</v>
      </c>
      <c r="F941" t="s">
        <v>11310</v>
      </c>
      <c r="G941" t="s">
        <v>10999</v>
      </c>
    </row>
    <row r="942" spans="1:7">
      <c r="A942" s="306"/>
      <c r="B942" t="s">
        <v>6637</v>
      </c>
      <c r="C942" t="s">
        <v>6638</v>
      </c>
      <c r="E942">
        <v>159.78260869565216</v>
      </c>
      <c r="F942" t="s">
        <v>11310</v>
      </c>
      <c r="G942" t="s">
        <v>10999</v>
      </c>
    </row>
    <row r="943" spans="1:7">
      <c r="A943" s="306"/>
      <c r="B943" t="s">
        <v>6635</v>
      </c>
      <c r="C943" t="s">
        <v>6636</v>
      </c>
      <c r="E943">
        <v>220.65217391304347</v>
      </c>
      <c r="F943" t="s">
        <v>11310</v>
      </c>
      <c r="G943" t="s">
        <v>10999</v>
      </c>
    </row>
    <row r="944" spans="1:7">
      <c r="A944" s="306"/>
      <c r="B944" t="s">
        <v>6634</v>
      </c>
      <c r="C944" t="s">
        <v>11552</v>
      </c>
      <c r="E944">
        <v>664.13043478260863</v>
      </c>
      <c r="F944" t="s">
        <v>11310</v>
      </c>
    </row>
    <row r="945" spans="1:7">
      <c r="A945" s="306"/>
      <c r="B945" t="s">
        <v>11553</v>
      </c>
    </row>
    <row r="946" spans="1:7">
      <c r="A946" s="306"/>
      <c r="B946" t="s">
        <v>434</v>
      </c>
      <c r="C946" t="s">
        <v>11554</v>
      </c>
      <c r="E946">
        <v>241.30434782608694</v>
      </c>
      <c r="F946" t="s">
        <v>11310</v>
      </c>
      <c r="G946" t="s">
        <v>10997</v>
      </c>
    </row>
    <row r="947" spans="1:7">
      <c r="A947" s="306"/>
      <c r="B947" t="s">
        <v>6597</v>
      </c>
      <c r="C947" t="s">
        <v>11555</v>
      </c>
      <c r="E947">
        <v>252.17391304347825</v>
      </c>
      <c r="F947" t="s">
        <v>11310</v>
      </c>
      <c r="G947" t="s">
        <v>10999</v>
      </c>
    </row>
    <row r="948" spans="1:7">
      <c r="A948" s="306"/>
      <c r="B948" t="s">
        <v>6598</v>
      </c>
      <c r="C948" t="s">
        <v>11556</v>
      </c>
      <c r="E948">
        <v>254.3478260869565</v>
      </c>
      <c r="F948" t="s">
        <v>11310</v>
      </c>
      <c r="G948" t="s">
        <v>10999</v>
      </c>
    </row>
    <row r="949" spans="1:7">
      <c r="A949" s="306"/>
      <c r="B949" t="s">
        <v>6629</v>
      </c>
      <c r="C949" t="s">
        <v>11557</v>
      </c>
      <c r="E949">
        <v>260.86956521739131</v>
      </c>
      <c r="F949" t="s">
        <v>11310</v>
      </c>
      <c r="G949" t="s">
        <v>10996</v>
      </c>
    </row>
    <row r="950" spans="1:7">
      <c r="A950" s="306"/>
      <c r="B950" t="s">
        <v>6615</v>
      </c>
      <c r="C950" t="s">
        <v>11558</v>
      </c>
      <c r="E950">
        <v>273.91304347826087</v>
      </c>
      <c r="F950" t="s">
        <v>11310</v>
      </c>
      <c r="G950" t="s">
        <v>10999</v>
      </c>
    </row>
    <row r="951" spans="1:7">
      <c r="A951" s="306"/>
      <c r="B951" t="s">
        <v>6616</v>
      </c>
      <c r="C951" t="s">
        <v>11559</v>
      </c>
      <c r="E951">
        <v>856.52173913043475</v>
      </c>
      <c r="F951" t="s">
        <v>11310</v>
      </c>
      <c r="G951" t="s">
        <v>10999</v>
      </c>
    </row>
    <row r="952" spans="1:7">
      <c r="A952" s="306"/>
      <c r="B952" t="s">
        <v>1030</v>
      </c>
      <c r="C952" t="s">
        <v>11560</v>
      </c>
      <c r="E952">
        <v>951.08695652173913</v>
      </c>
      <c r="F952" t="s">
        <v>11310</v>
      </c>
      <c r="G952" t="s">
        <v>10997</v>
      </c>
    </row>
    <row r="953" spans="1:7">
      <c r="A953" s="306"/>
      <c r="B953" t="s">
        <v>1028</v>
      </c>
      <c r="C953" t="s">
        <v>11561</v>
      </c>
      <c r="E953">
        <v>694.56521739130437</v>
      </c>
      <c r="F953" t="s">
        <v>11310</v>
      </c>
      <c r="G953" t="s">
        <v>10997</v>
      </c>
    </row>
    <row r="954" spans="1:7">
      <c r="A954" s="306"/>
      <c r="B954" t="s">
        <v>6622</v>
      </c>
      <c r="C954" t="s">
        <v>11562</v>
      </c>
      <c r="E954">
        <v>1239.1304347826087</v>
      </c>
      <c r="F954" t="s">
        <v>11310</v>
      </c>
      <c r="G954" t="s">
        <v>10996</v>
      </c>
    </row>
    <row r="955" spans="1:7">
      <c r="A955" s="306"/>
      <c r="B955" t="s">
        <v>6621</v>
      </c>
      <c r="C955" t="s">
        <v>11563</v>
      </c>
      <c r="E955">
        <v>900</v>
      </c>
      <c r="F955" t="s">
        <v>11310</v>
      </c>
      <c r="G955" t="s">
        <v>10999</v>
      </c>
    </row>
    <row r="956" spans="1:7">
      <c r="A956" s="306"/>
      <c r="B956" t="s">
        <v>452</v>
      </c>
      <c r="C956" t="s">
        <v>11564</v>
      </c>
      <c r="E956">
        <v>694.56521739130437</v>
      </c>
      <c r="F956" t="s">
        <v>11310</v>
      </c>
      <c r="G956" t="s">
        <v>10997</v>
      </c>
    </row>
    <row r="957" spans="1:7">
      <c r="A957" s="306"/>
      <c r="B957" t="s">
        <v>454</v>
      </c>
      <c r="C957" t="s">
        <v>11565</v>
      </c>
      <c r="E957">
        <v>1011.9565217391304</v>
      </c>
      <c r="F957" t="s">
        <v>11310</v>
      </c>
      <c r="G957" t="s">
        <v>10997</v>
      </c>
    </row>
    <row r="958" spans="1:7">
      <c r="A958" s="306"/>
      <c r="B958" t="s">
        <v>1944</v>
      </c>
      <c r="C958" t="s">
        <v>11566</v>
      </c>
      <c r="E958">
        <v>895.65217391304338</v>
      </c>
      <c r="F958" t="s">
        <v>11310</v>
      </c>
      <c r="G958" t="s">
        <v>10999</v>
      </c>
    </row>
    <row r="959" spans="1:7">
      <c r="A959" s="306"/>
      <c r="B959" t="s">
        <v>1946</v>
      </c>
      <c r="C959" t="s">
        <v>11567</v>
      </c>
      <c r="E959">
        <v>1232.6086956521738</v>
      </c>
      <c r="F959" t="s">
        <v>11310</v>
      </c>
      <c r="G959" t="s">
        <v>10996</v>
      </c>
    </row>
    <row r="960" spans="1:7">
      <c r="A960" s="306"/>
      <c r="B960" t="s">
        <v>11568</v>
      </c>
    </row>
    <row r="961" spans="1:7">
      <c r="A961" s="306"/>
      <c r="B961" t="s">
        <v>6606</v>
      </c>
      <c r="C961" t="s">
        <v>11569</v>
      </c>
      <c r="E961">
        <v>9169.565217391304</v>
      </c>
      <c r="F961" t="s">
        <v>11310</v>
      </c>
      <c r="G961" t="s">
        <v>10999</v>
      </c>
    </row>
    <row r="962" spans="1:7">
      <c r="A962" s="306"/>
      <c r="B962" t="s">
        <v>6602</v>
      </c>
      <c r="C962" t="s">
        <v>11570</v>
      </c>
      <c r="E962">
        <v>7516.304347826087</v>
      </c>
      <c r="F962" t="s">
        <v>11310</v>
      </c>
      <c r="G962" t="s">
        <v>10996</v>
      </c>
    </row>
    <row r="963" spans="1:7">
      <c r="A963" s="306"/>
      <c r="B963" t="s">
        <v>6607</v>
      </c>
      <c r="C963" t="s">
        <v>11571</v>
      </c>
      <c r="E963">
        <v>11307.608695652174</v>
      </c>
      <c r="F963" t="s">
        <v>11310</v>
      </c>
      <c r="G963" t="s">
        <v>10999</v>
      </c>
    </row>
    <row r="964" spans="1:7">
      <c r="A964" s="306"/>
      <c r="B964" t="s">
        <v>6603</v>
      </c>
      <c r="C964" t="s">
        <v>11572</v>
      </c>
      <c r="E964">
        <v>9078.2608695652161</v>
      </c>
      <c r="F964" t="s">
        <v>11310</v>
      </c>
      <c r="G964" t="s">
        <v>10999</v>
      </c>
    </row>
    <row r="965" spans="1:7">
      <c r="A965" s="306"/>
      <c r="B965" t="s">
        <v>6608</v>
      </c>
      <c r="C965" t="s">
        <v>11573</v>
      </c>
      <c r="E965">
        <v>20759.782608695652</v>
      </c>
      <c r="F965" t="s">
        <v>11310</v>
      </c>
      <c r="G965" t="s">
        <v>10999</v>
      </c>
    </row>
    <row r="966" spans="1:7">
      <c r="A966" s="306"/>
      <c r="B966" t="s">
        <v>6604</v>
      </c>
      <c r="C966" t="s">
        <v>11574</v>
      </c>
      <c r="E966">
        <v>17263.043478260868</v>
      </c>
      <c r="F966" t="s">
        <v>11310</v>
      </c>
      <c r="G966" t="s">
        <v>10999</v>
      </c>
    </row>
    <row r="967" spans="1:7">
      <c r="A967" s="306"/>
      <c r="B967" t="s">
        <v>6605</v>
      </c>
      <c r="C967" t="s">
        <v>11575</v>
      </c>
      <c r="E967">
        <v>33853.260869565216</v>
      </c>
      <c r="F967" t="s">
        <v>11310</v>
      </c>
      <c r="G967" t="s">
        <v>10999</v>
      </c>
    </row>
    <row r="968" spans="1:7">
      <c r="A968" s="306"/>
      <c r="B968" t="s">
        <v>11576</v>
      </c>
    </row>
    <row r="969" spans="1:7">
      <c r="A969" s="306"/>
      <c r="B969" t="s">
        <v>6639</v>
      </c>
      <c r="C969" t="s">
        <v>11577</v>
      </c>
      <c r="E969">
        <v>108.69565217391303</v>
      </c>
      <c r="F969" t="s">
        <v>11310</v>
      </c>
    </row>
    <row r="970" spans="1:7">
      <c r="A970" s="306"/>
      <c r="B970" t="s">
        <v>6611</v>
      </c>
      <c r="C970" t="s">
        <v>11578</v>
      </c>
      <c r="E970">
        <v>640.21739130434776</v>
      </c>
      <c r="F970" t="s">
        <v>11310</v>
      </c>
    </row>
    <row r="971" spans="1:7">
      <c r="A971" s="306"/>
      <c r="B971" t="s">
        <v>6614</v>
      </c>
      <c r="C971" t="s">
        <v>11579</v>
      </c>
      <c r="E971">
        <v>79.347826086956516</v>
      </c>
      <c r="F971" t="s">
        <v>11310</v>
      </c>
    </row>
    <row r="972" spans="1:7">
      <c r="A972" s="306"/>
      <c r="B972" t="s">
        <v>11304</v>
      </c>
    </row>
    <row r="973" spans="1:7">
      <c r="A973" s="306"/>
      <c r="B973" t="s">
        <v>6619</v>
      </c>
      <c r="C973" t="s">
        <v>6620</v>
      </c>
      <c r="E973">
        <v>9.7826086956521738</v>
      </c>
      <c r="F973" t="s">
        <v>11310</v>
      </c>
      <c r="G973" t="s">
        <v>10996</v>
      </c>
    </row>
    <row r="974" spans="1:7">
      <c r="A974" s="306"/>
      <c r="B974" t="s">
        <v>1452</v>
      </c>
      <c r="C974" t="s">
        <v>1453</v>
      </c>
      <c r="E974">
        <v>13.043478260869565</v>
      </c>
      <c r="F974" t="s">
        <v>11310</v>
      </c>
      <c r="G974" t="s">
        <v>10996</v>
      </c>
    </row>
    <row r="975" spans="1:7">
      <c r="A975" s="306"/>
      <c r="B975" t="s">
        <v>11580</v>
      </c>
    </row>
    <row r="976" spans="1:7">
      <c r="A976" s="306"/>
      <c r="B976" t="s">
        <v>6640</v>
      </c>
    </row>
    <row r="977" spans="1:7">
      <c r="A977" s="306"/>
      <c r="B977" t="s">
        <v>11581</v>
      </c>
    </row>
    <row r="978" spans="1:7">
      <c r="A978" s="306"/>
      <c r="B978" t="s">
        <v>6645</v>
      </c>
      <c r="C978" t="s">
        <v>11582</v>
      </c>
      <c r="E978">
        <v>288.04347826086956</v>
      </c>
      <c r="F978" t="s">
        <v>11185</v>
      </c>
      <c r="G978" t="s">
        <v>10999</v>
      </c>
    </row>
    <row r="979" spans="1:7">
      <c r="A979" s="306"/>
      <c r="B979" t="s">
        <v>6695</v>
      </c>
      <c r="C979" t="s">
        <v>11583</v>
      </c>
      <c r="E979">
        <v>398.91304347826087</v>
      </c>
      <c r="F979" t="s">
        <v>11185</v>
      </c>
      <c r="G979" t="s">
        <v>10999</v>
      </c>
    </row>
    <row r="980" spans="1:7">
      <c r="A980" s="306"/>
      <c r="B980" t="s">
        <v>6756</v>
      </c>
      <c r="C980" t="s">
        <v>11584</v>
      </c>
      <c r="E980">
        <v>469.56521739130432</v>
      </c>
      <c r="F980" t="s">
        <v>11185</v>
      </c>
      <c r="G980" t="s">
        <v>10999</v>
      </c>
    </row>
    <row r="981" spans="1:7">
      <c r="A981" s="306"/>
      <c r="B981" t="s">
        <v>1062</v>
      </c>
      <c r="C981" t="s">
        <v>11585</v>
      </c>
      <c r="E981">
        <v>171.7391304347826</v>
      </c>
      <c r="F981" t="s">
        <v>11185</v>
      </c>
      <c r="G981" t="s">
        <v>10997</v>
      </c>
    </row>
    <row r="982" spans="1:7">
      <c r="A982" s="306"/>
      <c r="B982" t="s">
        <v>6649</v>
      </c>
      <c r="C982" t="s">
        <v>11586</v>
      </c>
      <c r="E982">
        <v>344.56521739130432</v>
      </c>
      <c r="F982" t="s">
        <v>11185</v>
      </c>
      <c r="G982" t="s">
        <v>10996</v>
      </c>
    </row>
    <row r="983" spans="1:7">
      <c r="A983" s="306"/>
      <c r="B983" t="s">
        <v>1940</v>
      </c>
      <c r="C983" t="s">
        <v>11587</v>
      </c>
      <c r="E983">
        <v>114.13043478260869</v>
      </c>
      <c r="F983" t="s">
        <v>11185</v>
      </c>
      <c r="G983" t="s">
        <v>10997</v>
      </c>
    </row>
    <row r="984" spans="1:7">
      <c r="A984" s="306"/>
      <c r="B984" t="s">
        <v>1938</v>
      </c>
      <c r="C984" t="s">
        <v>11588</v>
      </c>
      <c r="E984">
        <v>146.7391304347826</v>
      </c>
      <c r="F984" t="s">
        <v>11185</v>
      </c>
      <c r="G984" t="s">
        <v>10997</v>
      </c>
    </row>
    <row r="985" spans="1:7">
      <c r="A985" s="306"/>
      <c r="B985" t="s">
        <v>6762</v>
      </c>
      <c r="C985" t="s">
        <v>11589</v>
      </c>
      <c r="E985">
        <v>394.56521739130432</v>
      </c>
      <c r="F985" t="s">
        <v>11185</v>
      </c>
      <c r="G985" t="s">
        <v>10996</v>
      </c>
    </row>
    <row r="986" spans="1:7">
      <c r="A986" s="306"/>
      <c r="B986" t="s">
        <v>6763</v>
      </c>
      <c r="C986" t="s">
        <v>11590</v>
      </c>
      <c r="E986">
        <v>306.52173913043475</v>
      </c>
      <c r="F986" t="s">
        <v>11185</v>
      </c>
      <c r="G986" t="s">
        <v>10997</v>
      </c>
    </row>
    <row r="987" spans="1:7">
      <c r="A987" s="306"/>
      <c r="B987" t="s">
        <v>6696</v>
      </c>
      <c r="C987" t="s">
        <v>11591</v>
      </c>
      <c r="E987">
        <v>345.65217391304344</v>
      </c>
      <c r="F987" t="s">
        <v>11185</v>
      </c>
      <c r="G987" t="s">
        <v>10999</v>
      </c>
    </row>
    <row r="988" spans="1:7">
      <c r="A988" s="306"/>
      <c r="B988" t="s">
        <v>6698</v>
      </c>
      <c r="C988" t="s">
        <v>11592</v>
      </c>
      <c r="E988">
        <v>384.78260869565213</v>
      </c>
      <c r="F988" t="s">
        <v>11185</v>
      </c>
      <c r="G988" t="s">
        <v>10997</v>
      </c>
    </row>
    <row r="989" spans="1:7">
      <c r="A989" s="306"/>
      <c r="B989" t="s">
        <v>7033</v>
      </c>
      <c r="C989" t="s">
        <v>11593</v>
      </c>
      <c r="E989">
        <v>91.304347826086953</v>
      </c>
      <c r="F989" t="s">
        <v>11185</v>
      </c>
    </row>
    <row r="990" spans="1:7">
      <c r="A990" s="306"/>
      <c r="B990" t="s">
        <v>11594</v>
      </c>
    </row>
    <row r="991" spans="1:7">
      <c r="A991" s="306"/>
      <c r="B991" t="s">
        <v>6644</v>
      </c>
      <c r="C991" t="s">
        <v>11595</v>
      </c>
      <c r="E991">
        <v>311.95652173913044</v>
      </c>
      <c r="F991" t="s">
        <v>11185</v>
      </c>
      <c r="G991" t="s">
        <v>10999</v>
      </c>
    </row>
    <row r="992" spans="1:7">
      <c r="A992" s="306"/>
      <c r="B992" t="s">
        <v>6643</v>
      </c>
      <c r="C992" t="s">
        <v>11596</v>
      </c>
      <c r="E992">
        <v>1236.9565217391305</v>
      </c>
      <c r="F992" t="s">
        <v>11185</v>
      </c>
      <c r="G992" t="s">
        <v>10999</v>
      </c>
    </row>
    <row r="993" spans="1:7">
      <c r="A993" s="306"/>
      <c r="B993" t="s">
        <v>6764</v>
      </c>
      <c r="C993" t="s">
        <v>11597</v>
      </c>
      <c r="E993">
        <v>1005.4347826086956</v>
      </c>
      <c r="F993" t="s">
        <v>11185</v>
      </c>
      <c r="G993" t="s">
        <v>10999</v>
      </c>
    </row>
    <row r="994" spans="1:7">
      <c r="A994" s="306"/>
      <c r="B994" t="s">
        <v>11598</v>
      </c>
    </row>
    <row r="995" spans="1:7">
      <c r="A995" s="306"/>
      <c r="B995" t="s">
        <v>6754</v>
      </c>
      <c r="C995" t="s">
        <v>11599</v>
      </c>
      <c r="E995">
        <v>319.56521739130432</v>
      </c>
      <c r="F995" t="s">
        <v>11185</v>
      </c>
      <c r="G995" t="s">
        <v>10996</v>
      </c>
    </row>
    <row r="996" spans="1:7">
      <c r="A996" s="306"/>
      <c r="B996" t="s">
        <v>6755</v>
      </c>
      <c r="C996" t="s">
        <v>11600</v>
      </c>
      <c r="E996">
        <v>79.347826086956516</v>
      </c>
      <c r="F996" t="s">
        <v>11185</v>
      </c>
    </row>
    <row r="997" spans="1:7">
      <c r="A997" s="306"/>
      <c r="B997" t="s">
        <v>6767</v>
      </c>
      <c r="C997" t="s">
        <v>11601</v>
      </c>
      <c r="E997">
        <v>1007.6086956521739</v>
      </c>
      <c r="F997" t="s">
        <v>11185</v>
      </c>
      <c r="G997" t="s">
        <v>10996</v>
      </c>
    </row>
    <row r="998" spans="1:7">
      <c r="A998" s="306"/>
      <c r="B998" t="s">
        <v>6765</v>
      </c>
      <c r="C998" t="s">
        <v>11602</v>
      </c>
      <c r="E998">
        <v>340.21739130434781</v>
      </c>
      <c r="F998" t="s">
        <v>11185</v>
      </c>
      <c r="G998" t="s">
        <v>10996</v>
      </c>
    </row>
    <row r="999" spans="1:7">
      <c r="A999" s="306"/>
      <c r="B999" t="s">
        <v>6766</v>
      </c>
      <c r="C999" t="s">
        <v>11603</v>
      </c>
      <c r="E999">
        <v>528.26086956521738</v>
      </c>
      <c r="F999" t="s">
        <v>11185</v>
      </c>
    </row>
    <row r="1000" spans="1:7">
      <c r="A1000" s="306"/>
      <c r="B1000" t="s">
        <v>6760</v>
      </c>
      <c r="C1000" t="s">
        <v>11604</v>
      </c>
      <c r="E1000">
        <v>307.60869565217388</v>
      </c>
      <c r="F1000" t="s">
        <v>11185</v>
      </c>
      <c r="G1000" t="s">
        <v>10996</v>
      </c>
    </row>
    <row r="1001" spans="1:7">
      <c r="A1001" s="306"/>
      <c r="B1001" t="s">
        <v>11605</v>
      </c>
    </row>
    <row r="1002" spans="1:7">
      <c r="A1002" s="306"/>
      <c r="B1002" t="s">
        <v>6703</v>
      </c>
      <c r="C1002" t="s">
        <v>11606</v>
      </c>
      <c r="E1002">
        <v>503.26086956521738</v>
      </c>
      <c r="F1002" t="s">
        <v>11185</v>
      </c>
      <c r="G1002" t="s">
        <v>10999</v>
      </c>
    </row>
    <row r="1003" spans="1:7">
      <c r="A1003" s="306"/>
      <c r="B1003" t="s">
        <v>6704</v>
      </c>
      <c r="C1003" t="s">
        <v>11607</v>
      </c>
      <c r="E1003">
        <v>1193.4782608695652</v>
      </c>
      <c r="F1003" t="s">
        <v>11185</v>
      </c>
      <c r="G1003" t="s">
        <v>10996</v>
      </c>
    </row>
    <row r="1004" spans="1:7">
      <c r="A1004" s="306"/>
      <c r="B1004" t="s">
        <v>11608</v>
      </c>
    </row>
    <row r="1005" spans="1:7">
      <c r="A1005" s="306"/>
      <c r="B1005" t="s">
        <v>6648</v>
      </c>
      <c r="C1005" t="s">
        <v>11609</v>
      </c>
      <c r="E1005">
        <v>556.52173913043475</v>
      </c>
      <c r="F1005" t="s">
        <v>11185</v>
      </c>
      <c r="G1005" t="s">
        <v>10996</v>
      </c>
    </row>
    <row r="1006" spans="1:7">
      <c r="A1006" s="306"/>
      <c r="B1006" t="s">
        <v>6714</v>
      </c>
      <c r="C1006" t="s">
        <v>11610</v>
      </c>
      <c r="E1006">
        <v>393.47826086956519</v>
      </c>
      <c r="F1006" t="s">
        <v>11185</v>
      </c>
      <c r="G1006" t="s">
        <v>10996</v>
      </c>
    </row>
    <row r="1007" spans="1:7">
      <c r="A1007" s="306"/>
      <c r="B1007" t="s">
        <v>11611</v>
      </c>
    </row>
    <row r="1008" spans="1:7">
      <c r="A1008" s="306"/>
      <c r="B1008" t="s">
        <v>6770</v>
      </c>
      <c r="C1008" t="s">
        <v>11612</v>
      </c>
      <c r="E1008">
        <v>303.26086956521738</v>
      </c>
      <c r="F1008" t="s">
        <v>11185</v>
      </c>
      <c r="G1008" t="s">
        <v>10996</v>
      </c>
    </row>
    <row r="1009" spans="1:7">
      <c r="A1009" s="306"/>
      <c r="B1009" t="s">
        <v>6771</v>
      </c>
      <c r="C1009" t="s">
        <v>11613</v>
      </c>
      <c r="E1009">
        <v>145.65217391304347</v>
      </c>
      <c r="F1009" t="s">
        <v>11185</v>
      </c>
      <c r="G1009" t="s">
        <v>10996</v>
      </c>
    </row>
    <row r="1010" spans="1:7">
      <c r="A1010" s="306"/>
      <c r="B1010" t="s">
        <v>6772</v>
      </c>
      <c r="C1010" t="s">
        <v>11614</v>
      </c>
      <c r="E1010">
        <v>303.26086956521738</v>
      </c>
      <c r="F1010" t="s">
        <v>11185</v>
      </c>
      <c r="G1010" t="s">
        <v>10996</v>
      </c>
    </row>
    <row r="1011" spans="1:7">
      <c r="A1011" s="306"/>
      <c r="B1011" t="s">
        <v>6761</v>
      </c>
      <c r="C1011" t="s">
        <v>11615</v>
      </c>
      <c r="E1011">
        <v>133.69565217391303</v>
      </c>
      <c r="F1011" t="s">
        <v>11185</v>
      </c>
      <c r="G1011" t="s">
        <v>10997</v>
      </c>
    </row>
    <row r="1012" spans="1:7">
      <c r="A1012" s="306"/>
      <c r="B1012" t="s">
        <v>1454</v>
      </c>
      <c r="C1012" t="s">
        <v>11616</v>
      </c>
      <c r="E1012">
        <v>397.82608695652175</v>
      </c>
      <c r="F1012" t="s">
        <v>11185</v>
      </c>
      <c r="G1012" t="s">
        <v>10997</v>
      </c>
    </row>
    <row r="1013" spans="1:7">
      <c r="A1013" s="306"/>
      <c r="B1013" t="s">
        <v>6646</v>
      </c>
      <c r="C1013" t="s">
        <v>11617</v>
      </c>
      <c r="E1013">
        <v>291.30434782608694</v>
      </c>
      <c r="F1013" t="s">
        <v>11185</v>
      </c>
      <c r="G1013" t="s">
        <v>10997</v>
      </c>
    </row>
    <row r="1014" spans="1:7">
      <c r="A1014" s="306"/>
      <c r="B1014" t="s">
        <v>6652</v>
      </c>
      <c r="C1014" t="s">
        <v>11618</v>
      </c>
      <c r="E1014">
        <v>402.17391304347825</v>
      </c>
      <c r="F1014" t="s">
        <v>11185</v>
      </c>
      <c r="G1014" t="s">
        <v>10997</v>
      </c>
    </row>
    <row r="1015" spans="1:7">
      <c r="A1015" s="306"/>
      <c r="B1015" t="s">
        <v>6647</v>
      </c>
      <c r="C1015" t="s">
        <v>11619</v>
      </c>
      <c r="E1015">
        <v>390.21739130434781</v>
      </c>
      <c r="F1015" t="s">
        <v>11185</v>
      </c>
      <c r="G1015" t="s">
        <v>10997</v>
      </c>
    </row>
    <row r="1016" spans="1:7">
      <c r="A1016" s="306"/>
      <c r="B1016" t="s">
        <v>6759</v>
      </c>
      <c r="C1016" t="s">
        <v>11620</v>
      </c>
      <c r="E1016">
        <v>267.39130434782606</v>
      </c>
      <c r="F1016" t="s">
        <v>11185</v>
      </c>
      <c r="G1016" t="s">
        <v>10996</v>
      </c>
    </row>
    <row r="1017" spans="1:7">
      <c r="A1017" s="306"/>
      <c r="B1017" t="s">
        <v>1952</v>
      </c>
      <c r="C1017" t="s">
        <v>11621</v>
      </c>
      <c r="E1017">
        <v>563.04347826086951</v>
      </c>
      <c r="F1017" t="s">
        <v>11185</v>
      </c>
      <c r="G1017" t="s">
        <v>10997</v>
      </c>
    </row>
    <row r="1018" spans="1:7">
      <c r="A1018" s="306"/>
      <c r="B1018" t="s">
        <v>6768</v>
      </c>
      <c r="C1018" t="s">
        <v>11622</v>
      </c>
      <c r="E1018">
        <v>397.82608695652175</v>
      </c>
      <c r="F1018" t="s">
        <v>11185</v>
      </c>
      <c r="G1018" t="s">
        <v>10996</v>
      </c>
    </row>
    <row r="1019" spans="1:7">
      <c r="A1019" s="306"/>
      <c r="B1019" t="s">
        <v>6769</v>
      </c>
      <c r="C1019" t="s">
        <v>11623</v>
      </c>
      <c r="E1019">
        <v>470.65217391304344</v>
      </c>
      <c r="F1019" t="s">
        <v>11185</v>
      </c>
      <c r="G1019" t="s">
        <v>10996</v>
      </c>
    </row>
    <row r="1020" spans="1:7">
      <c r="A1020" s="306"/>
      <c r="B1020" t="s">
        <v>11624</v>
      </c>
    </row>
    <row r="1021" spans="1:7">
      <c r="A1021" s="306"/>
      <c r="B1021" t="s">
        <v>6729</v>
      </c>
      <c r="C1021" t="s">
        <v>11625</v>
      </c>
      <c r="E1021">
        <v>420.65217391304344</v>
      </c>
      <c r="F1021" t="s">
        <v>11190</v>
      </c>
      <c r="G1021" t="s">
        <v>10996</v>
      </c>
    </row>
    <row r="1022" spans="1:7">
      <c r="A1022" s="306"/>
      <c r="B1022" t="s">
        <v>6723</v>
      </c>
      <c r="C1022" t="s">
        <v>11626</v>
      </c>
      <c r="E1022">
        <v>335.86956521739131</v>
      </c>
      <c r="F1022" t="s">
        <v>11190</v>
      </c>
      <c r="G1022" t="s">
        <v>10997</v>
      </c>
    </row>
    <row r="1023" spans="1:7">
      <c r="A1023" s="306"/>
      <c r="B1023" t="s">
        <v>6724</v>
      </c>
      <c r="C1023" t="s">
        <v>11627</v>
      </c>
      <c r="E1023">
        <v>131.52173913043478</v>
      </c>
      <c r="F1023" t="s">
        <v>11190</v>
      </c>
    </row>
    <row r="1024" spans="1:7">
      <c r="A1024" s="306"/>
      <c r="B1024" t="s">
        <v>6725</v>
      </c>
      <c r="C1024" t="s">
        <v>11628</v>
      </c>
      <c r="E1024">
        <v>634.78260869565213</v>
      </c>
      <c r="F1024" t="s">
        <v>11190</v>
      </c>
      <c r="G1024" t="s">
        <v>10997</v>
      </c>
    </row>
    <row r="1025" spans="1:7">
      <c r="A1025" s="306"/>
      <c r="B1025" t="s">
        <v>6733</v>
      </c>
      <c r="C1025" t="s">
        <v>11629</v>
      </c>
      <c r="E1025">
        <v>863.04347826086951</v>
      </c>
      <c r="F1025" t="s">
        <v>11190</v>
      </c>
      <c r="G1025" t="s">
        <v>10999</v>
      </c>
    </row>
    <row r="1026" spans="1:7">
      <c r="A1026" s="306"/>
      <c r="B1026" t="s">
        <v>6734</v>
      </c>
      <c r="C1026" t="s">
        <v>11630</v>
      </c>
      <c r="E1026">
        <v>640.21739130434776</v>
      </c>
      <c r="F1026" t="s">
        <v>11190</v>
      </c>
    </row>
    <row r="1027" spans="1:7">
      <c r="A1027" s="306"/>
      <c r="B1027" t="s">
        <v>6642</v>
      </c>
      <c r="C1027" t="s">
        <v>11631</v>
      </c>
      <c r="E1027">
        <v>615.21739130434776</v>
      </c>
      <c r="F1027" t="s">
        <v>11190</v>
      </c>
    </row>
    <row r="1028" spans="1:7">
      <c r="A1028" s="306"/>
      <c r="B1028" t="s">
        <v>6726</v>
      </c>
      <c r="C1028" t="s">
        <v>11632</v>
      </c>
      <c r="E1028">
        <v>157.60869565217391</v>
      </c>
      <c r="F1028" t="s">
        <v>11190</v>
      </c>
      <c r="G1028" t="s">
        <v>10997</v>
      </c>
    </row>
    <row r="1029" spans="1:7">
      <c r="A1029" s="306"/>
      <c r="B1029" t="s">
        <v>6731</v>
      </c>
      <c r="C1029" t="s">
        <v>11633</v>
      </c>
      <c r="E1029">
        <v>597.82608695652175</v>
      </c>
      <c r="F1029" t="s">
        <v>11190</v>
      </c>
      <c r="G1029" t="s">
        <v>10999</v>
      </c>
    </row>
    <row r="1030" spans="1:7">
      <c r="A1030" s="306"/>
      <c r="B1030" t="s">
        <v>6715</v>
      </c>
      <c r="C1030" t="s">
        <v>11634</v>
      </c>
      <c r="E1030">
        <v>300</v>
      </c>
      <c r="F1030" t="s">
        <v>11190</v>
      </c>
      <c r="G1030" t="s">
        <v>10997</v>
      </c>
    </row>
    <row r="1031" spans="1:7">
      <c r="A1031" s="306"/>
      <c r="B1031" t="s">
        <v>6732</v>
      </c>
      <c r="C1031" t="s">
        <v>11635</v>
      </c>
      <c r="E1031">
        <v>1159.782608695652</v>
      </c>
      <c r="F1031" t="s">
        <v>11190</v>
      </c>
      <c r="G1031" t="s">
        <v>10999</v>
      </c>
    </row>
    <row r="1032" spans="1:7">
      <c r="A1032" s="306"/>
      <c r="B1032" t="s">
        <v>6735</v>
      </c>
      <c r="C1032" t="s">
        <v>11636</v>
      </c>
      <c r="E1032">
        <v>588.04347826086951</v>
      </c>
      <c r="F1032" t="s">
        <v>11190</v>
      </c>
      <c r="G1032" t="s">
        <v>10997</v>
      </c>
    </row>
    <row r="1033" spans="1:7">
      <c r="A1033" s="306"/>
      <c r="B1033" t="s">
        <v>6727</v>
      </c>
      <c r="C1033" t="s">
        <v>11637</v>
      </c>
      <c r="E1033">
        <v>777.17391304347825</v>
      </c>
      <c r="F1033" t="s">
        <v>11190</v>
      </c>
      <c r="G1033" t="s">
        <v>10997</v>
      </c>
    </row>
    <row r="1034" spans="1:7">
      <c r="A1034" s="306"/>
      <c r="B1034" t="s">
        <v>6736</v>
      </c>
      <c r="C1034" t="s">
        <v>11638</v>
      </c>
      <c r="E1034">
        <v>689.13043478260863</v>
      </c>
      <c r="F1034" t="s">
        <v>11190</v>
      </c>
      <c r="G1034" t="s">
        <v>10996</v>
      </c>
    </row>
    <row r="1035" spans="1:7">
      <c r="A1035" s="306"/>
      <c r="B1035" t="s">
        <v>6737</v>
      </c>
      <c r="C1035" t="s">
        <v>11639</v>
      </c>
      <c r="E1035">
        <v>1257.6086956521738</v>
      </c>
      <c r="F1035" t="s">
        <v>11190</v>
      </c>
      <c r="G1035" t="s">
        <v>10999</v>
      </c>
    </row>
    <row r="1036" spans="1:7">
      <c r="A1036" s="306"/>
      <c r="B1036" t="s">
        <v>6728</v>
      </c>
      <c r="C1036" t="s">
        <v>11640</v>
      </c>
      <c r="E1036">
        <v>718.47826086956513</v>
      </c>
      <c r="F1036" t="s">
        <v>11190</v>
      </c>
      <c r="G1036" t="s">
        <v>10999</v>
      </c>
    </row>
    <row r="1037" spans="1:7">
      <c r="A1037" s="306"/>
      <c r="B1037" t="s">
        <v>6730</v>
      </c>
      <c r="C1037" t="s">
        <v>11641</v>
      </c>
      <c r="E1037">
        <v>1204.3478260869565</v>
      </c>
      <c r="F1037" t="s">
        <v>11190</v>
      </c>
      <c r="G1037" t="s">
        <v>10999</v>
      </c>
    </row>
    <row r="1038" spans="1:7">
      <c r="A1038" s="306"/>
      <c r="B1038" t="s">
        <v>11642</v>
      </c>
      <c r="C1038" t="s">
        <v>11643</v>
      </c>
      <c r="E1038">
        <v>131.52173913043478</v>
      </c>
      <c r="F1038" t="s">
        <v>11190</v>
      </c>
    </row>
    <row r="1039" spans="1:7">
      <c r="A1039" s="306"/>
      <c r="B1039" t="s">
        <v>11644</v>
      </c>
    </row>
    <row r="1040" spans="1:7">
      <c r="A1040" s="306"/>
      <c r="B1040" t="s">
        <v>6721</v>
      </c>
      <c r="C1040" t="s">
        <v>6722</v>
      </c>
      <c r="E1040">
        <v>57.608695652173914</v>
      </c>
      <c r="F1040" t="s">
        <v>11185</v>
      </c>
      <c r="G1040" t="s">
        <v>10996</v>
      </c>
    </row>
    <row r="1041" spans="1:7">
      <c r="A1041" s="306"/>
      <c r="B1041" t="s">
        <v>6719</v>
      </c>
      <c r="C1041" t="s">
        <v>6720</v>
      </c>
      <c r="E1041">
        <v>134.78260869565216</v>
      </c>
      <c r="F1041" t="s">
        <v>11185</v>
      </c>
      <c r="G1041" t="s">
        <v>10996</v>
      </c>
    </row>
    <row r="1042" spans="1:7">
      <c r="A1042" s="306"/>
      <c r="B1042" t="s">
        <v>6717</v>
      </c>
      <c r="C1042" t="s">
        <v>6718</v>
      </c>
      <c r="E1042">
        <v>89.130434782608688</v>
      </c>
      <c r="F1042" t="s">
        <v>11185</v>
      </c>
      <c r="G1042" t="s">
        <v>10996</v>
      </c>
    </row>
    <row r="1043" spans="1:7">
      <c r="A1043" s="306"/>
      <c r="B1043" t="s">
        <v>6641</v>
      </c>
      <c r="C1043" t="s">
        <v>11645</v>
      </c>
      <c r="E1043">
        <v>683.695652173913</v>
      </c>
      <c r="F1043" t="s">
        <v>11185</v>
      </c>
      <c r="G1043" t="s">
        <v>10996</v>
      </c>
    </row>
    <row r="1044" spans="1:7">
      <c r="A1044" s="306"/>
      <c r="B1044" t="s">
        <v>11646</v>
      </c>
    </row>
    <row r="1045" spans="1:7">
      <c r="A1045" s="306"/>
      <c r="B1045" t="s">
        <v>6691</v>
      </c>
      <c r="C1045" t="s">
        <v>6692</v>
      </c>
      <c r="E1045">
        <v>33.695652173913039</v>
      </c>
      <c r="F1045" t="s">
        <v>11185</v>
      </c>
      <c r="G1045" t="s">
        <v>10999</v>
      </c>
    </row>
    <row r="1046" spans="1:7">
      <c r="A1046" s="306"/>
      <c r="B1046" t="s">
        <v>6693</v>
      </c>
      <c r="C1046" t="s">
        <v>6694</v>
      </c>
      <c r="E1046">
        <v>27.173913043478258</v>
      </c>
      <c r="F1046" t="s">
        <v>11185</v>
      </c>
      <c r="G1046" t="s">
        <v>10997</v>
      </c>
    </row>
    <row r="1047" spans="1:7">
      <c r="A1047" s="306"/>
      <c r="B1047" t="s">
        <v>6689</v>
      </c>
      <c r="C1047" t="s">
        <v>6690</v>
      </c>
      <c r="E1047">
        <v>36.95652173913043</v>
      </c>
      <c r="F1047" t="s">
        <v>11185</v>
      </c>
      <c r="G1047" t="s">
        <v>10997</v>
      </c>
    </row>
    <row r="1048" spans="1:7">
      <c r="A1048" s="306"/>
      <c r="B1048" t="s">
        <v>6697</v>
      </c>
      <c r="C1048" t="s">
        <v>11647</v>
      </c>
      <c r="E1048">
        <v>59.782608695652172</v>
      </c>
      <c r="F1048" t="s">
        <v>11185</v>
      </c>
      <c r="G1048" t="s">
        <v>10996</v>
      </c>
    </row>
    <row r="1049" spans="1:7">
      <c r="A1049" s="306"/>
      <c r="B1049" t="s">
        <v>6711</v>
      </c>
      <c r="C1049" t="s">
        <v>11648</v>
      </c>
      <c r="E1049">
        <v>60.869565217391305</v>
      </c>
      <c r="F1049" t="s">
        <v>11185</v>
      </c>
      <c r="G1049" t="s">
        <v>10996</v>
      </c>
    </row>
    <row r="1050" spans="1:7">
      <c r="A1050" s="306"/>
      <c r="B1050" t="s">
        <v>6683</v>
      </c>
      <c r="C1050" t="s">
        <v>6684</v>
      </c>
      <c r="E1050">
        <v>46.739130434782609</v>
      </c>
      <c r="F1050" t="s">
        <v>11185</v>
      </c>
      <c r="G1050" t="s">
        <v>10999</v>
      </c>
    </row>
    <row r="1051" spans="1:7">
      <c r="A1051" s="306"/>
      <c r="B1051" t="s">
        <v>6669</v>
      </c>
      <c r="C1051" t="s">
        <v>6670</v>
      </c>
      <c r="E1051">
        <v>46.739130434782609</v>
      </c>
      <c r="F1051" t="s">
        <v>11185</v>
      </c>
    </row>
    <row r="1052" spans="1:7">
      <c r="A1052" s="306"/>
      <c r="B1052" t="s">
        <v>6655</v>
      </c>
      <c r="C1052" t="s">
        <v>6656</v>
      </c>
      <c r="E1052">
        <v>31.521739130434781</v>
      </c>
      <c r="F1052" t="s">
        <v>11185</v>
      </c>
      <c r="G1052" t="s">
        <v>10999</v>
      </c>
    </row>
    <row r="1053" spans="1:7">
      <c r="A1053" s="306"/>
      <c r="B1053" t="s">
        <v>6685</v>
      </c>
      <c r="C1053" t="s">
        <v>6686</v>
      </c>
      <c r="E1053">
        <v>51.086956521739125</v>
      </c>
      <c r="F1053" t="s">
        <v>11185</v>
      </c>
      <c r="G1053" t="s">
        <v>10999</v>
      </c>
    </row>
    <row r="1054" spans="1:7">
      <c r="A1054" s="306"/>
      <c r="B1054" t="s">
        <v>6671</v>
      </c>
      <c r="C1054" t="s">
        <v>6672</v>
      </c>
      <c r="E1054">
        <v>51.086956521739125</v>
      </c>
      <c r="F1054" t="s">
        <v>11185</v>
      </c>
    </row>
    <row r="1055" spans="1:7">
      <c r="A1055" s="306"/>
      <c r="B1055" t="s">
        <v>6657</v>
      </c>
      <c r="C1055" t="s">
        <v>6658</v>
      </c>
      <c r="E1055">
        <v>26.086956521739129</v>
      </c>
      <c r="F1055" t="s">
        <v>11185</v>
      </c>
      <c r="G1055" t="s">
        <v>10996</v>
      </c>
    </row>
    <row r="1056" spans="1:7">
      <c r="A1056" s="306"/>
      <c r="B1056" t="s">
        <v>6663</v>
      </c>
      <c r="C1056" t="s">
        <v>6664</v>
      </c>
      <c r="E1056">
        <v>26.086956521739129</v>
      </c>
      <c r="F1056" t="s">
        <v>11185</v>
      </c>
      <c r="G1056" t="s">
        <v>10997</v>
      </c>
    </row>
    <row r="1057" spans="1:7">
      <c r="A1057" s="306"/>
      <c r="B1057" t="s">
        <v>6667</v>
      </c>
      <c r="C1057" t="s">
        <v>6668</v>
      </c>
      <c r="E1057">
        <v>27.173913043478258</v>
      </c>
      <c r="F1057" t="s">
        <v>11185</v>
      </c>
    </row>
    <row r="1058" spans="1:7">
      <c r="A1058" s="306"/>
      <c r="B1058" t="s">
        <v>6650</v>
      </c>
      <c r="C1058" t="s">
        <v>6651</v>
      </c>
      <c r="E1058">
        <v>54.347826086956516</v>
      </c>
      <c r="F1058" t="s">
        <v>11185</v>
      </c>
      <c r="G1058" t="s">
        <v>10996</v>
      </c>
    </row>
    <row r="1059" spans="1:7">
      <c r="A1059" s="306"/>
      <c r="B1059" t="s">
        <v>6665</v>
      </c>
      <c r="C1059" t="s">
        <v>6666</v>
      </c>
      <c r="E1059">
        <v>55.434782608695649</v>
      </c>
      <c r="F1059" t="s">
        <v>11185</v>
      </c>
      <c r="G1059" t="s">
        <v>10996</v>
      </c>
    </row>
    <row r="1060" spans="1:7">
      <c r="A1060" s="306"/>
      <c r="B1060" t="s">
        <v>6653</v>
      </c>
      <c r="C1060" t="s">
        <v>6654</v>
      </c>
      <c r="E1060">
        <v>34.782608695652172</v>
      </c>
      <c r="F1060" t="s">
        <v>11185</v>
      </c>
      <c r="G1060" t="s">
        <v>10997</v>
      </c>
    </row>
    <row r="1061" spans="1:7">
      <c r="A1061" s="306"/>
      <c r="B1061" t="s">
        <v>11649</v>
      </c>
      <c r="C1061" t="s">
        <v>11650</v>
      </c>
      <c r="E1061">
        <v>395.65217391304344</v>
      </c>
      <c r="F1061" t="s">
        <v>11185</v>
      </c>
      <c r="G1061" t="s">
        <v>10996</v>
      </c>
    </row>
    <row r="1062" spans="1:7">
      <c r="A1062" s="306"/>
      <c r="B1062" t="s">
        <v>6738</v>
      </c>
      <c r="C1062" t="s">
        <v>6739</v>
      </c>
      <c r="E1062">
        <v>50</v>
      </c>
      <c r="F1062" t="s">
        <v>11185</v>
      </c>
      <c r="G1062" t="s">
        <v>10997</v>
      </c>
    </row>
    <row r="1063" spans="1:7">
      <c r="A1063" s="306"/>
      <c r="B1063" t="s">
        <v>6742</v>
      </c>
      <c r="C1063" t="s">
        <v>6743</v>
      </c>
      <c r="E1063">
        <v>52.173913043478258</v>
      </c>
      <c r="F1063" t="s">
        <v>11185</v>
      </c>
      <c r="G1063" t="s">
        <v>10996</v>
      </c>
    </row>
    <row r="1064" spans="1:7">
      <c r="A1064" s="306"/>
      <c r="B1064" t="s">
        <v>6740</v>
      </c>
      <c r="C1064" t="s">
        <v>6741</v>
      </c>
      <c r="E1064">
        <v>58.695652173913039</v>
      </c>
      <c r="F1064" t="s">
        <v>11185</v>
      </c>
      <c r="G1064" t="s">
        <v>10997</v>
      </c>
    </row>
    <row r="1065" spans="1:7">
      <c r="A1065" s="306"/>
      <c r="B1065" t="s">
        <v>6744</v>
      </c>
      <c r="C1065" t="s">
        <v>6745</v>
      </c>
      <c r="E1065">
        <v>66.304347826086953</v>
      </c>
      <c r="F1065" t="s">
        <v>11185</v>
      </c>
      <c r="G1065" t="s">
        <v>10997</v>
      </c>
    </row>
    <row r="1066" spans="1:7">
      <c r="A1066" s="306"/>
      <c r="B1066" t="s">
        <v>6746</v>
      </c>
      <c r="C1066" t="s">
        <v>6747</v>
      </c>
      <c r="E1066">
        <v>42.391304347826086</v>
      </c>
      <c r="F1066" t="s">
        <v>11185</v>
      </c>
      <c r="G1066" t="s">
        <v>10996</v>
      </c>
    </row>
    <row r="1067" spans="1:7">
      <c r="A1067" s="306"/>
      <c r="B1067" t="s">
        <v>6748</v>
      </c>
      <c r="C1067" t="s">
        <v>6749</v>
      </c>
      <c r="E1067">
        <v>79.347826086956516</v>
      </c>
      <c r="F1067" t="s">
        <v>11185</v>
      </c>
      <c r="G1067" t="s">
        <v>10996</v>
      </c>
    </row>
    <row r="1068" spans="1:7">
      <c r="A1068" s="306"/>
      <c r="B1068" t="s">
        <v>6750</v>
      </c>
      <c r="C1068" t="s">
        <v>6751</v>
      </c>
      <c r="E1068">
        <v>89.130434782608688</v>
      </c>
      <c r="F1068" t="s">
        <v>11185</v>
      </c>
      <c r="G1068" t="s">
        <v>10996</v>
      </c>
    </row>
    <row r="1069" spans="1:7">
      <c r="A1069" s="306"/>
      <c r="B1069" t="s">
        <v>6752</v>
      </c>
      <c r="C1069" t="s">
        <v>6753</v>
      </c>
      <c r="E1069">
        <v>80.434782608695642</v>
      </c>
      <c r="F1069" t="s">
        <v>11185</v>
      </c>
      <c r="G1069" t="s">
        <v>10996</v>
      </c>
    </row>
    <row r="1070" spans="1:7">
      <c r="A1070" s="306"/>
      <c r="B1070" t="s">
        <v>6681</v>
      </c>
      <c r="C1070" t="s">
        <v>6682</v>
      </c>
      <c r="E1070">
        <v>36.95652173913043</v>
      </c>
      <c r="F1070" t="s">
        <v>11185</v>
      </c>
      <c r="G1070" t="s">
        <v>10996</v>
      </c>
    </row>
    <row r="1071" spans="1:7">
      <c r="A1071" s="306"/>
      <c r="B1071" t="s">
        <v>6679</v>
      </c>
      <c r="C1071" t="s">
        <v>6680</v>
      </c>
      <c r="E1071">
        <v>35.869565217391305</v>
      </c>
      <c r="F1071" t="s">
        <v>11185</v>
      </c>
      <c r="G1071" t="s">
        <v>10997</v>
      </c>
    </row>
    <row r="1072" spans="1:7">
      <c r="A1072" s="306"/>
      <c r="B1072" t="s">
        <v>6687</v>
      </c>
      <c r="C1072" t="s">
        <v>6688</v>
      </c>
      <c r="E1072">
        <v>42.391304347826086</v>
      </c>
      <c r="F1072" t="s">
        <v>11185</v>
      </c>
      <c r="G1072" t="s">
        <v>10997</v>
      </c>
    </row>
    <row r="1073" spans="1:7">
      <c r="A1073" s="306"/>
      <c r="B1073" t="s">
        <v>6707</v>
      </c>
      <c r="C1073" t="s">
        <v>6708</v>
      </c>
      <c r="E1073">
        <v>57.608695652173914</v>
      </c>
      <c r="F1073" t="s">
        <v>11185</v>
      </c>
      <c r="G1073" t="s">
        <v>10996</v>
      </c>
    </row>
    <row r="1074" spans="1:7">
      <c r="A1074" s="306"/>
      <c r="B1074" t="s">
        <v>6705</v>
      </c>
      <c r="C1074" t="s">
        <v>6706</v>
      </c>
      <c r="E1074">
        <v>58.695652173913039</v>
      </c>
      <c r="F1074" t="s">
        <v>11185</v>
      </c>
      <c r="G1074" t="s">
        <v>10997</v>
      </c>
    </row>
    <row r="1075" spans="1:7">
      <c r="A1075" s="306"/>
      <c r="B1075" t="s">
        <v>6709</v>
      </c>
      <c r="C1075" t="s">
        <v>6710</v>
      </c>
      <c r="E1075">
        <v>196.7391304347826</v>
      </c>
      <c r="F1075" t="s">
        <v>11185</v>
      </c>
      <c r="G1075" t="s">
        <v>10997</v>
      </c>
    </row>
    <row r="1076" spans="1:7">
      <c r="A1076" s="306"/>
      <c r="B1076" t="s">
        <v>6712</v>
      </c>
      <c r="C1076" t="s">
        <v>6713</v>
      </c>
      <c r="E1076">
        <v>52.173913043478258</v>
      </c>
      <c r="F1076" t="s">
        <v>11185</v>
      </c>
      <c r="G1076" t="s">
        <v>10996</v>
      </c>
    </row>
    <row r="1077" spans="1:7">
      <c r="A1077" s="306"/>
      <c r="B1077" t="s">
        <v>7094</v>
      </c>
      <c r="C1077" t="s">
        <v>11651</v>
      </c>
      <c r="E1077">
        <v>361.95652173913044</v>
      </c>
      <c r="F1077" t="s">
        <v>11185</v>
      </c>
      <c r="G1077" t="s">
        <v>10999</v>
      </c>
    </row>
    <row r="1078" spans="1:7">
      <c r="A1078" s="306"/>
      <c r="B1078" t="s">
        <v>6503</v>
      </c>
      <c r="C1078" t="s">
        <v>6504</v>
      </c>
      <c r="E1078">
        <v>305.43478260869563</v>
      </c>
      <c r="F1078" t="s">
        <v>11310</v>
      </c>
      <c r="G1078" t="s">
        <v>10997</v>
      </c>
    </row>
    <row r="1079" spans="1:7">
      <c r="A1079" s="306"/>
      <c r="B1079" t="s">
        <v>11304</v>
      </c>
    </row>
    <row r="1080" spans="1:7">
      <c r="A1080" s="306"/>
      <c r="B1080" t="s">
        <v>2168</v>
      </c>
      <c r="C1080" t="s">
        <v>11652</v>
      </c>
      <c r="E1080">
        <v>857.60869565217388</v>
      </c>
      <c r="F1080" t="s">
        <v>11185</v>
      </c>
      <c r="G1080" t="s">
        <v>10996</v>
      </c>
    </row>
    <row r="1081" spans="1:7">
      <c r="A1081" s="306"/>
      <c r="B1081" t="s">
        <v>6758</v>
      </c>
      <c r="C1081" t="s">
        <v>11653</v>
      </c>
      <c r="E1081">
        <v>193.47826086956522</v>
      </c>
      <c r="F1081" t="s">
        <v>11185</v>
      </c>
      <c r="G1081" t="s">
        <v>10996</v>
      </c>
    </row>
    <row r="1082" spans="1:7">
      <c r="A1082" s="306"/>
      <c r="B1082" t="s">
        <v>6757</v>
      </c>
      <c r="C1082" t="s">
        <v>11654</v>
      </c>
      <c r="E1082">
        <v>314.13043478260869</v>
      </c>
      <c r="F1082" t="s">
        <v>11185</v>
      </c>
      <c r="G1082" t="s">
        <v>10996</v>
      </c>
    </row>
    <row r="1083" spans="1:7">
      <c r="A1083" s="306"/>
      <c r="B1083" t="s">
        <v>6716</v>
      </c>
      <c r="C1083" t="s">
        <v>11655</v>
      </c>
      <c r="E1083">
        <v>13873.91304347826</v>
      </c>
      <c r="F1083" t="s">
        <v>11185</v>
      </c>
    </row>
    <row r="1084" spans="1:7">
      <c r="A1084" s="306"/>
      <c r="B1084" t="s">
        <v>6701</v>
      </c>
      <c r="C1084" t="s">
        <v>6702</v>
      </c>
      <c r="E1084">
        <v>316.30434782608694</v>
      </c>
      <c r="F1084" t="s">
        <v>11185</v>
      </c>
      <c r="G1084" t="s">
        <v>10996</v>
      </c>
    </row>
    <row r="1085" spans="1:7">
      <c r="A1085" s="306"/>
      <c r="B1085" t="s">
        <v>6699</v>
      </c>
      <c r="C1085" t="s">
        <v>6700</v>
      </c>
      <c r="E1085">
        <v>232.60869565217391</v>
      </c>
      <c r="F1085" t="s">
        <v>11185</v>
      </c>
      <c r="G1085" t="s">
        <v>10997</v>
      </c>
    </row>
    <row r="1086" spans="1:7">
      <c r="A1086" s="306"/>
      <c r="B1086" t="s">
        <v>11656</v>
      </c>
    </row>
    <row r="1087" spans="1:7">
      <c r="A1087" s="306"/>
      <c r="B1087" t="s">
        <v>11657</v>
      </c>
      <c r="C1087" t="s">
        <v>11658</v>
      </c>
      <c r="E1087">
        <v>23043.478260869564</v>
      </c>
      <c r="F1087" t="s">
        <v>11185</v>
      </c>
    </row>
    <row r="1088" spans="1:7">
      <c r="A1088" s="306"/>
      <c r="B1088" t="s">
        <v>6773</v>
      </c>
    </row>
    <row r="1089" spans="1:7">
      <c r="A1089" s="306"/>
      <c r="B1089" t="s">
        <v>6774</v>
      </c>
      <c r="C1089" t="s">
        <v>11659</v>
      </c>
      <c r="E1089">
        <v>240.21739130434781</v>
      </c>
      <c r="F1089" t="s">
        <v>11185</v>
      </c>
      <c r="G1089" t="s">
        <v>10997</v>
      </c>
    </row>
    <row r="1090" spans="1:7">
      <c r="A1090" s="306"/>
      <c r="B1090" t="s">
        <v>6775</v>
      </c>
    </row>
    <row r="1091" spans="1:7">
      <c r="A1091" s="306"/>
      <c r="B1091" t="s">
        <v>6785</v>
      </c>
      <c r="C1091" t="s">
        <v>6786</v>
      </c>
      <c r="E1091">
        <v>71.739130434782609</v>
      </c>
      <c r="F1091" t="s">
        <v>11185</v>
      </c>
    </row>
    <row r="1092" spans="1:7">
      <c r="A1092" s="306"/>
      <c r="B1092" t="s">
        <v>6787</v>
      </c>
      <c r="C1092" t="s">
        <v>6788</v>
      </c>
      <c r="E1092">
        <v>33.695652173913039</v>
      </c>
      <c r="F1092" t="s">
        <v>11185</v>
      </c>
      <c r="G1092" t="s">
        <v>10996</v>
      </c>
    </row>
    <row r="1093" spans="1:7">
      <c r="A1093" s="306"/>
      <c r="B1093" t="s">
        <v>6776</v>
      </c>
      <c r="C1093" t="s">
        <v>11660</v>
      </c>
      <c r="E1093">
        <v>132.60869565217391</v>
      </c>
      <c r="F1093" t="s">
        <v>11185</v>
      </c>
    </row>
    <row r="1094" spans="1:7">
      <c r="A1094" s="306"/>
      <c r="B1094" t="s">
        <v>6781</v>
      </c>
      <c r="C1094" t="s">
        <v>6782</v>
      </c>
      <c r="E1094">
        <v>84.782608695652172</v>
      </c>
      <c r="F1094" t="s">
        <v>11185</v>
      </c>
    </row>
    <row r="1095" spans="1:7">
      <c r="A1095" s="306"/>
      <c r="B1095" t="s">
        <v>6783</v>
      </c>
      <c r="C1095" t="s">
        <v>6784</v>
      </c>
      <c r="E1095">
        <v>84.782608695652172</v>
      </c>
      <c r="F1095" t="s">
        <v>11185</v>
      </c>
    </row>
    <row r="1096" spans="1:7">
      <c r="A1096" s="306"/>
      <c r="B1096" t="s">
        <v>6777</v>
      </c>
      <c r="C1096" t="s">
        <v>11661</v>
      </c>
      <c r="E1096">
        <v>80.434782608695642</v>
      </c>
      <c r="F1096" t="s">
        <v>11185</v>
      </c>
      <c r="G1096" t="s">
        <v>10996</v>
      </c>
    </row>
    <row r="1097" spans="1:7">
      <c r="A1097" s="306"/>
      <c r="B1097" t="s">
        <v>6778</v>
      </c>
      <c r="C1097" t="s">
        <v>11662</v>
      </c>
      <c r="E1097">
        <v>230.43478260869566</v>
      </c>
      <c r="F1097" t="s">
        <v>11185</v>
      </c>
      <c r="G1097" t="s">
        <v>10996</v>
      </c>
    </row>
    <row r="1098" spans="1:7">
      <c r="A1098" s="306"/>
      <c r="B1098" t="s">
        <v>6779</v>
      </c>
      <c r="C1098" t="s">
        <v>11663</v>
      </c>
      <c r="E1098">
        <v>85.869565217391298</v>
      </c>
      <c r="F1098" t="s">
        <v>11185</v>
      </c>
      <c r="G1098" t="s">
        <v>10997</v>
      </c>
    </row>
    <row r="1099" spans="1:7">
      <c r="A1099" s="306"/>
      <c r="B1099" t="s">
        <v>6780</v>
      </c>
      <c r="C1099" t="s">
        <v>11664</v>
      </c>
      <c r="E1099">
        <v>85.869565217391298</v>
      </c>
      <c r="F1099" t="s">
        <v>11185</v>
      </c>
      <c r="G1099" t="s">
        <v>10997</v>
      </c>
    </row>
    <row r="1100" spans="1:7">
      <c r="A1100" s="306"/>
      <c r="B1100" t="s">
        <v>1962</v>
      </c>
      <c r="C1100" t="s">
        <v>11665</v>
      </c>
      <c r="E1100">
        <v>71.739130434782609</v>
      </c>
      <c r="F1100" t="s">
        <v>11185</v>
      </c>
    </row>
    <row r="1101" spans="1:7">
      <c r="A1101" s="306"/>
      <c r="B1101" t="s">
        <v>11666</v>
      </c>
    </row>
    <row r="1102" spans="1:7">
      <c r="A1102" s="306"/>
      <c r="B1102" t="s">
        <v>6789</v>
      </c>
    </row>
    <row r="1103" spans="1:7">
      <c r="A1103" s="306"/>
      <c r="B1103" t="s">
        <v>6790</v>
      </c>
      <c r="C1103" t="s">
        <v>6791</v>
      </c>
      <c r="E1103">
        <v>3852.173913043478</v>
      </c>
      <c r="F1103" t="s">
        <v>11667</v>
      </c>
      <c r="G1103" t="s">
        <v>10999</v>
      </c>
    </row>
    <row r="1104" spans="1:7">
      <c r="A1104" s="306"/>
      <c r="B1104" t="s">
        <v>6792</v>
      </c>
      <c r="C1104" t="s">
        <v>6793</v>
      </c>
      <c r="E1104">
        <v>4132.608695652174</v>
      </c>
      <c r="F1104" t="s">
        <v>11667</v>
      </c>
    </row>
    <row r="1105" spans="1:7">
      <c r="A1105" s="306"/>
      <c r="B1105" t="s">
        <v>6794</v>
      </c>
      <c r="C1105" t="s">
        <v>6795</v>
      </c>
      <c r="E1105">
        <v>9352.173913043478</v>
      </c>
      <c r="F1105" t="s">
        <v>11667</v>
      </c>
      <c r="G1105" t="s">
        <v>10999</v>
      </c>
    </row>
    <row r="1106" spans="1:7">
      <c r="A1106" s="306"/>
      <c r="B1106" t="s">
        <v>6796</v>
      </c>
      <c r="C1106" t="s">
        <v>6797</v>
      </c>
      <c r="E1106">
        <v>7519.565217391304</v>
      </c>
      <c r="F1106" t="s">
        <v>11667</v>
      </c>
      <c r="G1106" t="s">
        <v>10999</v>
      </c>
    </row>
    <row r="1107" spans="1:7">
      <c r="A1107" s="306"/>
      <c r="B1107" t="s">
        <v>6798</v>
      </c>
      <c r="C1107" t="s">
        <v>6799</v>
      </c>
      <c r="E1107">
        <v>8108.695652173913</v>
      </c>
      <c r="F1107" t="s">
        <v>11667</v>
      </c>
      <c r="G1107" t="s">
        <v>10999</v>
      </c>
    </row>
    <row r="1108" spans="1:7">
      <c r="A1108" s="306"/>
      <c r="B1108" t="s">
        <v>6800</v>
      </c>
      <c r="C1108" t="s">
        <v>11668</v>
      </c>
      <c r="E1108">
        <v>4134.782608695652</v>
      </c>
      <c r="F1108" t="s">
        <v>11667</v>
      </c>
      <c r="G1108" t="s">
        <v>10999</v>
      </c>
    </row>
    <row r="1109" spans="1:7">
      <c r="A1109" s="306"/>
      <c r="B1109" t="s">
        <v>6801</v>
      </c>
      <c r="C1109" t="s">
        <v>11669</v>
      </c>
      <c r="E1109">
        <v>7529.347826086956</v>
      </c>
      <c r="F1109" t="s">
        <v>11667</v>
      </c>
      <c r="G1109" t="s">
        <v>10996</v>
      </c>
    </row>
    <row r="1110" spans="1:7">
      <c r="A1110" s="306"/>
      <c r="B1110" t="s">
        <v>6802</v>
      </c>
      <c r="C1110" t="s">
        <v>11670</v>
      </c>
      <c r="E1110">
        <v>5544.565217391304</v>
      </c>
      <c r="F1110" t="s">
        <v>11667</v>
      </c>
      <c r="G1110" t="s">
        <v>10999</v>
      </c>
    </row>
    <row r="1111" spans="1:7">
      <c r="A1111" s="306"/>
      <c r="B1111" t="s">
        <v>6803</v>
      </c>
      <c r="C1111" t="s">
        <v>6804</v>
      </c>
      <c r="E1111">
        <v>8557.608695652174</v>
      </c>
      <c r="F1111" t="s">
        <v>11667</v>
      </c>
      <c r="G1111" t="s">
        <v>10999</v>
      </c>
    </row>
    <row r="1112" spans="1:7">
      <c r="A1112" s="306"/>
      <c r="B1112" t="s">
        <v>6805</v>
      </c>
      <c r="C1112" t="s">
        <v>6806</v>
      </c>
      <c r="E1112">
        <v>5513.0434782608691</v>
      </c>
      <c r="F1112" t="s">
        <v>11667</v>
      </c>
      <c r="G1112" t="s">
        <v>10996</v>
      </c>
    </row>
    <row r="1113" spans="1:7">
      <c r="A1113" s="306"/>
      <c r="B1113" t="s">
        <v>6807</v>
      </c>
      <c r="C1113" t="s">
        <v>6808</v>
      </c>
      <c r="E1113">
        <v>7814.1304347826081</v>
      </c>
      <c r="F1113" t="s">
        <v>11667</v>
      </c>
      <c r="G1113" t="s">
        <v>10999</v>
      </c>
    </row>
    <row r="1114" spans="1:7">
      <c r="A1114" s="306"/>
      <c r="B1114" t="s">
        <v>6809</v>
      </c>
      <c r="C1114" t="s">
        <v>6810</v>
      </c>
      <c r="E1114">
        <v>4134.782608695652</v>
      </c>
      <c r="F1114" t="s">
        <v>11667</v>
      </c>
      <c r="G1114" t="s">
        <v>10996</v>
      </c>
    </row>
    <row r="1115" spans="1:7">
      <c r="A1115" s="306"/>
      <c r="B1115" t="s">
        <v>6811</v>
      </c>
      <c r="C1115" t="s">
        <v>6812</v>
      </c>
      <c r="E1115">
        <v>7522.8260869565211</v>
      </c>
      <c r="F1115" t="s">
        <v>11667</v>
      </c>
      <c r="G1115" t="s">
        <v>10996</v>
      </c>
    </row>
    <row r="1116" spans="1:7">
      <c r="A1116" s="306"/>
      <c r="B1116" t="s">
        <v>6813</v>
      </c>
      <c r="C1116" t="s">
        <v>11671</v>
      </c>
      <c r="E1116">
        <v>7823.9130434782601</v>
      </c>
      <c r="F1116" t="s">
        <v>11667</v>
      </c>
      <c r="G1116" t="s">
        <v>10999</v>
      </c>
    </row>
    <row r="1117" spans="1:7">
      <c r="A1117" s="306"/>
      <c r="B1117" t="s">
        <v>6814</v>
      </c>
      <c r="C1117" t="s">
        <v>6815</v>
      </c>
      <c r="E1117">
        <v>4429.347826086956</v>
      </c>
      <c r="F1117" t="s">
        <v>11667</v>
      </c>
      <c r="G1117" t="s">
        <v>10996</v>
      </c>
    </row>
    <row r="1118" spans="1:7">
      <c r="A1118" s="306"/>
      <c r="B1118" t="s">
        <v>11672</v>
      </c>
      <c r="C1118" t="s">
        <v>11673</v>
      </c>
      <c r="E1118">
        <v>10941.304347826086</v>
      </c>
      <c r="F1118" t="s">
        <v>11667</v>
      </c>
      <c r="G1118" t="s">
        <v>10996</v>
      </c>
    </row>
    <row r="1119" spans="1:7">
      <c r="A1119" s="306"/>
      <c r="B1119" t="s">
        <v>11674</v>
      </c>
    </row>
    <row r="1120" spans="1:7">
      <c r="A1120" s="306"/>
      <c r="B1120" t="s">
        <v>6816</v>
      </c>
    </row>
    <row r="1121" spans="1:7">
      <c r="A1121" s="306"/>
      <c r="B1121" t="s">
        <v>6817</v>
      </c>
      <c r="C1121" t="s">
        <v>6818</v>
      </c>
      <c r="E1121">
        <v>229.3478260869565</v>
      </c>
      <c r="F1121" t="s">
        <v>11185</v>
      </c>
      <c r="G1121" t="s">
        <v>10999</v>
      </c>
    </row>
    <row r="1122" spans="1:7">
      <c r="A1122" s="306"/>
      <c r="B1122" t="s">
        <v>11675</v>
      </c>
      <c r="C1122" t="s">
        <v>11676</v>
      </c>
      <c r="E1122">
        <v>39.130434782608695</v>
      </c>
      <c r="F1122" t="s">
        <v>11185</v>
      </c>
      <c r="G1122" t="s">
        <v>10997</v>
      </c>
    </row>
    <row r="1123" spans="1:7">
      <c r="A1123" s="306"/>
      <c r="B1123" t="s">
        <v>6819</v>
      </c>
      <c r="C1123" t="s">
        <v>11677</v>
      </c>
      <c r="E1123">
        <v>22.826086956521738</v>
      </c>
      <c r="F1123" t="s">
        <v>11190</v>
      </c>
      <c r="G1123" t="s">
        <v>10999</v>
      </c>
    </row>
    <row r="1124" spans="1:7">
      <c r="A1124" s="306"/>
      <c r="B1124" t="s">
        <v>6820</v>
      </c>
    </row>
    <row r="1125" spans="1:7">
      <c r="A1125" s="306"/>
      <c r="B1125" t="s">
        <v>6821</v>
      </c>
      <c r="C1125" t="s">
        <v>11678</v>
      </c>
      <c r="E1125">
        <v>1352.1739130434783</v>
      </c>
      <c r="F1125" t="s">
        <v>11190</v>
      </c>
      <c r="G1125" t="s">
        <v>10997</v>
      </c>
    </row>
    <row r="1126" spans="1:7">
      <c r="A1126" s="306"/>
      <c r="B1126" t="s">
        <v>11679</v>
      </c>
      <c r="C1126" t="s">
        <v>11680</v>
      </c>
      <c r="E1126">
        <v>468.47826086956519</v>
      </c>
      <c r="F1126" t="s">
        <v>11190</v>
      </c>
      <c r="G1126" t="s">
        <v>10996</v>
      </c>
    </row>
    <row r="1127" spans="1:7">
      <c r="A1127" s="306"/>
      <c r="B1127" t="s">
        <v>6822</v>
      </c>
    </row>
    <row r="1128" spans="1:7">
      <c r="A1128" s="306"/>
      <c r="B1128" t="s">
        <v>6829</v>
      </c>
      <c r="C1128" t="s">
        <v>6830</v>
      </c>
      <c r="E1128">
        <v>247.82608695652172</v>
      </c>
      <c r="F1128" t="s">
        <v>11190</v>
      </c>
      <c r="G1128" t="s">
        <v>10999</v>
      </c>
    </row>
    <row r="1129" spans="1:7">
      <c r="A1129" s="306"/>
      <c r="B1129" t="s">
        <v>6824</v>
      </c>
      <c r="C1129" t="s">
        <v>6825</v>
      </c>
      <c r="E1129">
        <v>54.347826086956516</v>
      </c>
      <c r="F1129" t="s">
        <v>11185</v>
      </c>
      <c r="G1129" t="s">
        <v>10996</v>
      </c>
    </row>
    <row r="1130" spans="1:7">
      <c r="A1130" s="306"/>
      <c r="B1130" t="s">
        <v>6826</v>
      </c>
      <c r="C1130" t="s">
        <v>6827</v>
      </c>
      <c r="E1130">
        <v>38.043478260869563</v>
      </c>
      <c r="F1130" t="s">
        <v>11185</v>
      </c>
      <c r="G1130" t="s">
        <v>10996</v>
      </c>
    </row>
    <row r="1131" spans="1:7">
      <c r="A1131" s="306"/>
      <c r="B1131" t="s">
        <v>6831</v>
      </c>
      <c r="C1131" t="s">
        <v>11681</v>
      </c>
      <c r="E1131">
        <v>1106.5217391304348</v>
      </c>
      <c r="F1131" t="s">
        <v>11190</v>
      </c>
      <c r="G1131" t="s">
        <v>10996</v>
      </c>
    </row>
    <row r="1132" spans="1:7">
      <c r="A1132" s="306"/>
      <c r="B1132" t="s">
        <v>6832</v>
      </c>
      <c r="C1132" t="s">
        <v>11682</v>
      </c>
      <c r="E1132">
        <v>402.17391304347825</v>
      </c>
      <c r="F1132" t="s">
        <v>11190</v>
      </c>
      <c r="G1132" t="s">
        <v>10999</v>
      </c>
    </row>
    <row r="1133" spans="1:7">
      <c r="A1133" s="306"/>
      <c r="B1133" t="s">
        <v>6865</v>
      </c>
      <c r="C1133" t="s">
        <v>6866</v>
      </c>
      <c r="E1133">
        <v>54.347826086956516</v>
      </c>
      <c r="F1133" t="s">
        <v>11185</v>
      </c>
      <c r="G1133" t="s">
        <v>10996</v>
      </c>
    </row>
    <row r="1134" spans="1:7">
      <c r="A1134" s="306"/>
      <c r="B1134" t="s">
        <v>6833</v>
      </c>
      <c r="C1134" t="s">
        <v>11683</v>
      </c>
      <c r="E1134">
        <v>681.52173913043475</v>
      </c>
      <c r="F1134" t="s">
        <v>11190</v>
      </c>
      <c r="G1134" t="s">
        <v>10997</v>
      </c>
    </row>
    <row r="1135" spans="1:7">
      <c r="A1135" s="306"/>
      <c r="B1135" t="s">
        <v>6834</v>
      </c>
      <c r="C1135" t="s">
        <v>11684</v>
      </c>
      <c r="E1135">
        <v>2864.1304347826085</v>
      </c>
      <c r="F1135" t="s">
        <v>11190</v>
      </c>
      <c r="G1135" t="s">
        <v>10997</v>
      </c>
    </row>
    <row r="1136" spans="1:7">
      <c r="A1136" s="306"/>
      <c r="B1136" t="s">
        <v>6835</v>
      </c>
      <c r="C1136" t="s">
        <v>11685</v>
      </c>
      <c r="E1136">
        <v>5207.608695652174</v>
      </c>
      <c r="F1136" t="s">
        <v>11190</v>
      </c>
      <c r="G1136" t="s">
        <v>10999</v>
      </c>
    </row>
    <row r="1137" spans="1:7">
      <c r="A1137" s="306"/>
      <c r="B1137" t="s">
        <v>6836</v>
      </c>
      <c r="C1137" t="s">
        <v>11686</v>
      </c>
      <c r="E1137">
        <v>47.826086956521735</v>
      </c>
      <c r="F1137" t="s">
        <v>11190</v>
      </c>
      <c r="G1137" t="s">
        <v>10996</v>
      </c>
    </row>
    <row r="1138" spans="1:7">
      <c r="A1138" s="306"/>
      <c r="B1138" t="s">
        <v>6837</v>
      </c>
      <c r="C1138" t="s">
        <v>11687</v>
      </c>
      <c r="E1138">
        <v>622.82608695652175</v>
      </c>
      <c r="F1138" t="s">
        <v>11190</v>
      </c>
      <c r="G1138" t="s">
        <v>10999</v>
      </c>
    </row>
    <row r="1139" spans="1:7">
      <c r="A1139" s="306"/>
      <c r="B1139" t="s">
        <v>6838</v>
      </c>
      <c r="C1139" t="s">
        <v>11688</v>
      </c>
      <c r="E1139">
        <v>1490.2173913043478</v>
      </c>
      <c r="F1139" t="s">
        <v>11190</v>
      </c>
      <c r="G1139" t="s">
        <v>10999</v>
      </c>
    </row>
    <row r="1140" spans="1:7">
      <c r="A1140" s="306"/>
      <c r="B1140" t="s">
        <v>6839</v>
      </c>
      <c r="C1140" t="s">
        <v>11689</v>
      </c>
      <c r="E1140">
        <v>1248.9130434782608</v>
      </c>
      <c r="F1140" t="s">
        <v>11190</v>
      </c>
      <c r="G1140" t="s">
        <v>10996</v>
      </c>
    </row>
    <row r="1141" spans="1:7">
      <c r="A1141" s="306"/>
      <c r="B1141" t="s">
        <v>6840</v>
      </c>
      <c r="C1141" t="s">
        <v>6841</v>
      </c>
      <c r="E1141">
        <v>109.78260869565217</v>
      </c>
      <c r="F1141" t="s">
        <v>11190</v>
      </c>
      <c r="G1141" t="s">
        <v>10999</v>
      </c>
    </row>
    <row r="1142" spans="1:7">
      <c r="A1142" s="306"/>
      <c r="B1142" t="s">
        <v>6842</v>
      </c>
      <c r="C1142" t="s">
        <v>11690</v>
      </c>
      <c r="E1142">
        <v>12942.391304347826</v>
      </c>
      <c r="F1142" t="s">
        <v>11190</v>
      </c>
      <c r="G1142" t="s">
        <v>10999</v>
      </c>
    </row>
    <row r="1143" spans="1:7">
      <c r="A1143" s="306"/>
      <c r="B1143" t="s">
        <v>6843</v>
      </c>
      <c r="C1143" t="s">
        <v>11691</v>
      </c>
      <c r="E1143">
        <v>209.78260869565216</v>
      </c>
      <c r="F1143" t="s">
        <v>11190</v>
      </c>
      <c r="G1143" t="s">
        <v>10999</v>
      </c>
    </row>
    <row r="1144" spans="1:7">
      <c r="A1144" s="306"/>
      <c r="B1144" t="s">
        <v>6844</v>
      </c>
      <c r="C1144" t="s">
        <v>11692</v>
      </c>
      <c r="E1144">
        <v>247.82608695652172</v>
      </c>
      <c r="F1144" t="s">
        <v>11190</v>
      </c>
      <c r="G1144" t="s">
        <v>10999</v>
      </c>
    </row>
    <row r="1145" spans="1:7">
      <c r="A1145" s="306"/>
      <c r="B1145" t="s">
        <v>6845</v>
      </c>
      <c r="C1145" t="s">
        <v>11693</v>
      </c>
      <c r="E1145">
        <v>701.08695652173913</v>
      </c>
      <c r="F1145" t="s">
        <v>11190</v>
      </c>
      <c r="G1145" t="s">
        <v>10999</v>
      </c>
    </row>
    <row r="1146" spans="1:7">
      <c r="A1146" s="306"/>
      <c r="B1146" t="s">
        <v>6846</v>
      </c>
      <c r="C1146" t="s">
        <v>11694</v>
      </c>
      <c r="E1146">
        <v>509.78260869565213</v>
      </c>
      <c r="F1146" t="s">
        <v>11190</v>
      </c>
      <c r="G1146" t="s">
        <v>10999</v>
      </c>
    </row>
    <row r="1147" spans="1:7">
      <c r="A1147" s="306"/>
      <c r="B1147" t="s">
        <v>6847</v>
      </c>
      <c r="C1147" t="s">
        <v>11695</v>
      </c>
      <c r="E1147">
        <v>403.26086956521738</v>
      </c>
      <c r="F1147" t="s">
        <v>11190</v>
      </c>
      <c r="G1147" t="s">
        <v>10999</v>
      </c>
    </row>
    <row r="1148" spans="1:7">
      <c r="A1148" s="306"/>
      <c r="B1148" t="s">
        <v>6848</v>
      </c>
      <c r="C1148" t="s">
        <v>11696</v>
      </c>
      <c r="E1148">
        <v>2690.2173913043475</v>
      </c>
      <c r="F1148" t="s">
        <v>11190</v>
      </c>
      <c r="G1148" t="s">
        <v>10999</v>
      </c>
    </row>
    <row r="1149" spans="1:7">
      <c r="A1149" s="306"/>
      <c r="B1149" t="s">
        <v>6863</v>
      </c>
      <c r="C1149" t="s">
        <v>11697</v>
      </c>
      <c r="E1149">
        <v>97.826086956521735</v>
      </c>
      <c r="F1149" t="s">
        <v>11190</v>
      </c>
      <c r="G1149" t="s">
        <v>10999</v>
      </c>
    </row>
    <row r="1150" spans="1:7">
      <c r="A1150" s="306"/>
      <c r="B1150" s="325" t="s">
        <v>6823</v>
      </c>
      <c r="C1150" t="s">
        <v>11698</v>
      </c>
      <c r="E1150">
        <v>10370.652173913042</v>
      </c>
      <c r="F1150" t="s">
        <v>11190</v>
      </c>
      <c r="G1150" t="s">
        <v>10997</v>
      </c>
    </row>
    <row r="1151" spans="1:7">
      <c r="A1151" s="306"/>
      <c r="B1151" t="s">
        <v>6849</v>
      </c>
      <c r="C1151" t="s">
        <v>11699</v>
      </c>
      <c r="E1151">
        <v>4826.086956521739</v>
      </c>
      <c r="F1151" t="s">
        <v>11190</v>
      </c>
      <c r="G1151" t="s">
        <v>10999</v>
      </c>
    </row>
    <row r="1152" spans="1:7">
      <c r="A1152" s="306"/>
      <c r="B1152" t="s">
        <v>6850</v>
      </c>
      <c r="C1152" t="s">
        <v>11700</v>
      </c>
      <c r="E1152">
        <v>6506.5217391304341</v>
      </c>
      <c r="F1152" t="s">
        <v>11190</v>
      </c>
      <c r="G1152" t="s">
        <v>10997</v>
      </c>
    </row>
    <row r="1153" spans="1:7">
      <c r="A1153" s="306"/>
      <c r="B1153" t="s">
        <v>6851</v>
      </c>
      <c r="C1153" t="s">
        <v>11701</v>
      </c>
      <c r="E1153">
        <v>230.43478260869566</v>
      </c>
      <c r="F1153" t="s">
        <v>11190</v>
      </c>
      <c r="G1153" t="s">
        <v>10996</v>
      </c>
    </row>
    <row r="1154" spans="1:7">
      <c r="A1154" s="306"/>
      <c r="B1154" t="s">
        <v>6852</v>
      </c>
      <c r="C1154" t="s">
        <v>11702</v>
      </c>
      <c r="E1154">
        <v>294.56521739130432</v>
      </c>
      <c r="F1154" t="s">
        <v>11190</v>
      </c>
      <c r="G1154" t="s">
        <v>10996</v>
      </c>
    </row>
    <row r="1155" spans="1:7">
      <c r="A1155" s="306"/>
      <c r="B1155" t="s">
        <v>6853</v>
      </c>
      <c r="C1155" t="s">
        <v>11703</v>
      </c>
      <c r="E1155">
        <v>1528.2608695652173</v>
      </c>
      <c r="F1155" t="s">
        <v>11190</v>
      </c>
      <c r="G1155" t="s">
        <v>10999</v>
      </c>
    </row>
    <row r="1156" spans="1:7">
      <c r="A1156" s="306"/>
      <c r="B1156" t="s">
        <v>6854</v>
      </c>
      <c r="C1156" t="s">
        <v>11704</v>
      </c>
      <c r="E1156">
        <v>6491.304347826087</v>
      </c>
      <c r="F1156" t="s">
        <v>11190</v>
      </c>
      <c r="G1156" t="s">
        <v>10999</v>
      </c>
    </row>
    <row r="1157" spans="1:7">
      <c r="A1157" s="306"/>
      <c r="B1157" t="s">
        <v>6855</v>
      </c>
      <c r="C1157" t="s">
        <v>11705</v>
      </c>
      <c r="E1157">
        <v>10389.130434782608</v>
      </c>
      <c r="F1157" t="s">
        <v>11190</v>
      </c>
      <c r="G1157" t="s">
        <v>10996</v>
      </c>
    </row>
    <row r="1158" spans="1:7">
      <c r="A1158" s="306"/>
      <c r="B1158" t="s">
        <v>6856</v>
      </c>
      <c r="C1158" t="s">
        <v>11706</v>
      </c>
      <c r="E1158">
        <v>6989.1304347826081</v>
      </c>
      <c r="F1158" t="s">
        <v>11190</v>
      </c>
      <c r="G1158" t="s">
        <v>10999</v>
      </c>
    </row>
    <row r="1159" spans="1:7">
      <c r="A1159" s="306"/>
      <c r="B1159" t="s">
        <v>6857</v>
      </c>
      <c r="C1159" t="s">
        <v>11707</v>
      </c>
      <c r="E1159">
        <v>1068.4782608695652</v>
      </c>
      <c r="F1159" t="s">
        <v>11190</v>
      </c>
      <c r="G1159" t="s">
        <v>10996</v>
      </c>
    </row>
    <row r="1160" spans="1:7">
      <c r="A1160" s="306"/>
      <c r="B1160" t="s">
        <v>1036</v>
      </c>
      <c r="C1160" t="s">
        <v>11708</v>
      </c>
      <c r="E1160">
        <v>679.3478260869565</v>
      </c>
      <c r="F1160" t="s">
        <v>11190</v>
      </c>
      <c r="G1160" t="s">
        <v>10996</v>
      </c>
    </row>
    <row r="1161" spans="1:7">
      <c r="A1161" s="306"/>
      <c r="B1161" t="s">
        <v>6867</v>
      </c>
      <c r="C1161" t="s">
        <v>11709</v>
      </c>
      <c r="E1161">
        <v>1135.8695652173913</v>
      </c>
      <c r="F1161" t="s">
        <v>11190</v>
      </c>
      <c r="G1161" t="s">
        <v>10997</v>
      </c>
    </row>
    <row r="1162" spans="1:7">
      <c r="A1162" s="306"/>
      <c r="B1162" t="s">
        <v>6858</v>
      </c>
      <c r="C1162" t="s">
        <v>11710</v>
      </c>
      <c r="E1162">
        <v>539.13043478260863</v>
      </c>
      <c r="F1162" t="s">
        <v>11190</v>
      </c>
      <c r="G1162" t="s">
        <v>10996</v>
      </c>
    </row>
    <row r="1163" spans="1:7">
      <c r="A1163" s="306"/>
      <c r="B1163" t="s">
        <v>6859</v>
      </c>
      <c r="C1163" t="s">
        <v>6860</v>
      </c>
      <c r="E1163">
        <v>85.869565217391298</v>
      </c>
      <c r="F1163" t="s">
        <v>11185</v>
      </c>
      <c r="G1163" t="s">
        <v>10996</v>
      </c>
    </row>
    <row r="1164" spans="1:7">
      <c r="A1164" s="306"/>
      <c r="B1164" t="s">
        <v>6861</v>
      </c>
      <c r="C1164" t="s">
        <v>11711</v>
      </c>
      <c r="E1164">
        <v>833.695652173913</v>
      </c>
      <c r="F1164" t="s">
        <v>11190</v>
      </c>
      <c r="G1164" t="s">
        <v>10996</v>
      </c>
    </row>
    <row r="1165" spans="1:7">
      <c r="A1165" s="306"/>
      <c r="B1165" t="s">
        <v>6862</v>
      </c>
      <c r="C1165" t="s">
        <v>11712</v>
      </c>
      <c r="E1165">
        <v>365.21739130434781</v>
      </c>
      <c r="F1165" t="s">
        <v>11190</v>
      </c>
    </row>
    <row r="1166" spans="1:7">
      <c r="A1166" s="306"/>
      <c r="B1166" t="s">
        <v>6864</v>
      </c>
      <c r="C1166" t="s">
        <v>11713</v>
      </c>
      <c r="E1166">
        <v>66.304347826086953</v>
      </c>
      <c r="F1166" t="s">
        <v>11190</v>
      </c>
      <c r="G1166" t="s">
        <v>10997</v>
      </c>
    </row>
    <row r="1167" spans="1:7">
      <c r="A1167" s="306"/>
      <c r="B1167" t="s">
        <v>11674</v>
      </c>
    </row>
    <row r="1168" spans="1:7">
      <c r="A1168" s="306"/>
      <c r="B1168" t="s">
        <v>6868</v>
      </c>
    </row>
    <row r="1169" spans="1:7">
      <c r="A1169" s="306"/>
      <c r="B1169" t="s">
        <v>6869</v>
      </c>
      <c r="C1169" t="s">
        <v>6870</v>
      </c>
      <c r="E1169">
        <v>22.826086956521738</v>
      </c>
      <c r="F1169" t="s">
        <v>11185</v>
      </c>
      <c r="G1169" t="s">
        <v>10997</v>
      </c>
    </row>
    <row r="1170" spans="1:7">
      <c r="A1170" s="306"/>
      <c r="B1170" t="s">
        <v>6871</v>
      </c>
      <c r="C1170" t="s">
        <v>6872</v>
      </c>
      <c r="E1170">
        <v>30.434782608695652</v>
      </c>
      <c r="F1170" t="s">
        <v>11185</v>
      </c>
      <c r="G1170" t="s">
        <v>10996</v>
      </c>
    </row>
    <row r="1171" spans="1:7">
      <c r="A1171" s="306"/>
      <c r="B1171" t="s">
        <v>6873</v>
      </c>
      <c r="C1171" t="s">
        <v>6874</v>
      </c>
      <c r="E1171">
        <v>54.347826086956516</v>
      </c>
      <c r="F1171" t="s">
        <v>11185</v>
      </c>
      <c r="G1171" t="s">
        <v>10996</v>
      </c>
    </row>
    <row r="1172" spans="1:7">
      <c r="A1172" s="306"/>
      <c r="B1172" t="s">
        <v>6875</v>
      </c>
      <c r="C1172" t="s">
        <v>6876</v>
      </c>
      <c r="E1172">
        <v>100</v>
      </c>
      <c r="F1172" t="s">
        <v>11185</v>
      </c>
      <c r="G1172" t="s">
        <v>10996</v>
      </c>
    </row>
    <row r="1173" spans="1:7">
      <c r="A1173" s="306"/>
      <c r="B1173" t="s">
        <v>6877</v>
      </c>
      <c r="C1173" t="s">
        <v>6878</v>
      </c>
      <c r="E1173">
        <v>46.739130434782609</v>
      </c>
      <c r="F1173" t="s">
        <v>11185</v>
      </c>
      <c r="G1173" t="s">
        <v>10996</v>
      </c>
    </row>
    <row r="1174" spans="1:7">
      <c r="A1174" s="306"/>
      <c r="B1174" t="s">
        <v>6879</v>
      </c>
      <c r="C1174" t="s">
        <v>6880</v>
      </c>
      <c r="E1174">
        <v>95.65217391304347</v>
      </c>
      <c r="F1174" t="s">
        <v>11185</v>
      </c>
      <c r="G1174" t="s">
        <v>10996</v>
      </c>
    </row>
    <row r="1175" spans="1:7">
      <c r="A1175" s="306"/>
      <c r="B1175" t="s">
        <v>6881</v>
      </c>
      <c r="C1175" t="s">
        <v>6882</v>
      </c>
      <c r="E1175">
        <v>52.173913043478258</v>
      </c>
      <c r="F1175" t="s">
        <v>11185</v>
      </c>
      <c r="G1175" t="s">
        <v>10996</v>
      </c>
    </row>
    <row r="1176" spans="1:7">
      <c r="A1176" s="306"/>
      <c r="B1176" t="s">
        <v>6883</v>
      </c>
      <c r="C1176" t="s">
        <v>6884</v>
      </c>
      <c r="E1176">
        <v>36.95652173913043</v>
      </c>
      <c r="F1176" t="s">
        <v>11185</v>
      </c>
      <c r="G1176" t="s">
        <v>10996</v>
      </c>
    </row>
    <row r="1177" spans="1:7">
      <c r="A1177" s="306"/>
      <c r="B1177" t="s">
        <v>6885</v>
      </c>
      <c r="C1177" t="s">
        <v>6886</v>
      </c>
      <c r="E1177">
        <v>48.913043478260867</v>
      </c>
      <c r="F1177" t="s">
        <v>11185</v>
      </c>
    </row>
    <row r="1178" spans="1:7">
      <c r="A1178" s="306"/>
      <c r="B1178" t="s">
        <v>6887</v>
      </c>
    </row>
    <row r="1179" spans="1:7">
      <c r="A1179" s="306"/>
      <c r="B1179" t="s">
        <v>6888</v>
      </c>
      <c r="C1179" t="s">
        <v>11714</v>
      </c>
      <c r="E1179">
        <v>14955.434782608694</v>
      </c>
      <c r="F1179" t="s">
        <v>11190</v>
      </c>
      <c r="G1179" t="s">
        <v>10996</v>
      </c>
    </row>
    <row r="1180" spans="1:7">
      <c r="A1180" s="306"/>
      <c r="B1180" t="s">
        <v>11715</v>
      </c>
      <c r="C1180" t="s">
        <v>11716</v>
      </c>
      <c r="E1180">
        <v>2530.4347826086955</v>
      </c>
      <c r="F1180" t="s">
        <v>11185</v>
      </c>
      <c r="G1180" t="s">
        <v>10999</v>
      </c>
    </row>
    <row r="1181" spans="1:7">
      <c r="A1181" s="306"/>
      <c r="B1181" t="s">
        <v>6889</v>
      </c>
      <c r="C1181" t="s">
        <v>11717</v>
      </c>
      <c r="E1181">
        <v>4108.695652173913</v>
      </c>
      <c r="F1181" t="s">
        <v>11185</v>
      </c>
      <c r="G1181" t="s">
        <v>10999</v>
      </c>
    </row>
    <row r="1182" spans="1:7">
      <c r="A1182" s="306"/>
      <c r="B1182" t="s">
        <v>11718</v>
      </c>
      <c r="C1182" t="s">
        <v>11719</v>
      </c>
      <c r="E1182">
        <v>2123.913043478261</v>
      </c>
      <c r="F1182" t="s">
        <v>11190</v>
      </c>
      <c r="G1182" t="s">
        <v>10999</v>
      </c>
    </row>
    <row r="1183" spans="1:7">
      <c r="A1183" s="306"/>
      <c r="B1183" t="s">
        <v>6890</v>
      </c>
      <c r="C1183" t="s">
        <v>6891</v>
      </c>
      <c r="E1183">
        <v>71.739130434782609</v>
      </c>
      <c r="F1183" t="s">
        <v>11185</v>
      </c>
      <c r="G1183" t="s">
        <v>10996</v>
      </c>
    </row>
    <row r="1184" spans="1:7">
      <c r="A1184" s="306"/>
      <c r="B1184" t="s">
        <v>6892</v>
      </c>
      <c r="C1184" t="s">
        <v>11720</v>
      </c>
      <c r="E1184">
        <v>570.6521739130435</v>
      </c>
      <c r="F1184" t="s">
        <v>11185</v>
      </c>
      <c r="G1184" t="s">
        <v>10999</v>
      </c>
    </row>
    <row r="1185" spans="1:7">
      <c r="A1185" s="306"/>
      <c r="B1185" t="s">
        <v>6893</v>
      </c>
      <c r="C1185" t="s">
        <v>11721</v>
      </c>
      <c r="E1185">
        <v>673.91304347826087</v>
      </c>
      <c r="F1185" t="s">
        <v>11185</v>
      </c>
      <c r="G1185" t="s">
        <v>10999</v>
      </c>
    </row>
    <row r="1186" spans="1:7">
      <c r="A1186" s="306"/>
      <c r="B1186" t="s">
        <v>6894</v>
      </c>
      <c r="C1186" t="s">
        <v>11722</v>
      </c>
      <c r="E1186">
        <v>777.17391304347825</v>
      </c>
      <c r="F1186" t="s">
        <v>11185</v>
      </c>
      <c r="G1186" t="s">
        <v>10999</v>
      </c>
    </row>
    <row r="1187" spans="1:7">
      <c r="A1187" s="306"/>
      <c r="B1187" t="s">
        <v>11723</v>
      </c>
      <c r="C1187" t="s">
        <v>11714</v>
      </c>
      <c r="E1187">
        <v>10332.608695652174</v>
      </c>
      <c r="F1187" t="s">
        <v>11190</v>
      </c>
    </row>
    <row r="1188" spans="1:7">
      <c r="A1188" s="306"/>
      <c r="B1188" t="s">
        <v>11724</v>
      </c>
      <c r="C1188" t="s">
        <v>11725</v>
      </c>
      <c r="E1188">
        <v>3839.1304347826085</v>
      </c>
      <c r="F1188" t="s">
        <v>11190</v>
      </c>
    </row>
    <row r="1189" spans="1:7">
      <c r="A1189" s="306"/>
      <c r="B1189" t="s">
        <v>11726</v>
      </c>
      <c r="C1189" t="s">
        <v>11727</v>
      </c>
      <c r="E1189">
        <v>3844.565217391304</v>
      </c>
      <c r="F1189" t="s">
        <v>11190</v>
      </c>
    </row>
    <row r="1190" spans="1:7">
      <c r="A1190" s="306"/>
      <c r="B1190" t="s">
        <v>6895</v>
      </c>
      <c r="C1190" t="s">
        <v>11728</v>
      </c>
      <c r="E1190">
        <v>623.91304347826087</v>
      </c>
      <c r="F1190" t="s">
        <v>11185</v>
      </c>
      <c r="G1190" t="s">
        <v>10999</v>
      </c>
    </row>
    <row r="1191" spans="1:7">
      <c r="A1191" s="306"/>
      <c r="B1191" t="s">
        <v>6896</v>
      </c>
      <c r="C1191" t="s">
        <v>11729</v>
      </c>
      <c r="E1191">
        <v>623.91304347826087</v>
      </c>
      <c r="F1191" t="s">
        <v>11185</v>
      </c>
      <c r="G1191" t="s">
        <v>10999</v>
      </c>
    </row>
    <row r="1192" spans="1:7">
      <c r="A1192" s="306"/>
      <c r="B1192" t="s">
        <v>6897</v>
      </c>
      <c r="C1192" t="s">
        <v>11730</v>
      </c>
      <c r="E1192">
        <v>656.52173913043475</v>
      </c>
      <c r="F1192" t="s">
        <v>11185</v>
      </c>
      <c r="G1192" t="s">
        <v>10999</v>
      </c>
    </row>
    <row r="1193" spans="1:7">
      <c r="A1193" s="306"/>
      <c r="B1193" t="s">
        <v>6898</v>
      </c>
      <c r="C1193" t="s">
        <v>11731</v>
      </c>
      <c r="E1193">
        <v>692.39130434782601</v>
      </c>
      <c r="F1193" t="s">
        <v>11185</v>
      </c>
      <c r="G1193" t="s">
        <v>10999</v>
      </c>
    </row>
    <row r="1194" spans="1:7">
      <c r="A1194" s="306"/>
      <c r="B1194" t="s">
        <v>6899</v>
      </c>
      <c r="C1194" t="s">
        <v>11732</v>
      </c>
      <c r="E1194">
        <v>723.91304347826087</v>
      </c>
      <c r="F1194" t="s">
        <v>11185</v>
      </c>
      <c r="G1194" t="s">
        <v>10999</v>
      </c>
    </row>
    <row r="1195" spans="1:7">
      <c r="A1195" s="306"/>
      <c r="B1195" t="s">
        <v>6900</v>
      </c>
      <c r="C1195" t="s">
        <v>11733</v>
      </c>
      <c r="E1195">
        <v>825</v>
      </c>
      <c r="F1195" t="s">
        <v>11185</v>
      </c>
      <c r="G1195" t="s">
        <v>10999</v>
      </c>
    </row>
    <row r="1196" spans="1:7">
      <c r="A1196" s="306"/>
      <c r="B1196" t="s">
        <v>11734</v>
      </c>
      <c r="C1196" t="s">
        <v>11735</v>
      </c>
      <c r="E1196">
        <v>733.695652173913</v>
      </c>
      <c r="F1196" t="s">
        <v>11185</v>
      </c>
      <c r="G1196" t="s">
        <v>10999</v>
      </c>
    </row>
    <row r="1197" spans="1:7">
      <c r="A1197" s="306"/>
      <c r="B1197" t="s">
        <v>11736</v>
      </c>
      <c r="C1197" t="s">
        <v>11737</v>
      </c>
      <c r="E1197">
        <v>733.695652173913</v>
      </c>
      <c r="F1197" t="s">
        <v>11185</v>
      </c>
      <c r="G1197" t="s">
        <v>10999</v>
      </c>
    </row>
    <row r="1198" spans="1:7">
      <c r="A1198" s="306"/>
      <c r="B1198" t="s">
        <v>11738</v>
      </c>
      <c r="C1198" t="s">
        <v>11739</v>
      </c>
      <c r="E1198">
        <v>771.73913043478262</v>
      </c>
      <c r="F1198" t="s">
        <v>11185</v>
      </c>
      <c r="G1198" t="s">
        <v>10999</v>
      </c>
    </row>
    <row r="1199" spans="1:7">
      <c r="A1199" s="306"/>
      <c r="B1199" t="s">
        <v>11740</v>
      </c>
      <c r="C1199" t="s">
        <v>11741</v>
      </c>
      <c r="E1199">
        <v>813.04347826086951</v>
      </c>
      <c r="F1199" t="s">
        <v>11185</v>
      </c>
      <c r="G1199" t="s">
        <v>10999</v>
      </c>
    </row>
    <row r="1200" spans="1:7">
      <c r="A1200" s="306"/>
      <c r="B1200" t="s">
        <v>11742</v>
      </c>
      <c r="C1200" t="s">
        <v>11743</v>
      </c>
      <c r="E1200">
        <v>851.08695652173913</v>
      </c>
      <c r="F1200" t="s">
        <v>11185</v>
      </c>
      <c r="G1200" t="s">
        <v>10999</v>
      </c>
    </row>
    <row r="1201" spans="1:7">
      <c r="A1201" s="306"/>
      <c r="B1201" t="s">
        <v>11744</v>
      </c>
      <c r="C1201" t="s">
        <v>11745</v>
      </c>
      <c r="E1201">
        <v>968.47826086956513</v>
      </c>
      <c r="F1201" t="s">
        <v>11185</v>
      </c>
      <c r="G1201" t="s">
        <v>10999</v>
      </c>
    </row>
    <row r="1202" spans="1:7">
      <c r="A1202" s="306"/>
      <c r="B1202" t="s">
        <v>6901</v>
      </c>
      <c r="C1202" t="s">
        <v>6902</v>
      </c>
      <c r="E1202">
        <v>275</v>
      </c>
      <c r="F1202" t="s">
        <v>11185</v>
      </c>
      <c r="G1202" t="s">
        <v>10997</v>
      </c>
    </row>
    <row r="1203" spans="1:7">
      <c r="A1203" s="306"/>
      <c r="B1203" t="s">
        <v>6903</v>
      </c>
      <c r="C1203" t="s">
        <v>6904</v>
      </c>
      <c r="E1203">
        <v>557.60869565217388</v>
      </c>
      <c r="F1203" t="s">
        <v>11185</v>
      </c>
      <c r="G1203" t="s">
        <v>10997</v>
      </c>
    </row>
    <row r="1204" spans="1:7">
      <c r="A1204" s="306"/>
      <c r="B1204" t="s">
        <v>6905</v>
      </c>
      <c r="C1204" t="s">
        <v>6906</v>
      </c>
      <c r="E1204">
        <v>642.39130434782601</v>
      </c>
      <c r="F1204" t="s">
        <v>11185</v>
      </c>
      <c r="G1204" t="s">
        <v>10999</v>
      </c>
    </row>
    <row r="1205" spans="1:7">
      <c r="A1205" s="306"/>
      <c r="B1205" t="s">
        <v>6907</v>
      </c>
      <c r="C1205" t="s">
        <v>6908</v>
      </c>
      <c r="E1205">
        <v>714.13043478260863</v>
      </c>
      <c r="F1205" t="s">
        <v>11190</v>
      </c>
      <c r="G1205" t="s">
        <v>10996</v>
      </c>
    </row>
    <row r="1206" spans="1:7">
      <c r="A1206" s="306"/>
      <c r="B1206" t="s">
        <v>6909</v>
      </c>
      <c r="C1206" t="s">
        <v>6910</v>
      </c>
      <c r="E1206">
        <v>265.21739130434781</v>
      </c>
      <c r="F1206" t="s">
        <v>11190</v>
      </c>
      <c r="G1206" t="s">
        <v>10997</v>
      </c>
    </row>
    <row r="1207" spans="1:7">
      <c r="A1207" s="306"/>
      <c r="B1207" t="s">
        <v>6911</v>
      </c>
      <c r="C1207" t="s">
        <v>11746</v>
      </c>
      <c r="E1207">
        <v>12053.260869565216</v>
      </c>
      <c r="F1207" t="s">
        <v>11190</v>
      </c>
      <c r="G1207" t="s">
        <v>10999</v>
      </c>
    </row>
    <row r="1208" spans="1:7">
      <c r="A1208" s="306"/>
      <c r="B1208" t="s">
        <v>6912</v>
      </c>
      <c r="C1208" t="s">
        <v>11747</v>
      </c>
      <c r="E1208">
        <v>8179.347826086956</v>
      </c>
      <c r="F1208" t="s">
        <v>11190</v>
      </c>
      <c r="G1208" t="s">
        <v>10999</v>
      </c>
    </row>
    <row r="1209" spans="1:7">
      <c r="A1209" s="306"/>
      <c r="B1209" t="s">
        <v>6913</v>
      </c>
      <c r="C1209" t="s">
        <v>11748</v>
      </c>
      <c r="E1209">
        <v>16014.130434782608</v>
      </c>
      <c r="F1209" t="s">
        <v>11190</v>
      </c>
      <c r="G1209" t="s">
        <v>10999</v>
      </c>
    </row>
    <row r="1210" spans="1:7">
      <c r="A1210" s="306"/>
      <c r="B1210" t="s">
        <v>6914</v>
      </c>
      <c r="C1210" t="s">
        <v>11725</v>
      </c>
      <c r="E1210">
        <v>9555.434782608696</v>
      </c>
      <c r="F1210" t="s">
        <v>11190</v>
      </c>
      <c r="G1210" t="s">
        <v>10997</v>
      </c>
    </row>
    <row r="1211" spans="1:7">
      <c r="A1211" s="306"/>
      <c r="B1211" t="s">
        <v>6915</v>
      </c>
    </row>
    <row r="1212" spans="1:7">
      <c r="A1212" s="306"/>
      <c r="B1212" t="s">
        <v>6918</v>
      </c>
      <c r="C1212" t="s">
        <v>6919</v>
      </c>
      <c r="E1212">
        <v>267.39130434782606</v>
      </c>
      <c r="F1212" t="s">
        <v>11185</v>
      </c>
      <c r="G1212" t="s">
        <v>10999</v>
      </c>
    </row>
    <row r="1213" spans="1:7">
      <c r="A1213" s="306"/>
      <c r="B1213" t="s">
        <v>6920</v>
      </c>
      <c r="C1213" t="s">
        <v>11749</v>
      </c>
      <c r="E1213">
        <v>216.30434782608694</v>
      </c>
      <c r="F1213" t="s">
        <v>11185</v>
      </c>
      <c r="G1213" t="s">
        <v>10999</v>
      </c>
    </row>
    <row r="1214" spans="1:7">
      <c r="A1214" s="306"/>
      <c r="B1214" t="s">
        <v>6927</v>
      </c>
      <c r="C1214" t="s">
        <v>11750</v>
      </c>
      <c r="E1214">
        <v>120.65217391304347</v>
      </c>
      <c r="F1214" t="s">
        <v>11185</v>
      </c>
      <c r="G1214" t="s">
        <v>10999</v>
      </c>
    </row>
    <row r="1215" spans="1:7">
      <c r="A1215" s="306"/>
      <c r="B1215" t="s">
        <v>6928</v>
      </c>
      <c r="C1215" t="s">
        <v>11751</v>
      </c>
      <c r="E1215">
        <v>120.65217391304347</v>
      </c>
      <c r="F1215" t="s">
        <v>11185</v>
      </c>
      <c r="G1215" t="s">
        <v>10999</v>
      </c>
    </row>
    <row r="1216" spans="1:7">
      <c r="A1216" s="306"/>
      <c r="B1216" t="s">
        <v>6929</v>
      </c>
      <c r="C1216" t="s">
        <v>11752</v>
      </c>
      <c r="E1216">
        <v>134.78260869565216</v>
      </c>
      <c r="F1216" t="s">
        <v>11185</v>
      </c>
      <c r="G1216" t="s">
        <v>10999</v>
      </c>
    </row>
    <row r="1217" spans="1:7">
      <c r="A1217" s="306"/>
      <c r="B1217" t="s">
        <v>6930</v>
      </c>
      <c r="C1217" t="s">
        <v>11753</v>
      </c>
      <c r="E1217">
        <v>134.78260869565216</v>
      </c>
      <c r="F1217" t="s">
        <v>11185</v>
      </c>
      <c r="G1217" t="s">
        <v>10999</v>
      </c>
    </row>
    <row r="1218" spans="1:7">
      <c r="A1218" s="306"/>
      <c r="B1218" t="s">
        <v>6931</v>
      </c>
      <c r="C1218" t="s">
        <v>11754</v>
      </c>
      <c r="E1218">
        <v>150</v>
      </c>
      <c r="F1218" t="s">
        <v>11185</v>
      </c>
      <c r="G1218" t="s">
        <v>10999</v>
      </c>
    </row>
    <row r="1219" spans="1:7">
      <c r="A1219" s="306"/>
      <c r="B1219" t="s">
        <v>6932</v>
      </c>
      <c r="C1219" t="s">
        <v>11755</v>
      </c>
      <c r="E1219">
        <v>150</v>
      </c>
      <c r="F1219" t="s">
        <v>11185</v>
      </c>
      <c r="G1219" t="s">
        <v>10999</v>
      </c>
    </row>
    <row r="1220" spans="1:7">
      <c r="A1220" s="306"/>
      <c r="B1220" t="s">
        <v>11756</v>
      </c>
      <c r="C1220" t="s">
        <v>11757</v>
      </c>
      <c r="E1220">
        <v>809.78260869565213</v>
      </c>
      <c r="F1220" t="s">
        <v>11185</v>
      </c>
    </row>
    <row r="1221" spans="1:7">
      <c r="A1221" s="306"/>
      <c r="B1221" t="s">
        <v>11758</v>
      </c>
      <c r="C1221" t="s">
        <v>11759</v>
      </c>
      <c r="E1221">
        <v>206.52173913043478</v>
      </c>
      <c r="F1221" t="s">
        <v>11185</v>
      </c>
    </row>
    <row r="1222" spans="1:7">
      <c r="A1222" s="306"/>
      <c r="B1222" t="s">
        <v>11760</v>
      </c>
      <c r="C1222" t="s">
        <v>11761</v>
      </c>
      <c r="E1222">
        <v>358.695652173913</v>
      </c>
      <c r="F1222" t="s">
        <v>11185</v>
      </c>
    </row>
    <row r="1223" spans="1:7">
      <c r="A1223" s="306"/>
      <c r="B1223" t="s">
        <v>11762</v>
      </c>
      <c r="C1223" t="s">
        <v>11763</v>
      </c>
      <c r="E1223">
        <v>101.08695652173913</v>
      </c>
      <c r="F1223" t="s">
        <v>11185</v>
      </c>
    </row>
    <row r="1224" spans="1:7">
      <c r="A1224" s="306"/>
      <c r="B1224" t="s">
        <v>11764</v>
      </c>
      <c r="C1224" t="s">
        <v>11765</v>
      </c>
      <c r="E1224">
        <v>159.78260869565216</v>
      </c>
      <c r="F1224" t="s">
        <v>11185</v>
      </c>
    </row>
    <row r="1225" spans="1:7">
      <c r="A1225" s="306"/>
      <c r="B1225" t="s">
        <v>11766</v>
      </c>
      <c r="C1225" t="s">
        <v>11767</v>
      </c>
      <c r="E1225">
        <v>229.3478260869565</v>
      </c>
      <c r="F1225" t="s">
        <v>11185</v>
      </c>
    </row>
    <row r="1226" spans="1:7">
      <c r="A1226" s="306"/>
      <c r="B1226" t="s">
        <v>6933</v>
      </c>
      <c r="C1226" t="s">
        <v>11768</v>
      </c>
      <c r="E1226">
        <v>111.95652173913042</v>
      </c>
      <c r="F1226" t="s">
        <v>11185</v>
      </c>
      <c r="G1226" t="s">
        <v>10999</v>
      </c>
    </row>
    <row r="1227" spans="1:7">
      <c r="A1227" s="306"/>
      <c r="B1227" t="s">
        <v>6921</v>
      </c>
      <c r="C1227" t="s">
        <v>6922</v>
      </c>
      <c r="E1227">
        <v>258.695652173913</v>
      </c>
      <c r="F1227" t="s">
        <v>11185</v>
      </c>
    </row>
    <row r="1228" spans="1:7">
      <c r="A1228" s="306"/>
      <c r="B1228" t="s">
        <v>6923</v>
      </c>
      <c r="C1228" t="s">
        <v>6924</v>
      </c>
      <c r="E1228">
        <v>285.86956521739131</v>
      </c>
      <c r="F1228" t="s">
        <v>11185</v>
      </c>
      <c r="G1228" t="s">
        <v>10999</v>
      </c>
    </row>
    <row r="1229" spans="1:7">
      <c r="A1229" s="306"/>
      <c r="B1229" t="s">
        <v>6925</v>
      </c>
      <c r="C1229" t="s">
        <v>6926</v>
      </c>
      <c r="E1229">
        <v>377.17391304347825</v>
      </c>
      <c r="F1229" t="s">
        <v>11185</v>
      </c>
      <c r="G1229" t="s">
        <v>10999</v>
      </c>
    </row>
    <row r="1230" spans="1:7">
      <c r="A1230" s="306"/>
      <c r="B1230" t="s">
        <v>6916</v>
      </c>
      <c r="C1230" t="s">
        <v>6917</v>
      </c>
      <c r="E1230">
        <v>2148.913043478261</v>
      </c>
      <c r="F1230" t="s">
        <v>11185</v>
      </c>
      <c r="G1230" t="s">
        <v>10999</v>
      </c>
    </row>
    <row r="1231" spans="1:7">
      <c r="A1231" s="306"/>
      <c r="B1231" t="s">
        <v>6936</v>
      </c>
    </row>
    <row r="1232" spans="1:7">
      <c r="A1232" s="306"/>
      <c r="B1232" t="s">
        <v>6974</v>
      </c>
      <c r="C1232" t="s">
        <v>6965</v>
      </c>
      <c r="E1232">
        <v>170.65217391304347</v>
      </c>
      <c r="F1232" t="s">
        <v>11185</v>
      </c>
      <c r="G1232" t="s">
        <v>10997</v>
      </c>
    </row>
    <row r="1233" spans="1:7">
      <c r="A1233" s="306"/>
      <c r="B1233" t="s">
        <v>6939</v>
      </c>
      <c r="C1233" t="s">
        <v>3144</v>
      </c>
      <c r="E1233">
        <v>194.56521739130434</v>
      </c>
      <c r="F1233" t="s">
        <v>11185</v>
      </c>
      <c r="G1233" t="s">
        <v>10997</v>
      </c>
    </row>
    <row r="1234" spans="1:7">
      <c r="A1234" s="306"/>
      <c r="B1234" t="s">
        <v>6940</v>
      </c>
      <c r="C1234" t="s">
        <v>6941</v>
      </c>
      <c r="E1234">
        <v>269.56521739130432</v>
      </c>
      <c r="F1234" t="s">
        <v>11185</v>
      </c>
      <c r="G1234" t="s">
        <v>10997</v>
      </c>
    </row>
    <row r="1235" spans="1:7">
      <c r="A1235" s="306"/>
      <c r="B1235" t="s">
        <v>6962</v>
      </c>
      <c r="C1235" t="s">
        <v>6963</v>
      </c>
      <c r="E1235">
        <v>209.78260869565216</v>
      </c>
      <c r="F1235" t="s">
        <v>11185</v>
      </c>
      <c r="G1235" t="s">
        <v>10997</v>
      </c>
    </row>
    <row r="1236" spans="1:7">
      <c r="A1236" s="306"/>
      <c r="B1236" t="s">
        <v>6942</v>
      </c>
      <c r="C1236" t="s">
        <v>11769</v>
      </c>
      <c r="E1236">
        <v>188.04347826086956</v>
      </c>
      <c r="F1236" t="s">
        <v>11185</v>
      </c>
      <c r="G1236" t="s">
        <v>10997</v>
      </c>
    </row>
    <row r="1237" spans="1:7">
      <c r="A1237" s="306"/>
      <c r="B1237" t="s">
        <v>6943</v>
      </c>
      <c r="C1237" t="s">
        <v>11770</v>
      </c>
      <c r="E1237">
        <v>202.17391304347825</v>
      </c>
      <c r="F1237" t="s">
        <v>11185</v>
      </c>
      <c r="G1237" t="s">
        <v>10997</v>
      </c>
    </row>
    <row r="1238" spans="1:7">
      <c r="A1238" s="306"/>
      <c r="B1238" t="s">
        <v>2170</v>
      </c>
      <c r="C1238" t="s">
        <v>2171</v>
      </c>
      <c r="E1238">
        <v>175</v>
      </c>
      <c r="F1238" t="s">
        <v>11185</v>
      </c>
      <c r="G1238" t="s">
        <v>10997</v>
      </c>
    </row>
    <row r="1239" spans="1:7">
      <c r="A1239" s="306"/>
      <c r="B1239" t="s">
        <v>6975</v>
      </c>
      <c r="C1239" t="s">
        <v>11771</v>
      </c>
      <c r="E1239">
        <v>1075</v>
      </c>
      <c r="F1239" t="s">
        <v>11190</v>
      </c>
      <c r="G1239" t="s">
        <v>10999</v>
      </c>
    </row>
    <row r="1240" spans="1:7">
      <c r="A1240" s="306"/>
      <c r="B1240" t="s">
        <v>6964</v>
      </c>
      <c r="C1240" t="s">
        <v>6965</v>
      </c>
      <c r="E1240">
        <v>177.17391304347825</v>
      </c>
      <c r="F1240" t="s">
        <v>11185</v>
      </c>
      <c r="G1240" t="s">
        <v>10997</v>
      </c>
    </row>
    <row r="1241" spans="1:7">
      <c r="A1241" s="306"/>
      <c r="B1241" t="s">
        <v>6966</v>
      </c>
      <c r="C1241" t="s">
        <v>3144</v>
      </c>
      <c r="E1241">
        <v>201.08695652173913</v>
      </c>
      <c r="F1241" t="s">
        <v>11185</v>
      </c>
      <c r="G1241" t="s">
        <v>10997</v>
      </c>
    </row>
    <row r="1242" spans="1:7">
      <c r="A1242" s="306"/>
      <c r="B1242" t="s">
        <v>6967</v>
      </c>
      <c r="C1242" t="s">
        <v>6968</v>
      </c>
      <c r="E1242">
        <v>228.26086956521738</v>
      </c>
      <c r="F1242" t="s">
        <v>11185</v>
      </c>
      <c r="G1242" t="s">
        <v>10997</v>
      </c>
    </row>
    <row r="1243" spans="1:7">
      <c r="A1243" s="306"/>
      <c r="B1243" t="s">
        <v>6969</v>
      </c>
      <c r="C1243" t="s">
        <v>6963</v>
      </c>
      <c r="E1243">
        <v>211.95652173913044</v>
      </c>
      <c r="F1243" t="s">
        <v>11185</v>
      </c>
      <c r="G1243" t="s">
        <v>10997</v>
      </c>
    </row>
    <row r="1244" spans="1:7">
      <c r="A1244" s="306"/>
      <c r="B1244" t="s">
        <v>6944</v>
      </c>
      <c r="C1244" t="s">
        <v>6945</v>
      </c>
      <c r="E1244">
        <v>622.82608695652175</v>
      </c>
      <c r="F1244" t="s">
        <v>11185</v>
      </c>
      <c r="G1244" t="s">
        <v>10999</v>
      </c>
    </row>
    <row r="1245" spans="1:7">
      <c r="A1245" s="306"/>
      <c r="B1245" t="s">
        <v>6938</v>
      </c>
      <c r="C1245" t="s">
        <v>11772</v>
      </c>
      <c r="E1245">
        <v>167.39130434782609</v>
      </c>
      <c r="F1245" t="s">
        <v>11185</v>
      </c>
      <c r="G1245" t="s">
        <v>10997</v>
      </c>
    </row>
    <row r="1246" spans="1:7">
      <c r="A1246" s="306"/>
      <c r="B1246" t="s">
        <v>6970</v>
      </c>
      <c r="C1246" t="s">
        <v>6965</v>
      </c>
      <c r="E1246">
        <v>177.17391304347825</v>
      </c>
      <c r="F1246" t="s">
        <v>11185</v>
      </c>
      <c r="G1246" t="s">
        <v>10997</v>
      </c>
    </row>
    <row r="1247" spans="1:7">
      <c r="A1247" s="306"/>
      <c r="B1247" t="s">
        <v>6971</v>
      </c>
      <c r="C1247" t="s">
        <v>3144</v>
      </c>
      <c r="E1247">
        <v>201.08695652173913</v>
      </c>
      <c r="F1247" t="s">
        <v>11185</v>
      </c>
      <c r="G1247" t="s">
        <v>10997</v>
      </c>
    </row>
    <row r="1248" spans="1:7">
      <c r="A1248" s="306"/>
      <c r="B1248" t="s">
        <v>6972</v>
      </c>
      <c r="C1248" t="s">
        <v>6968</v>
      </c>
      <c r="E1248">
        <v>276.08695652173913</v>
      </c>
      <c r="F1248" t="s">
        <v>11185</v>
      </c>
      <c r="G1248" t="s">
        <v>10997</v>
      </c>
    </row>
    <row r="1249" spans="1:7">
      <c r="A1249" s="306"/>
      <c r="B1249" t="s">
        <v>6973</v>
      </c>
      <c r="C1249" t="s">
        <v>6963</v>
      </c>
      <c r="E1249">
        <v>211.95652173913044</v>
      </c>
      <c r="F1249" t="s">
        <v>11185</v>
      </c>
      <c r="G1249" t="s">
        <v>10997</v>
      </c>
    </row>
    <row r="1250" spans="1:7">
      <c r="A1250" s="306"/>
      <c r="B1250" t="s">
        <v>6946</v>
      </c>
      <c r="C1250" t="s">
        <v>11773</v>
      </c>
      <c r="E1250">
        <v>195.65217391304347</v>
      </c>
      <c r="F1250" t="s">
        <v>11185</v>
      </c>
    </row>
    <row r="1251" spans="1:7">
      <c r="A1251" s="306"/>
      <c r="B1251" t="s">
        <v>11774</v>
      </c>
      <c r="C1251" t="s">
        <v>11775</v>
      </c>
      <c r="E1251">
        <v>778.26086956521738</v>
      </c>
      <c r="F1251" t="s">
        <v>11185</v>
      </c>
      <c r="G1251" t="s">
        <v>10999</v>
      </c>
    </row>
    <row r="1252" spans="1:7">
      <c r="A1252" s="306"/>
      <c r="B1252" t="s">
        <v>11776</v>
      </c>
      <c r="C1252" t="s">
        <v>11777</v>
      </c>
      <c r="E1252">
        <v>373.91304347826087</v>
      </c>
      <c r="F1252" t="s">
        <v>11185</v>
      </c>
    </row>
    <row r="1253" spans="1:7">
      <c r="A1253" s="306"/>
      <c r="B1253" t="s">
        <v>11778</v>
      </c>
      <c r="C1253" t="s">
        <v>11779</v>
      </c>
      <c r="E1253">
        <v>344.56521739130432</v>
      </c>
      <c r="F1253" t="s">
        <v>11185</v>
      </c>
    </row>
    <row r="1254" spans="1:7">
      <c r="A1254" s="306"/>
      <c r="B1254" t="s">
        <v>11780</v>
      </c>
      <c r="C1254" t="s">
        <v>11781</v>
      </c>
      <c r="E1254">
        <v>352.17391304347825</v>
      </c>
      <c r="F1254" t="s">
        <v>11185</v>
      </c>
    </row>
    <row r="1255" spans="1:7">
      <c r="A1255" s="306"/>
      <c r="B1255" t="s">
        <v>11782</v>
      </c>
      <c r="C1255" t="s">
        <v>11783</v>
      </c>
      <c r="E1255">
        <v>775</v>
      </c>
      <c r="F1255" t="s">
        <v>11185</v>
      </c>
    </row>
    <row r="1256" spans="1:7">
      <c r="A1256" s="306"/>
      <c r="B1256" t="s">
        <v>11784</v>
      </c>
      <c r="C1256" t="s">
        <v>11785</v>
      </c>
      <c r="E1256">
        <v>381.52173913043475</v>
      </c>
      <c r="F1256" t="s">
        <v>11185</v>
      </c>
    </row>
    <row r="1257" spans="1:7">
      <c r="A1257" s="306"/>
      <c r="B1257" t="s">
        <v>11786</v>
      </c>
      <c r="C1257" t="s">
        <v>11781</v>
      </c>
      <c r="E1257">
        <v>352.17391304347825</v>
      </c>
      <c r="F1257" t="s">
        <v>11185</v>
      </c>
      <c r="G1257" t="s">
        <v>10996</v>
      </c>
    </row>
    <row r="1258" spans="1:7">
      <c r="A1258" s="306"/>
      <c r="B1258" t="s">
        <v>11787</v>
      </c>
      <c r="C1258" t="s">
        <v>11783</v>
      </c>
      <c r="E1258">
        <v>775</v>
      </c>
      <c r="F1258" t="s">
        <v>11185</v>
      </c>
    </row>
    <row r="1259" spans="1:7">
      <c r="A1259" s="306"/>
      <c r="B1259" t="s">
        <v>11788</v>
      </c>
      <c r="C1259" t="s">
        <v>11781</v>
      </c>
      <c r="E1259">
        <v>344.56521739130432</v>
      </c>
      <c r="F1259" t="s">
        <v>11185</v>
      </c>
    </row>
    <row r="1260" spans="1:7">
      <c r="A1260" s="306"/>
      <c r="B1260" t="s">
        <v>6960</v>
      </c>
      <c r="C1260" t="s">
        <v>6961</v>
      </c>
      <c r="E1260">
        <v>211.95652173913044</v>
      </c>
      <c r="F1260" t="s">
        <v>11185</v>
      </c>
      <c r="G1260" t="s">
        <v>10996</v>
      </c>
    </row>
    <row r="1261" spans="1:7">
      <c r="A1261" s="306"/>
      <c r="B1261" t="s">
        <v>6947</v>
      </c>
      <c r="C1261" t="s">
        <v>11789</v>
      </c>
      <c r="E1261">
        <v>275</v>
      </c>
      <c r="F1261" t="s">
        <v>11185</v>
      </c>
      <c r="G1261" t="s">
        <v>10996</v>
      </c>
    </row>
    <row r="1262" spans="1:7">
      <c r="A1262" s="306"/>
      <c r="B1262" t="s">
        <v>1076</v>
      </c>
      <c r="C1262" t="s">
        <v>11790</v>
      </c>
      <c r="E1262">
        <v>2080.4347826086955</v>
      </c>
      <c r="F1262" t="s">
        <v>11190</v>
      </c>
      <c r="G1262" t="s">
        <v>10999</v>
      </c>
    </row>
    <row r="1263" spans="1:7">
      <c r="A1263" s="306"/>
      <c r="B1263" t="s">
        <v>1078</v>
      </c>
      <c r="C1263" t="s">
        <v>11791</v>
      </c>
      <c r="E1263">
        <v>1642.391304347826</v>
      </c>
      <c r="F1263" t="s">
        <v>11190</v>
      </c>
      <c r="G1263" t="s">
        <v>10999</v>
      </c>
    </row>
    <row r="1264" spans="1:7">
      <c r="A1264" s="306"/>
      <c r="B1264" t="s">
        <v>6976</v>
      </c>
      <c r="C1264" t="s">
        <v>11792</v>
      </c>
      <c r="E1264">
        <v>423.91304347826087</v>
      </c>
      <c r="F1264" t="s">
        <v>11190</v>
      </c>
      <c r="G1264" t="s">
        <v>10997</v>
      </c>
    </row>
    <row r="1265" spans="1:7">
      <c r="A1265" s="306"/>
      <c r="B1265" t="s">
        <v>6948</v>
      </c>
      <c r="C1265" t="s">
        <v>11793</v>
      </c>
      <c r="E1265">
        <v>208.69565217391303</v>
      </c>
      <c r="F1265" t="s">
        <v>11185</v>
      </c>
      <c r="G1265" t="s">
        <v>10997</v>
      </c>
    </row>
    <row r="1266" spans="1:7">
      <c r="A1266" s="306"/>
      <c r="B1266" t="s">
        <v>6949</v>
      </c>
      <c r="C1266" t="s">
        <v>11794</v>
      </c>
      <c r="E1266">
        <v>269.56521739130432</v>
      </c>
      <c r="F1266" t="s">
        <v>11185</v>
      </c>
      <c r="G1266" t="s">
        <v>10997</v>
      </c>
    </row>
    <row r="1267" spans="1:7">
      <c r="A1267" s="306"/>
      <c r="B1267" t="s">
        <v>6950</v>
      </c>
      <c r="C1267" t="s">
        <v>11795</v>
      </c>
      <c r="E1267">
        <v>264.13043478260869</v>
      </c>
      <c r="F1267" t="s">
        <v>11185</v>
      </c>
      <c r="G1267" t="s">
        <v>10997</v>
      </c>
    </row>
    <row r="1268" spans="1:7">
      <c r="A1268" s="306"/>
      <c r="B1268" t="s">
        <v>422</v>
      </c>
      <c r="C1268" t="s">
        <v>11796</v>
      </c>
      <c r="E1268">
        <v>597.82608695652175</v>
      </c>
      <c r="F1268" t="s">
        <v>11190</v>
      </c>
      <c r="G1268" t="s">
        <v>10996</v>
      </c>
    </row>
    <row r="1269" spans="1:7">
      <c r="A1269" s="306"/>
      <c r="B1269" t="s">
        <v>247</v>
      </c>
      <c r="C1269" t="s">
        <v>11797</v>
      </c>
      <c r="E1269">
        <v>1004.3478260869565</v>
      </c>
      <c r="F1269" t="s">
        <v>11190</v>
      </c>
      <c r="G1269" t="s">
        <v>10997</v>
      </c>
    </row>
    <row r="1270" spans="1:7">
      <c r="A1270" s="306"/>
      <c r="B1270" t="s">
        <v>1090</v>
      </c>
      <c r="C1270" t="s">
        <v>11798</v>
      </c>
      <c r="E1270">
        <v>622.82608695652175</v>
      </c>
      <c r="F1270" t="s">
        <v>11185</v>
      </c>
      <c r="G1270" t="s">
        <v>10999</v>
      </c>
    </row>
    <row r="1271" spans="1:7">
      <c r="A1271" s="306"/>
      <c r="B1271" t="s">
        <v>420</v>
      </c>
      <c r="C1271" t="s">
        <v>11799</v>
      </c>
      <c r="E1271">
        <v>188.04347826086956</v>
      </c>
      <c r="F1271" t="s">
        <v>11185</v>
      </c>
      <c r="G1271" t="s">
        <v>10996</v>
      </c>
    </row>
    <row r="1272" spans="1:7">
      <c r="A1272" s="306"/>
      <c r="B1272" t="s">
        <v>414</v>
      </c>
      <c r="C1272" t="s">
        <v>11800</v>
      </c>
      <c r="E1272">
        <v>153.26086956521738</v>
      </c>
      <c r="F1272" t="s">
        <v>11185</v>
      </c>
      <c r="G1272" t="s">
        <v>10997</v>
      </c>
    </row>
    <row r="1273" spans="1:7">
      <c r="A1273" s="306"/>
      <c r="B1273" t="s">
        <v>6951</v>
      </c>
      <c r="C1273" t="s">
        <v>11801</v>
      </c>
      <c r="E1273">
        <v>67.391304347826079</v>
      </c>
      <c r="F1273" t="s">
        <v>11185</v>
      </c>
      <c r="G1273" t="s">
        <v>10999</v>
      </c>
    </row>
    <row r="1274" spans="1:7">
      <c r="A1274" s="306"/>
      <c r="B1274" t="s">
        <v>6952</v>
      </c>
      <c r="C1274" t="s">
        <v>11795</v>
      </c>
      <c r="E1274">
        <v>264.13043478260869</v>
      </c>
      <c r="F1274" t="s">
        <v>11185</v>
      </c>
      <c r="G1274" t="s">
        <v>10997</v>
      </c>
    </row>
    <row r="1275" spans="1:7">
      <c r="A1275" s="306"/>
      <c r="B1275" t="s">
        <v>6953</v>
      </c>
      <c r="C1275" t="s">
        <v>11793</v>
      </c>
      <c r="E1275">
        <v>208.69565217391303</v>
      </c>
      <c r="F1275" t="s">
        <v>11185</v>
      </c>
      <c r="G1275" t="s">
        <v>10997</v>
      </c>
    </row>
    <row r="1276" spans="1:7">
      <c r="A1276" s="306"/>
      <c r="B1276" t="s">
        <v>6954</v>
      </c>
      <c r="C1276" t="s">
        <v>11802</v>
      </c>
      <c r="E1276">
        <v>483.695652173913</v>
      </c>
      <c r="F1276" t="s">
        <v>11185</v>
      </c>
      <c r="G1276" t="s">
        <v>10999</v>
      </c>
    </row>
    <row r="1277" spans="1:7">
      <c r="A1277" s="306"/>
      <c r="B1277" t="s">
        <v>6955</v>
      </c>
      <c r="C1277" t="s">
        <v>6956</v>
      </c>
      <c r="E1277">
        <v>1881.5217391304348</v>
      </c>
      <c r="F1277" t="s">
        <v>11185</v>
      </c>
      <c r="G1277" t="s">
        <v>10999</v>
      </c>
    </row>
    <row r="1278" spans="1:7">
      <c r="A1278" s="306"/>
      <c r="B1278" t="s">
        <v>6957</v>
      </c>
      <c r="C1278" t="s">
        <v>6958</v>
      </c>
      <c r="E1278">
        <v>1881.5217391304348</v>
      </c>
      <c r="F1278" t="s">
        <v>11185</v>
      </c>
    </row>
    <row r="1279" spans="1:7">
      <c r="A1279" s="306"/>
      <c r="B1279" t="s">
        <v>1420</v>
      </c>
      <c r="C1279" t="s">
        <v>11770</v>
      </c>
      <c r="E1279">
        <v>195.65217391304347</v>
      </c>
      <c r="F1279" t="s">
        <v>11185</v>
      </c>
      <c r="G1279" t="s">
        <v>10997</v>
      </c>
    </row>
    <row r="1280" spans="1:7">
      <c r="A1280" s="306"/>
      <c r="B1280" t="s">
        <v>1422</v>
      </c>
      <c r="C1280" t="s">
        <v>11769</v>
      </c>
      <c r="E1280">
        <v>181.52173913043478</v>
      </c>
      <c r="F1280" t="s">
        <v>11185</v>
      </c>
      <c r="G1280" t="s">
        <v>10997</v>
      </c>
    </row>
    <row r="1281" spans="1:7">
      <c r="A1281" s="306"/>
      <c r="B1281" t="s">
        <v>6959</v>
      </c>
      <c r="C1281" t="s">
        <v>11803</v>
      </c>
      <c r="E1281">
        <v>160.86956521739128</v>
      </c>
      <c r="F1281" t="s">
        <v>11185</v>
      </c>
      <c r="G1281" t="s">
        <v>10997</v>
      </c>
    </row>
    <row r="1282" spans="1:7">
      <c r="A1282" s="306"/>
      <c r="B1282" t="s">
        <v>418</v>
      </c>
      <c r="C1282" t="s">
        <v>11804</v>
      </c>
      <c r="E1282">
        <v>153.26086956521738</v>
      </c>
      <c r="F1282" t="s">
        <v>11185</v>
      </c>
      <c r="G1282" t="s">
        <v>10997</v>
      </c>
    </row>
    <row r="1283" spans="1:7">
      <c r="A1283" s="306"/>
      <c r="B1283" t="s">
        <v>1423</v>
      </c>
      <c r="C1283" t="s">
        <v>11770</v>
      </c>
      <c r="E1283">
        <v>202.17391304347825</v>
      </c>
      <c r="F1283" t="s">
        <v>11185</v>
      </c>
      <c r="G1283" t="s">
        <v>10997</v>
      </c>
    </row>
    <row r="1284" spans="1:7">
      <c r="A1284" s="306"/>
      <c r="B1284" t="s">
        <v>1425</v>
      </c>
      <c r="C1284" t="s">
        <v>11803</v>
      </c>
      <c r="E1284">
        <v>167.39130434782609</v>
      </c>
      <c r="F1284" t="s">
        <v>11185</v>
      </c>
      <c r="G1284" t="s">
        <v>10997</v>
      </c>
    </row>
    <row r="1285" spans="1:7">
      <c r="A1285" s="306"/>
      <c r="B1285" t="s">
        <v>1427</v>
      </c>
      <c r="C1285" t="s">
        <v>11769</v>
      </c>
      <c r="E1285">
        <v>188.04347826086956</v>
      </c>
      <c r="F1285" t="s">
        <v>11185</v>
      </c>
      <c r="G1285" t="s">
        <v>10997</v>
      </c>
    </row>
    <row r="1286" spans="1:7">
      <c r="A1286" s="306"/>
      <c r="B1286" t="s">
        <v>2172</v>
      </c>
      <c r="C1286" t="s">
        <v>11805</v>
      </c>
      <c r="E1286">
        <v>478.26086956521738</v>
      </c>
      <c r="F1286" t="s">
        <v>11185</v>
      </c>
      <c r="G1286" t="s">
        <v>10999</v>
      </c>
    </row>
    <row r="1287" spans="1:7">
      <c r="A1287" s="306"/>
      <c r="B1287" t="s">
        <v>11806</v>
      </c>
    </row>
    <row r="1288" spans="1:7">
      <c r="A1288" s="306"/>
      <c r="B1288" t="s">
        <v>11807</v>
      </c>
      <c r="C1288" t="s">
        <v>11808</v>
      </c>
      <c r="E1288">
        <v>335.86956521739131</v>
      </c>
      <c r="F1288" t="s">
        <v>11667</v>
      </c>
    </row>
    <row r="1289" spans="1:7">
      <c r="A1289" s="306"/>
      <c r="B1289" t="s">
        <v>11809</v>
      </c>
      <c r="C1289" t="s">
        <v>11810</v>
      </c>
      <c r="E1289">
        <v>303.26086956521738</v>
      </c>
      <c r="F1289" t="s">
        <v>11667</v>
      </c>
    </row>
    <row r="1290" spans="1:7">
      <c r="A1290" s="306"/>
      <c r="B1290" t="s">
        <v>11811</v>
      </c>
      <c r="C1290" t="s">
        <v>11812</v>
      </c>
      <c r="E1290">
        <v>340.21739130434781</v>
      </c>
      <c r="F1290" t="s">
        <v>11667</v>
      </c>
    </row>
    <row r="1291" spans="1:7">
      <c r="A1291" s="306"/>
      <c r="B1291" t="s">
        <v>11813</v>
      </c>
      <c r="C1291" t="s">
        <v>11814</v>
      </c>
      <c r="E1291">
        <v>1007.6086956521739</v>
      </c>
      <c r="F1291" t="s">
        <v>11667</v>
      </c>
    </row>
    <row r="1292" spans="1:7">
      <c r="A1292" s="306"/>
      <c r="B1292" t="s">
        <v>11815</v>
      </c>
      <c r="C1292" t="s">
        <v>11816</v>
      </c>
      <c r="E1292">
        <v>630.43478260869563</v>
      </c>
      <c r="F1292" t="s">
        <v>11667</v>
      </c>
    </row>
    <row r="1293" spans="1:7">
      <c r="A1293" s="306"/>
      <c r="B1293" t="s">
        <v>11817</v>
      </c>
      <c r="C1293" t="s">
        <v>11818</v>
      </c>
      <c r="E1293">
        <v>329.3478260869565</v>
      </c>
      <c r="F1293" t="s">
        <v>11667</v>
      </c>
    </row>
    <row r="1294" spans="1:7">
      <c r="A1294" s="306"/>
      <c r="B1294" t="s">
        <v>11819</v>
      </c>
      <c r="C1294" t="s">
        <v>11820</v>
      </c>
      <c r="E1294">
        <v>9343.4782608695641</v>
      </c>
      <c r="F1294" t="s">
        <v>11667</v>
      </c>
    </row>
    <row r="1295" spans="1:7">
      <c r="A1295" s="306"/>
      <c r="B1295" t="s">
        <v>11821</v>
      </c>
      <c r="C1295" t="s">
        <v>11822</v>
      </c>
      <c r="E1295">
        <v>175</v>
      </c>
      <c r="F1295" t="s">
        <v>11667</v>
      </c>
    </row>
    <row r="1296" spans="1:7">
      <c r="A1296" s="306"/>
      <c r="B1296" t="s">
        <v>11823</v>
      </c>
      <c r="C1296" t="s">
        <v>11824</v>
      </c>
      <c r="E1296">
        <v>280.43478260869563</v>
      </c>
      <c r="F1296" t="s">
        <v>11667</v>
      </c>
    </row>
    <row r="1297" spans="1:6">
      <c r="A1297" s="306"/>
      <c r="B1297" t="s">
        <v>11825</v>
      </c>
      <c r="C1297" t="s">
        <v>11826</v>
      </c>
      <c r="E1297">
        <v>456.52173913043475</v>
      </c>
      <c r="F1297" t="s">
        <v>11667</v>
      </c>
    </row>
    <row r="1298" spans="1:6">
      <c r="A1298" s="306"/>
      <c r="B1298" t="s">
        <v>11827</v>
      </c>
      <c r="C1298" t="s">
        <v>11828</v>
      </c>
      <c r="E1298">
        <v>15.217391304347826</v>
      </c>
      <c r="F1298" t="s">
        <v>11667</v>
      </c>
    </row>
    <row r="1299" spans="1:6">
      <c r="A1299" s="306"/>
      <c r="B1299" t="s">
        <v>11829</v>
      </c>
      <c r="C1299" t="s">
        <v>11830</v>
      </c>
      <c r="E1299">
        <v>1398.9130434782608</v>
      </c>
      <c r="F1299" t="s">
        <v>11667</v>
      </c>
    </row>
    <row r="1300" spans="1:6">
      <c r="A1300" s="306"/>
      <c r="B1300" t="s">
        <v>11831</v>
      </c>
      <c r="C1300" t="s">
        <v>11832</v>
      </c>
      <c r="E1300">
        <v>284.78260869565219</v>
      </c>
      <c r="F1300" t="s">
        <v>11667</v>
      </c>
    </row>
    <row r="1301" spans="1:6">
      <c r="A1301" s="306"/>
      <c r="B1301" t="s">
        <v>11833</v>
      </c>
      <c r="C1301" t="s">
        <v>11834</v>
      </c>
      <c r="E1301">
        <v>461.95652173913044</v>
      </c>
      <c r="F1301" t="s">
        <v>11667</v>
      </c>
    </row>
    <row r="1302" spans="1:6">
      <c r="A1302" s="306"/>
      <c r="B1302" t="s">
        <v>11835</v>
      </c>
      <c r="C1302" t="s">
        <v>11836</v>
      </c>
      <c r="E1302">
        <v>859.78260869565213</v>
      </c>
      <c r="F1302" t="s">
        <v>11667</v>
      </c>
    </row>
    <row r="1303" spans="1:6">
      <c r="A1303" s="306"/>
      <c r="B1303" t="s">
        <v>11837</v>
      </c>
      <c r="C1303" t="s">
        <v>11838</v>
      </c>
      <c r="E1303">
        <v>5283.695652173913</v>
      </c>
      <c r="F1303" t="s">
        <v>11667</v>
      </c>
    </row>
    <row r="1304" spans="1:6">
      <c r="A1304" s="306"/>
      <c r="B1304" t="s">
        <v>11839</v>
      </c>
      <c r="C1304" t="s">
        <v>11840</v>
      </c>
      <c r="E1304">
        <v>6615.217391304348</v>
      </c>
      <c r="F1304" t="s">
        <v>11667</v>
      </c>
    </row>
    <row r="1305" spans="1:6">
      <c r="A1305" s="306"/>
      <c r="B1305" t="s">
        <v>11841</v>
      </c>
      <c r="C1305" t="s">
        <v>11842</v>
      </c>
      <c r="E1305">
        <v>12979.347826086956</v>
      </c>
      <c r="F1305" t="s">
        <v>11667</v>
      </c>
    </row>
    <row r="1306" spans="1:6">
      <c r="A1306" s="306"/>
      <c r="B1306" t="s">
        <v>11843</v>
      </c>
      <c r="C1306" t="s">
        <v>11844</v>
      </c>
      <c r="E1306">
        <v>25508.695652173912</v>
      </c>
      <c r="F1306" t="s">
        <v>11667</v>
      </c>
    </row>
    <row r="1307" spans="1:6">
      <c r="A1307" s="306"/>
      <c r="B1307" t="s">
        <v>11845</v>
      </c>
      <c r="C1307" t="s">
        <v>11846</v>
      </c>
      <c r="E1307">
        <v>9669.565217391304</v>
      </c>
      <c r="F1307" t="s">
        <v>11667</v>
      </c>
    </row>
    <row r="1308" spans="1:6">
      <c r="A1308" s="306"/>
      <c r="B1308" t="s">
        <v>11847</v>
      </c>
      <c r="C1308" t="s">
        <v>11848</v>
      </c>
      <c r="E1308">
        <v>12084.782608695652</v>
      </c>
      <c r="F1308" t="s">
        <v>11667</v>
      </c>
    </row>
    <row r="1309" spans="1:6">
      <c r="A1309" s="306"/>
      <c r="B1309" t="s">
        <v>11849</v>
      </c>
      <c r="C1309" t="s">
        <v>11850</v>
      </c>
      <c r="E1309">
        <v>2430.4347826086955</v>
      </c>
      <c r="F1309" t="s">
        <v>11667</v>
      </c>
    </row>
    <row r="1310" spans="1:6">
      <c r="A1310" s="306"/>
      <c r="B1310" t="s">
        <v>11851</v>
      </c>
      <c r="C1310" t="s">
        <v>11852</v>
      </c>
      <c r="E1310">
        <v>4845.652173913043</v>
      </c>
      <c r="F1310" t="s">
        <v>11667</v>
      </c>
    </row>
    <row r="1311" spans="1:6">
      <c r="A1311" s="306"/>
      <c r="B1311" t="s">
        <v>11853</v>
      </c>
      <c r="C1311" t="s">
        <v>11854</v>
      </c>
      <c r="E1311">
        <v>9676.0869565217381</v>
      </c>
      <c r="F1311" t="s">
        <v>11667</v>
      </c>
    </row>
    <row r="1312" spans="1:6">
      <c r="A1312" s="306"/>
      <c r="B1312" t="s">
        <v>11855</v>
      </c>
      <c r="C1312" t="s">
        <v>11856</v>
      </c>
      <c r="E1312">
        <v>12091.304347826086</v>
      </c>
      <c r="F1312" t="s">
        <v>11667</v>
      </c>
    </row>
    <row r="1313" spans="1:6">
      <c r="A1313" s="306"/>
      <c r="B1313" t="s">
        <v>11857</v>
      </c>
      <c r="C1313" t="s">
        <v>11858</v>
      </c>
      <c r="E1313">
        <v>721.73913043478262</v>
      </c>
      <c r="F1313" t="s">
        <v>11667</v>
      </c>
    </row>
    <row r="1314" spans="1:6">
      <c r="A1314" s="306"/>
      <c r="B1314" t="s">
        <v>11859</v>
      </c>
      <c r="C1314" t="s">
        <v>11860</v>
      </c>
      <c r="E1314">
        <v>1414.1304347826087</v>
      </c>
      <c r="F1314" t="s">
        <v>11667</v>
      </c>
    </row>
    <row r="1315" spans="1:6">
      <c r="A1315" s="306"/>
      <c r="B1315" t="s">
        <v>11861</v>
      </c>
      <c r="C1315" t="s">
        <v>11862</v>
      </c>
      <c r="E1315">
        <v>2813.0434782608695</v>
      </c>
      <c r="F1315" t="s">
        <v>11667</v>
      </c>
    </row>
    <row r="1316" spans="1:6">
      <c r="A1316" s="306"/>
      <c r="B1316" t="s">
        <v>11863</v>
      </c>
      <c r="C1316" t="s">
        <v>11864</v>
      </c>
      <c r="E1316">
        <v>1417.391304347826</v>
      </c>
      <c r="F1316" t="s">
        <v>11667</v>
      </c>
    </row>
    <row r="1317" spans="1:6">
      <c r="A1317" s="306"/>
      <c r="B1317" t="s">
        <v>11865</v>
      </c>
      <c r="C1317" t="s">
        <v>11866</v>
      </c>
      <c r="E1317">
        <v>2816.304347826087</v>
      </c>
      <c r="F1317" t="s">
        <v>11667</v>
      </c>
    </row>
    <row r="1318" spans="1:6">
      <c r="A1318" s="306"/>
      <c r="B1318" t="s">
        <v>11867</v>
      </c>
      <c r="C1318" t="s">
        <v>11868</v>
      </c>
      <c r="E1318">
        <v>715.21739130434776</v>
      </c>
      <c r="F1318" t="s">
        <v>11667</v>
      </c>
    </row>
    <row r="1319" spans="1:6">
      <c r="A1319" s="306"/>
      <c r="B1319" t="s">
        <v>11869</v>
      </c>
      <c r="C1319" t="s">
        <v>11870</v>
      </c>
      <c r="E1319">
        <v>1407.6086956521738</v>
      </c>
      <c r="F1319" t="s">
        <v>11667</v>
      </c>
    </row>
    <row r="1320" spans="1:6">
      <c r="A1320" s="306"/>
      <c r="B1320" t="s">
        <v>11871</v>
      </c>
      <c r="C1320" t="s">
        <v>11872</v>
      </c>
      <c r="E1320">
        <v>52.173913043478258</v>
      </c>
      <c r="F1320" t="s">
        <v>11667</v>
      </c>
    </row>
    <row r="1321" spans="1:6">
      <c r="A1321" s="306"/>
      <c r="B1321" t="s">
        <v>11873</v>
      </c>
      <c r="C1321" t="s">
        <v>11874</v>
      </c>
      <c r="E1321">
        <v>58.695652173913039</v>
      </c>
      <c r="F1321" t="s">
        <v>11667</v>
      </c>
    </row>
    <row r="1322" spans="1:6">
      <c r="A1322" s="306"/>
      <c r="B1322" t="s">
        <v>11875</v>
      </c>
      <c r="C1322" t="s">
        <v>11876</v>
      </c>
      <c r="E1322">
        <v>75</v>
      </c>
      <c r="F1322" t="s">
        <v>11667</v>
      </c>
    </row>
    <row r="1323" spans="1:6">
      <c r="A1323" s="306"/>
      <c r="B1323" t="s">
        <v>11877</v>
      </c>
      <c r="C1323" t="s">
        <v>11878</v>
      </c>
      <c r="E1323">
        <v>120.65217391304347</v>
      </c>
      <c r="F1323" t="s">
        <v>11667</v>
      </c>
    </row>
    <row r="1324" spans="1:6">
      <c r="A1324" s="306"/>
      <c r="B1324" t="s">
        <v>11879</v>
      </c>
      <c r="C1324" t="s">
        <v>11880</v>
      </c>
      <c r="E1324">
        <v>64.130434782608688</v>
      </c>
      <c r="F1324" t="s">
        <v>11667</v>
      </c>
    </row>
    <row r="1325" spans="1:6">
      <c r="A1325" s="306"/>
      <c r="B1325" t="s">
        <v>11881</v>
      </c>
      <c r="C1325" t="s">
        <v>11882</v>
      </c>
      <c r="E1325">
        <v>68.478260869565219</v>
      </c>
      <c r="F1325" t="s">
        <v>11667</v>
      </c>
    </row>
    <row r="1326" spans="1:6">
      <c r="A1326" s="306"/>
      <c r="B1326" t="s">
        <v>11883</v>
      </c>
      <c r="C1326" t="s">
        <v>11884</v>
      </c>
      <c r="E1326">
        <v>78.260869565217391</v>
      </c>
      <c r="F1326" t="s">
        <v>11667</v>
      </c>
    </row>
    <row r="1327" spans="1:6">
      <c r="A1327" s="306"/>
      <c r="B1327" t="s">
        <v>11885</v>
      </c>
      <c r="C1327" t="s">
        <v>11886</v>
      </c>
      <c r="E1327">
        <v>105.43478260869564</v>
      </c>
      <c r="F1327" t="s">
        <v>11667</v>
      </c>
    </row>
    <row r="1328" spans="1:6">
      <c r="A1328" s="306"/>
      <c r="B1328" t="s">
        <v>11887</v>
      </c>
      <c r="C1328" t="s">
        <v>11888</v>
      </c>
      <c r="E1328">
        <v>160.86956521739128</v>
      </c>
      <c r="F1328" t="s">
        <v>11667</v>
      </c>
    </row>
    <row r="1329" spans="1:7">
      <c r="A1329" s="306"/>
      <c r="B1329" t="s">
        <v>6977</v>
      </c>
    </row>
    <row r="1330" spans="1:7">
      <c r="A1330" s="306"/>
      <c r="B1330" t="s">
        <v>11889</v>
      </c>
      <c r="C1330" t="s">
        <v>11890</v>
      </c>
      <c r="E1330">
        <v>216.30434782608694</v>
      </c>
      <c r="F1330" t="s">
        <v>11185</v>
      </c>
    </row>
    <row r="1331" spans="1:7">
      <c r="A1331" s="306"/>
      <c r="B1331" t="s">
        <v>6978</v>
      </c>
      <c r="C1331" t="s">
        <v>11891</v>
      </c>
      <c r="E1331">
        <v>1180.4347826086955</v>
      </c>
      <c r="F1331" t="s">
        <v>11185</v>
      </c>
      <c r="G1331" t="s">
        <v>10996</v>
      </c>
    </row>
    <row r="1332" spans="1:7">
      <c r="A1332" s="306"/>
      <c r="B1332" t="s">
        <v>6979</v>
      </c>
      <c r="C1332" t="s">
        <v>11892</v>
      </c>
      <c r="E1332">
        <v>1180.4347826086955</v>
      </c>
      <c r="F1332" t="s">
        <v>11185</v>
      </c>
      <c r="G1332" t="s">
        <v>10996</v>
      </c>
    </row>
    <row r="1333" spans="1:7">
      <c r="A1333" s="306"/>
      <c r="B1333" t="s">
        <v>6980</v>
      </c>
      <c r="C1333" t="s">
        <v>11893</v>
      </c>
      <c r="E1333">
        <v>1629.3478260869565</v>
      </c>
      <c r="F1333" t="s">
        <v>11185</v>
      </c>
      <c r="G1333" t="s">
        <v>10996</v>
      </c>
    </row>
    <row r="1334" spans="1:7">
      <c r="A1334" s="306"/>
      <c r="B1334" t="s">
        <v>6981</v>
      </c>
      <c r="C1334" t="s">
        <v>11894</v>
      </c>
      <c r="E1334">
        <v>816.30434782608688</v>
      </c>
      <c r="F1334" t="s">
        <v>11185</v>
      </c>
      <c r="G1334" t="s">
        <v>10996</v>
      </c>
    </row>
    <row r="1335" spans="1:7">
      <c r="A1335" s="306"/>
      <c r="B1335" t="s">
        <v>6982</v>
      </c>
      <c r="C1335" t="s">
        <v>11895</v>
      </c>
      <c r="E1335">
        <v>1629.3478260869565</v>
      </c>
      <c r="F1335" t="s">
        <v>11185</v>
      </c>
      <c r="G1335" t="s">
        <v>10996</v>
      </c>
    </row>
    <row r="1336" spans="1:7">
      <c r="A1336" s="306"/>
      <c r="B1336" t="s">
        <v>6983</v>
      </c>
      <c r="C1336" t="s">
        <v>11896</v>
      </c>
      <c r="E1336">
        <v>1933.695652173913</v>
      </c>
      <c r="F1336" t="s">
        <v>11185</v>
      </c>
      <c r="G1336" t="s">
        <v>10996</v>
      </c>
    </row>
    <row r="1337" spans="1:7">
      <c r="A1337" s="306"/>
      <c r="B1337" t="s">
        <v>6984</v>
      </c>
      <c r="C1337" t="s">
        <v>11897</v>
      </c>
      <c r="E1337">
        <v>1135.8695652173913</v>
      </c>
      <c r="F1337" t="s">
        <v>11185</v>
      </c>
      <c r="G1337" t="s">
        <v>10996</v>
      </c>
    </row>
    <row r="1338" spans="1:7">
      <c r="A1338" s="306"/>
      <c r="B1338" t="s">
        <v>6985</v>
      </c>
      <c r="C1338" t="s">
        <v>11898</v>
      </c>
      <c r="E1338">
        <v>2236.9565217391305</v>
      </c>
      <c r="F1338" t="s">
        <v>11185</v>
      </c>
      <c r="G1338" t="s">
        <v>10996</v>
      </c>
    </row>
    <row r="1339" spans="1:7">
      <c r="A1339" s="306"/>
      <c r="B1339" t="s">
        <v>6986</v>
      </c>
      <c r="C1339" t="s">
        <v>11899</v>
      </c>
      <c r="E1339">
        <v>4791.304347826087</v>
      </c>
      <c r="F1339" t="s">
        <v>11185</v>
      </c>
      <c r="G1339" t="s">
        <v>10996</v>
      </c>
    </row>
    <row r="1340" spans="1:7">
      <c r="A1340" s="306"/>
      <c r="B1340" t="s">
        <v>6987</v>
      </c>
      <c r="C1340" t="s">
        <v>11900</v>
      </c>
      <c r="E1340">
        <v>1544.5652173913043</v>
      </c>
      <c r="F1340" t="s">
        <v>11185</v>
      </c>
      <c r="G1340" t="s">
        <v>10996</v>
      </c>
    </row>
    <row r="1341" spans="1:7">
      <c r="A1341" s="306"/>
      <c r="B1341" t="s">
        <v>6988</v>
      </c>
      <c r="C1341" t="s">
        <v>11901</v>
      </c>
      <c r="E1341">
        <v>5003.260869565217</v>
      </c>
      <c r="F1341" t="s">
        <v>11185</v>
      </c>
      <c r="G1341" t="s">
        <v>10996</v>
      </c>
    </row>
    <row r="1342" spans="1:7">
      <c r="A1342" s="306"/>
      <c r="B1342" t="s">
        <v>6989</v>
      </c>
      <c r="C1342" t="s">
        <v>11902</v>
      </c>
      <c r="E1342">
        <v>7243.478260869565</v>
      </c>
      <c r="F1342" t="s">
        <v>11185</v>
      </c>
      <c r="G1342" t="s">
        <v>10996</v>
      </c>
    </row>
    <row r="1343" spans="1:7">
      <c r="A1343" s="306"/>
      <c r="B1343" t="s">
        <v>6990</v>
      </c>
      <c r="C1343" t="s">
        <v>11903</v>
      </c>
      <c r="E1343">
        <v>7379.347826086956</v>
      </c>
      <c r="F1343" t="s">
        <v>11185</v>
      </c>
      <c r="G1343" t="s">
        <v>10996</v>
      </c>
    </row>
    <row r="1344" spans="1:7">
      <c r="A1344" s="306"/>
      <c r="B1344" t="s">
        <v>6991</v>
      </c>
      <c r="C1344" t="s">
        <v>11904</v>
      </c>
      <c r="E1344">
        <v>2086.9565217391305</v>
      </c>
      <c r="F1344" t="s">
        <v>11185</v>
      </c>
      <c r="G1344" t="s">
        <v>10996</v>
      </c>
    </row>
    <row r="1345" spans="1:7">
      <c r="A1345" s="306"/>
      <c r="B1345" t="s">
        <v>6992</v>
      </c>
      <c r="C1345" t="s">
        <v>11905</v>
      </c>
      <c r="E1345">
        <v>8001.086956521739</v>
      </c>
      <c r="F1345" t="s">
        <v>11185</v>
      </c>
      <c r="G1345" t="s">
        <v>10996</v>
      </c>
    </row>
    <row r="1346" spans="1:7">
      <c r="A1346" s="306"/>
      <c r="B1346" t="s">
        <v>6993</v>
      </c>
      <c r="C1346" t="s">
        <v>11906</v>
      </c>
      <c r="E1346">
        <v>8153.260869565217</v>
      </c>
      <c r="F1346" t="s">
        <v>11185</v>
      </c>
      <c r="G1346" t="s">
        <v>10996</v>
      </c>
    </row>
    <row r="1347" spans="1:7">
      <c r="A1347" s="306"/>
      <c r="B1347" t="s">
        <v>6994</v>
      </c>
      <c r="C1347" t="s">
        <v>11907</v>
      </c>
      <c r="E1347">
        <v>670.6521739130435</v>
      </c>
      <c r="F1347" t="s">
        <v>11185</v>
      </c>
      <c r="G1347" t="s">
        <v>10996</v>
      </c>
    </row>
    <row r="1348" spans="1:7">
      <c r="A1348" s="306"/>
      <c r="B1348" t="s">
        <v>6995</v>
      </c>
      <c r="C1348" t="s">
        <v>11908</v>
      </c>
      <c r="E1348">
        <v>670.6521739130435</v>
      </c>
      <c r="F1348" t="s">
        <v>11185</v>
      </c>
      <c r="G1348" t="s">
        <v>10996</v>
      </c>
    </row>
    <row r="1349" spans="1:7">
      <c r="A1349" s="306"/>
      <c r="B1349" t="s">
        <v>6996</v>
      </c>
      <c r="C1349" t="s">
        <v>11909</v>
      </c>
      <c r="E1349">
        <v>806.52173913043475</v>
      </c>
      <c r="F1349" t="s">
        <v>11185</v>
      </c>
      <c r="G1349" t="s">
        <v>10996</v>
      </c>
    </row>
    <row r="1350" spans="1:7">
      <c r="A1350" s="306"/>
      <c r="B1350" t="s">
        <v>6997</v>
      </c>
      <c r="C1350" t="s">
        <v>11910</v>
      </c>
      <c r="E1350">
        <v>867.39130434782601</v>
      </c>
      <c r="F1350" t="s">
        <v>11185</v>
      </c>
      <c r="G1350" t="s">
        <v>10996</v>
      </c>
    </row>
    <row r="1351" spans="1:7">
      <c r="A1351" s="306"/>
      <c r="B1351" t="s">
        <v>6998</v>
      </c>
    </row>
    <row r="1352" spans="1:7">
      <c r="A1352" s="306"/>
      <c r="B1352" t="s">
        <v>7027</v>
      </c>
      <c r="C1352" t="s">
        <v>11911</v>
      </c>
      <c r="E1352">
        <v>965.21739130434776</v>
      </c>
      <c r="F1352" t="s">
        <v>11185</v>
      </c>
      <c r="G1352" t="s">
        <v>10996</v>
      </c>
    </row>
    <row r="1353" spans="1:7">
      <c r="A1353" s="306"/>
      <c r="B1353" t="s">
        <v>6999</v>
      </c>
      <c r="C1353" t="s">
        <v>7000</v>
      </c>
      <c r="E1353">
        <v>206.52173913043478</v>
      </c>
      <c r="F1353" t="s">
        <v>11185</v>
      </c>
      <c r="G1353" t="s">
        <v>10999</v>
      </c>
    </row>
    <row r="1354" spans="1:7">
      <c r="A1354" s="306"/>
      <c r="B1354" t="s">
        <v>7009</v>
      </c>
      <c r="C1354" t="s">
        <v>7010</v>
      </c>
      <c r="E1354">
        <v>868.47826086956513</v>
      </c>
      <c r="F1354" t="s">
        <v>11185</v>
      </c>
      <c r="G1354" t="s">
        <v>10999</v>
      </c>
    </row>
    <row r="1355" spans="1:7">
      <c r="A1355" s="306"/>
      <c r="B1355" t="s">
        <v>11912</v>
      </c>
      <c r="C1355" t="s">
        <v>11913</v>
      </c>
      <c r="E1355">
        <v>583.695652173913</v>
      </c>
      <c r="F1355" t="s">
        <v>11185</v>
      </c>
      <c r="G1355" t="s">
        <v>10996</v>
      </c>
    </row>
    <row r="1356" spans="1:7">
      <c r="A1356" s="306"/>
      <c r="B1356" t="s">
        <v>11914</v>
      </c>
      <c r="C1356" t="s">
        <v>11915</v>
      </c>
      <c r="E1356">
        <v>690.21739130434776</v>
      </c>
      <c r="F1356" t="s">
        <v>11185</v>
      </c>
      <c r="G1356" t="s">
        <v>10996</v>
      </c>
    </row>
    <row r="1357" spans="1:7">
      <c r="A1357" s="306"/>
      <c r="B1357" t="s">
        <v>7001</v>
      </c>
      <c r="C1357" t="s">
        <v>7002</v>
      </c>
      <c r="E1357">
        <v>546.73913043478262</v>
      </c>
      <c r="F1357" t="s">
        <v>11185</v>
      </c>
      <c r="G1357" t="s">
        <v>10996</v>
      </c>
    </row>
    <row r="1358" spans="1:7">
      <c r="A1358" s="306"/>
      <c r="B1358" t="s">
        <v>7003</v>
      </c>
      <c r="C1358" t="s">
        <v>7004</v>
      </c>
      <c r="E1358">
        <v>520.6521739130435</v>
      </c>
      <c r="F1358" t="s">
        <v>11185</v>
      </c>
      <c r="G1358" t="s">
        <v>10996</v>
      </c>
    </row>
    <row r="1359" spans="1:7">
      <c r="A1359" s="306"/>
      <c r="B1359" t="s">
        <v>7005</v>
      </c>
      <c r="C1359" t="s">
        <v>7006</v>
      </c>
      <c r="E1359">
        <v>732.60869565217388</v>
      </c>
      <c r="F1359" t="s">
        <v>11185</v>
      </c>
      <c r="G1359" t="s">
        <v>10996</v>
      </c>
    </row>
    <row r="1360" spans="1:7">
      <c r="A1360" s="306"/>
      <c r="B1360" t="s">
        <v>7026</v>
      </c>
      <c r="C1360" t="s">
        <v>11916</v>
      </c>
      <c r="E1360">
        <v>483.695652173913</v>
      </c>
      <c r="F1360" t="s">
        <v>11185</v>
      </c>
      <c r="G1360" t="s">
        <v>10997</v>
      </c>
    </row>
    <row r="1361" spans="1:7">
      <c r="A1361" s="306"/>
      <c r="B1361" t="s">
        <v>7028</v>
      </c>
      <c r="C1361" t="s">
        <v>11917</v>
      </c>
      <c r="E1361">
        <v>483.695652173913</v>
      </c>
      <c r="F1361" t="s">
        <v>11185</v>
      </c>
      <c r="G1361" t="s">
        <v>10996</v>
      </c>
    </row>
    <row r="1362" spans="1:7">
      <c r="A1362" s="306"/>
      <c r="B1362" t="s">
        <v>416</v>
      </c>
      <c r="C1362" t="s">
        <v>7013</v>
      </c>
      <c r="E1362">
        <v>292.39130434782606</v>
      </c>
      <c r="F1362" t="s">
        <v>11185</v>
      </c>
      <c r="G1362" t="s">
        <v>10997</v>
      </c>
    </row>
    <row r="1363" spans="1:7">
      <c r="A1363" s="306"/>
      <c r="B1363" t="s">
        <v>7011</v>
      </c>
      <c r="C1363" t="s">
        <v>7012</v>
      </c>
      <c r="E1363">
        <v>210.86956521739128</v>
      </c>
      <c r="F1363" t="s">
        <v>11185</v>
      </c>
      <c r="G1363" t="s">
        <v>10997</v>
      </c>
    </row>
    <row r="1364" spans="1:7">
      <c r="A1364" s="306"/>
      <c r="B1364" t="s">
        <v>11918</v>
      </c>
      <c r="C1364" t="s">
        <v>11919</v>
      </c>
      <c r="E1364">
        <v>211.95652173913044</v>
      </c>
      <c r="F1364" t="s">
        <v>11185</v>
      </c>
      <c r="G1364" t="s">
        <v>10997</v>
      </c>
    </row>
    <row r="1365" spans="1:7">
      <c r="A1365" s="306"/>
      <c r="B1365" t="s">
        <v>7007</v>
      </c>
      <c r="C1365" t="s">
        <v>7008</v>
      </c>
      <c r="E1365">
        <v>1463.0434782608695</v>
      </c>
      <c r="F1365" t="s">
        <v>11185</v>
      </c>
    </row>
    <row r="1366" spans="1:7">
      <c r="A1366" s="306"/>
      <c r="B1366" t="s">
        <v>7025</v>
      </c>
      <c r="C1366" t="s">
        <v>11920</v>
      </c>
      <c r="E1366">
        <v>1036.9565217391305</v>
      </c>
      <c r="F1366" t="s">
        <v>11185</v>
      </c>
      <c r="G1366" t="s">
        <v>10996</v>
      </c>
    </row>
    <row r="1367" spans="1:7">
      <c r="A1367" s="306"/>
      <c r="B1367" t="s">
        <v>7024</v>
      </c>
      <c r="C1367" t="s">
        <v>11921</v>
      </c>
      <c r="E1367">
        <v>1407.6086956521738</v>
      </c>
      <c r="F1367" t="s">
        <v>11185</v>
      </c>
      <c r="G1367" t="s">
        <v>10996</v>
      </c>
    </row>
    <row r="1368" spans="1:7">
      <c r="A1368" s="306"/>
      <c r="B1368" t="s">
        <v>7023</v>
      </c>
      <c r="C1368" t="s">
        <v>11922</v>
      </c>
      <c r="E1368">
        <v>966.30434782608688</v>
      </c>
      <c r="F1368" t="s">
        <v>11185</v>
      </c>
      <c r="G1368" t="s">
        <v>10996</v>
      </c>
    </row>
    <row r="1369" spans="1:7">
      <c r="A1369" s="306"/>
      <c r="B1369" t="s">
        <v>7022</v>
      </c>
      <c r="C1369" t="s">
        <v>11923</v>
      </c>
      <c r="E1369">
        <v>1357.6086956521738</v>
      </c>
      <c r="F1369" t="s">
        <v>11185</v>
      </c>
      <c r="G1369" t="s">
        <v>10996</v>
      </c>
    </row>
    <row r="1370" spans="1:7">
      <c r="A1370" s="306"/>
      <c r="B1370" t="s">
        <v>7021</v>
      </c>
      <c r="C1370" t="s">
        <v>11924</v>
      </c>
      <c r="E1370">
        <v>1043.4782608695652</v>
      </c>
      <c r="F1370" t="s">
        <v>11185</v>
      </c>
      <c r="G1370" t="s">
        <v>10999</v>
      </c>
    </row>
    <row r="1371" spans="1:7">
      <c r="A1371" s="306"/>
      <c r="B1371" t="s">
        <v>7017</v>
      </c>
      <c r="C1371" t="s">
        <v>11925</v>
      </c>
      <c r="E1371">
        <v>384.78260869565213</v>
      </c>
      <c r="F1371" t="s">
        <v>11185</v>
      </c>
      <c r="G1371" t="s">
        <v>10999</v>
      </c>
    </row>
    <row r="1372" spans="1:7">
      <c r="A1372" s="306"/>
      <c r="B1372" t="s">
        <v>7018</v>
      </c>
      <c r="C1372" t="s">
        <v>11926</v>
      </c>
      <c r="E1372">
        <v>368.47826086956519</v>
      </c>
      <c r="F1372" t="s">
        <v>11185</v>
      </c>
      <c r="G1372" t="s">
        <v>10999</v>
      </c>
    </row>
    <row r="1373" spans="1:7">
      <c r="A1373" s="306"/>
      <c r="B1373" t="s">
        <v>7019</v>
      </c>
      <c r="C1373" t="s">
        <v>11927</v>
      </c>
      <c r="E1373">
        <v>353.26086956521738</v>
      </c>
      <c r="F1373" t="s">
        <v>11185</v>
      </c>
      <c r="G1373" t="s">
        <v>10999</v>
      </c>
    </row>
    <row r="1374" spans="1:7">
      <c r="A1374" s="306"/>
      <c r="B1374" t="s">
        <v>7020</v>
      </c>
      <c r="C1374" t="s">
        <v>11928</v>
      </c>
      <c r="E1374">
        <v>359.78260869565219</v>
      </c>
      <c r="F1374" t="s">
        <v>11185</v>
      </c>
      <c r="G1374" t="s">
        <v>10996</v>
      </c>
    </row>
    <row r="1375" spans="1:7">
      <c r="A1375" s="306"/>
      <c r="B1375" t="s">
        <v>7016</v>
      </c>
      <c r="C1375" t="s">
        <v>11929</v>
      </c>
      <c r="E1375">
        <v>1682.6086956521738</v>
      </c>
      <c r="F1375" t="s">
        <v>11185</v>
      </c>
      <c r="G1375" t="s">
        <v>10999</v>
      </c>
    </row>
    <row r="1376" spans="1:7">
      <c r="A1376" s="306"/>
      <c r="B1376" t="s">
        <v>7015</v>
      </c>
      <c r="C1376" t="s">
        <v>11930</v>
      </c>
      <c r="E1376">
        <v>775</v>
      </c>
      <c r="F1376" t="s">
        <v>11185</v>
      </c>
      <c r="G1376" t="s">
        <v>10996</v>
      </c>
    </row>
    <row r="1377" spans="1:7">
      <c r="A1377" s="306"/>
      <c r="B1377" t="s">
        <v>7014</v>
      </c>
      <c r="C1377" t="s">
        <v>11931</v>
      </c>
      <c r="E1377">
        <v>635.86956521739125</v>
      </c>
      <c r="F1377" t="s">
        <v>11185</v>
      </c>
      <c r="G1377" t="s">
        <v>10999</v>
      </c>
    </row>
    <row r="1378" spans="1:7">
      <c r="A1378" s="306"/>
      <c r="B1378" t="s">
        <v>1120</v>
      </c>
      <c r="C1378" t="s">
        <v>11932</v>
      </c>
      <c r="E1378">
        <v>808.695652173913</v>
      </c>
      <c r="F1378" t="s">
        <v>11185</v>
      </c>
      <c r="G1378" t="s">
        <v>10996</v>
      </c>
    </row>
    <row r="1379" spans="1:7">
      <c r="A1379" s="306"/>
      <c r="B1379" t="s">
        <v>1122</v>
      </c>
      <c r="C1379" t="s">
        <v>11933</v>
      </c>
      <c r="E1379">
        <v>1282.6086956521738</v>
      </c>
      <c r="F1379" t="s">
        <v>11185</v>
      </c>
    </row>
    <row r="1380" spans="1:7">
      <c r="A1380" s="306"/>
      <c r="B1380" t="s">
        <v>7029</v>
      </c>
    </row>
    <row r="1381" spans="1:7">
      <c r="A1381" s="306"/>
      <c r="B1381" t="s">
        <v>2732</v>
      </c>
      <c r="C1381" t="s">
        <v>11934</v>
      </c>
      <c r="E1381">
        <v>1486.9565217391303</v>
      </c>
      <c r="F1381" t="s">
        <v>11185</v>
      </c>
    </row>
    <row r="1382" spans="1:7">
      <c r="A1382" s="306"/>
      <c r="B1382" t="s">
        <v>8171</v>
      </c>
      <c r="C1382" t="s">
        <v>8172</v>
      </c>
      <c r="E1382">
        <v>31.521739130434781</v>
      </c>
      <c r="F1382" t="s">
        <v>11185</v>
      </c>
      <c r="G1382" t="s">
        <v>10999</v>
      </c>
    </row>
    <row r="1383" spans="1:7">
      <c r="A1383" s="306"/>
      <c r="B1383" t="s">
        <v>2811</v>
      </c>
      <c r="C1383" t="s">
        <v>11935</v>
      </c>
      <c r="E1383">
        <v>29742.391304347824</v>
      </c>
      <c r="F1383" t="s">
        <v>11185</v>
      </c>
    </row>
    <row r="1384" spans="1:7">
      <c r="A1384" s="306"/>
      <c r="B1384" t="s">
        <v>7030</v>
      </c>
    </row>
    <row r="1385" spans="1:7">
      <c r="A1385" s="306"/>
      <c r="B1385" t="s">
        <v>7032</v>
      </c>
      <c r="C1385" t="s">
        <v>11936</v>
      </c>
      <c r="E1385">
        <v>23.913043478260867</v>
      </c>
      <c r="F1385" t="s">
        <v>11185</v>
      </c>
    </row>
    <row r="1386" spans="1:7">
      <c r="A1386" s="306"/>
      <c r="B1386" t="s">
        <v>11937</v>
      </c>
      <c r="C1386" t="s">
        <v>11938</v>
      </c>
      <c r="E1386">
        <v>26.086956521739129</v>
      </c>
      <c r="F1386" t="s">
        <v>11185</v>
      </c>
    </row>
    <row r="1387" spans="1:7">
      <c r="A1387" s="306"/>
      <c r="B1387" t="s">
        <v>7031</v>
      </c>
      <c r="C1387" t="s">
        <v>11939</v>
      </c>
      <c r="E1387">
        <v>122.82608695652173</v>
      </c>
      <c r="F1387" t="s">
        <v>11185</v>
      </c>
    </row>
    <row r="1388" spans="1:7">
      <c r="A1388" s="306"/>
      <c r="B1388" t="s">
        <v>7034</v>
      </c>
      <c r="C1388" t="s">
        <v>11940</v>
      </c>
      <c r="E1388">
        <v>23.913043478260867</v>
      </c>
      <c r="F1388" t="s">
        <v>11185</v>
      </c>
    </row>
    <row r="1389" spans="1:7">
      <c r="A1389" s="306"/>
      <c r="B1389" t="s">
        <v>7035</v>
      </c>
    </row>
    <row r="1390" spans="1:7">
      <c r="A1390" s="306"/>
      <c r="B1390" t="s">
        <v>7036</v>
      </c>
      <c r="C1390" t="s">
        <v>11941</v>
      </c>
      <c r="E1390">
        <v>17.391304347826086</v>
      </c>
      <c r="F1390" t="s">
        <v>11185</v>
      </c>
    </row>
    <row r="1391" spans="1:7">
      <c r="A1391" s="306"/>
      <c r="B1391" t="s">
        <v>7037</v>
      </c>
    </row>
    <row r="1392" spans="1:7">
      <c r="A1392" s="306"/>
      <c r="B1392" t="s">
        <v>11942</v>
      </c>
      <c r="C1392" t="s">
        <v>11943</v>
      </c>
      <c r="E1392">
        <v>1083.695652173913</v>
      </c>
      <c r="F1392" t="s">
        <v>11185</v>
      </c>
    </row>
    <row r="1393" spans="1:7">
      <c r="A1393" s="306"/>
      <c r="B1393" t="s">
        <v>11944</v>
      </c>
      <c r="C1393" t="s">
        <v>11945</v>
      </c>
      <c r="E1393">
        <v>2146.7391304347825</v>
      </c>
      <c r="F1393" t="s">
        <v>11185</v>
      </c>
    </row>
    <row r="1394" spans="1:7">
      <c r="A1394" s="306"/>
      <c r="B1394" t="s">
        <v>7038</v>
      </c>
    </row>
    <row r="1395" spans="1:7">
      <c r="A1395" s="306"/>
      <c r="B1395" t="s">
        <v>7039</v>
      </c>
      <c r="C1395" t="s">
        <v>7040</v>
      </c>
      <c r="E1395">
        <v>68.478260869565219</v>
      </c>
      <c r="F1395" t="s">
        <v>11185</v>
      </c>
      <c r="G1395" t="s">
        <v>10997</v>
      </c>
    </row>
    <row r="1396" spans="1:7">
      <c r="A1396" s="306"/>
      <c r="B1396" t="s">
        <v>7041</v>
      </c>
      <c r="C1396" t="s">
        <v>7042</v>
      </c>
      <c r="E1396">
        <v>71.739130434782609</v>
      </c>
      <c r="F1396" t="s">
        <v>11185</v>
      </c>
      <c r="G1396" t="s">
        <v>10996</v>
      </c>
    </row>
    <row r="1397" spans="1:7">
      <c r="A1397" s="306"/>
      <c r="B1397" t="s">
        <v>11946</v>
      </c>
      <c r="C1397" t="s">
        <v>11947</v>
      </c>
      <c r="E1397">
        <v>301.08695652173913</v>
      </c>
      <c r="F1397" t="s">
        <v>11185</v>
      </c>
      <c r="G1397" t="s">
        <v>10996</v>
      </c>
    </row>
    <row r="1398" spans="1:7">
      <c r="A1398" s="306"/>
      <c r="B1398" t="s">
        <v>11948</v>
      </c>
      <c r="C1398" t="s">
        <v>11949</v>
      </c>
      <c r="E1398">
        <v>16.304347826086957</v>
      </c>
      <c r="F1398" t="s">
        <v>11185</v>
      </c>
    </row>
    <row r="1399" spans="1:7">
      <c r="A1399" s="306"/>
      <c r="B1399" t="s">
        <v>7043</v>
      </c>
      <c r="C1399" t="s">
        <v>7044</v>
      </c>
      <c r="E1399">
        <v>48.913043478260867</v>
      </c>
      <c r="F1399" t="s">
        <v>11185</v>
      </c>
      <c r="G1399" t="s">
        <v>10997</v>
      </c>
    </row>
    <row r="1400" spans="1:7">
      <c r="A1400" s="306"/>
      <c r="B1400" t="s">
        <v>7045</v>
      </c>
      <c r="C1400" t="s">
        <v>7046</v>
      </c>
      <c r="E1400">
        <v>31.521739130434781</v>
      </c>
      <c r="F1400" t="s">
        <v>11185</v>
      </c>
      <c r="G1400" t="s">
        <v>10997</v>
      </c>
    </row>
    <row r="1401" spans="1:7">
      <c r="A1401" s="306"/>
      <c r="B1401" t="s">
        <v>7047</v>
      </c>
      <c r="C1401" t="s">
        <v>7048</v>
      </c>
      <c r="E1401">
        <v>96.739130434782609</v>
      </c>
      <c r="F1401" t="s">
        <v>11185</v>
      </c>
      <c r="G1401" t="s">
        <v>10997</v>
      </c>
    </row>
    <row r="1402" spans="1:7">
      <c r="A1402" s="306"/>
      <c r="B1402" t="s">
        <v>7049</v>
      </c>
      <c r="C1402" t="s">
        <v>11950</v>
      </c>
      <c r="E1402">
        <v>316.30434782608694</v>
      </c>
      <c r="F1402" t="s">
        <v>11190</v>
      </c>
      <c r="G1402" t="s">
        <v>10997</v>
      </c>
    </row>
    <row r="1403" spans="1:7">
      <c r="A1403" s="306"/>
      <c r="B1403" t="s">
        <v>7050</v>
      </c>
      <c r="C1403" t="s">
        <v>11951</v>
      </c>
      <c r="E1403">
        <v>40.217391304347821</v>
      </c>
      <c r="F1403" t="s">
        <v>11185</v>
      </c>
      <c r="G1403" t="s">
        <v>10997</v>
      </c>
    </row>
    <row r="1404" spans="1:7">
      <c r="A1404" s="306"/>
      <c r="B1404" t="s">
        <v>7051</v>
      </c>
      <c r="C1404" t="s">
        <v>7052</v>
      </c>
      <c r="E1404">
        <v>47.826086956521735</v>
      </c>
      <c r="F1404" t="s">
        <v>11185</v>
      </c>
      <c r="G1404" t="s">
        <v>10996</v>
      </c>
    </row>
    <row r="1405" spans="1:7">
      <c r="A1405" s="306"/>
      <c r="B1405" t="s">
        <v>8173</v>
      </c>
      <c r="C1405" t="s">
        <v>8174</v>
      </c>
      <c r="E1405">
        <v>189.13043478260869</v>
      </c>
      <c r="F1405" t="s">
        <v>11952</v>
      </c>
      <c r="G1405" t="s">
        <v>10996</v>
      </c>
    </row>
    <row r="1406" spans="1:7">
      <c r="A1406" s="306"/>
      <c r="B1406" t="s">
        <v>8175</v>
      </c>
      <c r="C1406" t="s">
        <v>8176</v>
      </c>
      <c r="E1406">
        <v>189.13043478260869</v>
      </c>
      <c r="F1406" t="s">
        <v>11952</v>
      </c>
      <c r="G1406" t="s">
        <v>10996</v>
      </c>
    </row>
    <row r="1407" spans="1:7">
      <c r="A1407" s="306"/>
      <c r="B1407" t="s">
        <v>8187</v>
      </c>
      <c r="C1407" t="s">
        <v>8188</v>
      </c>
      <c r="E1407">
        <v>701.08695652173913</v>
      </c>
      <c r="F1407" t="s">
        <v>11952</v>
      </c>
      <c r="G1407" t="s">
        <v>10997</v>
      </c>
    </row>
    <row r="1408" spans="1:7">
      <c r="A1408" s="306"/>
      <c r="B1408" t="s">
        <v>7053</v>
      </c>
    </row>
    <row r="1409" spans="1:7">
      <c r="A1409" s="306"/>
      <c r="B1409" t="s">
        <v>7079</v>
      </c>
      <c r="C1409" t="s">
        <v>5614</v>
      </c>
      <c r="E1409">
        <v>40.217391304347821</v>
      </c>
      <c r="F1409" t="s">
        <v>11185</v>
      </c>
      <c r="G1409" t="s">
        <v>10996</v>
      </c>
    </row>
    <row r="1410" spans="1:7">
      <c r="A1410" s="306"/>
      <c r="B1410" t="s">
        <v>7080</v>
      </c>
      <c r="C1410" t="s">
        <v>5613</v>
      </c>
      <c r="E1410">
        <v>95.65217391304347</v>
      </c>
      <c r="F1410" t="s">
        <v>11185</v>
      </c>
      <c r="G1410" t="s">
        <v>10996</v>
      </c>
    </row>
    <row r="1411" spans="1:7">
      <c r="A1411" s="306"/>
      <c r="B1411" t="s">
        <v>7081</v>
      </c>
      <c r="C1411" t="s">
        <v>7082</v>
      </c>
      <c r="E1411">
        <v>44.565217391304344</v>
      </c>
      <c r="F1411" t="s">
        <v>11185</v>
      </c>
    </row>
    <row r="1412" spans="1:7">
      <c r="A1412" s="306"/>
      <c r="B1412" t="s">
        <v>7083</v>
      </c>
      <c r="C1412" t="s">
        <v>7084</v>
      </c>
      <c r="E1412">
        <v>15.217391304347826</v>
      </c>
      <c r="F1412" t="s">
        <v>11185</v>
      </c>
      <c r="G1412" t="s">
        <v>10996</v>
      </c>
    </row>
    <row r="1413" spans="1:7">
      <c r="A1413" s="306"/>
      <c r="B1413" t="s">
        <v>7085</v>
      </c>
      <c r="C1413" t="s">
        <v>7086</v>
      </c>
      <c r="E1413">
        <v>36.95652173913043</v>
      </c>
      <c r="F1413" t="s">
        <v>11185</v>
      </c>
      <c r="G1413" t="s">
        <v>10996</v>
      </c>
    </row>
    <row r="1414" spans="1:7">
      <c r="A1414" s="306"/>
      <c r="B1414" t="s">
        <v>7087</v>
      </c>
      <c r="C1414" t="s">
        <v>7088</v>
      </c>
      <c r="E1414">
        <v>126.08695652173913</v>
      </c>
      <c r="F1414" t="s">
        <v>11185</v>
      </c>
      <c r="G1414" t="s">
        <v>10996</v>
      </c>
    </row>
    <row r="1415" spans="1:7">
      <c r="A1415" s="306"/>
      <c r="B1415" t="s">
        <v>7089</v>
      </c>
      <c r="C1415" t="s">
        <v>7090</v>
      </c>
      <c r="E1415">
        <v>95.65217391304347</v>
      </c>
      <c r="F1415" t="s">
        <v>11185</v>
      </c>
      <c r="G1415" t="s">
        <v>10997</v>
      </c>
    </row>
    <row r="1416" spans="1:7">
      <c r="A1416" s="306"/>
      <c r="B1416" t="s">
        <v>7091</v>
      </c>
      <c r="C1416" t="s">
        <v>7092</v>
      </c>
      <c r="E1416">
        <v>33.695652173913039</v>
      </c>
      <c r="F1416" t="s">
        <v>11185</v>
      </c>
    </row>
    <row r="1417" spans="1:7">
      <c r="A1417" s="306"/>
      <c r="B1417" t="s">
        <v>7054</v>
      </c>
      <c r="C1417" t="s">
        <v>7055</v>
      </c>
      <c r="E1417">
        <v>39.130434782608695</v>
      </c>
      <c r="F1417" t="s">
        <v>11185</v>
      </c>
    </row>
    <row r="1418" spans="1:7">
      <c r="A1418" s="306"/>
      <c r="B1418" t="s">
        <v>7060</v>
      </c>
      <c r="C1418" t="s">
        <v>7061</v>
      </c>
      <c r="E1418">
        <v>68.478260869565219</v>
      </c>
      <c r="F1418" t="s">
        <v>11185</v>
      </c>
    </row>
    <row r="1419" spans="1:7">
      <c r="A1419" s="306"/>
      <c r="B1419" t="s">
        <v>7062</v>
      </c>
      <c r="C1419" t="s">
        <v>7063</v>
      </c>
      <c r="E1419">
        <v>496.73913043478257</v>
      </c>
      <c r="F1419" t="s">
        <v>11185</v>
      </c>
    </row>
    <row r="1420" spans="1:7">
      <c r="A1420" s="306"/>
      <c r="B1420" t="s">
        <v>7064</v>
      </c>
      <c r="C1420" t="s">
        <v>7065</v>
      </c>
      <c r="E1420">
        <v>971.73913043478251</v>
      </c>
      <c r="F1420" t="s">
        <v>11185</v>
      </c>
      <c r="G1420" t="s">
        <v>10996</v>
      </c>
    </row>
    <row r="1421" spans="1:7">
      <c r="A1421" s="306"/>
      <c r="B1421" t="s">
        <v>7066</v>
      </c>
      <c r="C1421" t="s">
        <v>7067</v>
      </c>
      <c r="E1421">
        <v>148.91304347826087</v>
      </c>
      <c r="F1421" t="s">
        <v>11185</v>
      </c>
    </row>
    <row r="1422" spans="1:7">
      <c r="A1422" s="306"/>
      <c r="B1422" t="s">
        <v>7068</v>
      </c>
      <c r="C1422" t="s">
        <v>11953</v>
      </c>
      <c r="E1422">
        <v>360.86956521739131</v>
      </c>
      <c r="F1422" t="s">
        <v>11185</v>
      </c>
    </row>
    <row r="1423" spans="1:7">
      <c r="A1423" s="306"/>
      <c r="B1423" t="s">
        <v>7069</v>
      </c>
      <c r="C1423" t="s">
        <v>7070</v>
      </c>
      <c r="E1423">
        <v>247.82608695652172</v>
      </c>
      <c r="F1423" t="s">
        <v>11185</v>
      </c>
      <c r="G1423" t="s">
        <v>10996</v>
      </c>
    </row>
    <row r="1424" spans="1:7">
      <c r="A1424" s="306"/>
      <c r="B1424" t="s">
        <v>7074</v>
      </c>
      <c r="C1424" t="s">
        <v>11954</v>
      </c>
      <c r="E1424">
        <v>197.82608695652172</v>
      </c>
      <c r="F1424" t="s">
        <v>11185</v>
      </c>
      <c r="G1424" t="s">
        <v>10996</v>
      </c>
    </row>
    <row r="1425" spans="1:7">
      <c r="A1425" s="306"/>
      <c r="B1425" t="s">
        <v>1972</v>
      </c>
      <c r="C1425" t="s">
        <v>11955</v>
      </c>
      <c r="E1425">
        <v>9282.608695652174</v>
      </c>
      <c r="F1425" t="s">
        <v>11185</v>
      </c>
      <c r="G1425" t="s">
        <v>10999</v>
      </c>
    </row>
    <row r="1426" spans="1:7">
      <c r="A1426" s="306"/>
      <c r="B1426" t="s">
        <v>7075</v>
      </c>
      <c r="C1426" t="s">
        <v>7076</v>
      </c>
      <c r="E1426">
        <v>59.782608695652172</v>
      </c>
      <c r="F1426" t="s">
        <v>11185</v>
      </c>
      <c r="G1426" t="s">
        <v>10996</v>
      </c>
    </row>
    <row r="1427" spans="1:7">
      <c r="A1427" s="306"/>
      <c r="B1427" t="s">
        <v>7077</v>
      </c>
      <c r="C1427" t="s">
        <v>7078</v>
      </c>
      <c r="E1427">
        <v>81.521739130434781</v>
      </c>
      <c r="F1427" t="s">
        <v>11185</v>
      </c>
      <c r="G1427" t="s">
        <v>10996</v>
      </c>
    </row>
    <row r="1428" spans="1:7">
      <c r="A1428" s="306"/>
      <c r="B1428" t="s">
        <v>7095</v>
      </c>
      <c r="C1428" t="s">
        <v>11956</v>
      </c>
      <c r="E1428">
        <v>217.39130434782606</v>
      </c>
      <c r="F1428" t="s">
        <v>11190</v>
      </c>
      <c r="G1428" t="s">
        <v>10999</v>
      </c>
    </row>
    <row r="1429" spans="1:7">
      <c r="A1429" s="306"/>
      <c r="B1429" t="s">
        <v>7093</v>
      </c>
      <c r="C1429" t="s">
        <v>11957</v>
      </c>
      <c r="E1429">
        <v>215.21739130434781</v>
      </c>
      <c r="F1429" t="s">
        <v>11190</v>
      </c>
      <c r="G1429" t="s">
        <v>10999</v>
      </c>
    </row>
    <row r="1430" spans="1:7">
      <c r="A1430" s="306"/>
      <c r="B1430" t="s">
        <v>7071</v>
      </c>
      <c r="C1430" t="s">
        <v>11958</v>
      </c>
      <c r="E1430">
        <v>161.95652173913044</v>
      </c>
      <c r="F1430" t="s">
        <v>11190</v>
      </c>
      <c r="G1430" t="s">
        <v>10999</v>
      </c>
    </row>
    <row r="1431" spans="1:7">
      <c r="A1431" s="306"/>
      <c r="B1431" t="s">
        <v>7072</v>
      </c>
      <c r="C1431" t="s">
        <v>11959</v>
      </c>
      <c r="E1431">
        <v>29.34782608695652</v>
      </c>
      <c r="F1431" t="s">
        <v>11185</v>
      </c>
      <c r="G1431" t="s">
        <v>10997</v>
      </c>
    </row>
    <row r="1432" spans="1:7">
      <c r="A1432" s="306"/>
      <c r="B1432" t="s">
        <v>7056</v>
      </c>
      <c r="C1432" t="s">
        <v>11960</v>
      </c>
      <c r="E1432">
        <v>117.39130434782608</v>
      </c>
      <c r="F1432" t="s">
        <v>11185</v>
      </c>
      <c r="G1432" t="s">
        <v>10999</v>
      </c>
    </row>
    <row r="1433" spans="1:7">
      <c r="A1433" s="306"/>
      <c r="B1433" t="s">
        <v>7057</v>
      </c>
      <c r="C1433" t="s">
        <v>11961</v>
      </c>
      <c r="E1433">
        <v>34.782608695652172</v>
      </c>
      <c r="F1433" t="s">
        <v>11185</v>
      </c>
      <c r="G1433" t="s">
        <v>10999</v>
      </c>
    </row>
    <row r="1434" spans="1:7">
      <c r="A1434" s="306"/>
      <c r="B1434" t="s">
        <v>7073</v>
      </c>
      <c r="C1434" t="s">
        <v>11962</v>
      </c>
      <c r="E1434">
        <v>39.130434782608695</v>
      </c>
      <c r="F1434" t="s">
        <v>11185</v>
      </c>
      <c r="G1434" t="s">
        <v>10997</v>
      </c>
    </row>
    <row r="1435" spans="1:7">
      <c r="A1435" s="306"/>
      <c r="B1435" t="s">
        <v>7058</v>
      </c>
      <c r="C1435" t="s">
        <v>11963</v>
      </c>
      <c r="E1435">
        <v>63.043478260869563</v>
      </c>
      <c r="F1435" t="s">
        <v>11185</v>
      </c>
      <c r="G1435" t="s">
        <v>10997</v>
      </c>
    </row>
    <row r="1436" spans="1:7">
      <c r="A1436" s="306"/>
      <c r="B1436" t="s">
        <v>7059</v>
      </c>
      <c r="C1436" t="s">
        <v>11964</v>
      </c>
      <c r="E1436">
        <v>23.913043478260867</v>
      </c>
      <c r="F1436" t="s">
        <v>11185</v>
      </c>
      <c r="G1436" t="s">
        <v>10997</v>
      </c>
    </row>
    <row r="1437" spans="1:7">
      <c r="A1437" s="306"/>
      <c r="B1437" t="s">
        <v>7096</v>
      </c>
    </row>
    <row r="1438" spans="1:7">
      <c r="A1438" s="306"/>
      <c r="B1438" t="s">
        <v>7107</v>
      </c>
      <c r="C1438" t="s">
        <v>7108</v>
      </c>
      <c r="E1438">
        <v>20.652173913043477</v>
      </c>
      <c r="F1438" t="s">
        <v>11185</v>
      </c>
      <c r="G1438" t="s">
        <v>10996</v>
      </c>
    </row>
    <row r="1439" spans="1:7">
      <c r="A1439" s="306"/>
      <c r="B1439" t="s">
        <v>472</v>
      </c>
      <c r="C1439" t="s">
        <v>11965</v>
      </c>
      <c r="E1439">
        <v>1046.7391304347825</v>
      </c>
      <c r="F1439" t="s">
        <v>11185</v>
      </c>
      <c r="G1439" t="s">
        <v>10997</v>
      </c>
    </row>
    <row r="1440" spans="1:7">
      <c r="A1440" s="306"/>
      <c r="B1440" t="s">
        <v>474</v>
      </c>
      <c r="C1440" t="s">
        <v>11966</v>
      </c>
      <c r="E1440">
        <v>1711.9565217391303</v>
      </c>
      <c r="F1440" t="s">
        <v>11185</v>
      </c>
      <c r="G1440" t="s">
        <v>10996</v>
      </c>
    </row>
    <row r="1441" spans="1:7">
      <c r="A1441" s="306"/>
      <c r="B1441" t="s">
        <v>1132</v>
      </c>
      <c r="C1441" t="s">
        <v>11967</v>
      </c>
      <c r="E1441">
        <v>4458.695652173913</v>
      </c>
      <c r="F1441" t="s">
        <v>11185</v>
      </c>
      <c r="G1441" t="s">
        <v>10999</v>
      </c>
    </row>
    <row r="1442" spans="1:7">
      <c r="A1442" s="306"/>
      <c r="B1442" t="s">
        <v>1134</v>
      </c>
      <c r="C1442" t="s">
        <v>11968</v>
      </c>
      <c r="E1442">
        <v>6932.608695652174</v>
      </c>
      <c r="F1442" t="s">
        <v>11185</v>
      </c>
      <c r="G1442" t="s">
        <v>10999</v>
      </c>
    </row>
    <row r="1443" spans="1:7">
      <c r="A1443" s="306"/>
      <c r="B1443" t="s">
        <v>7097</v>
      </c>
      <c r="C1443" t="s">
        <v>11969</v>
      </c>
      <c r="E1443">
        <v>666.30434782608688</v>
      </c>
      <c r="F1443" t="s">
        <v>11185</v>
      </c>
      <c r="G1443" t="s">
        <v>10997</v>
      </c>
    </row>
    <row r="1444" spans="1:7">
      <c r="A1444" s="306"/>
      <c r="B1444" t="s">
        <v>7098</v>
      </c>
      <c r="C1444" t="s">
        <v>7099</v>
      </c>
      <c r="E1444">
        <v>634.78260869565213</v>
      </c>
      <c r="F1444" t="s">
        <v>11185</v>
      </c>
      <c r="G1444" t="s">
        <v>10999</v>
      </c>
    </row>
    <row r="1445" spans="1:7">
      <c r="A1445" s="306"/>
      <c r="B1445" t="s">
        <v>7100</v>
      </c>
      <c r="C1445" t="s">
        <v>11970</v>
      </c>
      <c r="E1445">
        <v>178.26086956521738</v>
      </c>
      <c r="F1445" t="s">
        <v>11185</v>
      </c>
      <c r="G1445" t="s">
        <v>10997</v>
      </c>
    </row>
    <row r="1446" spans="1:7">
      <c r="A1446" s="306"/>
      <c r="B1446" t="s">
        <v>7101</v>
      </c>
      <c r="C1446" t="s">
        <v>11971</v>
      </c>
      <c r="E1446">
        <v>178.26086956521738</v>
      </c>
      <c r="F1446" t="s">
        <v>11185</v>
      </c>
      <c r="G1446" t="s">
        <v>10996</v>
      </c>
    </row>
    <row r="1447" spans="1:7">
      <c r="A1447" s="306"/>
      <c r="B1447" t="s">
        <v>7102</v>
      </c>
      <c r="C1447" t="s">
        <v>11972</v>
      </c>
      <c r="E1447">
        <v>142.39130434782609</v>
      </c>
      <c r="F1447" t="s">
        <v>11185</v>
      </c>
      <c r="G1447" t="s">
        <v>10997</v>
      </c>
    </row>
    <row r="1448" spans="1:7">
      <c r="A1448" s="306"/>
      <c r="B1448" t="s">
        <v>7105</v>
      </c>
      <c r="C1448" t="s">
        <v>7106</v>
      </c>
      <c r="E1448">
        <v>13.043478260869565</v>
      </c>
      <c r="F1448" t="s">
        <v>11185</v>
      </c>
      <c r="G1448" t="s">
        <v>10997</v>
      </c>
    </row>
    <row r="1449" spans="1:7">
      <c r="A1449" s="306"/>
      <c r="B1449" t="s">
        <v>7103</v>
      </c>
      <c r="C1449" t="s">
        <v>7104</v>
      </c>
      <c r="E1449">
        <v>14.130434782608695</v>
      </c>
      <c r="F1449" t="s">
        <v>11185</v>
      </c>
      <c r="G1449" t="s">
        <v>10997</v>
      </c>
    </row>
    <row r="1450" spans="1:7">
      <c r="A1450" s="306"/>
      <c r="B1450" t="s">
        <v>7109</v>
      </c>
      <c r="C1450" t="s">
        <v>11973</v>
      </c>
      <c r="E1450">
        <v>39.130434782608695</v>
      </c>
      <c r="F1450" t="s">
        <v>11190</v>
      </c>
      <c r="G1450" t="s">
        <v>10997</v>
      </c>
    </row>
    <row r="1451" spans="1:7">
      <c r="A1451" s="306"/>
      <c r="B1451" t="s">
        <v>7110</v>
      </c>
    </row>
    <row r="1452" spans="1:7">
      <c r="A1452" s="306"/>
      <c r="B1452" t="s">
        <v>7111</v>
      </c>
      <c r="C1452" t="s">
        <v>7112</v>
      </c>
      <c r="E1452">
        <v>234.78260869565216</v>
      </c>
      <c r="F1452" t="s">
        <v>11190</v>
      </c>
      <c r="G1452" t="s">
        <v>10999</v>
      </c>
    </row>
    <row r="1453" spans="1:7">
      <c r="A1453" s="306"/>
      <c r="B1453" t="s">
        <v>7113</v>
      </c>
      <c r="C1453" t="s">
        <v>7114</v>
      </c>
      <c r="E1453">
        <v>17.391304347826086</v>
      </c>
      <c r="F1453" t="s">
        <v>11190</v>
      </c>
      <c r="G1453" t="s">
        <v>10996</v>
      </c>
    </row>
    <row r="1454" spans="1:7">
      <c r="A1454" s="306"/>
      <c r="B1454" t="s">
        <v>7115</v>
      </c>
      <c r="C1454" t="s">
        <v>7116</v>
      </c>
      <c r="E1454">
        <v>14.130434782608695</v>
      </c>
      <c r="F1454" t="s">
        <v>11190</v>
      </c>
      <c r="G1454" t="s">
        <v>10996</v>
      </c>
    </row>
    <row r="1455" spans="1:7">
      <c r="A1455" s="306"/>
      <c r="B1455" t="s">
        <v>7117</v>
      </c>
      <c r="C1455" t="s">
        <v>7118</v>
      </c>
      <c r="E1455">
        <v>21.739130434782609</v>
      </c>
      <c r="F1455" t="s">
        <v>11190</v>
      </c>
    </row>
    <row r="1456" spans="1:7">
      <c r="A1456" s="306"/>
      <c r="B1456" t="s">
        <v>7119</v>
      </c>
      <c r="C1456" t="s">
        <v>7120</v>
      </c>
      <c r="E1456">
        <v>10.869565217391305</v>
      </c>
      <c r="F1456" t="s">
        <v>11185</v>
      </c>
    </row>
    <row r="1457" spans="1:7">
      <c r="A1457" s="306"/>
      <c r="B1457" t="s">
        <v>7121</v>
      </c>
      <c r="C1457" t="s">
        <v>7122</v>
      </c>
      <c r="E1457">
        <v>15.217391304347826</v>
      </c>
      <c r="F1457" t="s">
        <v>11185</v>
      </c>
    </row>
    <row r="1458" spans="1:7">
      <c r="A1458" s="306"/>
      <c r="B1458" t="s">
        <v>7123</v>
      </c>
      <c r="C1458" t="s">
        <v>7124</v>
      </c>
      <c r="E1458">
        <v>18.478260869565215</v>
      </c>
      <c r="F1458" t="s">
        <v>11185</v>
      </c>
    </row>
    <row r="1459" spans="1:7">
      <c r="A1459" s="306"/>
      <c r="B1459" t="s">
        <v>7125</v>
      </c>
      <c r="C1459" t="s">
        <v>7126</v>
      </c>
      <c r="E1459">
        <v>200</v>
      </c>
      <c r="F1459" t="s">
        <v>11185</v>
      </c>
      <c r="G1459" t="s">
        <v>10999</v>
      </c>
    </row>
    <row r="1460" spans="1:7">
      <c r="A1460" s="306"/>
      <c r="B1460" t="s">
        <v>7127</v>
      </c>
      <c r="C1460" t="s">
        <v>7128</v>
      </c>
      <c r="E1460">
        <v>270.65217391304344</v>
      </c>
      <c r="F1460" t="s">
        <v>11185</v>
      </c>
      <c r="G1460" t="s">
        <v>10999</v>
      </c>
    </row>
    <row r="1461" spans="1:7">
      <c r="A1461" s="306"/>
      <c r="B1461" t="s">
        <v>7129</v>
      </c>
      <c r="C1461" t="s">
        <v>7130</v>
      </c>
      <c r="E1461">
        <v>117.39130434782608</v>
      </c>
      <c r="F1461" t="s">
        <v>11185</v>
      </c>
      <c r="G1461" t="s">
        <v>10997</v>
      </c>
    </row>
    <row r="1462" spans="1:7">
      <c r="A1462" s="306"/>
      <c r="B1462" t="s">
        <v>11974</v>
      </c>
      <c r="C1462" t="s">
        <v>11975</v>
      </c>
      <c r="E1462">
        <v>16.304347826086957</v>
      </c>
      <c r="F1462" t="s">
        <v>11185</v>
      </c>
      <c r="G1462" t="s">
        <v>10997</v>
      </c>
    </row>
    <row r="1463" spans="1:7">
      <c r="A1463" s="306"/>
      <c r="B1463" t="s">
        <v>11976</v>
      </c>
      <c r="C1463" t="s">
        <v>11977</v>
      </c>
      <c r="E1463">
        <v>14.130434782608695</v>
      </c>
      <c r="F1463" t="s">
        <v>11185</v>
      </c>
      <c r="G1463" t="s">
        <v>10997</v>
      </c>
    </row>
    <row r="1464" spans="1:7">
      <c r="A1464" s="306"/>
      <c r="B1464" t="s">
        <v>7131</v>
      </c>
      <c r="C1464" t="s">
        <v>7132</v>
      </c>
      <c r="E1464">
        <v>10.869565217391305</v>
      </c>
      <c r="F1464" t="s">
        <v>11185</v>
      </c>
      <c r="G1464" t="s">
        <v>10997</v>
      </c>
    </row>
    <row r="1465" spans="1:7">
      <c r="A1465" s="306"/>
      <c r="B1465" t="s">
        <v>7133</v>
      </c>
      <c r="C1465" t="s">
        <v>7134</v>
      </c>
      <c r="E1465">
        <v>14.130434782608695</v>
      </c>
      <c r="F1465" t="s">
        <v>11185</v>
      </c>
      <c r="G1465" t="s">
        <v>10996</v>
      </c>
    </row>
    <row r="1466" spans="1:7">
      <c r="A1466" s="306"/>
      <c r="B1466" t="s">
        <v>7135</v>
      </c>
      <c r="C1466" t="s">
        <v>7136</v>
      </c>
      <c r="E1466">
        <v>16.304347826086957</v>
      </c>
      <c r="F1466" t="s">
        <v>11185</v>
      </c>
      <c r="G1466" t="s">
        <v>10997</v>
      </c>
    </row>
    <row r="1467" spans="1:7">
      <c r="A1467" s="306"/>
      <c r="B1467" t="s">
        <v>7137</v>
      </c>
      <c r="C1467" t="s">
        <v>7138</v>
      </c>
      <c r="E1467">
        <v>17.391304347826086</v>
      </c>
      <c r="F1467" t="s">
        <v>11185</v>
      </c>
      <c r="G1467" t="s">
        <v>10997</v>
      </c>
    </row>
    <row r="1468" spans="1:7">
      <c r="A1468" s="306"/>
      <c r="B1468" t="s">
        <v>7139</v>
      </c>
      <c r="C1468" t="s">
        <v>7140</v>
      </c>
      <c r="E1468">
        <v>11.956521739130434</v>
      </c>
      <c r="F1468" t="s">
        <v>11185</v>
      </c>
      <c r="G1468" t="s">
        <v>10997</v>
      </c>
    </row>
    <row r="1469" spans="1:7">
      <c r="A1469" s="306"/>
      <c r="B1469" t="s">
        <v>7141</v>
      </c>
      <c r="C1469" t="s">
        <v>7142</v>
      </c>
      <c r="E1469">
        <v>21.739130434782609</v>
      </c>
      <c r="F1469" t="s">
        <v>11185</v>
      </c>
      <c r="G1469" t="s">
        <v>10996</v>
      </c>
    </row>
    <row r="1470" spans="1:7">
      <c r="A1470" s="306"/>
      <c r="B1470" t="s">
        <v>11978</v>
      </c>
      <c r="C1470" t="s">
        <v>11979</v>
      </c>
      <c r="E1470">
        <v>322.82608695652175</v>
      </c>
      <c r="F1470" t="s">
        <v>11185</v>
      </c>
      <c r="G1470" t="s">
        <v>10999</v>
      </c>
    </row>
    <row r="1471" spans="1:7">
      <c r="A1471" s="306"/>
      <c r="B1471" t="s">
        <v>11980</v>
      </c>
      <c r="C1471" t="s">
        <v>11981</v>
      </c>
      <c r="E1471">
        <v>196.7391304347826</v>
      </c>
      <c r="F1471" t="s">
        <v>11185</v>
      </c>
      <c r="G1471" t="s">
        <v>10997</v>
      </c>
    </row>
    <row r="1472" spans="1:7">
      <c r="A1472" s="306"/>
      <c r="B1472" t="s">
        <v>11982</v>
      </c>
      <c r="C1472" t="s">
        <v>11983</v>
      </c>
      <c r="E1472">
        <v>383.695652173913</v>
      </c>
      <c r="F1472" t="s">
        <v>11185</v>
      </c>
    </row>
    <row r="1473" spans="1:7">
      <c r="A1473" s="306"/>
      <c r="B1473" t="s">
        <v>7143</v>
      </c>
      <c r="C1473" t="s">
        <v>7144</v>
      </c>
      <c r="E1473">
        <v>161.95652173913044</v>
      </c>
      <c r="F1473" t="s">
        <v>11185</v>
      </c>
      <c r="G1473" t="s">
        <v>10996</v>
      </c>
    </row>
    <row r="1474" spans="1:7">
      <c r="A1474" s="306"/>
      <c r="B1474" t="s">
        <v>7145</v>
      </c>
      <c r="C1474" t="s">
        <v>7146</v>
      </c>
      <c r="E1474">
        <v>350</v>
      </c>
      <c r="F1474" t="s">
        <v>11185</v>
      </c>
      <c r="G1474" t="s">
        <v>10999</v>
      </c>
    </row>
    <row r="1475" spans="1:7">
      <c r="A1475" s="306"/>
      <c r="B1475" t="s">
        <v>7147</v>
      </c>
      <c r="C1475" t="s">
        <v>7148</v>
      </c>
      <c r="E1475">
        <v>46.739130434782609</v>
      </c>
      <c r="F1475" t="s">
        <v>11185</v>
      </c>
      <c r="G1475" t="s">
        <v>10997</v>
      </c>
    </row>
    <row r="1476" spans="1:7">
      <c r="A1476" s="306"/>
      <c r="B1476" t="s">
        <v>7149</v>
      </c>
      <c r="C1476" t="s">
        <v>7150</v>
      </c>
      <c r="E1476">
        <v>31.521739130434781</v>
      </c>
      <c r="F1476" t="s">
        <v>11185</v>
      </c>
      <c r="G1476" t="s">
        <v>10999</v>
      </c>
    </row>
    <row r="1477" spans="1:7">
      <c r="A1477" s="306"/>
      <c r="B1477" t="s">
        <v>7151</v>
      </c>
      <c r="C1477" t="s">
        <v>7152</v>
      </c>
      <c r="E1477">
        <v>48.913043478260867</v>
      </c>
      <c r="F1477" t="s">
        <v>11185</v>
      </c>
    </row>
    <row r="1478" spans="1:7">
      <c r="A1478" s="306"/>
      <c r="B1478" t="s">
        <v>7153</v>
      </c>
      <c r="C1478" t="s">
        <v>7154</v>
      </c>
      <c r="E1478">
        <v>63.043478260869563</v>
      </c>
      <c r="F1478" t="s">
        <v>11185</v>
      </c>
    </row>
    <row r="1479" spans="1:7">
      <c r="A1479" s="306"/>
      <c r="B1479" t="s">
        <v>7155</v>
      </c>
      <c r="C1479" t="s">
        <v>7156</v>
      </c>
      <c r="E1479">
        <v>105.43478260869564</v>
      </c>
      <c r="F1479" t="s">
        <v>11185</v>
      </c>
    </row>
    <row r="1480" spans="1:7">
      <c r="A1480" s="306"/>
      <c r="B1480" t="s">
        <v>7157</v>
      </c>
      <c r="C1480" t="s">
        <v>7158</v>
      </c>
      <c r="E1480">
        <v>78.260869565217391</v>
      </c>
      <c r="F1480" t="s">
        <v>11185</v>
      </c>
      <c r="G1480" t="s">
        <v>10999</v>
      </c>
    </row>
    <row r="1481" spans="1:7">
      <c r="A1481" s="306"/>
      <c r="B1481" t="s">
        <v>7159</v>
      </c>
      <c r="C1481" t="s">
        <v>7160</v>
      </c>
      <c r="E1481">
        <v>55.434782608695649</v>
      </c>
      <c r="F1481" t="s">
        <v>11185</v>
      </c>
    </row>
    <row r="1482" spans="1:7">
      <c r="A1482" s="306"/>
      <c r="B1482" t="s">
        <v>7161</v>
      </c>
      <c r="C1482" t="s">
        <v>7162</v>
      </c>
      <c r="E1482">
        <v>75</v>
      </c>
      <c r="F1482" t="s">
        <v>11185</v>
      </c>
    </row>
    <row r="1483" spans="1:7">
      <c r="A1483" s="306"/>
      <c r="B1483" t="s">
        <v>7163</v>
      </c>
      <c r="C1483" t="s">
        <v>7164</v>
      </c>
      <c r="E1483">
        <v>78.260869565217391</v>
      </c>
      <c r="F1483" t="s">
        <v>11185</v>
      </c>
    </row>
    <row r="1484" spans="1:7">
      <c r="A1484" s="306"/>
      <c r="B1484" t="s">
        <v>7165</v>
      </c>
      <c r="C1484" t="s">
        <v>7166</v>
      </c>
      <c r="E1484">
        <v>86.956521739130437</v>
      </c>
      <c r="F1484" t="s">
        <v>11185</v>
      </c>
    </row>
    <row r="1485" spans="1:7">
      <c r="A1485" s="306"/>
      <c r="B1485" t="s">
        <v>7167</v>
      </c>
      <c r="C1485" t="s">
        <v>7168</v>
      </c>
      <c r="E1485">
        <v>227.17391304347825</v>
      </c>
      <c r="F1485" t="s">
        <v>11185</v>
      </c>
    </row>
    <row r="1486" spans="1:7">
      <c r="A1486" s="306"/>
      <c r="B1486" t="s">
        <v>7169</v>
      </c>
      <c r="C1486" t="s">
        <v>7170</v>
      </c>
      <c r="E1486">
        <v>256.52173913043475</v>
      </c>
      <c r="F1486" t="s">
        <v>11185</v>
      </c>
    </row>
    <row r="1487" spans="1:7">
      <c r="A1487" s="306"/>
      <c r="B1487" t="s">
        <v>7171</v>
      </c>
      <c r="C1487" t="s">
        <v>7172</v>
      </c>
      <c r="E1487">
        <v>250</v>
      </c>
      <c r="F1487" t="s">
        <v>11185</v>
      </c>
    </row>
    <row r="1488" spans="1:7">
      <c r="A1488" s="306"/>
      <c r="B1488" t="s">
        <v>11984</v>
      </c>
      <c r="C1488" t="s">
        <v>11985</v>
      </c>
      <c r="E1488">
        <v>67.391304347826079</v>
      </c>
      <c r="F1488" t="s">
        <v>11185</v>
      </c>
      <c r="G1488" t="s">
        <v>10996</v>
      </c>
    </row>
    <row r="1489" spans="1:7">
      <c r="A1489" s="306"/>
      <c r="B1489" t="s">
        <v>7173</v>
      </c>
      <c r="C1489" t="s">
        <v>7174</v>
      </c>
      <c r="E1489">
        <v>8.695652173913043</v>
      </c>
      <c r="F1489" t="s">
        <v>11185</v>
      </c>
    </row>
    <row r="1490" spans="1:7">
      <c r="A1490" s="306"/>
      <c r="B1490" t="s">
        <v>7666</v>
      </c>
    </row>
    <row r="1491" spans="1:7">
      <c r="A1491" s="306"/>
      <c r="B1491" t="s">
        <v>7667</v>
      </c>
      <c r="C1491" t="s">
        <v>7668</v>
      </c>
      <c r="E1491">
        <v>25</v>
      </c>
      <c r="F1491" t="s">
        <v>11185</v>
      </c>
      <c r="G1491" t="s">
        <v>10997</v>
      </c>
    </row>
    <row r="1492" spans="1:7">
      <c r="A1492" s="306"/>
      <c r="B1492" t="s">
        <v>7669</v>
      </c>
      <c r="C1492" t="s">
        <v>7670</v>
      </c>
      <c r="E1492">
        <v>67.391304347826079</v>
      </c>
      <c r="F1492" t="s">
        <v>11185</v>
      </c>
      <c r="G1492" t="s">
        <v>10997</v>
      </c>
    </row>
    <row r="1493" spans="1:7">
      <c r="A1493" s="306"/>
      <c r="B1493" t="s">
        <v>7671</v>
      </c>
      <c r="C1493" t="s">
        <v>11986</v>
      </c>
      <c r="E1493">
        <v>53.260869565217391</v>
      </c>
      <c r="F1493" t="s">
        <v>11185</v>
      </c>
      <c r="G1493" t="s">
        <v>10997</v>
      </c>
    </row>
    <row r="1494" spans="1:7">
      <c r="A1494" s="306"/>
      <c r="B1494" t="s">
        <v>7672</v>
      </c>
      <c r="C1494" t="s">
        <v>11987</v>
      </c>
      <c r="E1494">
        <v>55.434782608695649</v>
      </c>
      <c r="F1494" t="s">
        <v>11185</v>
      </c>
      <c r="G1494" t="s">
        <v>10997</v>
      </c>
    </row>
    <row r="1495" spans="1:7">
      <c r="A1495" s="306"/>
      <c r="B1495" t="s">
        <v>7673</v>
      </c>
      <c r="C1495" t="s">
        <v>7674</v>
      </c>
      <c r="E1495">
        <v>55.434782608695649</v>
      </c>
      <c r="F1495" t="s">
        <v>11185</v>
      </c>
      <c r="G1495" t="s">
        <v>10997</v>
      </c>
    </row>
    <row r="1496" spans="1:7">
      <c r="A1496" s="306"/>
      <c r="B1496" t="s">
        <v>7675</v>
      </c>
    </row>
    <row r="1497" spans="1:7">
      <c r="A1497" s="306"/>
      <c r="B1497" t="s">
        <v>7676</v>
      </c>
      <c r="C1497" t="s">
        <v>11988</v>
      </c>
      <c r="E1497">
        <v>576.08695652173913</v>
      </c>
      <c r="F1497" t="s">
        <v>11989</v>
      </c>
    </row>
    <row r="1498" spans="1:7">
      <c r="A1498" s="306"/>
      <c r="B1498" t="s">
        <v>7677</v>
      </c>
    </row>
    <row r="1499" spans="1:7">
      <c r="A1499" s="306"/>
      <c r="B1499" t="s">
        <v>7690</v>
      </c>
      <c r="C1499" t="s">
        <v>11990</v>
      </c>
      <c r="E1499">
        <v>8798.9130434782601</v>
      </c>
      <c r="F1499" t="s">
        <v>11190</v>
      </c>
    </row>
    <row r="1500" spans="1:7">
      <c r="A1500" s="306"/>
      <c r="B1500" t="s">
        <v>7691</v>
      </c>
      <c r="C1500" t="s">
        <v>11991</v>
      </c>
      <c r="E1500">
        <v>8798.9130434782601</v>
      </c>
      <c r="F1500" t="s">
        <v>11190</v>
      </c>
    </row>
    <row r="1501" spans="1:7">
      <c r="A1501" s="306"/>
      <c r="B1501" t="s">
        <v>7692</v>
      </c>
      <c r="C1501" t="s">
        <v>11992</v>
      </c>
      <c r="E1501">
        <v>4798.913043478261</v>
      </c>
      <c r="F1501" t="s">
        <v>11190</v>
      </c>
    </row>
    <row r="1502" spans="1:7">
      <c r="A1502" s="306"/>
      <c r="B1502" t="s">
        <v>7693</v>
      </c>
      <c r="C1502" t="s">
        <v>11993</v>
      </c>
      <c r="E1502">
        <v>11590.217391304348</v>
      </c>
      <c r="F1502" t="s">
        <v>11190</v>
      </c>
      <c r="G1502" t="s">
        <v>10996</v>
      </c>
    </row>
    <row r="1503" spans="1:7">
      <c r="A1503" s="306"/>
      <c r="B1503" t="s">
        <v>11994</v>
      </c>
      <c r="C1503" t="s">
        <v>11995</v>
      </c>
      <c r="E1503">
        <v>133.69565217391303</v>
      </c>
      <c r="F1503" t="s">
        <v>11190</v>
      </c>
      <c r="G1503" t="s">
        <v>10996</v>
      </c>
    </row>
    <row r="1504" spans="1:7">
      <c r="A1504" s="306"/>
      <c r="B1504" t="s">
        <v>7684</v>
      </c>
      <c r="C1504" t="s">
        <v>7685</v>
      </c>
      <c r="E1504">
        <v>244.56521739130434</v>
      </c>
      <c r="F1504" t="s">
        <v>11190</v>
      </c>
      <c r="G1504" t="s">
        <v>10996</v>
      </c>
    </row>
    <row r="1505" spans="1:7">
      <c r="A1505" s="306"/>
      <c r="B1505" t="s">
        <v>7686</v>
      </c>
      <c r="C1505" t="s">
        <v>7687</v>
      </c>
      <c r="E1505">
        <v>575</v>
      </c>
      <c r="F1505" t="s">
        <v>11190</v>
      </c>
      <c r="G1505" t="s">
        <v>10996</v>
      </c>
    </row>
    <row r="1506" spans="1:7">
      <c r="A1506" s="306"/>
      <c r="B1506" t="s">
        <v>11996</v>
      </c>
      <c r="C1506" t="s">
        <v>11997</v>
      </c>
      <c r="E1506">
        <v>6848.913043478261</v>
      </c>
      <c r="F1506" t="s">
        <v>11185</v>
      </c>
    </row>
    <row r="1507" spans="1:7">
      <c r="A1507" s="306"/>
      <c r="B1507" t="s">
        <v>7688</v>
      </c>
      <c r="C1507" t="s">
        <v>11998</v>
      </c>
      <c r="E1507">
        <v>592.39130434782601</v>
      </c>
      <c r="F1507" t="s">
        <v>11185</v>
      </c>
      <c r="G1507" t="s">
        <v>10996</v>
      </c>
    </row>
    <row r="1508" spans="1:7">
      <c r="A1508" s="306"/>
      <c r="B1508" t="s">
        <v>7682</v>
      </c>
      <c r="C1508" t="s">
        <v>11999</v>
      </c>
      <c r="E1508">
        <v>9384.782608695652</v>
      </c>
      <c r="F1508" t="s">
        <v>11190</v>
      </c>
      <c r="G1508" t="s">
        <v>10997</v>
      </c>
    </row>
    <row r="1509" spans="1:7">
      <c r="A1509" s="306"/>
      <c r="B1509" t="s">
        <v>7683</v>
      </c>
      <c r="C1509" t="s">
        <v>12000</v>
      </c>
      <c r="E1509">
        <v>3081.5217391304345</v>
      </c>
      <c r="F1509" t="s">
        <v>11190</v>
      </c>
      <c r="G1509" t="s">
        <v>10999</v>
      </c>
    </row>
    <row r="1510" spans="1:7">
      <c r="A1510" s="306"/>
      <c r="B1510" t="s">
        <v>7694</v>
      </c>
      <c r="C1510" t="s">
        <v>12001</v>
      </c>
      <c r="E1510">
        <v>5998.913043478261</v>
      </c>
      <c r="F1510" t="s">
        <v>11190</v>
      </c>
    </row>
    <row r="1511" spans="1:7">
      <c r="A1511" s="306"/>
      <c r="B1511" t="s">
        <v>7695</v>
      </c>
      <c r="C1511" t="s">
        <v>12002</v>
      </c>
      <c r="E1511">
        <v>2186.9565217391305</v>
      </c>
      <c r="F1511" t="s">
        <v>11190</v>
      </c>
      <c r="G1511" t="s">
        <v>10997</v>
      </c>
    </row>
    <row r="1512" spans="1:7">
      <c r="A1512" s="306"/>
      <c r="B1512" t="s">
        <v>7696</v>
      </c>
      <c r="C1512" t="s">
        <v>12003</v>
      </c>
      <c r="E1512">
        <v>1759.782608695652</v>
      </c>
      <c r="F1512" t="s">
        <v>11190</v>
      </c>
    </row>
    <row r="1513" spans="1:7">
      <c r="A1513" s="306"/>
      <c r="B1513" t="s">
        <v>7697</v>
      </c>
      <c r="C1513" t="s">
        <v>12004</v>
      </c>
      <c r="E1513">
        <v>8798.9130434782601</v>
      </c>
      <c r="F1513" t="s">
        <v>11190</v>
      </c>
    </row>
    <row r="1514" spans="1:7">
      <c r="A1514" s="306"/>
      <c r="B1514" t="s">
        <v>7689</v>
      </c>
      <c r="C1514" t="s">
        <v>12005</v>
      </c>
      <c r="E1514">
        <v>2541.304347826087</v>
      </c>
      <c r="F1514" t="s">
        <v>11190</v>
      </c>
      <c r="G1514" t="s">
        <v>10999</v>
      </c>
    </row>
    <row r="1515" spans="1:7">
      <c r="A1515" s="306"/>
      <c r="B1515" t="s">
        <v>7680</v>
      </c>
      <c r="C1515" t="s">
        <v>12006</v>
      </c>
      <c r="E1515">
        <v>1986.9565217391303</v>
      </c>
      <c r="F1515" t="s">
        <v>11190</v>
      </c>
      <c r="G1515" t="s">
        <v>10996</v>
      </c>
    </row>
    <row r="1516" spans="1:7">
      <c r="A1516" s="306"/>
      <c r="B1516" t="s">
        <v>7698</v>
      </c>
      <c r="C1516" t="s">
        <v>12007</v>
      </c>
      <c r="E1516">
        <v>5144.565217391304</v>
      </c>
      <c r="F1516" t="s">
        <v>11190</v>
      </c>
      <c r="G1516" t="s">
        <v>10996</v>
      </c>
    </row>
    <row r="1517" spans="1:7">
      <c r="A1517" s="306"/>
      <c r="B1517" t="s">
        <v>7681</v>
      </c>
      <c r="C1517" t="s">
        <v>12008</v>
      </c>
      <c r="E1517">
        <v>2547.8260869565215</v>
      </c>
      <c r="F1517" t="s">
        <v>11190</v>
      </c>
      <c r="G1517" t="s">
        <v>10996</v>
      </c>
    </row>
    <row r="1518" spans="1:7">
      <c r="A1518" s="306"/>
      <c r="B1518" t="s">
        <v>7699</v>
      </c>
      <c r="C1518" t="s">
        <v>12009</v>
      </c>
      <c r="E1518">
        <v>7039.1304347826081</v>
      </c>
      <c r="F1518" t="s">
        <v>11190</v>
      </c>
    </row>
    <row r="1519" spans="1:7">
      <c r="A1519" s="306"/>
      <c r="B1519" t="s">
        <v>7700</v>
      </c>
      <c r="C1519" t="s">
        <v>12010</v>
      </c>
      <c r="E1519">
        <v>3746.7391304347825</v>
      </c>
      <c r="F1519" t="s">
        <v>11190</v>
      </c>
    </row>
    <row r="1520" spans="1:7">
      <c r="A1520" s="306"/>
      <c r="B1520" t="s">
        <v>7701</v>
      </c>
      <c r="C1520" t="s">
        <v>12011</v>
      </c>
      <c r="E1520">
        <v>7681.5217391304341</v>
      </c>
      <c r="F1520" t="s">
        <v>11190</v>
      </c>
      <c r="G1520" t="s">
        <v>10999</v>
      </c>
    </row>
    <row r="1521" spans="1:7">
      <c r="A1521" s="306"/>
      <c r="B1521" t="s">
        <v>7702</v>
      </c>
      <c r="C1521" t="s">
        <v>12012</v>
      </c>
      <c r="E1521">
        <v>6158.695652173913</v>
      </c>
      <c r="F1521" t="s">
        <v>11190</v>
      </c>
      <c r="G1521" t="s">
        <v>10996</v>
      </c>
    </row>
    <row r="1522" spans="1:7">
      <c r="A1522" s="306"/>
      <c r="B1522" t="s">
        <v>7703</v>
      </c>
      <c r="C1522" t="s">
        <v>12013</v>
      </c>
      <c r="E1522">
        <v>10398.91304347826</v>
      </c>
      <c r="F1522" t="s">
        <v>11190</v>
      </c>
      <c r="G1522" t="s">
        <v>10996</v>
      </c>
    </row>
    <row r="1523" spans="1:7">
      <c r="A1523" s="306"/>
      <c r="B1523" t="s">
        <v>7704</v>
      </c>
      <c r="C1523" t="s">
        <v>12014</v>
      </c>
      <c r="E1523">
        <v>10082.608695652174</v>
      </c>
      <c r="F1523" t="s">
        <v>11190</v>
      </c>
      <c r="G1523" t="s">
        <v>10999</v>
      </c>
    </row>
    <row r="1524" spans="1:7">
      <c r="A1524" s="306"/>
      <c r="B1524" t="s">
        <v>7705</v>
      </c>
      <c r="C1524" t="s">
        <v>12015</v>
      </c>
      <c r="E1524">
        <v>4398.913043478261</v>
      </c>
      <c r="F1524" t="s">
        <v>11190</v>
      </c>
    </row>
    <row r="1525" spans="1:7">
      <c r="A1525" s="306"/>
      <c r="B1525" t="s">
        <v>7706</v>
      </c>
      <c r="C1525" t="s">
        <v>12016</v>
      </c>
      <c r="E1525">
        <v>1759.782608695652</v>
      </c>
      <c r="F1525" t="s">
        <v>11190</v>
      </c>
    </row>
    <row r="1526" spans="1:7">
      <c r="A1526" s="306"/>
      <c r="B1526" t="s">
        <v>7707</v>
      </c>
      <c r="C1526" t="s">
        <v>12017</v>
      </c>
      <c r="E1526">
        <v>53.260869565217391</v>
      </c>
      <c r="F1526" t="s">
        <v>11989</v>
      </c>
    </row>
    <row r="1527" spans="1:7">
      <c r="A1527" s="306"/>
      <c r="B1527" t="s">
        <v>7708</v>
      </c>
      <c r="C1527" t="s">
        <v>12018</v>
      </c>
      <c r="E1527">
        <v>14706.521739130434</v>
      </c>
      <c r="F1527" t="s">
        <v>11190</v>
      </c>
      <c r="G1527" t="s">
        <v>10999</v>
      </c>
    </row>
    <row r="1528" spans="1:7">
      <c r="A1528" s="306"/>
      <c r="B1528" t="s">
        <v>7709</v>
      </c>
      <c r="C1528" t="s">
        <v>12019</v>
      </c>
      <c r="E1528">
        <v>18096.73913043478</v>
      </c>
      <c r="F1528" t="s">
        <v>11190</v>
      </c>
      <c r="G1528" t="s">
        <v>10999</v>
      </c>
    </row>
    <row r="1529" spans="1:7">
      <c r="A1529" s="306"/>
      <c r="B1529" t="s">
        <v>7710</v>
      </c>
      <c r="C1529" t="s">
        <v>12020</v>
      </c>
      <c r="E1529">
        <v>8798.9130434782601</v>
      </c>
      <c r="F1529" t="s">
        <v>11190</v>
      </c>
    </row>
    <row r="1530" spans="1:7">
      <c r="A1530" s="306"/>
      <c r="B1530" t="s">
        <v>7711</v>
      </c>
      <c r="C1530" t="s">
        <v>12021</v>
      </c>
      <c r="E1530">
        <v>8798.9130434782601</v>
      </c>
      <c r="F1530" t="s">
        <v>11190</v>
      </c>
    </row>
    <row r="1531" spans="1:7">
      <c r="A1531" s="306"/>
      <c r="B1531" t="s">
        <v>7678</v>
      </c>
      <c r="C1531" t="s">
        <v>12022</v>
      </c>
      <c r="E1531">
        <v>7598.913043478261</v>
      </c>
      <c r="F1531" t="s">
        <v>11190</v>
      </c>
    </row>
    <row r="1532" spans="1:7">
      <c r="A1532" s="306"/>
      <c r="B1532" t="s">
        <v>7679</v>
      </c>
      <c r="C1532" t="s">
        <v>12023</v>
      </c>
      <c r="E1532">
        <v>6079.347826086956</v>
      </c>
      <c r="F1532" t="s">
        <v>11190</v>
      </c>
    </row>
    <row r="1533" spans="1:7">
      <c r="A1533" s="306"/>
      <c r="B1533" t="s">
        <v>12024</v>
      </c>
    </row>
    <row r="1534" spans="1:7">
      <c r="A1534" s="306"/>
      <c r="B1534" t="s">
        <v>6937</v>
      </c>
      <c r="C1534" t="s">
        <v>12025</v>
      </c>
      <c r="E1534">
        <v>188.04347826086956</v>
      </c>
      <c r="F1534" t="s">
        <v>11185</v>
      </c>
    </row>
    <row r="1535" spans="1:7">
      <c r="A1535" s="306"/>
      <c r="B1535" t="s">
        <v>2122</v>
      </c>
      <c r="C1535" t="s">
        <v>5876</v>
      </c>
      <c r="E1535">
        <v>2415.2173913043475</v>
      </c>
      <c r="F1535" t="s">
        <v>11198</v>
      </c>
    </row>
    <row r="1536" spans="1:7">
      <c r="A1536" s="306"/>
      <c r="B1536" t="s">
        <v>2130</v>
      </c>
      <c r="C1536" t="s">
        <v>2131</v>
      </c>
      <c r="E1536">
        <v>3842.391304347826</v>
      </c>
      <c r="F1536" t="s">
        <v>11198</v>
      </c>
    </row>
    <row r="1537" spans="1:6">
      <c r="A1537" s="306"/>
      <c r="B1537" t="s">
        <v>1964</v>
      </c>
      <c r="C1537" t="s">
        <v>1965</v>
      </c>
      <c r="E1537">
        <v>188.04347826086956</v>
      </c>
      <c r="F1537" t="s">
        <v>11185</v>
      </c>
    </row>
    <row r="1538" spans="1:6">
      <c r="A1538" s="306"/>
      <c r="B1538" t="s">
        <v>6600</v>
      </c>
      <c r="C1538" t="s">
        <v>12026</v>
      </c>
      <c r="E1538">
        <v>18.478260869565215</v>
      </c>
      <c r="F1538" t="s">
        <v>11310</v>
      </c>
    </row>
    <row r="1539" spans="1:6">
      <c r="A1539" s="306"/>
      <c r="B1539" t="s">
        <v>6601</v>
      </c>
      <c r="C1539" t="s">
        <v>12027</v>
      </c>
      <c r="E1539">
        <v>16.304347826086957</v>
      </c>
      <c r="F1539" t="s">
        <v>11310</v>
      </c>
    </row>
    <row r="1540" spans="1:6">
      <c r="A1540" s="306"/>
      <c r="B1540" t="s">
        <v>6659</v>
      </c>
      <c r="C1540" t="s">
        <v>6660</v>
      </c>
      <c r="E1540">
        <v>34.782608695652172</v>
      </c>
      <c r="F1540" t="s">
        <v>11185</v>
      </c>
    </row>
    <row r="1541" spans="1:6">
      <c r="A1541" s="306"/>
      <c r="B1541" t="s">
        <v>6661</v>
      </c>
      <c r="C1541" t="s">
        <v>6662</v>
      </c>
      <c r="E1541">
        <v>30.434782608695652</v>
      </c>
      <c r="F1541" t="s">
        <v>11185</v>
      </c>
    </row>
    <row r="1542" spans="1:6">
      <c r="A1542" s="306"/>
      <c r="B1542" t="s">
        <v>1860</v>
      </c>
      <c r="C1542" t="s">
        <v>1861</v>
      </c>
      <c r="E1542">
        <v>270.65217391304344</v>
      </c>
      <c r="F1542" t="s">
        <v>6321</v>
      </c>
    </row>
    <row r="1543" spans="1:6">
      <c r="A1543" s="306"/>
      <c r="B1543" t="s">
        <v>6673</v>
      </c>
      <c r="C1543" t="s">
        <v>6674</v>
      </c>
      <c r="E1543">
        <v>70.65217391304347</v>
      </c>
      <c r="F1543" t="s">
        <v>11185</v>
      </c>
    </row>
    <row r="1544" spans="1:6">
      <c r="A1544" s="306"/>
      <c r="B1544" t="s">
        <v>6675</v>
      </c>
      <c r="C1544" t="s">
        <v>6676</v>
      </c>
      <c r="E1544">
        <v>209.78260869565216</v>
      </c>
      <c r="F1544" t="s">
        <v>11185</v>
      </c>
    </row>
    <row r="1545" spans="1:6">
      <c r="A1545" s="306"/>
      <c r="B1545" t="s">
        <v>6677</v>
      </c>
      <c r="C1545" t="s">
        <v>6678</v>
      </c>
      <c r="E1545">
        <v>71.739130434782609</v>
      </c>
      <c r="F1545" t="s">
        <v>11185</v>
      </c>
    </row>
    <row r="1546" spans="1:6">
      <c r="A1546" s="306"/>
      <c r="B1546" t="s">
        <v>6828</v>
      </c>
      <c r="C1546" t="s">
        <v>12028</v>
      </c>
      <c r="E1546">
        <v>56.521739130434781</v>
      </c>
      <c r="F1546" t="s">
        <v>11190</v>
      </c>
    </row>
    <row r="1547" spans="1:6">
      <c r="A1547" s="306"/>
      <c r="B1547" t="s">
        <v>6423</v>
      </c>
      <c r="C1547" t="s">
        <v>12029</v>
      </c>
      <c r="E1547">
        <v>965.21739130434776</v>
      </c>
      <c r="F1547" t="s">
        <v>11310</v>
      </c>
    </row>
    <row r="1548" spans="1:6">
      <c r="A1548" s="306"/>
      <c r="B1548" t="s">
        <v>6424</v>
      </c>
      <c r="C1548" t="s">
        <v>12030</v>
      </c>
      <c r="E1548">
        <v>1936.9565217391303</v>
      </c>
      <c r="F1548" t="s">
        <v>11310</v>
      </c>
    </row>
    <row r="1549" spans="1:6">
      <c r="A1549" s="306"/>
      <c r="B1549" t="s">
        <v>6425</v>
      </c>
      <c r="C1549" t="s">
        <v>12031</v>
      </c>
      <c r="E1549">
        <v>3707.6086956521735</v>
      </c>
      <c r="F1549" t="s">
        <v>11310</v>
      </c>
    </row>
    <row r="1550" spans="1:6">
      <c r="A1550" s="306"/>
      <c r="B1550" t="s">
        <v>5855</v>
      </c>
      <c r="C1550" t="s">
        <v>5856</v>
      </c>
      <c r="E1550">
        <v>390.21739130434781</v>
      </c>
      <c r="F1550" t="s">
        <v>11185</v>
      </c>
    </row>
    <row r="1551" spans="1:6">
      <c r="A1551" s="306"/>
      <c r="B1551" t="s">
        <v>1096</v>
      </c>
      <c r="C1551" t="s">
        <v>12032</v>
      </c>
      <c r="E1551">
        <v>182.60869565217391</v>
      </c>
      <c r="F1551" t="s">
        <v>11185</v>
      </c>
    </row>
    <row r="1552" spans="1:6">
      <c r="A1552" s="306"/>
      <c r="B1552" t="s">
        <v>2044</v>
      </c>
      <c r="C1552" t="s">
        <v>12033</v>
      </c>
      <c r="E1552">
        <v>336.95652173913044</v>
      </c>
      <c r="F1552" t="s">
        <v>11310</v>
      </c>
    </row>
    <row r="1553" spans="1:6">
      <c r="A1553" s="306"/>
      <c r="B1553" t="s">
        <v>2048</v>
      </c>
      <c r="C1553" t="s">
        <v>12034</v>
      </c>
      <c r="E1553">
        <v>478.26086956521738</v>
      </c>
      <c r="F1553" t="s">
        <v>11310</v>
      </c>
    </row>
    <row r="1554" spans="1:6">
      <c r="A1554" s="306"/>
      <c r="B1554" t="s">
        <v>7896</v>
      </c>
      <c r="C1554" t="s">
        <v>7897</v>
      </c>
      <c r="E1554">
        <v>46.739130434782609</v>
      </c>
      <c r="F1554" t="s">
        <v>12035</v>
      </c>
    </row>
    <row r="1555" spans="1:6">
      <c r="A1555" s="306"/>
      <c r="B1555" t="s">
        <v>1011</v>
      </c>
      <c r="C1555" t="s">
        <v>12036</v>
      </c>
      <c r="E1555">
        <v>241.30434782608694</v>
      </c>
      <c r="F1555" t="s">
        <v>11310</v>
      </c>
    </row>
    <row r="1556" spans="1:6">
      <c r="A1556" s="306"/>
      <c r="B1556" t="s">
        <v>6514</v>
      </c>
      <c r="C1556" t="s">
        <v>6515</v>
      </c>
      <c r="E1556">
        <v>57.608695652173914</v>
      </c>
      <c r="F1556" t="s">
        <v>11310</v>
      </c>
    </row>
    <row r="1557" spans="1:6">
      <c r="A1557" s="306"/>
      <c r="B1557" t="s">
        <v>12037</v>
      </c>
      <c r="C1557" t="s">
        <v>12038</v>
      </c>
      <c r="E1557">
        <v>864.13043478260863</v>
      </c>
      <c r="F1557" t="s">
        <v>12039</v>
      </c>
    </row>
    <row r="1558" spans="1:6">
      <c r="A1558" s="306"/>
      <c r="B1558" t="s">
        <v>12040</v>
      </c>
      <c r="C1558" t="s">
        <v>12041</v>
      </c>
      <c r="E1558">
        <v>1254.3478260869565</v>
      </c>
      <c r="F1558" t="s">
        <v>12039</v>
      </c>
    </row>
    <row r="1559" spans="1:6">
      <c r="A1559" s="306"/>
      <c r="B1559" t="s">
        <v>12042</v>
      </c>
      <c r="C1559" t="s">
        <v>6934</v>
      </c>
      <c r="E1559">
        <v>15505.434782608694</v>
      </c>
      <c r="F1559" t="s">
        <v>12039</v>
      </c>
    </row>
    <row r="1560" spans="1:6">
      <c r="A1560" s="306"/>
      <c r="B1560" t="s">
        <v>12043</v>
      </c>
      <c r="C1560" t="s">
        <v>6935</v>
      </c>
      <c r="E1560">
        <v>15505.434782608694</v>
      </c>
      <c r="F1560" t="s">
        <v>12039</v>
      </c>
    </row>
    <row r="1561" spans="1:6">
      <c r="A1561" s="306"/>
      <c r="B1561" t="s">
        <v>12044</v>
      </c>
      <c r="C1561" t="s">
        <v>12045</v>
      </c>
      <c r="E1561">
        <v>56.521739130434781</v>
      </c>
      <c r="F1561" t="s">
        <v>12039</v>
      </c>
    </row>
    <row r="1562" spans="1:6">
      <c r="A1562" s="306"/>
      <c r="B1562" t="s">
        <v>21</v>
      </c>
    </row>
    <row r="1563" spans="1:6">
      <c r="A1563" s="306"/>
      <c r="B1563" t="s">
        <v>12046</v>
      </c>
    </row>
    <row r="1564" spans="1:6">
      <c r="A1564" s="306"/>
      <c r="B1564" t="s">
        <v>12047</v>
      </c>
      <c r="C1564" t="s">
        <v>12048</v>
      </c>
      <c r="E1564">
        <v>2194.565217391304</v>
      </c>
      <c r="F1564" t="s">
        <v>12049</v>
      </c>
    </row>
    <row r="1565" spans="1:6">
      <c r="A1565" s="306"/>
      <c r="B1565" t="s">
        <v>12050</v>
      </c>
      <c r="C1565" t="s">
        <v>12051</v>
      </c>
      <c r="E1565">
        <v>3071.7391304347825</v>
      </c>
      <c r="F1565" t="s">
        <v>12049</v>
      </c>
    </row>
    <row r="1566" spans="1:6">
      <c r="A1566" s="306"/>
      <c r="B1566" t="s">
        <v>12052</v>
      </c>
      <c r="C1566" t="s">
        <v>12053</v>
      </c>
      <c r="E1566">
        <v>3950</v>
      </c>
      <c r="F1566" t="s">
        <v>12049</v>
      </c>
    </row>
    <row r="1567" spans="1:6">
      <c r="A1567" s="306"/>
      <c r="B1567" t="s">
        <v>12054</v>
      </c>
      <c r="C1567" t="s">
        <v>12055</v>
      </c>
      <c r="E1567">
        <v>219.56521739130434</v>
      </c>
      <c r="F1567" t="s">
        <v>12049</v>
      </c>
    </row>
    <row r="1568" spans="1:6">
      <c r="A1568" s="306"/>
      <c r="B1568" t="s">
        <v>12056</v>
      </c>
      <c r="C1568" t="s">
        <v>12057</v>
      </c>
      <c r="E1568">
        <v>307.60869565217388</v>
      </c>
      <c r="F1568" t="s">
        <v>12049</v>
      </c>
    </row>
    <row r="1569" spans="1:6">
      <c r="A1569" s="306"/>
      <c r="B1569" t="s">
        <v>12058</v>
      </c>
      <c r="C1569" t="s">
        <v>12059</v>
      </c>
      <c r="E1569">
        <v>395.65217391304344</v>
      </c>
      <c r="F1569" t="s">
        <v>12049</v>
      </c>
    </row>
    <row r="1570" spans="1:6">
      <c r="A1570" s="306"/>
      <c r="B1570" t="s">
        <v>12060</v>
      </c>
      <c r="C1570" t="s">
        <v>12061</v>
      </c>
      <c r="E1570">
        <v>3840.2173913043475</v>
      </c>
      <c r="F1570" t="s">
        <v>12049</v>
      </c>
    </row>
    <row r="1571" spans="1:6">
      <c r="A1571" s="306"/>
      <c r="B1571" t="s">
        <v>12062</v>
      </c>
      <c r="C1571" t="s">
        <v>12063</v>
      </c>
      <c r="E1571">
        <v>5376.086956521739</v>
      </c>
      <c r="F1571" t="s">
        <v>12049</v>
      </c>
    </row>
    <row r="1572" spans="1:6">
      <c r="A1572" s="306"/>
      <c r="B1572" t="s">
        <v>12064</v>
      </c>
      <c r="C1572" t="s">
        <v>12065</v>
      </c>
      <c r="E1572">
        <v>6911.95652173913</v>
      </c>
      <c r="F1572" t="s">
        <v>12049</v>
      </c>
    </row>
    <row r="1573" spans="1:6">
      <c r="A1573" s="306"/>
      <c r="B1573" t="s">
        <v>12066</v>
      </c>
      <c r="C1573" t="s">
        <v>12067</v>
      </c>
      <c r="E1573">
        <v>384.78260869565213</v>
      </c>
      <c r="F1573" t="s">
        <v>12049</v>
      </c>
    </row>
    <row r="1574" spans="1:6">
      <c r="A1574" s="306"/>
      <c r="B1574" t="s">
        <v>12068</v>
      </c>
      <c r="C1574" t="s">
        <v>12069</v>
      </c>
      <c r="E1574">
        <v>538.04347826086951</v>
      </c>
      <c r="F1574" t="s">
        <v>12049</v>
      </c>
    </row>
    <row r="1575" spans="1:6">
      <c r="A1575" s="306"/>
      <c r="B1575" t="s">
        <v>12070</v>
      </c>
      <c r="C1575" t="s">
        <v>12071</v>
      </c>
      <c r="E1575">
        <v>691.30434782608688</v>
      </c>
      <c r="F1575" t="s">
        <v>12049</v>
      </c>
    </row>
    <row r="1576" spans="1:6">
      <c r="A1576" s="306"/>
      <c r="B1576" t="s">
        <v>12072</v>
      </c>
      <c r="C1576" t="s">
        <v>12073</v>
      </c>
      <c r="E1576">
        <v>372.82608695652175</v>
      </c>
      <c r="F1576" t="s">
        <v>12049</v>
      </c>
    </row>
    <row r="1577" spans="1:6">
      <c r="A1577" s="306"/>
      <c r="B1577" t="s">
        <v>12074</v>
      </c>
      <c r="C1577" t="s">
        <v>12075</v>
      </c>
      <c r="E1577">
        <v>521.73913043478262</v>
      </c>
      <c r="F1577" t="s">
        <v>12049</v>
      </c>
    </row>
    <row r="1578" spans="1:6">
      <c r="A1578" s="306"/>
      <c r="B1578" t="s">
        <v>12076</v>
      </c>
      <c r="C1578" t="s">
        <v>12077</v>
      </c>
      <c r="E1578">
        <v>669.56521739130437</v>
      </c>
      <c r="F1578" t="s">
        <v>12049</v>
      </c>
    </row>
    <row r="1579" spans="1:6">
      <c r="A1579" s="306"/>
      <c r="B1579" t="s">
        <v>12078</v>
      </c>
      <c r="C1579" t="s">
        <v>12079</v>
      </c>
      <c r="E1579">
        <v>494.56521739130432</v>
      </c>
      <c r="F1579" t="s">
        <v>12049</v>
      </c>
    </row>
    <row r="1580" spans="1:6">
      <c r="A1580" s="306"/>
      <c r="B1580" t="s">
        <v>12080</v>
      </c>
      <c r="C1580" t="s">
        <v>12081</v>
      </c>
      <c r="E1580">
        <v>691.30434782608688</v>
      </c>
      <c r="F1580" t="s">
        <v>12049</v>
      </c>
    </row>
    <row r="1581" spans="1:6">
      <c r="A1581" s="306"/>
      <c r="B1581" t="s">
        <v>12082</v>
      </c>
      <c r="C1581" t="s">
        <v>12083</v>
      </c>
      <c r="E1581">
        <v>889.13043478260863</v>
      </c>
      <c r="F1581" t="s">
        <v>12049</v>
      </c>
    </row>
    <row r="1582" spans="1:6">
      <c r="A1582" s="306"/>
      <c r="B1582" t="s">
        <v>12084</v>
      </c>
      <c r="C1582" t="s">
        <v>12085</v>
      </c>
      <c r="E1582">
        <v>318.47826086956519</v>
      </c>
      <c r="F1582" t="s">
        <v>12049</v>
      </c>
    </row>
    <row r="1583" spans="1:6">
      <c r="A1583" s="306"/>
      <c r="B1583" t="s">
        <v>12086</v>
      </c>
      <c r="C1583" t="s">
        <v>12087</v>
      </c>
      <c r="E1583">
        <v>445.65217391304344</v>
      </c>
      <c r="F1583" t="s">
        <v>12049</v>
      </c>
    </row>
    <row r="1584" spans="1:6">
      <c r="A1584" s="306"/>
      <c r="B1584" t="s">
        <v>12088</v>
      </c>
      <c r="C1584" t="s">
        <v>12089</v>
      </c>
      <c r="E1584">
        <v>572.82608695652175</v>
      </c>
      <c r="F1584" t="s">
        <v>12049</v>
      </c>
    </row>
    <row r="1585" spans="1:6">
      <c r="A1585" s="306"/>
      <c r="B1585" t="s">
        <v>12090</v>
      </c>
      <c r="C1585" t="s">
        <v>12091</v>
      </c>
      <c r="E1585">
        <v>494.56521739130432</v>
      </c>
      <c r="F1585" t="s">
        <v>12049</v>
      </c>
    </row>
    <row r="1586" spans="1:6">
      <c r="A1586" s="306"/>
      <c r="B1586" t="s">
        <v>12092</v>
      </c>
      <c r="C1586" t="s">
        <v>12093</v>
      </c>
      <c r="E1586">
        <v>691.30434782608688</v>
      </c>
      <c r="F1586" t="s">
        <v>12049</v>
      </c>
    </row>
    <row r="1587" spans="1:6">
      <c r="A1587" s="306"/>
      <c r="B1587" t="s">
        <v>12094</v>
      </c>
      <c r="C1587" t="s">
        <v>12095</v>
      </c>
      <c r="E1587">
        <v>889.13043478260863</v>
      </c>
      <c r="F1587" t="s">
        <v>12049</v>
      </c>
    </row>
    <row r="1588" spans="1:6">
      <c r="A1588" s="306"/>
      <c r="B1588" t="s">
        <v>12096</v>
      </c>
    </row>
    <row r="1589" spans="1:6">
      <c r="A1589" s="306"/>
      <c r="B1589" t="s">
        <v>12097</v>
      </c>
      <c r="C1589" t="s">
        <v>12098</v>
      </c>
      <c r="E1589">
        <v>877.17391304347825</v>
      </c>
      <c r="F1589" t="s">
        <v>12049</v>
      </c>
    </row>
    <row r="1590" spans="1:6">
      <c r="A1590" s="306"/>
      <c r="B1590" t="s">
        <v>12099</v>
      </c>
      <c r="C1590" t="s">
        <v>12100</v>
      </c>
      <c r="E1590">
        <v>1864.1304347826085</v>
      </c>
      <c r="F1590" t="s">
        <v>12049</v>
      </c>
    </row>
    <row r="1591" spans="1:6">
      <c r="A1591" s="306"/>
      <c r="B1591" t="s">
        <v>12101</v>
      </c>
      <c r="C1591" t="s">
        <v>12102</v>
      </c>
      <c r="E1591">
        <v>3400</v>
      </c>
      <c r="F1591" t="s">
        <v>12049</v>
      </c>
    </row>
    <row r="1592" spans="1:6">
      <c r="A1592" s="306"/>
      <c r="B1592" t="s">
        <v>12103</v>
      </c>
      <c r="C1592" t="s">
        <v>12104</v>
      </c>
      <c r="E1592">
        <v>7678.260869565217</v>
      </c>
      <c r="F1592" t="s">
        <v>12049</v>
      </c>
    </row>
    <row r="1593" spans="1:6">
      <c r="A1593" s="306"/>
      <c r="B1593" t="s">
        <v>12105</v>
      </c>
      <c r="C1593" t="s">
        <v>12106</v>
      </c>
      <c r="E1593">
        <v>14808.695652173912</v>
      </c>
      <c r="F1593" t="s">
        <v>12049</v>
      </c>
    </row>
    <row r="1594" spans="1:6">
      <c r="A1594" s="306"/>
      <c r="B1594" t="s">
        <v>12107</v>
      </c>
      <c r="C1594" t="s">
        <v>12108</v>
      </c>
      <c r="E1594">
        <v>29069.565217391304</v>
      </c>
      <c r="F1594" t="s">
        <v>12049</v>
      </c>
    </row>
    <row r="1595" spans="1:6">
      <c r="A1595" s="306"/>
      <c r="B1595" t="s">
        <v>12109</v>
      </c>
      <c r="C1595" t="s">
        <v>12110</v>
      </c>
      <c r="E1595">
        <v>1228.2608695652173</v>
      </c>
      <c r="F1595" t="s">
        <v>12049</v>
      </c>
    </row>
    <row r="1596" spans="1:6">
      <c r="A1596" s="306"/>
      <c r="B1596" t="s">
        <v>12111</v>
      </c>
      <c r="C1596" t="s">
        <v>12112</v>
      </c>
      <c r="E1596">
        <v>2609.782608695652</v>
      </c>
      <c r="F1596" t="s">
        <v>12049</v>
      </c>
    </row>
    <row r="1597" spans="1:6">
      <c r="A1597" s="306"/>
      <c r="B1597" t="s">
        <v>12113</v>
      </c>
      <c r="C1597" t="s">
        <v>12114</v>
      </c>
      <c r="E1597">
        <v>4760.869565217391</v>
      </c>
      <c r="F1597" t="s">
        <v>12049</v>
      </c>
    </row>
    <row r="1598" spans="1:6">
      <c r="A1598" s="306"/>
      <c r="B1598" t="s">
        <v>12115</v>
      </c>
      <c r="C1598" t="s">
        <v>12116</v>
      </c>
      <c r="E1598">
        <v>10750</v>
      </c>
      <c r="F1598" t="s">
        <v>12049</v>
      </c>
    </row>
    <row r="1599" spans="1:6">
      <c r="A1599" s="306"/>
      <c r="B1599" t="s">
        <v>12117</v>
      </c>
      <c r="C1599" t="s">
        <v>12118</v>
      </c>
      <c r="E1599">
        <v>20732.608695652172</v>
      </c>
      <c r="F1599" t="s">
        <v>12049</v>
      </c>
    </row>
    <row r="1600" spans="1:6">
      <c r="A1600" s="306"/>
      <c r="B1600" t="s">
        <v>12119</v>
      </c>
      <c r="C1600" t="s">
        <v>12120</v>
      </c>
      <c r="E1600">
        <v>40697.82608695652</v>
      </c>
      <c r="F1600" t="s">
        <v>12049</v>
      </c>
    </row>
    <row r="1601" spans="1:6">
      <c r="A1601" s="306"/>
      <c r="B1601" t="s">
        <v>12121</v>
      </c>
      <c r="C1601" t="s">
        <v>12122</v>
      </c>
      <c r="E1601">
        <v>1578.2608695652173</v>
      </c>
      <c r="F1601" t="s">
        <v>12049</v>
      </c>
    </row>
    <row r="1602" spans="1:6">
      <c r="A1602" s="306"/>
      <c r="B1602" t="s">
        <v>12123</v>
      </c>
      <c r="C1602" t="s">
        <v>12124</v>
      </c>
      <c r="E1602">
        <v>3355.4347826086955</v>
      </c>
      <c r="F1602" t="s">
        <v>12049</v>
      </c>
    </row>
    <row r="1603" spans="1:6">
      <c r="A1603" s="306"/>
      <c r="B1603" t="s">
        <v>12125</v>
      </c>
      <c r="C1603" t="s">
        <v>12126</v>
      </c>
      <c r="E1603">
        <v>6119.565217391304</v>
      </c>
      <c r="F1603" t="s">
        <v>12049</v>
      </c>
    </row>
    <row r="1604" spans="1:6">
      <c r="A1604" s="306"/>
      <c r="B1604" t="s">
        <v>12127</v>
      </c>
      <c r="C1604" t="s">
        <v>12128</v>
      </c>
      <c r="E1604">
        <v>13820.652173913042</v>
      </c>
      <c r="F1604" t="s">
        <v>12049</v>
      </c>
    </row>
    <row r="1605" spans="1:6">
      <c r="A1605" s="306"/>
      <c r="B1605" t="s">
        <v>12129</v>
      </c>
      <c r="C1605" t="s">
        <v>12130</v>
      </c>
      <c r="E1605">
        <v>26655.434782608696</v>
      </c>
      <c r="F1605" t="s">
        <v>12049</v>
      </c>
    </row>
    <row r="1606" spans="1:6">
      <c r="A1606" s="306"/>
      <c r="B1606" t="s">
        <v>12131</v>
      </c>
      <c r="C1606" t="s">
        <v>12132</v>
      </c>
      <c r="E1606">
        <v>52323.913043478256</v>
      </c>
      <c r="F1606" t="s">
        <v>12049</v>
      </c>
    </row>
    <row r="1607" spans="1:6">
      <c r="A1607" s="306"/>
      <c r="B1607" t="s">
        <v>12133</v>
      </c>
    </row>
    <row r="1608" spans="1:6">
      <c r="A1608" s="306"/>
      <c r="B1608" t="s">
        <v>12134</v>
      </c>
      <c r="C1608" t="s">
        <v>12135</v>
      </c>
      <c r="E1608">
        <v>93.478260869565219</v>
      </c>
      <c r="F1608" t="s">
        <v>12049</v>
      </c>
    </row>
    <row r="1609" spans="1:6">
      <c r="A1609" s="306"/>
      <c r="B1609" t="s">
        <v>12136</v>
      </c>
      <c r="C1609" t="s">
        <v>12137</v>
      </c>
      <c r="E1609">
        <v>23310.869565217392</v>
      </c>
      <c r="F1609" t="s">
        <v>12049</v>
      </c>
    </row>
    <row r="1610" spans="1:6">
      <c r="A1610" s="306"/>
      <c r="B1610" t="s">
        <v>12138</v>
      </c>
      <c r="C1610" t="s">
        <v>12139</v>
      </c>
      <c r="E1610">
        <v>164.13043478260869</v>
      </c>
      <c r="F1610" t="s">
        <v>12049</v>
      </c>
    </row>
    <row r="1611" spans="1:6">
      <c r="A1611" s="306"/>
      <c r="B1611" t="s">
        <v>12140</v>
      </c>
      <c r="C1611" t="s">
        <v>12141</v>
      </c>
      <c r="E1611">
        <v>41135.869565217392</v>
      </c>
      <c r="F1611" t="s">
        <v>12049</v>
      </c>
    </row>
    <row r="1612" spans="1:6">
      <c r="A1612" s="306"/>
      <c r="B1612" t="s">
        <v>12142</v>
      </c>
      <c r="C1612" t="s">
        <v>12143</v>
      </c>
      <c r="E1612">
        <v>214.13043478260869</v>
      </c>
      <c r="F1612" t="s">
        <v>12049</v>
      </c>
    </row>
    <row r="1613" spans="1:6">
      <c r="A1613" s="306"/>
      <c r="B1613" t="s">
        <v>12144</v>
      </c>
      <c r="C1613" t="s">
        <v>12145</v>
      </c>
      <c r="E1613">
        <v>53477.173913043473</v>
      </c>
      <c r="F1613" t="s">
        <v>12049</v>
      </c>
    </row>
    <row r="1614" spans="1:6">
      <c r="A1614" s="306"/>
      <c r="B1614" t="s">
        <v>12146</v>
      </c>
    </row>
    <row r="1615" spans="1:6">
      <c r="A1615" s="306"/>
      <c r="B1615" t="s">
        <v>7483</v>
      </c>
      <c r="C1615" t="s">
        <v>7484</v>
      </c>
      <c r="E1615">
        <v>22955.434782608696</v>
      </c>
      <c r="F1615" t="s">
        <v>11989</v>
      </c>
    </row>
    <row r="1616" spans="1:6">
      <c r="A1616" s="306"/>
      <c r="B1616" t="s">
        <v>7485</v>
      </c>
      <c r="C1616" t="s">
        <v>7486</v>
      </c>
      <c r="E1616">
        <v>31588.043478260868</v>
      </c>
      <c r="F1616" t="s">
        <v>11989</v>
      </c>
    </row>
    <row r="1617" spans="1:6">
      <c r="A1617" s="306"/>
      <c r="B1617" t="s">
        <v>7479</v>
      </c>
      <c r="C1617" t="s">
        <v>7480</v>
      </c>
      <c r="E1617">
        <v>92.391304347826079</v>
      </c>
      <c r="F1617" t="s">
        <v>11989</v>
      </c>
    </row>
    <row r="1618" spans="1:6">
      <c r="A1618" s="306"/>
      <c r="B1618" t="s">
        <v>7481</v>
      </c>
      <c r="C1618" t="s">
        <v>7482</v>
      </c>
      <c r="E1618">
        <v>127.17391304347825</v>
      </c>
      <c r="F1618" t="s">
        <v>11989</v>
      </c>
    </row>
    <row r="1619" spans="1:6">
      <c r="A1619" s="306"/>
      <c r="B1619" t="s">
        <v>7507</v>
      </c>
      <c r="C1619" t="s">
        <v>7508</v>
      </c>
      <c r="E1619">
        <v>1196783.6956521738</v>
      </c>
      <c r="F1619" t="s">
        <v>11989</v>
      </c>
    </row>
    <row r="1620" spans="1:6">
      <c r="A1620" s="306"/>
      <c r="B1620" t="s">
        <v>7509</v>
      </c>
      <c r="C1620" t="s">
        <v>7510</v>
      </c>
      <c r="E1620">
        <v>1628409.7826086956</v>
      </c>
      <c r="F1620" t="s">
        <v>11989</v>
      </c>
    </row>
    <row r="1621" spans="1:6">
      <c r="A1621" s="306"/>
      <c r="B1621" t="s">
        <v>7503</v>
      </c>
      <c r="C1621" t="s">
        <v>7504</v>
      </c>
      <c r="E1621">
        <v>4788.0434782608691</v>
      </c>
      <c r="F1621" t="s">
        <v>11989</v>
      </c>
    </row>
    <row r="1622" spans="1:6">
      <c r="A1622" s="306"/>
      <c r="B1622" t="s">
        <v>7505</v>
      </c>
      <c r="C1622" t="s">
        <v>7506</v>
      </c>
      <c r="E1622">
        <v>6514.1304347826081</v>
      </c>
      <c r="F1622" t="s">
        <v>11989</v>
      </c>
    </row>
    <row r="1623" spans="1:6">
      <c r="A1623" s="306"/>
      <c r="B1623" t="s">
        <v>7515</v>
      </c>
      <c r="C1623" t="s">
        <v>7516</v>
      </c>
      <c r="E1623">
        <v>23935.869565217392</v>
      </c>
      <c r="F1623" t="s">
        <v>11989</v>
      </c>
    </row>
    <row r="1624" spans="1:6">
      <c r="A1624" s="306"/>
      <c r="B1624" t="s">
        <v>7517</v>
      </c>
      <c r="C1624" t="s">
        <v>7518</v>
      </c>
      <c r="E1624">
        <v>32568.478260869564</v>
      </c>
      <c r="F1624" t="s">
        <v>11989</v>
      </c>
    </row>
    <row r="1625" spans="1:6">
      <c r="A1625" s="306"/>
      <c r="B1625" t="s">
        <v>7511</v>
      </c>
      <c r="C1625" t="s">
        <v>7512</v>
      </c>
      <c r="E1625">
        <v>96.739130434782609</v>
      </c>
      <c r="F1625" t="s">
        <v>11989</v>
      </c>
    </row>
    <row r="1626" spans="1:6">
      <c r="A1626" s="306"/>
      <c r="B1626" t="s">
        <v>7513</v>
      </c>
      <c r="C1626" t="s">
        <v>7514</v>
      </c>
      <c r="E1626">
        <v>130.43478260869566</v>
      </c>
      <c r="F1626" t="s">
        <v>11989</v>
      </c>
    </row>
    <row r="1627" spans="1:6">
      <c r="A1627" s="306"/>
      <c r="B1627" t="s">
        <v>7499</v>
      </c>
      <c r="C1627" t="s">
        <v>7500</v>
      </c>
      <c r="E1627">
        <v>598392.39130434778</v>
      </c>
      <c r="F1627" t="s">
        <v>11989</v>
      </c>
    </row>
    <row r="1628" spans="1:6">
      <c r="A1628" s="306"/>
      <c r="B1628" t="s">
        <v>7501</v>
      </c>
      <c r="C1628" t="s">
        <v>7502</v>
      </c>
      <c r="E1628">
        <v>814205.43478260865</v>
      </c>
      <c r="F1628" t="s">
        <v>11989</v>
      </c>
    </row>
    <row r="1629" spans="1:6">
      <c r="A1629" s="306"/>
      <c r="B1629" t="s">
        <v>7495</v>
      </c>
      <c r="C1629" t="s">
        <v>7496</v>
      </c>
      <c r="E1629">
        <v>2394.565217391304</v>
      </c>
      <c r="F1629" t="s">
        <v>11989</v>
      </c>
    </row>
    <row r="1630" spans="1:6">
      <c r="A1630" s="306"/>
      <c r="B1630" t="s">
        <v>7497</v>
      </c>
      <c r="C1630" t="s">
        <v>7498</v>
      </c>
      <c r="E1630">
        <v>3257.608695652174</v>
      </c>
      <c r="F1630" t="s">
        <v>11989</v>
      </c>
    </row>
    <row r="1631" spans="1:6">
      <c r="A1631" s="306"/>
      <c r="B1631" t="s">
        <v>7475</v>
      </c>
      <c r="C1631" t="s">
        <v>7476</v>
      </c>
      <c r="E1631">
        <v>36100</v>
      </c>
      <c r="F1631" t="s">
        <v>11989</v>
      </c>
    </row>
    <row r="1632" spans="1:6">
      <c r="A1632" s="306"/>
      <c r="B1632" t="s">
        <v>7477</v>
      </c>
      <c r="C1632" t="s">
        <v>7478</v>
      </c>
      <c r="E1632">
        <v>49441.304347826088</v>
      </c>
      <c r="F1632" t="s">
        <v>11989</v>
      </c>
    </row>
    <row r="1633" spans="1:6">
      <c r="A1633" s="306"/>
      <c r="B1633" t="s">
        <v>7471</v>
      </c>
      <c r="C1633" t="s">
        <v>7472</v>
      </c>
      <c r="E1633">
        <v>144.56521739130434</v>
      </c>
      <c r="F1633" t="s">
        <v>11989</v>
      </c>
    </row>
    <row r="1634" spans="1:6">
      <c r="A1634" s="306"/>
      <c r="B1634" t="s">
        <v>7473</v>
      </c>
      <c r="C1634" t="s">
        <v>7474</v>
      </c>
      <c r="E1634">
        <v>197.82608695652172</v>
      </c>
      <c r="F1634" t="s">
        <v>11989</v>
      </c>
    </row>
    <row r="1635" spans="1:6">
      <c r="A1635" s="306"/>
      <c r="B1635" t="s">
        <v>7491</v>
      </c>
      <c r="C1635" t="s">
        <v>7492</v>
      </c>
      <c r="E1635">
        <v>18834.782608695652</v>
      </c>
      <c r="F1635" t="s">
        <v>11989</v>
      </c>
    </row>
    <row r="1636" spans="1:6">
      <c r="A1636" s="306"/>
      <c r="B1636" t="s">
        <v>7493</v>
      </c>
      <c r="C1636" t="s">
        <v>7494</v>
      </c>
      <c r="E1636">
        <v>25897.82608695652</v>
      </c>
      <c r="F1636" t="s">
        <v>11989</v>
      </c>
    </row>
    <row r="1637" spans="1:6">
      <c r="A1637" s="306"/>
      <c r="B1637" t="s">
        <v>7487</v>
      </c>
      <c r="C1637" t="s">
        <v>7488</v>
      </c>
      <c r="E1637">
        <v>76.086956521739125</v>
      </c>
      <c r="F1637" t="s">
        <v>11989</v>
      </c>
    </row>
    <row r="1638" spans="1:6">
      <c r="A1638" s="306"/>
      <c r="B1638" t="s">
        <v>7489</v>
      </c>
      <c r="C1638" t="s">
        <v>7490</v>
      </c>
      <c r="E1638">
        <v>104.34782608695652</v>
      </c>
      <c r="F1638" t="s">
        <v>11989</v>
      </c>
    </row>
    <row r="1639" spans="1:6">
      <c r="A1639" s="306"/>
      <c r="B1639" t="s">
        <v>7525</v>
      </c>
      <c r="C1639" t="s">
        <v>7526</v>
      </c>
      <c r="E1639">
        <v>5297.8260869565211</v>
      </c>
      <c r="F1639" t="s">
        <v>11989</v>
      </c>
    </row>
    <row r="1640" spans="1:6">
      <c r="A1640" s="306"/>
      <c r="B1640" t="s">
        <v>7519</v>
      </c>
      <c r="C1640" t="s">
        <v>7520</v>
      </c>
      <c r="E1640">
        <v>4788.0434782608691</v>
      </c>
      <c r="F1640" t="s">
        <v>11989</v>
      </c>
    </row>
    <row r="1641" spans="1:6">
      <c r="A1641" s="306"/>
      <c r="B1641" t="s">
        <v>7527</v>
      </c>
      <c r="C1641" t="s">
        <v>7528</v>
      </c>
      <c r="E1641">
        <v>7632.608695652174</v>
      </c>
      <c r="F1641" t="s">
        <v>11989</v>
      </c>
    </row>
    <row r="1642" spans="1:6">
      <c r="A1642" s="306"/>
      <c r="B1642" t="s">
        <v>7521</v>
      </c>
      <c r="C1642" t="s">
        <v>7522</v>
      </c>
      <c r="E1642">
        <v>6255.4347826086951</v>
      </c>
      <c r="F1642" t="s">
        <v>11989</v>
      </c>
    </row>
    <row r="1643" spans="1:6">
      <c r="A1643" s="306"/>
      <c r="B1643" t="s">
        <v>7529</v>
      </c>
      <c r="C1643" t="s">
        <v>7530</v>
      </c>
      <c r="E1643">
        <v>10104.347826086956</v>
      </c>
      <c r="F1643" t="s">
        <v>11989</v>
      </c>
    </row>
    <row r="1644" spans="1:6">
      <c r="A1644" s="306"/>
      <c r="B1644" t="s">
        <v>7523</v>
      </c>
      <c r="C1644" t="s">
        <v>7524</v>
      </c>
      <c r="E1644">
        <v>7808.695652173913</v>
      </c>
      <c r="F1644" t="s">
        <v>11989</v>
      </c>
    </row>
    <row r="1645" spans="1:6">
      <c r="A1645" s="306"/>
      <c r="B1645" t="s">
        <v>7585</v>
      </c>
      <c r="C1645" t="s">
        <v>7586</v>
      </c>
      <c r="E1645">
        <v>662155.43478260865</v>
      </c>
      <c r="F1645" t="s">
        <v>11989</v>
      </c>
    </row>
    <row r="1646" spans="1:6">
      <c r="A1646" s="306"/>
      <c r="B1646" t="s">
        <v>7579</v>
      </c>
      <c r="C1646" t="s">
        <v>7580</v>
      </c>
      <c r="E1646">
        <v>598392.39130434778</v>
      </c>
      <c r="F1646" t="s">
        <v>11989</v>
      </c>
    </row>
    <row r="1647" spans="1:6">
      <c r="A1647" s="306"/>
      <c r="B1647" t="s">
        <v>7587</v>
      </c>
      <c r="C1647" t="s">
        <v>7588</v>
      </c>
      <c r="E1647">
        <v>953993.47826086951</v>
      </c>
      <c r="F1647" t="s">
        <v>11989</v>
      </c>
    </row>
    <row r="1648" spans="1:6">
      <c r="A1648" s="306"/>
      <c r="B1648" t="s">
        <v>7581</v>
      </c>
      <c r="C1648" t="s">
        <v>7582</v>
      </c>
      <c r="E1648">
        <v>781833.69565217383</v>
      </c>
      <c r="F1648" t="s">
        <v>11989</v>
      </c>
    </row>
    <row r="1649" spans="1:6">
      <c r="A1649" s="306"/>
      <c r="B1649" t="s">
        <v>7589</v>
      </c>
      <c r="C1649" t="s">
        <v>7590</v>
      </c>
      <c r="E1649">
        <v>1262998.9130434783</v>
      </c>
      <c r="F1649" t="s">
        <v>11989</v>
      </c>
    </row>
    <row r="1650" spans="1:6">
      <c r="A1650" s="306"/>
      <c r="B1650" t="s">
        <v>7583</v>
      </c>
      <c r="C1650" t="s">
        <v>7584</v>
      </c>
      <c r="E1650">
        <v>976065.21739130432</v>
      </c>
      <c r="F1650" t="s">
        <v>11989</v>
      </c>
    </row>
    <row r="1651" spans="1:6">
      <c r="A1651" s="306"/>
      <c r="B1651" t="s">
        <v>7573</v>
      </c>
      <c r="C1651" t="s">
        <v>7574</v>
      </c>
      <c r="E1651">
        <v>2648.9130434782605</v>
      </c>
      <c r="F1651" t="s">
        <v>11989</v>
      </c>
    </row>
    <row r="1652" spans="1:6">
      <c r="A1652" s="306"/>
      <c r="B1652" t="s">
        <v>7567</v>
      </c>
      <c r="C1652" t="s">
        <v>7568</v>
      </c>
      <c r="E1652">
        <v>2394.565217391304</v>
      </c>
      <c r="F1652" t="s">
        <v>11989</v>
      </c>
    </row>
    <row r="1653" spans="1:6">
      <c r="A1653" s="306"/>
      <c r="B1653" t="s">
        <v>7575</v>
      </c>
      <c r="C1653" t="s">
        <v>7576</v>
      </c>
      <c r="E1653">
        <v>3816.304347826087</v>
      </c>
      <c r="F1653" t="s">
        <v>11989</v>
      </c>
    </row>
    <row r="1654" spans="1:6">
      <c r="A1654" s="306"/>
      <c r="B1654" t="s">
        <v>7569</v>
      </c>
      <c r="C1654" t="s">
        <v>7570</v>
      </c>
      <c r="E1654">
        <v>3128.260869565217</v>
      </c>
      <c r="F1654" t="s">
        <v>11989</v>
      </c>
    </row>
    <row r="1655" spans="1:6">
      <c r="A1655" s="306"/>
      <c r="B1655" t="s">
        <v>7577</v>
      </c>
      <c r="C1655" t="s">
        <v>7578</v>
      </c>
      <c r="E1655">
        <v>5052.173913043478</v>
      </c>
      <c r="F1655" t="s">
        <v>11989</v>
      </c>
    </row>
    <row r="1656" spans="1:6">
      <c r="A1656" s="306"/>
      <c r="B1656" t="s">
        <v>7571</v>
      </c>
      <c r="C1656" t="s">
        <v>7572</v>
      </c>
      <c r="E1656">
        <v>3904.3478260869565</v>
      </c>
      <c r="F1656" t="s">
        <v>11989</v>
      </c>
    </row>
    <row r="1657" spans="1:6">
      <c r="A1657" s="306"/>
      <c r="B1657" t="s">
        <v>7537</v>
      </c>
      <c r="C1657" t="s">
        <v>7538</v>
      </c>
      <c r="E1657">
        <v>10594.565217391304</v>
      </c>
      <c r="F1657" t="s">
        <v>11989</v>
      </c>
    </row>
    <row r="1658" spans="1:6">
      <c r="A1658" s="306"/>
      <c r="B1658" t="s">
        <v>7531</v>
      </c>
      <c r="C1658" t="s">
        <v>7532</v>
      </c>
      <c r="E1658">
        <v>9575</v>
      </c>
      <c r="F1658" t="s">
        <v>11989</v>
      </c>
    </row>
    <row r="1659" spans="1:6">
      <c r="A1659" s="306"/>
      <c r="B1659" t="s">
        <v>7539</v>
      </c>
      <c r="C1659" t="s">
        <v>7540</v>
      </c>
      <c r="E1659">
        <v>15264.130434782608</v>
      </c>
      <c r="F1659" t="s">
        <v>11989</v>
      </c>
    </row>
    <row r="1660" spans="1:6">
      <c r="A1660" s="306"/>
      <c r="B1660" t="s">
        <v>7533</v>
      </c>
      <c r="C1660" t="s">
        <v>7534</v>
      </c>
      <c r="E1660">
        <v>12509.782608695652</v>
      </c>
      <c r="F1660" t="s">
        <v>11989</v>
      </c>
    </row>
    <row r="1661" spans="1:6">
      <c r="A1661" s="306"/>
      <c r="B1661" t="s">
        <v>7541</v>
      </c>
      <c r="C1661" t="s">
        <v>7542</v>
      </c>
      <c r="E1661">
        <v>20208.695652173912</v>
      </c>
      <c r="F1661" t="s">
        <v>11989</v>
      </c>
    </row>
    <row r="1662" spans="1:6">
      <c r="A1662" s="306"/>
      <c r="B1662" t="s">
        <v>7535</v>
      </c>
      <c r="C1662" t="s">
        <v>7536</v>
      </c>
      <c r="E1662">
        <v>15617.391304347826</v>
      </c>
      <c r="F1662" t="s">
        <v>11989</v>
      </c>
    </row>
    <row r="1663" spans="1:6">
      <c r="A1663" s="306"/>
      <c r="B1663" t="s">
        <v>7561</v>
      </c>
      <c r="C1663" t="s">
        <v>7562</v>
      </c>
      <c r="E1663">
        <v>22514.130434782608</v>
      </c>
      <c r="F1663" t="s">
        <v>11989</v>
      </c>
    </row>
    <row r="1664" spans="1:6">
      <c r="A1664" s="306"/>
      <c r="B1664" t="s">
        <v>7555</v>
      </c>
      <c r="C1664" t="s">
        <v>7556</v>
      </c>
      <c r="E1664">
        <v>20345.652173913044</v>
      </c>
      <c r="F1664" t="s">
        <v>11989</v>
      </c>
    </row>
    <row r="1665" spans="1:7">
      <c r="A1665" s="306"/>
      <c r="B1665" t="s">
        <v>7563</v>
      </c>
      <c r="C1665" t="s">
        <v>7564</v>
      </c>
      <c r="E1665">
        <v>32435.869565217388</v>
      </c>
      <c r="F1665" t="s">
        <v>11989</v>
      </c>
    </row>
    <row r="1666" spans="1:7">
      <c r="A1666" s="306"/>
      <c r="B1666" t="s">
        <v>7557</v>
      </c>
      <c r="C1666" t="s">
        <v>7558</v>
      </c>
      <c r="E1666">
        <v>26582.608695652172</v>
      </c>
      <c r="F1666" t="s">
        <v>11989</v>
      </c>
    </row>
    <row r="1667" spans="1:7">
      <c r="A1667" s="306"/>
      <c r="B1667" t="s">
        <v>7565</v>
      </c>
      <c r="C1667" t="s">
        <v>7566</v>
      </c>
      <c r="E1667">
        <v>42942.391304347824</v>
      </c>
      <c r="F1667" t="s">
        <v>11989</v>
      </c>
    </row>
    <row r="1668" spans="1:7">
      <c r="A1668" s="306"/>
      <c r="B1668" t="s">
        <v>7559</v>
      </c>
      <c r="C1668" t="s">
        <v>7560</v>
      </c>
      <c r="E1668">
        <v>33186.956521739128</v>
      </c>
      <c r="F1668" t="s">
        <v>11989</v>
      </c>
    </row>
    <row r="1669" spans="1:7">
      <c r="A1669" s="306"/>
      <c r="B1669" t="s">
        <v>7549</v>
      </c>
      <c r="C1669" t="s">
        <v>7550</v>
      </c>
      <c r="E1669">
        <v>90.217391304347828</v>
      </c>
      <c r="F1669" t="s">
        <v>11989</v>
      </c>
    </row>
    <row r="1670" spans="1:7">
      <c r="A1670" s="306"/>
      <c r="B1670" t="s">
        <v>7543</v>
      </c>
      <c r="C1670" t="s">
        <v>7544</v>
      </c>
      <c r="E1670">
        <v>81.521739130434781</v>
      </c>
      <c r="F1670" t="s">
        <v>11989</v>
      </c>
    </row>
    <row r="1671" spans="1:7">
      <c r="A1671" s="306"/>
      <c r="B1671" t="s">
        <v>7551</v>
      </c>
      <c r="C1671" t="s">
        <v>7552</v>
      </c>
      <c r="E1671">
        <v>130.43478260869566</v>
      </c>
      <c r="F1671" t="s">
        <v>11989</v>
      </c>
    </row>
    <row r="1672" spans="1:7">
      <c r="A1672" s="306"/>
      <c r="B1672" t="s">
        <v>7545</v>
      </c>
      <c r="C1672" t="s">
        <v>7546</v>
      </c>
      <c r="E1672">
        <v>106.52173913043478</v>
      </c>
      <c r="F1672" t="s">
        <v>11989</v>
      </c>
    </row>
    <row r="1673" spans="1:7">
      <c r="A1673" s="306"/>
      <c r="B1673" t="s">
        <v>7553</v>
      </c>
      <c r="C1673" t="s">
        <v>7554</v>
      </c>
      <c r="E1673">
        <v>172.82608695652172</v>
      </c>
      <c r="F1673" t="s">
        <v>11989</v>
      </c>
    </row>
    <row r="1674" spans="1:7">
      <c r="A1674" s="306"/>
      <c r="B1674" t="s">
        <v>7547</v>
      </c>
      <c r="C1674" t="s">
        <v>7548</v>
      </c>
      <c r="E1674">
        <v>133.69565217391303</v>
      </c>
      <c r="F1674" t="s">
        <v>11989</v>
      </c>
    </row>
    <row r="1675" spans="1:7">
      <c r="A1675" s="306"/>
      <c r="B1675" t="s">
        <v>12147</v>
      </c>
    </row>
    <row r="1676" spans="1:7">
      <c r="A1676" s="306"/>
      <c r="B1676" t="s">
        <v>7639</v>
      </c>
      <c r="C1676" t="s">
        <v>7640</v>
      </c>
      <c r="E1676">
        <v>2833.695652173913</v>
      </c>
      <c r="F1676" t="s">
        <v>11989</v>
      </c>
      <c r="G1676" t="s">
        <v>11306</v>
      </c>
    </row>
    <row r="1677" spans="1:7">
      <c r="A1677" s="306"/>
      <c r="B1677" t="s">
        <v>7637</v>
      </c>
      <c r="C1677" t="s">
        <v>7638</v>
      </c>
      <c r="E1677">
        <v>3464.1304347826085</v>
      </c>
      <c r="F1677" t="s">
        <v>11989</v>
      </c>
    </row>
    <row r="1678" spans="1:7">
      <c r="A1678" s="306"/>
      <c r="B1678" t="s">
        <v>12148</v>
      </c>
    </row>
    <row r="1679" spans="1:7">
      <c r="A1679" s="306"/>
      <c r="B1679" t="s">
        <v>7455</v>
      </c>
      <c r="C1679" t="s">
        <v>7456</v>
      </c>
      <c r="E1679">
        <v>1035.8695652173913</v>
      </c>
      <c r="F1679" t="s">
        <v>11989</v>
      </c>
    </row>
    <row r="1680" spans="1:7">
      <c r="A1680" s="306"/>
      <c r="B1680" t="s">
        <v>7457</v>
      </c>
      <c r="C1680" t="s">
        <v>7458</v>
      </c>
      <c r="E1680">
        <v>1561.9565217391303</v>
      </c>
      <c r="F1680" t="s">
        <v>11989</v>
      </c>
    </row>
    <row r="1681" spans="1:6">
      <c r="A1681" s="306"/>
      <c r="B1681" t="s">
        <v>12149</v>
      </c>
    </row>
    <row r="1682" spans="1:6">
      <c r="A1682" s="306"/>
      <c r="B1682" t="s">
        <v>7591</v>
      </c>
      <c r="C1682" t="s">
        <v>7592</v>
      </c>
      <c r="E1682">
        <v>1207.6086956521738</v>
      </c>
      <c r="F1682" t="s">
        <v>11989</v>
      </c>
    </row>
    <row r="1683" spans="1:6">
      <c r="A1683" s="306"/>
      <c r="B1683" t="s">
        <v>7595</v>
      </c>
      <c r="C1683" t="s">
        <v>7596</v>
      </c>
      <c r="E1683">
        <v>604.3478260869565</v>
      </c>
      <c r="F1683" t="s">
        <v>11989</v>
      </c>
    </row>
    <row r="1684" spans="1:6">
      <c r="A1684" s="306"/>
      <c r="B1684" t="s">
        <v>7599</v>
      </c>
      <c r="C1684" t="s">
        <v>7600</v>
      </c>
      <c r="E1684">
        <v>48.913043478260867</v>
      </c>
      <c r="F1684" t="s">
        <v>11989</v>
      </c>
    </row>
    <row r="1685" spans="1:6">
      <c r="A1685" s="306"/>
      <c r="B1685" t="s">
        <v>7601</v>
      </c>
      <c r="C1685" t="s">
        <v>7602</v>
      </c>
      <c r="E1685">
        <v>25</v>
      </c>
      <c r="F1685" t="s">
        <v>11989</v>
      </c>
    </row>
    <row r="1686" spans="1:6">
      <c r="A1686" s="306"/>
      <c r="B1686" t="s">
        <v>7176</v>
      </c>
      <c r="C1686" t="s">
        <v>7177</v>
      </c>
      <c r="E1686">
        <v>1207.6086956521738</v>
      </c>
      <c r="F1686" t="s">
        <v>11989</v>
      </c>
    </row>
    <row r="1687" spans="1:6">
      <c r="A1687" s="306"/>
      <c r="B1687" t="s">
        <v>7178</v>
      </c>
      <c r="C1687" t="s">
        <v>7179</v>
      </c>
      <c r="E1687">
        <v>1690.2173913043478</v>
      </c>
      <c r="F1687" t="s">
        <v>11989</v>
      </c>
    </row>
    <row r="1688" spans="1:6">
      <c r="A1688" s="306"/>
      <c r="B1688" t="s">
        <v>7593</v>
      </c>
      <c r="C1688" t="s">
        <v>7594</v>
      </c>
      <c r="E1688">
        <v>1690.2173913043478</v>
      </c>
      <c r="F1688" t="s">
        <v>11989</v>
      </c>
    </row>
    <row r="1689" spans="1:6">
      <c r="A1689" s="306"/>
      <c r="B1689" t="s">
        <v>7597</v>
      </c>
      <c r="C1689" t="s">
        <v>7598</v>
      </c>
      <c r="E1689">
        <v>845.6521739130435</v>
      </c>
      <c r="F1689" t="s">
        <v>11989</v>
      </c>
    </row>
    <row r="1690" spans="1:6">
      <c r="A1690" s="306"/>
      <c r="B1690" t="s">
        <v>7603</v>
      </c>
      <c r="C1690" t="s">
        <v>7604</v>
      </c>
      <c r="E1690">
        <v>1207.6086956521738</v>
      </c>
      <c r="F1690" t="s">
        <v>11989</v>
      </c>
    </row>
    <row r="1691" spans="1:6">
      <c r="A1691" s="306"/>
      <c r="B1691" t="s">
        <v>7605</v>
      </c>
      <c r="C1691" t="s">
        <v>7606</v>
      </c>
      <c r="E1691">
        <v>1207.6086956521738</v>
      </c>
      <c r="F1691" t="s">
        <v>11989</v>
      </c>
    </row>
    <row r="1692" spans="1:6">
      <c r="A1692" s="306"/>
      <c r="B1692" t="s">
        <v>7607</v>
      </c>
      <c r="C1692" t="s">
        <v>7608</v>
      </c>
      <c r="E1692">
        <v>604.3478260869565</v>
      </c>
      <c r="F1692" t="s">
        <v>11989</v>
      </c>
    </row>
    <row r="1693" spans="1:6">
      <c r="A1693" s="306"/>
      <c r="B1693" t="s">
        <v>2570</v>
      </c>
    </row>
    <row r="1694" spans="1:6">
      <c r="A1694" s="306"/>
      <c r="B1694" t="s">
        <v>7657</v>
      </c>
      <c r="C1694" t="s">
        <v>7658</v>
      </c>
      <c r="E1694">
        <v>4645.652173913043</v>
      </c>
      <c r="F1694" t="s">
        <v>11989</v>
      </c>
    </row>
    <row r="1695" spans="1:6">
      <c r="A1695" s="306"/>
      <c r="B1695" t="s">
        <v>12150</v>
      </c>
    </row>
    <row r="1696" spans="1:6">
      <c r="A1696" s="306"/>
      <c r="B1696" t="s">
        <v>7220</v>
      </c>
      <c r="C1696" t="s">
        <v>7221</v>
      </c>
      <c r="E1696">
        <v>100</v>
      </c>
      <c r="F1696" t="s">
        <v>11989</v>
      </c>
    </row>
    <row r="1697" spans="1:6">
      <c r="A1697" s="306"/>
      <c r="B1697" t="s">
        <v>7222</v>
      </c>
      <c r="C1697" t="s">
        <v>7223</v>
      </c>
      <c r="E1697">
        <v>24780.434782608696</v>
      </c>
      <c r="F1697" t="s">
        <v>11989</v>
      </c>
    </row>
    <row r="1698" spans="1:6">
      <c r="A1698" s="306"/>
      <c r="B1698" t="s">
        <v>7224</v>
      </c>
      <c r="C1698" t="s">
        <v>7225</v>
      </c>
      <c r="E1698">
        <v>2.1739130434782608</v>
      </c>
      <c r="F1698" t="s">
        <v>11989</v>
      </c>
    </row>
    <row r="1699" spans="1:6">
      <c r="A1699" s="306"/>
      <c r="B1699" t="s">
        <v>7226</v>
      </c>
      <c r="C1699" t="s">
        <v>7227</v>
      </c>
      <c r="E1699">
        <v>296.73913043478262</v>
      </c>
      <c r="F1699" t="s">
        <v>11989</v>
      </c>
    </row>
    <row r="1700" spans="1:6">
      <c r="A1700" s="306"/>
      <c r="B1700" t="s">
        <v>7228</v>
      </c>
      <c r="C1700" t="s">
        <v>7229</v>
      </c>
      <c r="E1700">
        <v>8.695652173913043</v>
      </c>
      <c r="F1700" t="s">
        <v>11989</v>
      </c>
    </row>
    <row r="1701" spans="1:6">
      <c r="A1701" s="306"/>
      <c r="B1701" t="s">
        <v>7230</v>
      </c>
      <c r="C1701" t="s">
        <v>7231</v>
      </c>
      <c r="E1701">
        <v>1919.5652173913043</v>
      </c>
      <c r="F1701" t="s">
        <v>11989</v>
      </c>
    </row>
    <row r="1702" spans="1:6">
      <c r="A1702" s="306"/>
      <c r="B1702" t="s">
        <v>7232</v>
      </c>
      <c r="C1702" t="s">
        <v>7233</v>
      </c>
      <c r="E1702">
        <v>139.13043478260869</v>
      </c>
      <c r="F1702" t="s">
        <v>11989</v>
      </c>
    </row>
    <row r="1703" spans="1:6">
      <c r="A1703" s="306"/>
      <c r="B1703" t="s">
        <v>7234</v>
      </c>
      <c r="C1703" t="s">
        <v>7235</v>
      </c>
      <c r="E1703">
        <v>34678.260869565216</v>
      </c>
      <c r="F1703" t="s">
        <v>11989</v>
      </c>
    </row>
    <row r="1704" spans="1:6">
      <c r="A1704" s="306"/>
      <c r="B1704" t="s">
        <v>7236</v>
      </c>
      <c r="C1704" t="s">
        <v>7237</v>
      </c>
      <c r="E1704">
        <v>2.1739130434782608</v>
      </c>
      <c r="F1704" t="s">
        <v>11989</v>
      </c>
    </row>
    <row r="1705" spans="1:6">
      <c r="A1705" s="306"/>
      <c r="B1705" t="s">
        <v>7238</v>
      </c>
      <c r="C1705" t="s">
        <v>7239</v>
      </c>
      <c r="E1705">
        <v>418.47826086956519</v>
      </c>
      <c r="F1705" t="s">
        <v>11989</v>
      </c>
    </row>
    <row r="1706" spans="1:6">
      <c r="A1706" s="306"/>
      <c r="B1706" t="s">
        <v>7240</v>
      </c>
      <c r="C1706" t="s">
        <v>7241</v>
      </c>
      <c r="E1706">
        <v>10.869565217391305</v>
      </c>
      <c r="F1706" t="s">
        <v>11989</v>
      </c>
    </row>
    <row r="1707" spans="1:6">
      <c r="A1707" s="306"/>
      <c r="B1707" t="s">
        <v>7242</v>
      </c>
      <c r="C1707" t="s">
        <v>7243</v>
      </c>
      <c r="E1707">
        <v>2690.2173913043475</v>
      </c>
      <c r="F1707" t="s">
        <v>11989</v>
      </c>
    </row>
    <row r="1708" spans="1:6">
      <c r="A1708" s="306"/>
      <c r="B1708" t="s">
        <v>7244</v>
      </c>
      <c r="C1708" t="s">
        <v>7245</v>
      </c>
      <c r="E1708">
        <v>183.69565217391303</v>
      </c>
      <c r="F1708" t="s">
        <v>11989</v>
      </c>
    </row>
    <row r="1709" spans="1:6">
      <c r="A1709" s="306"/>
      <c r="B1709" t="s">
        <v>7246</v>
      </c>
      <c r="C1709" t="s">
        <v>7247</v>
      </c>
      <c r="E1709">
        <v>45728.260869565216</v>
      </c>
      <c r="F1709" t="s">
        <v>11989</v>
      </c>
    </row>
    <row r="1710" spans="1:6">
      <c r="A1710" s="306"/>
      <c r="B1710" t="s">
        <v>7248</v>
      </c>
      <c r="C1710" t="s">
        <v>7249</v>
      </c>
      <c r="E1710">
        <v>3.2608695652173911</v>
      </c>
      <c r="F1710" t="s">
        <v>11989</v>
      </c>
    </row>
    <row r="1711" spans="1:6">
      <c r="A1711" s="306"/>
      <c r="B1711" t="s">
        <v>7250</v>
      </c>
      <c r="C1711" t="s">
        <v>7251</v>
      </c>
      <c r="E1711">
        <v>552.17391304347825</v>
      </c>
      <c r="F1711" t="s">
        <v>11989</v>
      </c>
    </row>
    <row r="1712" spans="1:6">
      <c r="A1712" s="306"/>
      <c r="B1712" t="s">
        <v>7252</v>
      </c>
      <c r="C1712" t="s">
        <v>7253</v>
      </c>
      <c r="E1712">
        <v>15.217391304347826</v>
      </c>
      <c r="F1712" t="s">
        <v>11989</v>
      </c>
    </row>
    <row r="1713" spans="1:6">
      <c r="A1713" s="306"/>
      <c r="B1713" t="s">
        <v>7254</v>
      </c>
      <c r="C1713" t="s">
        <v>7255</v>
      </c>
      <c r="E1713">
        <v>3552.173913043478</v>
      </c>
      <c r="F1713" t="s">
        <v>11989</v>
      </c>
    </row>
    <row r="1714" spans="1:6">
      <c r="A1714" s="306"/>
      <c r="B1714" t="s">
        <v>7256</v>
      </c>
      <c r="C1714" t="s">
        <v>7257</v>
      </c>
      <c r="E1714">
        <v>3868.478260869565</v>
      </c>
      <c r="F1714" t="s">
        <v>11989</v>
      </c>
    </row>
    <row r="1715" spans="1:6">
      <c r="A1715" s="306"/>
      <c r="B1715" t="s">
        <v>7258</v>
      </c>
      <c r="C1715" t="s">
        <v>7259</v>
      </c>
      <c r="E1715">
        <v>966946.7391304347</v>
      </c>
      <c r="F1715" t="s">
        <v>11989</v>
      </c>
    </row>
    <row r="1716" spans="1:6">
      <c r="A1716" s="306"/>
      <c r="B1716" t="s">
        <v>7260</v>
      </c>
      <c r="C1716" t="s">
        <v>7261</v>
      </c>
      <c r="E1716">
        <v>45.652173913043477</v>
      </c>
      <c r="F1716" t="s">
        <v>11989</v>
      </c>
    </row>
    <row r="1717" spans="1:6">
      <c r="A1717" s="306"/>
      <c r="B1717" t="s">
        <v>7262</v>
      </c>
      <c r="C1717" t="s">
        <v>7263</v>
      </c>
      <c r="E1717">
        <v>11313.04347826087</v>
      </c>
      <c r="F1717" t="s">
        <v>11989</v>
      </c>
    </row>
    <row r="1718" spans="1:6">
      <c r="A1718" s="306"/>
      <c r="B1718" t="s">
        <v>7264</v>
      </c>
      <c r="C1718" t="s">
        <v>7265</v>
      </c>
      <c r="E1718">
        <v>302.17391304347825</v>
      </c>
      <c r="F1718" t="s">
        <v>11989</v>
      </c>
    </row>
    <row r="1719" spans="1:6">
      <c r="A1719" s="306"/>
      <c r="B1719" t="s">
        <v>7266</v>
      </c>
      <c r="C1719" t="s">
        <v>7267</v>
      </c>
      <c r="E1719">
        <v>75417.391304347824</v>
      </c>
      <c r="F1719" t="s">
        <v>11989</v>
      </c>
    </row>
    <row r="1720" spans="1:6">
      <c r="A1720" s="306"/>
      <c r="B1720" t="s">
        <v>7268</v>
      </c>
      <c r="C1720" t="s">
        <v>7269</v>
      </c>
      <c r="E1720">
        <v>5693.478260869565</v>
      </c>
      <c r="F1720" t="s">
        <v>11989</v>
      </c>
    </row>
    <row r="1721" spans="1:6">
      <c r="A1721" s="306"/>
      <c r="B1721" t="s">
        <v>7270</v>
      </c>
      <c r="C1721" t="s">
        <v>7271</v>
      </c>
      <c r="E1721">
        <v>1423153.2608695652</v>
      </c>
      <c r="F1721" t="s">
        <v>11989</v>
      </c>
    </row>
    <row r="1722" spans="1:6">
      <c r="A1722" s="306"/>
      <c r="B1722" t="s">
        <v>7272</v>
      </c>
      <c r="C1722" t="s">
        <v>7273</v>
      </c>
      <c r="E1722">
        <v>65.217391304347828</v>
      </c>
      <c r="F1722" t="s">
        <v>11989</v>
      </c>
    </row>
    <row r="1723" spans="1:6">
      <c r="A1723" s="306"/>
      <c r="B1723" t="s">
        <v>7274</v>
      </c>
      <c r="C1723" t="s">
        <v>7275</v>
      </c>
      <c r="E1723">
        <v>16160.86956521739</v>
      </c>
      <c r="F1723" t="s">
        <v>11989</v>
      </c>
    </row>
    <row r="1724" spans="1:6">
      <c r="A1724" s="306"/>
      <c r="B1724" t="s">
        <v>7276</v>
      </c>
      <c r="C1724" t="s">
        <v>7277</v>
      </c>
      <c r="E1724">
        <v>431.52173913043475</v>
      </c>
      <c r="F1724" t="s">
        <v>11989</v>
      </c>
    </row>
    <row r="1725" spans="1:6">
      <c r="A1725" s="306"/>
      <c r="B1725" t="s">
        <v>7278</v>
      </c>
      <c r="C1725" t="s">
        <v>7279</v>
      </c>
      <c r="E1725">
        <v>107738.04347826086</v>
      </c>
      <c r="F1725" t="s">
        <v>11989</v>
      </c>
    </row>
    <row r="1726" spans="1:6">
      <c r="A1726" s="306"/>
      <c r="B1726" t="s">
        <v>7280</v>
      </c>
      <c r="C1726" t="s">
        <v>7281</v>
      </c>
      <c r="E1726">
        <v>7165.2173913043471</v>
      </c>
      <c r="F1726" t="s">
        <v>11989</v>
      </c>
    </row>
    <row r="1727" spans="1:6">
      <c r="A1727" s="306"/>
      <c r="B1727" t="s">
        <v>7282</v>
      </c>
      <c r="C1727" t="s">
        <v>7283</v>
      </c>
      <c r="E1727">
        <v>1791139.1304347825</v>
      </c>
      <c r="F1727" t="s">
        <v>11989</v>
      </c>
    </row>
    <row r="1728" spans="1:6">
      <c r="A1728" s="306"/>
      <c r="B1728" t="s">
        <v>7284</v>
      </c>
      <c r="C1728" t="s">
        <v>7285</v>
      </c>
      <c r="E1728">
        <v>84.782608695652172</v>
      </c>
      <c r="F1728" t="s">
        <v>11989</v>
      </c>
    </row>
    <row r="1729" spans="1:6">
      <c r="A1729" s="306"/>
      <c r="B1729" t="s">
        <v>7286</v>
      </c>
      <c r="C1729" t="s">
        <v>7287</v>
      </c>
      <c r="E1729">
        <v>21009.782608695652</v>
      </c>
      <c r="F1729" t="s">
        <v>11989</v>
      </c>
    </row>
    <row r="1730" spans="1:6">
      <c r="A1730" s="306"/>
      <c r="B1730" t="s">
        <v>7288</v>
      </c>
      <c r="C1730" t="s">
        <v>7289</v>
      </c>
      <c r="E1730">
        <v>560.86956521739125</v>
      </c>
      <c r="F1730" t="s">
        <v>11989</v>
      </c>
    </row>
    <row r="1731" spans="1:6">
      <c r="A1731" s="306"/>
      <c r="B1731" t="s">
        <v>7290</v>
      </c>
      <c r="C1731" t="s">
        <v>7291</v>
      </c>
      <c r="E1731">
        <v>140059.78260869565</v>
      </c>
      <c r="F1731" t="s">
        <v>11989</v>
      </c>
    </row>
    <row r="1732" spans="1:6">
      <c r="A1732" s="306"/>
      <c r="B1732" t="s">
        <v>7292</v>
      </c>
      <c r="C1732" t="s">
        <v>7293</v>
      </c>
      <c r="E1732">
        <v>5419.565217391304</v>
      </c>
      <c r="F1732" t="s">
        <v>11989</v>
      </c>
    </row>
    <row r="1733" spans="1:6">
      <c r="A1733" s="306"/>
      <c r="B1733" t="s">
        <v>7294</v>
      </c>
      <c r="C1733" t="s">
        <v>7295</v>
      </c>
      <c r="E1733">
        <v>1354802.1739130435</v>
      </c>
      <c r="F1733" t="s">
        <v>11989</v>
      </c>
    </row>
    <row r="1734" spans="1:6">
      <c r="A1734" s="306"/>
      <c r="B1734" t="s">
        <v>7296</v>
      </c>
      <c r="C1734" t="s">
        <v>7297</v>
      </c>
      <c r="E1734">
        <v>64.130434782608688</v>
      </c>
      <c r="F1734" t="s">
        <v>11989</v>
      </c>
    </row>
    <row r="1735" spans="1:6">
      <c r="A1735" s="306"/>
      <c r="B1735" t="s">
        <v>7298</v>
      </c>
      <c r="C1735" t="s">
        <v>7299</v>
      </c>
      <c r="E1735">
        <v>15838.043478260868</v>
      </c>
      <c r="F1735" t="s">
        <v>11989</v>
      </c>
    </row>
    <row r="1736" spans="1:6">
      <c r="A1736" s="306"/>
      <c r="B1736" t="s">
        <v>7300</v>
      </c>
      <c r="C1736" t="s">
        <v>7301</v>
      </c>
      <c r="E1736">
        <v>422.82608695652175</v>
      </c>
      <c r="F1736" t="s">
        <v>11989</v>
      </c>
    </row>
    <row r="1737" spans="1:6">
      <c r="A1737" s="306"/>
      <c r="B1737" t="s">
        <v>7302</v>
      </c>
      <c r="C1737" t="s">
        <v>7303</v>
      </c>
      <c r="E1737">
        <v>105583.6956521739</v>
      </c>
      <c r="F1737" t="s">
        <v>11989</v>
      </c>
    </row>
    <row r="1738" spans="1:6">
      <c r="A1738" s="306"/>
      <c r="B1738" t="s">
        <v>7304</v>
      </c>
      <c r="C1738" t="s">
        <v>7305</v>
      </c>
      <c r="E1738">
        <v>7970.652173913043</v>
      </c>
      <c r="F1738" t="s">
        <v>11989</v>
      </c>
    </row>
    <row r="1739" spans="1:6">
      <c r="A1739" s="306"/>
      <c r="B1739" t="s">
        <v>7306</v>
      </c>
      <c r="C1739" t="s">
        <v>7307</v>
      </c>
      <c r="E1739">
        <v>1992414.1304347825</v>
      </c>
      <c r="F1739" t="s">
        <v>11989</v>
      </c>
    </row>
    <row r="1740" spans="1:6">
      <c r="A1740" s="306"/>
      <c r="B1740" t="s">
        <v>7308</v>
      </c>
      <c r="C1740" t="s">
        <v>7309</v>
      </c>
      <c r="E1740">
        <v>91.304347826086953</v>
      </c>
      <c r="F1740" t="s">
        <v>11989</v>
      </c>
    </row>
    <row r="1741" spans="1:6">
      <c r="A1741" s="306"/>
      <c r="B1741" t="s">
        <v>7310</v>
      </c>
      <c r="C1741" t="s">
        <v>7311</v>
      </c>
      <c r="E1741">
        <v>22625</v>
      </c>
      <c r="F1741" t="s">
        <v>11989</v>
      </c>
    </row>
    <row r="1742" spans="1:6">
      <c r="A1742" s="306"/>
      <c r="B1742" t="s">
        <v>7312</v>
      </c>
      <c r="C1742" t="s">
        <v>7313</v>
      </c>
      <c r="E1742">
        <v>604.3478260869565</v>
      </c>
      <c r="F1742" t="s">
        <v>11989</v>
      </c>
    </row>
    <row r="1743" spans="1:6">
      <c r="A1743" s="306"/>
      <c r="B1743" t="s">
        <v>7314</v>
      </c>
      <c r="C1743" t="s">
        <v>7315</v>
      </c>
      <c r="E1743">
        <v>150833.69565217392</v>
      </c>
      <c r="F1743" t="s">
        <v>11989</v>
      </c>
    </row>
    <row r="1744" spans="1:6">
      <c r="A1744" s="306"/>
      <c r="B1744" t="s">
        <v>7316</v>
      </c>
      <c r="C1744" t="s">
        <v>7317</v>
      </c>
      <c r="E1744">
        <v>10030.434782608696</v>
      </c>
      <c r="F1744" t="s">
        <v>11989</v>
      </c>
    </row>
    <row r="1745" spans="1:6">
      <c r="A1745" s="306"/>
      <c r="B1745" t="s">
        <v>7318</v>
      </c>
      <c r="C1745" t="s">
        <v>7319</v>
      </c>
      <c r="E1745">
        <v>2507595.6521739131</v>
      </c>
      <c r="F1745" t="s">
        <v>11989</v>
      </c>
    </row>
    <row r="1746" spans="1:6">
      <c r="A1746" s="306"/>
      <c r="B1746" t="s">
        <v>7320</v>
      </c>
      <c r="C1746" t="s">
        <v>7321</v>
      </c>
      <c r="E1746">
        <v>118.47826086956522</v>
      </c>
      <c r="F1746" t="s">
        <v>11989</v>
      </c>
    </row>
    <row r="1747" spans="1:6">
      <c r="A1747" s="306"/>
      <c r="B1747" t="s">
        <v>7322</v>
      </c>
      <c r="C1747" t="s">
        <v>7323</v>
      </c>
      <c r="E1747">
        <v>29426.086956521736</v>
      </c>
      <c r="F1747" t="s">
        <v>11989</v>
      </c>
    </row>
    <row r="1748" spans="1:6">
      <c r="A1748" s="306"/>
      <c r="B1748" t="s">
        <v>7324</v>
      </c>
      <c r="C1748" t="s">
        <v>7325</v>
      </c>
      <c r="E1748">
        <v>784.78260869565213</v>
      </c>
      <c r="F1748" t="s">
        <v>11989</v>
      </c>
    </row>
    <row r="1749" spans="1:6">
      <c r="A1749" s="306"/>
      <c r="B1749" t="s">
        <v>7326</v>
      </c>
      <c r="C1749" t="s">
        <v>7327</v>
      </c>
      <c r="E1749">
        <v>196082.60869565216</v>
      </c>
      <c r="F1749" t="s">
        <v>11989</v>
      </c>
    </row>
    <row r="1750" spans="1:6">
      <c r="A1750" s="306"/>
      <c r="B1750" t="s">
        <v>7328</v>
      </c>
      <c r="C1750" t="s">
        <v>7329</v>
      </c>
      <c r="E1750">
        <v>7152.173913043478</v>
      </c>
      <c r="F1750" t="s">
        <v>11989</v>
      </c>
    </row>
    <row r="1751" spans="1:6">
      <c r="A1751" s="306"/>
      <c r="B1751" t="s">
        <v>7330</v>
      </c>
      <c r="C1751" t="s">
        <v>7331</v>
      </c>
      <c r="E1751">
        <v>1787847.8260869565</v>
      </c>
      <c r="F1751" t="s">
        <v>11989</v>
      </c>
    </row>
    <row r="1752" spans="1:6">
      <c r="A1752" s="306"/>
      <c r="B1752" t="s">
        <v>7332</v>
      </c>
      <c r="C1752" t="s">
        <v>7333</v>
      </c>
      <c r="E1752">
        <v>83.695652173913047</v>
      </c>
      <c r="F1752" t="s">
        <v>11989</v>
      </c>
    </row>
    <row r="1753" spans="1:6">
      <c r="A1753" s="306"/>
      <c r="B1753" t="s">
        <v>7334</v>
      </c>
      <c r="C1753" t="s">
        <v>7335</v>
      </c>
      <c r="E1753">
        <v>20897.82608695652</v>
      </c>
      <c r="F1753" t="s">
        <v>11989</v>
      </c>
    </row>
    <row r="1754" spans="1:6">
      <c r="A1754" s="306"/>
      <c r="B1754" t="s">
        <v>7336</v>
      </c>
      <c r="C1754" t="s">
        <v>7337</v>
      </c>
      <c r="E1754">
        <v>557.60869565217388</v>
      </c>
      <c r="F1754" t="s">
        <v>11989</v>
      </c>
    </row>
    <row r="1755" spans="1:6">
      <c r="A1755" s="306"/>
      <c r="B1755" t="s">
        <v>7338</v>
      </c>
      <c r="C1755" t="s">
        <v>7339</v>
      </c>
      <c r="E1755">
        <v>139267.39130434781</v>
      </c>
      <c r="F1755" t="s">
        <v>11989</v>
      </c>
    </row>
    <row r="1756" spans="1:6">
      <c r="A1756" s="306"/>
      <c r="B1756" t="s">
        <v>7340</v>
      </c>
      <c r="C1756" t="s">
        <v>7341</v>
      </c>
      <c r="E1756">
        <v>10246.739130434782</v>
      </c>
      <c r="F1756" t="s">
        <v>11989</v>
      </c>
    </row>
    <row r="1757" spans="1:6">
      <c r="A1757" s="306"/>
      <c r="B1757" t="s">
        <v>7342</v>
      </c>
      <c r="C1757" t="s">
        <v>7343</v>
      </c>
      <c r="E1757">
        <v>2561676.0869565215</v>
      </c>
      <c r="F1757" t="s">
        <v>11989</v>
      </c>
    </row>
    <row r="1758" spans="1:6">
      <c r="A1758" s="306"/>
      <c r="B1758" t="s">
        <v>7344</v>
      </c>
      <c r="C1758" t="s">
        <v>7345</v>
      </c>
      <c r="E1758">
        <v>119.56521739130434</v>
      </c>
      <c r="F1758" t="s">
        <v>11989</v>
      </c>
    </row>
    <row r="1759" spans="1:6">
      <c r="A1759" s="306"/>
      <c r="B1759" t="s">
        <v>7346</v>
      </c>
      <c r="C1759" t="s">
        <v>7347</v>
      </c>
      <c r="E1759">
        <v>29839.130434782608</v>
      </c>
      <c r="F1759" t="s">
        <v>11989</v>
      </c>
    </row>
    <row r="1760" spans="1:6">
      <c r="A1760" s="306"/>
      <c r="B1760" t="s">
        <v>7348</v>
      </c>
      <c r="C1760" t="s">
        <v>7349</v>
      </c>
      <c r="E1760">
        <v>796.73913043478262</v>
      </c>
      <c r="F1760" t="s">
        <v>11989</v>
      </c>
    </row>
    <row r="1761" spans="1:6">
      <c r="A1761" s="306"/>
      <c r="B1761" t="s">
        <v>7350</v>
      </c>
      <c r="C1761" t="s">
        <v>7351</v>
      </c>
      <c r="E1761">
        <v>198965.21739130435</v>
      </c>
      <c r="F1761" t="s">
        <v>11989</v>
      </c>
    </row>
    <row r="1762" spans="1:6">
      <c r="A1762" s="306"/>
      <c r="B1762" t="s">
        <v>7352</v>
      </c>
      <c r="C1762" t="s">
        <v>7353</v>
      </c>
      <c r="E1762">
        <v>13231.521739130434</v>
      </c>
      <c r="F1762" t="s">
        <v>11989</v>
      </c>
    </row>
    <row r="1763" spans="1:6">
      <c r="A1763" s="306"/>
      <c r="B1763" t="s">
        <v>7354</v>
      </c>
      <c r="C1763" t="s">
        <v>7355</v>
      </c>
      <c r="E1763">
        <v>3307820.6521739131</v>
      </c>
      <c r="F1763" t="s">
        <v>11989</v>
      </c>
    </row>
    <row r="1764" spans="1:6">
      <c r="A1764" s="306"/>
      <c r="B1764" t="s">
        <v>7356</v>
      </c>
      <c r="C1764" t="s">
        <v>7357</v>
      </c>
      <c r="E1764">
        <v>155.43478260869566</v>
      </c>
      <c r="F1764" t="s">
        <v>11989</v>
      </c>
    </row>
    <row r="1765" spans="1:6">
      <c r="A1765" s="306"/>
      <c r="B1765" t="s">
        <v>7358</v>
      </c>
      <c r="C1765" t="s">
        <v>7359</v>
      </c>
      <c r="E1765">
        <v>38825</v>
      </c>
      <c r="F1765" t="s">
        <v>11989</v>
      </c>
    </row>
    <row r="1766" spans="1:6">
      <c r="A1766" s="306"/>
      <c r="B1766" t="s">
        <v>7360</v>
      </c>
      <c r="C1766" t="s">
        <v>7361</v>
      </c>
      <c r="E1766">
        <v>1034.782608695652</v>
      </c>
      <c r="F1766" t="s">
        <v>11989</v>
      </c>
    </row>
    <row r="1767" spans="1:6">
      <c r="A1767" s="306"/>
      <c r="B1767" t="s">
        <v>7362</v>
      </c>
      <c r="C1767" t="s">
        <v>7363</v>
      </c>
      <c r="E1767">
        <v>258663.04347826086</v>
      </c>
      <c r="F1767" t="s">
        <v>11989</v>
      </c>
    </row>
    <row r="1768" spans="1:6">
      <c r="A1768" s="306"/>
      <c r="B1768" t="s">
        <v>12151</v>
      </c>
      <c r="C1768" t="s">
        <v>12152</v>
      </c>
      <c r="E1768">
        <v>1485.8695652173913</v>
      </c>
      <c r="F1768" t="s">
        <v>11989</v>
      </c>
    </row>
    <row r="1769" spans="1:6">
      <c r="A1769" s="306"/>
      <c r="B1769" t="s">
        <v>12153</v>
      </c>
      <c r="C1769" t="s">
        <v>12154</v>
      </c>
      <c r="E1769">
        <v>160.86956521739128</v>
      </c>
      <c r="F1769" t="s">
        <v>11989</v>
      </c>
    </row>
    <row r="1770" spans="1:6">
      <c r="A1770" s="306"/>
      <c r="B1770" t="s">
        <v>12155</v>
      </c>
      <c r="C1770" t="s">
        <v>12156</v>
      </c>
      <c r="E1770">
        <v>40191.304347826088</v>
      </c>
      <c r="F1770" t="s">
        <v>11989</v>
      </c>
    </row>
    <row r="1771" spans="1:6">
      <c r="A1771" s="306"/>
      <c r="B1771" t="s">
        <v>12157</v>
      </c>
      <c r="C1771" t="s">
        <v>12158</v>
      </c>
      <c r="E1771">
        <v>2.1739130434782608</v>
      </c>
      <c r="F1771" t="s">
        <v>11989</v>
      </c>
    </row>
    <row r="1772" spans="1:6">
      <c r="A1772" s="306"/>
      <c r="B1772" t="s">
        <v>12159</v>
      </c>
      <c r="C1772" t="s">
        <v>12160</v>
      </c>
      <c r="E1772">
        <v>484.78260869565213</v>
      </c>
      <c r="F1772" t="s">
        <v>11989</v>
      </c>
    </row>
    <row r="1773" spans="1:6">
      <c r="A1773" s="306"/>
      <c r="B1773" t="s">
        <v>12161</v>
      </c>
      <c r="C1773" t="s">
        <v>12162</v>
      </c>
      <c r="E1773">
        <v>13.043478260869565</v>
      </c>
      <c r="F1773" t="s">
        <v>11989</v>
      </c>
    </row>
    <row r="1774" spans="1:6">
      <c r="A1774" s="306"/>
      <c r="B1774" t="s">
        <v>12163</v>
      </c>
      <c r="C1774" t="s">
        <v>12164</v>
      </c>
      <c r="E1774">
        <v>3121.7391304347825</v>
      </c>
      <c r="F1774" t="s">
        <v>11989</v>
      </c>
    </row>
    <row r="1775" spans="1:6">
      <c r="A1775" s="306"/>
      <c r="B1775" t="s">
        <v>12165</v>
      </c>
      <c r="C1775" t="s">
        <v>12166</v>
      </c>
      <c r="E1775">
        <v>6284.782608695652</v>
      </c>
      <c r="F1775" t="s">
        <v>11989</v>
      </c>
    </row>
    <row r="1776" spans="1:6">
      <c r="A1776" s="306"/>
      <c r="B1776" t="s">
        <v>12167</v>
      </c>
      <c r="C1776" t="s">
        <v>12168</v>
      </c>
      <c r="E1776">
        <v>1570954.3478260869</v>
      </c>
      <c r="F1776" t="s">
        <v>11989</v>
      </c>
    </row>
    <row r="1777" spans="1:6">
      <c r="A1777" s="306"/>
      <c r="B1777" t="s">
        <v>12169</v>
      </c>
      <c r="C1777" t="s">
        <v>12170</v>
      </c>
      <c r="E1777">
        <v>73.91304347826086</v>
      </c>
      <c r="F1777" t="s">
        <v>11989</v>
      </c>
    </row>
    <row r="1778" spans="1:6">
      <c r="A1778" s="306"/>
      <c r="B1778" t="s">
        <v>12171</v>
      </c>
      <c r="C1778" t="s">
        <v>12172</v>
      </c>
      <c r="E1778">
        <v>18365.217391304348</v>
      </c>
      <c r="F1778" t="s">
        <v>11989</v>
      </c>
    </row>
    <row r="1779" spans="1:6">
      <c r="A1779" s="306"/>
      <c r="B1779" t="s">
        <v>12173</v>
      </c>
      <c r="C1779" t="s">
        <v>12174</v>
      </c>
      <c r="E1779">
        <v>490.21739130434781</v>
      </c>
      <c r="F1779" t="s">
        <v>11989</v>
      </c>
    </row>
    <row r="1780" spans="1:6">
      <c r="A1780" s="306"/>
      <c r="B1780" t="s">
        <v>12175</v>
      </c>
      <c r="C1780" t="s">
        <v>12176</v>
      </c>
      <c r="E1780">
        <v>122394.5652173913</v>
      </c>
      <c r="F1780" t="s">
        <v>11989</v>
      </c>
    </row>
    <row r="1781" spans="1:6">
      <c r="A1781" s="306"/>
      <c r="B1781" t="s">
        <v>12177</v>
      </c>
      <c r="C1781" t="s">
        <v>12178</v>
      </c>
      <c r="E1781">
        <v>9005.434782608696</v>
      </c>
      <c r="F1781" t="s">
        <v>11989</v>
      </c>
    </row>
    <row r="1782" spans="1:6">
      <c r="A1782" s="306"/>
      <c r="B1782" t="s">
        <v>12179</v>
      </c>
      <c r="C1782" t="s">
        <v>12180</v>
      </c>
      <c r="E1782">
        <v>2251300</v>
      </c>
      <c r="F1782" t="s">
        <v>11989</v>
      </c>
    </row>
    <row r="1783" spans="1:6">
      <c r="A1783" s="306"/>
      <c r="B1783" t="s">
        <v>12181</v>
      </c>
      <c r="C1783" t="s">
        <v>12182</v>
      </c>
      <c r="E1783">
        <v>105.43478260869564</v>
      </c>
      <c r="F1783" t="s">
        <v>11989</v>
      </c>
    </row>
    <row r="1784" spans="1:6">
      <c r="A1784" s="306"/>
      <c r="B1784" t="s">
        <v>12183</v>
      </c>
      <c r="C1784" t="s">
        <v>12184</v>
      </c>
      <c r="E1784">
        <v>26223.91304347826</v>
      </c>
      <c r="F1784" t="s">
        <v>11989</v>
      </c>
    </row>
    <row r="1785" spans="1:6">
      <c r="A1785" s="306"/>
      <c r="B1785" t="s">
        <v>12185</v>
      </c>
      <c r="C1785" t="s">
        <v>12186</v>
      </c>
      <c r="E1785">
        <v>700</v>
      </c>
      <c r="F1785" t="s">
        <v>11989</v>
      </c>
    </row>
    <row r="1786" spans="1:6">
      <c r="A1786" s="306"/>
      <c r="B1786" t="s">
        <v>12187</v>
      </c>
      <c r="C1786" t="s">
        <v>12188</v>
      </c>
      <c r="E1786">
        <v>174857.60869565216</v>
      </c>
      <c r="F1786" t="s">
        <v>11989</v>
      </c>
    </row>
    <row r="1787" spans="1:6">
      <c r="A1787" s="306"/>
      <c r="B1787" t="s">
        <v>12189</v>
      </c>
      <c r="C1787" t="s">
        <v>12190</v>
      </c>
      <c r="E1787">
        <v>11628.260869565216</v>
      </c>
      <c r="F1787" t="s">
        <v>11989</v>
      </c>
    </row>
    <row r="1788" spans="1:6">
      <c r="A1788" s="306"/>
      <c r="B1788" t="s">
        <v>12191</v>
      </c>
      <c r="C1788" t="s">
        <v>12192</v>
      </c>
      <c r="E1788">
        <v>2907022.8260869565</v>
      </c>
      <c r="F1788" t="s">
        <v>11989</v>
      </c>
    </row>
    <row r="1789" spans="1:6">
      <c r="A1789" s="306"/>
      <c r="B1789" t="s">
        <v>12193</v>
      </c>
      <c r="C1789" t="s">
        <v>12194</v>
      </c>
      <c r="E1789">
        <v>136.95652173913044</v>
      </c>
      <c r="F1789" t="s">
        <v>11989</v>
      </c>
    </row>
    <row r="1790" spans="1:6">
      <c r="A1790" s="306"/>
      <c r="B1790" t="s">
        <v>12195</v>
      </c>
      <c r="C1790" t="s">
        <v>12196</v>
      </c>
      <c r="E1790">
        <v>34117.391304347824</v>
      </c>
      <c r="F1790" t="s">
        <v>11989</v>
      </c>
    </row>
    <row r="1791" spans="1:6">
      <c r="A1791" s="306"/>
      <c r="B1791" t="s">
        <v>12197</v>
      </c>
      <c r="C1791" t="s">
        <v>12198</v>
      </c>
      <c r="E1791">
        <v>909.78260869565213</v>
      </c>
      <c r="F1791" t="s">
        <v>11989</v>
      </c>
    </row>
    <row r="1792" spans="1:6">
      <c r="A1792" s="306"/>
      <c r="B1792" t="s">
        <v>12199</v>
      </c>
      <c r="C1792" t="s">
        <v>12200</v>
      </c>
      <c r="E1792">
        <v>227321.73913043478</v>
      </c>
      <c r="F1792" t="s">
        <v>11989</v>
      </c>
    </row>
    <row r="1793" spans="1:6">
      <c r="A1793" s="306"/>
      <c r="B1793" t="s">
        <v>12201</v>
      </c>
      <c r="C1793" t="s">
        <v>12202</v>
      </c>
      <c r="E1793">
        <v>1747.8260869565217</v>
      </c>
      <c r="F1793" t="s">
        <v>11989</v>
      </c>
    </row>
    <row r="1794" spans="1:6">
      <c r="A1794" s="306"/>
      <c r="B1794" t="s">
        <v>12203</v>
      </c>
      <c r="C1794" t="s">
        <v>12204</v>
      </c>
      <c r="E1794">
        <v>2008.695652173913</v>
      </c>
      <c r="F1794" t="s">
        <v>11989</v>
      </c>
    </row>
    <row r="1795" spans="1:6">
      <c r="A1795" s="306"/>
      <c r="B1795" t="s">
        <v>12205</v>
      </c>
    </row>
    <row r="1796" spans="1:6">
      <c r="A1796" s="306"/>
      <c r="B1796" t="s">
        <v>7364</v>
      </c>
      <c r="C1796" t="s">
        <v>7365</v>
      </c>
      <c r="E1796">
        <v>108.69565217391303</v>
      </c>
      <c r="F1796" t="s">
        <v>11989</v>
      </c>
    </row>
    <row r="1797" spans="1:6">
      <c r="A1797" s="306"/>
      <c r="B1797" t="s">
        <v>7366</v>
      </c>
      <c r="C1797" t="s">
        <v>7367</v>
      </c>
      <c r="E1797">
        <v>151.08695652173913</v>
      </c>
      <c r="F1797" t="s">
        <v>11989</v>
      </c>
    </row>
    <row r="1798" spans="1:6">
      <c r="A1798" s="306"/>
      <c r="B1798" t="s">
        <v>7368</v>
      </c>
      <c r="C1798" t="s">
        <v>7369</v>
      </c>
      <c r="E1798">
        <v>193.47826086956522</v>
      </c>
      <c r="F1798" t="s">
        <v>11989</v>
      </c>
    </row>
    <row r="1799" spans="1:6">
      <c r="A1799" s="306"/>
      <c r="B1799" t="s">
        <v>7370</v>
      </c>
      <c r="C1799" t="s">
        <v>7371</v>
      </c>
      <c r="E1799">
        <v>131.52173913043478</v>
      </c>
      <c r="F1799" t="s">
        <v>11989</v>
      </c>
    </row>
    <row r="1800" spans="1:6">
      <c r="A1800" s="306"/>
      <c r="B1800" t="s">
        <v>7372</v>
      </c>
      <c r="C1800" t="s">
        <v>7373</v>
      </c>
      <c r="E1800">
        <v>183.69565217391303</v>
      </c>
      <c r="F1800" t="s">
        <v>11989</v>
      </c>
    </row>
    <row r="1801" spans="1:6">
      <c r="A1801" s="306"/>
      <c r="B1801" t="s">
        <v>7374</v>
      </c>
      <c r="C1801" t="s">
        <v>7375</v>
      </c>
      <c r="E1801">
        <v>235.86956521739128</v>
      </c>
      <c r="F1801" t="s">
        <v>11989</v>
      </c>
    </row>
    <row r="1802" spans="1:6">
      <c r="A1802" s="306"/>
      <c r="B1802" t="s">
        <v>7376</v>
      </c>
      <c r="C1802" t="s">
        <v>7377</v>
      </c>
      <c r="E1802">
        <v>8715.217391304348</v>
      </c>
      <c r="F1802" t="s">
        <v>11989</v>
      </c>
    </row>
    <row r="1803" spans="1:6">
      <c r="A1803" s="306"/>
      <c r="B1803" t="s">
        <v>7378</v>
      </c>
      <c r="C1803" t="s">
        <v>7379</v>
      </c>
      <c r="E1803">
        <v>10.869565217391305</v>
      </c>
      <c r="F1803" t="s">
        <v>11989</v>
      </c>
    </row>
    <row r="1804" spans="1:6">
      <c r="A1804" s="306"/>
      <c r="B1804" t="s">
        <v>7380</v>
      </c>
      <c r="C1804" t="s">
        <v>7381</v>
      </c>
      <c r="E1804">
        <v>12202.173913043478</v>
      </c>
      <c r="F1804" t="s">
        <v>11989</v>
      </c>
    </row>
    <row r="1805" spans="1:6">
      <c r="A1805" s="306"/>
      <c r="B1805" t="s">
        <v>7382</v>
      </c>
      <c r="C1805" t="s">
        <v>7383</v>
      </c>
      <c r="E1805">
        <v>15.217391304347826</v>
      </c>
      <c r="F1805" t="s">
        <v>11989</v>
      </c>
    </row>
    <row r="1806" spans="1:6">
      <c r="A1806" s="306"/>
      <c r="B1806" t="s">
        <v>7384</v>
      </c>
      <c r="C1806" t="s">
        <v>7385</v>
      </c>
      <c r="E1806">
        <v>15689.130434782608</v>
      </c>
      <c r="F1806" t="s">
        <v>11989</v>
      </c>
    </row>
    <row r="1807" spans="1:6">
      <c r="A1807" s="306"/>
      <c r="B1807" t="s">
        <v>7386</v>
      </c>
      <c r="C1807" t="s">
        <v>7387</v>
      </c>
      <c r="E1807">
        <v>19.565217391304348</v>
      </c>
      <c r="F1807" t="s">
        <v>11989</v>
      </c>
    </row>
    <row r="1808" spans="1:6">
      <c r="A1808" s="306"/>
      <c r="B1808" t="s">
        <v>7388</v>
      </c>
      <c r="C1808" t="s">
        <v>7389</v>
      </c>
      <c r="E1808">
        <v>872.82608695652175</v>
      </c>
      <c r="F1808" t="s">
        <v>11989</v>
      </c>
    </row>
    <row r="1809" spans="1:6">
      <c r="A1809" s="306"/>
      <c r="B1809" t="s">
        <v>7390</v>
      </c>
      <c r="C1809" t="s">
        <v>7391</v>
      </c>
      <c r="E1809">
        <v>1222.8260869565217</v>
      </c>
      <c r="F1809" t="s">
        <v>11989</v>
      </c>
    </row>
    <row r="1810" spans="1:6">
      <c r="A1810" s="306"/>
      <c r="B1810" t="s">
        <v>7392</v>
      </c>
      <c r="C1810" t="s">
        <v>7393</v>
      </c>
      <c r="E1810">
        <v>1572.8260869565217</v>
      </c>
      <c r="F1810" t="s">
        <v>11989</v>
      </c>
    </row>
    <row r="1811" spans="1:6">
      <c r="A1811" s="306"/>
      <c r="B1811" t="s">
        <v>7394</v>
      </c>
      <c r="C1811" t="s">
        <v>7395</v>
      </c>
      <c r="E1811">
        <v>401.08695652173913</v>
      </c>
      <c r="F1811" t="s">
        <v>11989</v>
      </c>
    </row>
    <row r="1812" spans="1:6">
      <c r="A1812" s="306"/>
      <c r="B1812" t="s">
        <v>7396</v>
      </c>
      <c r="C1812" t="s">
        <v>7397</v>
      </c>
      <c r="E1812">
        <v>560.86956521739125</v>
      </c>
      <c r="F1812" t="s">
        <v>11989</v>
      </c>
    </row>
    <row r="1813" spans="1:6">
      <c r="A1813" s="306"/>
      <c r="B1813" t="s">
        <v>7398</v>
      </c>
      <c r="C1813" t="s">
        <v>7399</v>
      </c>
      <c r="E1813">
        <v>801.08695652173913</v>
      </c>
      <c r="F1813" t="s">
        <v>11989</v>
      </c>
    </row>
    <row r="1814" spans="1:6">
      <c r="A1814" s="306"/>
      <c r="B1814" t="s">
        <v>7400</v>
      </c>
      <c r="C1814" t="s">
        <v>7401</v>
      </c>
      <c r="E1814">
        <v>217.39130434782606</v>
      </c>
      <c r="F1814" t="s">
        <v>11989</v>
      </c>
    </row>
    <row r="1815" spans="1:6">
      <c r="A1815" s="306"/>
      <c r="B1815" t="s">
        <v>7402</v>
      </c>
      <c r="C1815" t="s">
        <v>7403</v>
      </c>
      <c r="E1815">
        <v>479.3478260869565</v>
      </c>
      <c r="F1815" t="s">
        <v>11989</v>
      </c>
    </row>
    <row r="1816" spans="1:6">
      <c r="A1816" s="306"/>
      <c r="B1816" t="s">
        <v>7404</v>
      </c>
      <c r="C1816" t="s">
        <v>7405</v>
      </c>
      <c r="E1816">
        <v>740.21739130434776</v>
      </c>
      <c r="F1816" t="s">
        <v>11989</v>
      </c>
    </row>
    <row r="1817" spans="1:6">
      <c r="A1817" s="306"/>
      <c r="B1817" t="s">
        <v>7406</v>
      </c>
      <c r="C1817" t="s">
        <v>7407</v>
      </c>
      <c r="E1817">
        <v>14.130434782608695</v>
      </c>
      <c r="F1817" t="s">
        <v>11989</v>
      </c>
    </row>
    <row r="1818" spans="1:6">
      <c r="A1818" s="306"/>
      <c r="B1818" t="s">
        <v>7408</v>
      </c>
      <c r="C1818" t="s">
        <v>7409</v>
      </c>
      <c r="E1818">
        <v>31.521739130434781</v>
      </c>
      <c r="F1818" t="s">
        <v>11989</v>
      </c>
    </row>
    <row r="1819" spans="1:6">
      <c r="A1819" s="306"/>
      <c r="B1819" t="s">
        <v>7410</v>
      </c>
      <c r="C1819" t="s">
        <v>7411</v>
      </c>
      <c r="E1819">
        <v>48.913043478260867</v>
      </c>
      <c r="F1819" t="s">
        <v>11989</v>
      </c>
    </row>
    <row r="1820" spans="1:6">
      <c r="A1820" s="306"/>
      <c r="B1820" t="s">
        <v>7412</v>
      </c>
      <c r="C1820" t="s">
        <v>7413</v>
      </c>
      <c r="E1820">
        <v>436.95652173913044</v>
      </c>
      <c r="F1820" t="s">
        <v>11989</v>
      </c>
    </row>
    <row r="1821" spans="1:6">
      <c r="A1821" s="306"/>
      <c r="B1821" t="s">
        <v>7414</v>
      </c>
      <c r="C1821" t="s">
        <v>7415</v>
      </c>
      <c r="E1821">
        <v>603.26086956521738</v>
      </c>
      <c r="F1821" t="s">
        <v>11989</v>
      </c>
    </row>
    <row r="1822" spans="1:6">
      <c r="A1822" s="306"/>
      <c r="B1822" t="s">
        <v>7416</v>
      </c>
      <c r="C1822" t="s">
        <v>7417</v>
      </c>
      <c r="E1822">
        <v>769.56521739130426</v>
      </c>
      <c r="F1822" t="s">
        <v>11989</v>
      </c>
    </row>
    <row r="1823" spans="1:6">
      <c r="A1823" s="306"/>
      <c r="B1823" t="s">
        <v>7418</v>
      </c>
      <c r="C1823" t="s">
        <v>7419</v>
      </c>
      <c r="E1823">
        <v>32678.260869565216</v>
      </c>
      <c r="F1823" t="s">
        <v>11989</v>
      </c>
    </row>
    <row r="1824" spans="1:6">
      <c r="A1824" s="306"/>
      <c r="B1824" t="s">
        <v>7420</v>
      </c>
      <c r="C1824" t="s">
        <v>7421</v>
      </c>
      <c r="E1824">
        <v>45748.913043478256</v>
      </c>
      <c r="F1824" t="s">
        <v>11989</v>
      </c>
    </row>
    <row r="1825" spans="1:6">
      <c r="A1825" s="306"/>
      <c r="B1825" t="s">
        <v>7422</v>
      </c>
      <c r="C1825" t="s">
        <v>7423</v>
      </c>
      <c r="E1825">
        <v>58819.565217391304</v>
      </c>
      <c r="F1825" t="s">
        <v>11989</v>
      </c>
    </row>
    <row r="1826" spans="1:6">
      <c r="A1826" s="306"/>
      <c r="B1826" t="s">
        <v>7424</v>
      </c>
      <c r="C1826" t="s">
        <v>7425</v>
      </c>
      <c r="E1826">
        <v>2655.4347826086955</v>
      </c>
      <c r="F1826" t="s">
        <v>11989</v>
      </c>
    </row>
    <row r="1827" spans="1:6">
      <c r="A1827" s="306"/>
      <c r="B1827" t="s">
        <v>7426</v>
      </c>
      <c r="C1827" t="s">
        <v>7427</v>
      </c>
      <c r="E1827">
        <v>3677.173913043478</v>
      </c>
      <c r="F1827" t="s">
        <v>11989</v>
      </c>
    </row>
    <row r="1828" spans="1:6">
      <c r="A1828" s="306"/>
      <c r="B1828" t="s">
        <v>7428</v>
      </c>
      <c r="C1828" t="s">
        <v>7429</v>
      </c>
      <c r="E1828">
        <v>4697.826086956522</v>
      </c>
      <c r="F1828" t="s">
        <v>11989</v>
      </c>
    </row>
    <row r="1829" spans="1:6">
      <c r="A1829" s="306"/>
      <c r="B1829" t="s">
        <v>7430</v>
      </c>
      <c r="C1829" t="s">
        <v>7431</v>
      </c>
      <c r="E1829">
        <v>54327.173913043473</v>
      </c>
      <c r="F1829" t="s">
        <v>11989</v>
      </c>
    </row>
    <row r="1830" spans="1:6">
      <c r="A1830" s="306"/>
      <c r="B1830" t="s">
        <v>7432</v>
      </c>
      <c r="C1830" t="s">
        <v>7433</v>
      </c>
      <c r="E1830">
        <v>119616.30434782608</v>
      </c>
      <c r="F1830" t="s">
        <v>11989</v>
      </c>
    </row>
    <row r="1831" spans="1:6">
      <c r="A1831" s="306"/>
      <c r="B1831" t="s">
        <v>7434</v>
      </c>
      <c r="C1831" t="s">
        <v>7435</v>
      </c>
      <c r="E1831">
        <v>184905.43478260867</v>
      </c>
      <c r="F1831" t="s">
        <v>11989</v>
      </c>
    </row>
    <row r="1832" spans="1:6">
      <c r="A1832" s="306"/>
      <c r="B1832" t="s">
        <v>7436</v>
      </c>
      <c r="C1832" t="s">
        <v>7437</v>
      </c>
      <c r="E1832">
        <v>3472.8260869565215</v>
      </c>
      <c r="F1832" t="s">
        <v>11989</v>
      </c>
    </row>
    <row r="1833" spans="1:6">
      <c r="A1833" s="306"/>
      <c r="B1833" t="s">
        <v>7438</v>
      </c>
      <c r="C1833" t="s">
        <v>7439</v>
      </c>
      <c r="E1833">
        <v>7802.173913043478</v>
      </c>
      <c r="F1833" t="s">
        <v>11989</v>
      </c>
    </row>
    <row r="1834" spans="1:6">
      <c r="A1834" s="306"/>
      <c r="B1834" t="s">
        <v>7440</v>
      </c>
      <c r="C1834" t="s">
        <v>7441</v>
      </c>
      <c r="E1834">
        <v>12131.521739130434</v>
      </c>
      <c r="F1834" t="s">
        <v>11989</v>
      </c>
    </row>
    <row r="1835" spans="1:6">
      <c r="A1835" s="306"/>
      <c r="B1835" t="s">
        <v>7459</v>
      </c>
      <c r="C1835" t="s">
        <v>7460</v>
      </c>
      <c r="E1835">
        <v>2180.4347826086955</v>
      </c>
      <c r="F1835" t="s">
        <v>11989</v>
      </c>
    </row>
    <row r="1836" spans="1:6">
      <c r="A1836" s="306"/>
      <c r="B1836" t="s">
        <v>7461</v>
      </c>
      <c r="C1836" t="s">
        <v>7462</v>
      </c>
      <c r="E1836">
        <v>3575</v>
      </c>
      <c r="F1836" t="s">
        <v>11989</v>
      </c>
    </row>
    <row r="1837" spans="1:6">
      <c r="A1837" s="306"/>
      <c r="B1837" t="s">
        <v>7463</v>
      </c>
      <c r="C1837" t="s">
        <v>7464</v>
      </c>
      <c r="E1837">
        <v>4970.652173913043</v>
      </c>
      <c r="F1837" t="s">
        <v>11989</v>
      </c>
    </row>
    <row r="1838" spans="1:6">
      <c r="A1838" s="306"/>
      <c r="B1838" t="s">
        <v>7465</v>
      </c>
      <c r="C1838" t="s">
        <v>7466</v>
      </c>
      <c r="E1838">
        <v>872.82608695652175</v>
      </c>
      <c r="F1838" t="s">
        <v>11989</v>
      </c>
    </row>
    <row r="1839" spans="1:6">
      <c r="A1839" s="306"/>
      <c r="B1839" t="s">
        <v>7467</v>
      </c>
      <c r="C1839" t="s">
        <v>7468</v>
      </c>
      <c r="E1839">
        <v>1222.8260869565217</v>
      </c>
      <c r="F1839" t="s">
        <v>11989</v>
      </c>
    </row>
    <row r="1840" spans="1:6">
      <c r="A1840" s="306"/>
      <c r="B1840" t="s">
        <v>7469</v>
      </c>
      <c r="C1840" t="s">
        <v>7470</v>
      </c>
      <c r="E1840">
        <v>1572.8260869565217</v>
      </c>
      <c r="F1840" t="s">
        <v>11989</v>
      </c>
    </row>
    <row r="1841" spans="1:6">
      <c r="A1841" s="306"/>
      <c r="B1841" t="s">
        <v>12206</v>
      </c>
    </row>
    <row r="1842" spans="1:6">
      <c r="A1842" s="306"/>
      <c r="B1842" t="s">
        <v>7216</v>
      </c>
      <c r="C1842" t="s">
        <v>7217</v>
      </c>
      <c r="E1842">
        <v>109.78260869565217</v>
      </c>
      <c r="F1842" t="s">
        <v>11989</v>
      </c>
    </row>
    <row r="1843" spans="1:6">
      <c r="A1843" s="306"/>
      <c r="B1843" t="s">
        <v>7218</v>
      </c>
      <c r="C1843" t="s">
        <v>7219</v>
      </c>
      <c r="E1843">
        <v>153.26086956521738</v>
      </c>
      <c r="F1843" t="s">
        <v>11989</v>
      </c>
    </row>
    <row r="1844" spans="1:6">
      <c r="A1844" s="306"/>
      <c r="B1844" t="s">
        <v>12207</v>
      </c>
    </row>
    <row r="1845" spans="1:6">
      <c r="A1845" s="306"/>
      <c r="B1845" t="s">
        <v>7655</v>
      </c>
      <c r="C1845" t="s">
        <v>7656</v>
      </c>
      <c r="E1845">
        <v>159.78260869565216</v>
      </c>
      <c r="F1845" t="s">
        <v>11989</v>
      </c>
    </row>
    <row r="1846" spans="1:6">
      <c r="A1846" s="306"/>
      <c r="B1846" t="s">
        <v>12208</v>
      </c>
    </row>
    <row r="1847" spans="1:6">
      <c r="A1847" s="306"/>
      <c r="B1847" t="s">
        <v>12209</v>
      </c>
      <c r="C1847" t="s">
        <v>12210</v>
      </c>
      <c r="E1847">
        <v>910.86956521739125</v>
      </c>
      <c r="F1847" t="s">
        <v>11989</v>
      </c>
    </row>
    <row r="1848" spans="1:6">
      <c r="A1848" s="306"/>
      <c r="B1848" t="s">
        <v>12211</v>
      </c>
      <c r="C1848" t="s">
        <v>12212</v>
      </c>
      <c r="E1848">
        <v>2583.695652173913</v>
      </c>
      <c r="F1848" t="s">
        <v>11989</v>
      </c>
    </row>
    <row r="1849" spans="1:6">
      <c r="A1849" s="306"/>
      <c r="B1849" t="s">
        <v>12213</v>
      </c>
      <c r="C1849" t="s">
        <v>12214</v>
      </c>
      <c r="E1849">
        <v>1477.1739130434783</v>
      </c>
      <c r="F1849" t="s">
        <v>11989</v>
      </c>
    </row>
    <row r="1850" spans="1:6">
      <c r="A1850" s="306"/>
      <c r="B1850" t="s">
        <v>12215</v>
      </c>
      <c r="C1850" t="s">
        <v>12216</v>
      </c>
      <c r="E1850">
        <v>4196.7391304347821</v>
      </c>
      <c r="F1850" t="s">
        <v>11989</v>
      </c>
    </row>
    <row r="1851" spans="1:6">
      <c r="A1851" s="306"/>
      <c r="B1851" t="s">
        <v>12217</v>
      </c>
      <c r="C1851" t="s">
        <v>12218</v>
      </c>
      <c r="E1851">
        <v>428.26086956521738</v>
      </c>
      <c r="F1851" t="s">
        <v>11989</v>
      </c>
    </row>
    <row r="1852" spans="1:6">
      <c r="A1852" s="306"/>
      <c r="B1852" t="s">
        <v>12219</v>
      </c>
      <c r="C1852" t="s">
        <v>12220</v>
      </c>
      <c r="E1852">
        <v>1209.782608695652</v>
      </c>
      <c r="F1852" t="s">
        <v>11989</v>
      </c>
    </row>
    <row r="1853" spans="1:6">
      <c r="A1853" s="306"/>
      <c r="B1853" t="s">
        <v>12221</v>
      </c>
      <c r="C1853" t="s">
        <v>12222</v>
      </c>
      <c r="E1853">
        <v>2010.8695652173913</v>
      </c>
      <c r="F1853" t="s">
        <v>11989</v>
      </c>
    </row>
    <row r="1854" spans="1:6">
      <c r="A1854" s="306"/>
      <c r="B1854" t="s">
        <v>12223</v>
      </c>
      <c r="C1854" t="s">
        <v>12224</v>
      </c>
      <c r="E1854">
        <v>692.39130434782601</v>
      </c>
      <c r="F1854" t="s">
        <v>11989</v>
      </c>
    </row>
    <row r="1855" spans="1:6">
      <c r="A1855" s="306"/>
      <c r="B1855" t="s">
        <v>12225</v>
      </c>
      <c r="C1855" t="s">
        <v>12226</v>
      </c>
      <c r="E1855">
        <v>1961.9565217391303</v>
      </c>
      <c r="F1855" t="s">
        <v>11989</v>
      </c>
    </row>
    <row r="1856" spans="1:6">
      <c r="A1856" s="306"/>
      <c r="B1856" t="s">
        <v>12227</v>
      </c>
      <c r="C1856" t="s">
        <v>12228</v>
      </c>
      <c r="E1856">
        <v>3266.304347826087</v>
      </c>
      <c r="F1856" t="s">
        <v>11989</v>
      </c>
    </row>
    <row r="1857" spans="1:6">
      <c r="A1857" s="306"/>
      <c r="B1857" t="s">
        <v>12229</v>
      </c>
      <c r="C1857" t="s">
        <v>12230</v>
      </c>
      <c r="E1857">
        <v>428.26086956521738</v>
      </c>
      <c r="F1857" t="s">
        <v>11989</v>
      </c>
    </row>
    <row r="1858" spans="1:6">
      <c r="A1858" s="306"/>
      <c r="B1858" t="s">
        <v>12231</v>
      </c>
      <c r="C1858" t="s">
        <v>12232</v>
      </c>
      <c r="E1858">
        <v>1209.782608695652</v>
      </c>
      <c r="F1858" t="s">
        <v>11989</v>
      </c>
    </row>
    <row r="1859" spans="1:6">
      <c r="A1859" s="306"/>
      <c r="B1859" t="s">
        <v>12233</v>
      </c>
      <c r="C1859" t="s">
        <v>12234</v>
      </c>
      <c r="E1859">
        <v>2010.8695652173913</v>
      </c>
      <c r="F1859" t="s">
        <v>11989</v>
      </c>
    </row>
    <row r="1860" spans="1:6">
      <c r="A1860" s="306"/>
      <c r="B1860" t="s">
        <v>12235</v>
      </c>
      <c r="C1860" t="s">
        <v>12236</v>
      </c>
      <c r="E1860">
        <v>692.39130434782601</v>
      </c>
      <c r="F1860" t="s">
        <v>11989</v>
      </c>
    </row>
    <row r="1861" spans="1:6">
      <c r="A1861" s="306"/>
      <c r="B1861" t="s">
        <v>12237</v>
      </c>
      <c r="C1861" t="s">
        <v>12238</v>
      </c>
      <c r="E1861">
        <v>1961.9565217391303</v>
      </c>
      <c r="F1861" t="s">
        <v>11989</v>
      </c>
    </row>
    <row r="1862" spans="1:6">
      <c r="A1862" s="306"/>
      <c r="B1862" t="s">
        <v>12239</v>
      </c>
      <c r="C1862" t="s">
        <v>12240</v>
      </c>
      <c r="E1862">
        <v>3266.304347826087</v>
      </c>
      <c r="F1862" t="s">
        <v>11989</v>
      </c>
    </row>
    <row r="1863" spans="1:6">
      <c r="A1863" s="306"/>
      <c r="B1863" t="s">
        <v>12241</v>
      </c>
      <c r="C1863" t="s">
        <v>12242</v>
      </c>
      <c r="E1863">
        <v>640.21739130434776</v>
      </c>
      <c r="F1863" t="s">
        <v>11989</v>
      </c>
    </row>
    <row r="1864" spans="1:6">
      <c r="A1864" s="306"/>
      <c r="B1864" t="s">
        <v>12243</v>
      </c>
      <c r="C1864" t="s">
        <v>12244</v>
      </c>
      <c r="E1864">
        <v>1811.9565217391303</v>
      </c>
      <c r="F1864" t="s">
        <v>11989</v>
      </c>
    </row>
    <row r="1865" spans="1:6">
      <c r="A1865" s="306"/>
      <c r="B1865" t="s">
        <v>12245</v>
      </c>
      <c r="C1865" t="s">
        <v>12246</v>
      </c>
      <c r="E1865">
        <v>3015.2173913043475</v>
      </c>
      <c r="F1865" t="s">
        <v>11989</v>
      </c>
    </row>
    <row r="1866" spans="1:6">
      <c r="A1866" s="306"/>
      <c r="B1866" t="s">
        <v>12247</v>
      </c>
      <c r="C1866" t="s">
        <v>12248</v>
      </c>
      <c r="E1866">
        <v>1035.8695652173913</v>
      </c>
      <c r="F1866" t="s">
        <v>11989</v>
      </c>
    </row>
    <row r="1867" spans="1:6">
      <c r="A1867" s="306"/>
      <c r="B1867" t="s">
        <v>12249</v>
      </c>
      <c r="C1867" t="s">
        <v>12250</v>
      </c>
      <c r="E1867">
        <v>2940.2173913043475</v>
      </c>
      <c r="F1867" t="s">
        <v>11989</v>
      </c>
    </row>
    <row r="1868" spans="1:6">
      <c r="A1868" s="306"/>
      <c r="B1868" t="s">
        <v>12251</v>
      </c>
      <c r="C1868" t="s">
        <v>12252</v>
      </c>
      <c r="E1868">
        <v>4896.7391304347821</v>
      </c>
      <c r="F1868" t="s">
        <v>11989</v>
      </c>
    </row>
    <row r="1869" spans="1:6">
      <c r="A1869" s="306"/>
      <c r="B1869" t="s">
        <v>12253</v>
      </c>
      <c r="C1869" t="s">
        <v>12254</v>
      </c>
      <c r="E1869">
        <v>2834.782608695652</v>
      </c>
      <c r="F1869" t="s">
        <v>11989</v>
      </c>
    </row>
    <row r="1870" spans="1:6">
      <c r="A1870" s="306"/>
      <c r="B1870" t="s">
        <v>12255</v>
      </c>
      <c r="C1870" t="s">
        <v>12256</v>
      </c>
      <c r="E1870">
        <v>8068.478260869565</v>
      </c>
      <c r="F1870" t="s">
        <v>11989</v>
      </c>
    </row>
    <row r="1871" spans="1:6">
      <c r="A1871" s="306"/>
      <c r="B1871" t="s">
        <v>12257</v>
      </c>
      <c r="C1871" t="s">
        <v>12258</v>
      </c>
      <c r="E1871">
        <v>4532.608695652174</v>
      </c>
      <c r="F1871" t="s">
        <v>11989</v>
      </c>
    </row>
    <row r="1872" spans="1:6">
      <c r="A1872" s="306"/>
      <c r="B1872" t="s">
        <v>12259</v>
      </c>
      <c r="C1872" t="s">
        <v>12260</v>
      </c>
      <c r="E1872">
        <v>12906.521739130434</v>
      </c>
      <c r="F1872" t="s">
        <v>11989</v>
      </c>
    </row>
    <row r="1873" spans="1:6">
      <c r="A1873" s="306"/>
      <c r="B1873" t="s">
        <v>12261</v>
      </c>
      <c r="C1873" t="s">
        <v>12262</v>
      </c>
      <c r="E1873">
        <v>1326.086956521739</v>
      </c>
      <c r="F1873" t="s">
        <v>11989</v>
      </c>
    </row>
    <row r="1874" spans="1:6">
      <c r="A1874" s="306"/>
      <c r="B1874" t="s">
        <v>12263</v>
      </c>
      <c r="C1874" t="s">
        <v>12264</v>
      </c>
      <c r="E1874">
        <v>3768.478260869565</v>
      </c>
      <c r="F1874" t="s">
        <v>11989</v>
      </c>
    </row>
    <row r="1875" spans="1:6">
      <c r="A1875" s="306"/>
      <c r="B1875" t="s">
        <v>12265</v>
      </c>
      <c r="C1875" t="s">
        <v>12266</v>
      </c>
      <c r="E1875">
        <v>6276.086956521739</v>
      </c>
      <c r="F1875" t="s">
        <v>11989</v>
      </c>
    </row>
    <row r="1876" spans="1:6">
      <c r="A1876" s="306"/>
      <c r="B1876" t="s">
        <v>12267</v>
      </c>
      <c r="C1876" t="s">
        <v>12268</v>
      </c>
      <c r="E1876">
        <v>2118.478260869565</v>
      </c>
      <c r="F1876" t="s">
        <v>11989</v>
      </c>
    </row>
    <row r="1877" spans="1:6">
      <c r="A1877" s="306"/>
      <c r="B1877" t="s">
        <v>12269</v>
      </c>
      <c r="C1877" t="s">
        <v>12270</v>
      </c>
      <c r="E1877">
        <v>6027.173913043478</v>
      </c>
      <c r="F1877" t="s">
        <v>11989</v>
      </c>
    </row>
    <row r="1878" spans="1:6">
      <c r="A1878" s="306"/>
      <c r="B1878" t="s">
        <v>12271</v>
      </c>
      <c r="C1878" t="s">
        <v>12272</v>
      </c>
      <c r="E1878">
        <v>10040.217391304348</v>
      </c>
      <c r="F1878" t="s">
        <v>11989</v>
      </c>
    </row>
    <row r="1879" spans="1:6">
      <c r="A1879" s="306"/>
      <c r="B1879" t="s">
        <v>12273</v>
      </c>
      <c r="C1879" t="s">
        <v>12274</v>
      </c>
      <c r="E1879">
        <v>1815.2173913043478</v>
      </c>
      <c r="F1879" t="s">
        <v>11989</v>
      </c>
    </row>
    <row r="1880" spans="1:6">
      <c r="A1880" s="306"/>
      <c r="B1880" t="s">
        <v>12275</v>
      </c>
      <c r="C1880" t="s">
        <v>12276</v>
      </c>
      <c r="E1880">
        <v>5161.95652173913</v>
      </c>
      <c r="F1880" t="s">
        <v>11989</v>
      </c>
    </row>
    <row r="1881" spans="1:6">
      <c r="A1881" s="306"/>
      <c r="B1881" t="s">
        <v>12277</v>
      </c>
      <c r="C1881" t="s">
        <v>12278</v>
      </c>
      <c r="E1881">
        <v>2946.7391304347825</v>
      </c>
      <c r="F1881" t="s">
        <v>11989</v>
      </c>
    </row>
    <row r="1882" spans="1:6">
      <c r="A1882" s="306"/>
      <c r="B1882" t="s">
        <v>12279</v>
      </c>
      <c r="C1882" t="s">
        <v>12280</v>
      </c>
      <c r="E1882">
        <v>8386.95652173913</v>
      </c>
      <c r="F1882" t="s">
        <v>11989</v>
      </c>
    </row>
    <row r="1883" spans="1:6">
      <c r="A1883" s="306"/>
      <c r="B1883" t="s">
        <v>12281</v>
      </c>
      <c r="C1883" t="s">
        <v>12282</v>
      </c>
      <c r="E1883">
        <v>3623.9130434782605</v>
      </c>
      <c r="F1883" t="s">
        <v>11989</v>
      </c>
    </row>
    <row r="1884" spans="1:6">
      <c r="A1884" s="306"/>
      <c r="B1884" t="s">
        <v>12283</v>
      </c>
      <c r="C1884" t="s">
        <v>12284</v>
      </c>
      <c r="E1884">
        <v>10316.304347826086</v>
      </c>
      <c r="F1884" t="s">
        <v>11989</v>
      </c>
    </row>
    <row r="1885" spans="1:6">
      <c r="A1885" s="306"/>
      <c r="B1885" t="s">
        <v>12285</v>
      </c>
      <c r="C1885" t="s">
        <v>12286</v>
      </c>
      <c r="E1885">
        <v>5888.0434782608691</v>
      </c>
      <c r="F1885" t="s">
        <v>11989</v>
      </c>
    </row>
    <row r="1886" spans="1:6">
      <c r="A1886" s="306"/>
      <c r="B1886" t="s">
        <v>12287</v>
      </c>
      <c r="C1886" t="s">
        <v>12288</v>
      </c>
      <c r="E1886">
        <v>16768.478260869564</v>
      </c>
      <c r="F1886" t="s">
        <v>11989</v>
      </c>
    </row>
    <row r="1887" spans="1:6">
      <c r="A1887" s="306"/>
      <c r="B1887" t="s">
        <v>12289</v>
      </c>
      <c r="C1887" t="s">
        <v>12290</v>
      </c>
      <c r="E1887">
        <v>7241.304347826087</v>
      </c>
      <c r="F1887" t="s">
        <v>11989</v>
      </c>
    </row>
    <row r="1888" spans="1:6">
      <c r="A1888" s="306"/>
      <c r="B1888" t="s">
        <v>12291</v>
      </c>
      <c r="C1888" t="s">
        <v>12292</v>
      </c>
      <c r="E1888">
        <v>20626.08695652174</v>
      </c>
      <c r="F1888" t="s">
        <v>11989</v>
      </c>
    </row>
    <row r="1889" spans="1:6">
      <c r="A1889" s="306"/>
      <c r="B1889" t="s">
        <v>12293</v>
      </c>
      <c r="C1889" t="s">
        <v>12294</v>
      </c>
      <c r="E1889">
        <v>11769.565217391304</v>
      </c>
      <c r="F1889" t="s">
        <v>11989</v>
      </c>
    </row>
    <row r="1890" spans="1:6">
      <c r="A1890" s="306"/>
      <c r="B1890" t="s">
        <v>12295</v>
      </c>
      <c r="C1890" t="s">
        <v>12296</v>
      </c>
      <c r="E1890">
        <v>33530.434782608696</v>
      </c>
      <c r="F1890" t="s">
        <v>11989</v>
      </c>
    </row>
    <row r="1891" spans="1:6">
      <c r="A1891" s="306"/>
      <c r="B1891" t="s">
        <v>12297</v>
      </c>
      <c r="C1891" t="s">
        <v>12298</v>
      </c>
      <c r="E1891">
        <v>851.08695652173913</v>
      </c>
      <c r="F1891" t="s">
        <v>11989</v>
      </c>
    </row>
    <row r="1892" spans="1:6">
      <c r="A1892" s="306"/>
      <c r="B1892" t="s">
        <v>12299</v>
      </c>
      <c r="C1892" t="s">
        <v>12300</v>
      </c>
      <c r="E1892">
        <v>2411.9565217391305</v>
      </c>
      <c r="F1892" t="s">
        <v>11989</v>
      </c>
    </row>
    <row r="1893" spans="1:6">
      <c r="A1893" s="306"/>
      <c r="B1893" t="s">
        <v>12301</v>
      </c>
      <c r="C1893" t="s">
        <v>12302</v>
      </c>
      <c r="E1893">
        <v>4016.304347826087</v>
      </c>
      <c r="F1893" t="s">
        <v>11989</v>
      </c>
    </row>
    <row r="1894" spans="1:6">
      <c r="A1894" s="306"/>
      <c r="B1894" t="s">
        <v>12303</v>
      </c>
      <c r="C1894" t="s">
        <v>12304</v>
      </c>
      <c r="E1894">
        <v>1379.3478260869565</v>
      </c>
      <c r="F1894" t="s">
        <v>11989</v>
      </c>
    </row>
    <row r="1895" spans="1:6">
      <c r="A1895" s="306"/>
      <c r="B1895" t="s">
        <v>12305</v>
      </c>
      <c r="C1895" t="s">
        <v>12306</v>
      </c>
      <c r="E1895">
        <v>3917.391304347826</v>
      </c>
      <c r="F1895" t="s">
        <v>11989</v>
      </c>
    </row>
    <row r="1896" spans="1:6">
      <c r="A1896" s="306"/>
      <c r="B1896" t="s">
        <v>12307</v>
      </c>
      <c r="C1896" t="s">
        <v>12308</v>
      </c>
      <c r="E1896">
        <v>6525</v>
      </c>
      <c r="F1896" t="s">
        <v>11989</v>
      </c>
    </row>
    <row r="1897" spans="1:6">
      <c r="A1897" s="306"/>
      <c r="B1897" t="s">
        <v>12309</v>
      </c>
      <c r="C1897" t="s">
        <v>12310</v>
      </c>
      <c r="E1897">
        <v>1694.5652173913043</v>
      </c>
      <c r="F1897" t="s">
        <v>11989</v>
      </c>
    </row>
    <row r="1898" spans="1:6">
      <c r="A1898" s="306"/>
      <c r="B1898" t="s">
        <v>12311</v>
      </c>
      <c r="C1898" t="s">
        <v>12312</v>
      </c>
      <c r="E1898">
        <v>4817.391304347826</v>
      </c>
      <c r="F1898" t="s">
        <v>11989</v>
      </c>
    </row>
    <row r="1899" spans="1:6">
      <c r="A1899" s="306"/>
      <c r="B1899" t="s">
        <v>12313</v>
      </c>
      <c r="C1899" t="s">
        <v>12314</v>
      </c>
      <c r="E1899">
        <v>8025</v>
      </c>
      <c r="F1899" t="s">
        <v>11989</v>
      </c>
    </row>
    <row r="1900" spans="1:6">
      <c r="A1900" s="306"/>
      <c r="B1900" t="s">
        <v>12315</v>
      </c>
      <c r="C1900" t="s">
        <v>12316</v>
      </c>
      <c r="E1900">
        <v>2751.086956521739</v>
      </c>
      <c r="F1900" t="s">
        <v>11989</v>
      </c>
    </row>
    <row r="1901" spans="1:6">
      <c r="A1901" s="306"/>
      <c r="B1901" t="s">
        <v>12317</v>
      </c>
      <c r="C1901" t="s">
        <v>12318</v>
      </c>
      <c r="E1901">
        <v>7828.260869565217</v>
      </c>
      <c r="F1901" t="s">
        <v>11989</v>
      </c>
    </row>
    <row r="1902" spans="1:6">
      <c r="A1902" s="306"/>
      <c r="B1902" t="s">
        <v>12319</v>
      </c>
      <c r="C1902" t="s">
        <v>12320</v>
      </c>
      <c r="E1902">
        <v>13043.478260869564</v>
      </c>
      <c r="F1902" t="s">
        <v>11989</v>
      </c>
    </row>
    <row r="1903" spans="1:6">
      <c r="A1903" s="306"/>
      <c r="B1903" t="s">
        <v>12321</v>
      </c>
      <c r="C1903" t="s">
        <v>12322</v>
      </c>
      <c r="E1903">
        <v>3382.608695652174</v>
      </c>
      <c r="F1903" t="s">
        <v>11989</v>
      </c>
    </row>
    <row r="1904" spans="1:6">
      <c r="A1904" s="306"/>
      <c r="B1904" t="s">
        <v>12323</v>
      </c>
      <c r="C1904" t="s">
        <v>12324</v>
      </c>
      <c r="E1904">
        <v>9629.347826086956</v>
      </c>
      <c r="F1904" t="s">
        <v>11989</v>
      </c>
    </row>
    <row r="1905" spans="1:6">
      <c r="A1905" s="306"/>
      <c r="B1905" t="s">
        <v>12325</v>
      </c>
      <c r="C1905" t="s">
        <v>12326</v>
      </c>
      <c r="E1905">
        <v>16044.565217391304</v>
      </c>
      <c r="F1905" t="s">
        <v>11989</v>
      </c>
    </row>
    <row r="1906" spans="1:6">
      <c r="A1906" s="306"/>
      <c r="B1906" t="s">
        <v>12327</v>
      </c>
      <c r="C1906" t="s">
        <v>12328</v>
      </c>
      <c r="E1906">
        <v>5495.652173913043</v>
      </c>
      <c r="F1906" t="s">
        <v>11989</v>
      </c>
    </row>
    <row r="1907" spans="1:6">
      <c r="A1907" s="306"/>
      <c r="B1907" t="s">
        <v>12329</v>
      </c>
      <c r="C1907" t="s">
        <v>12330</v>
      </c>
      <c r="E1907">
        <v>15651.086956521738</v>
      </c>
      <c r="F1907" t="s">
        <v>11989</v>
      </c>
    </row>
    <row r="1908" spans="1:6">
      <c r="A1908" s="306"/>
      <c r="B1908" t="s">
        <v>12331</v>
      </c>
      <c r="C1908" t="s">
        <v>12332</v>
      </c>
      <c r="E1908">
        <v>26080.434782608696</v>
      </c>
      <c r="F1908" t="s">
        <v>11989</v>
      </c>
    </row>
    <row r="1909" spans="1:6">
      <c r="A1909" s="306"/>
      <c r="B1909" t="s">
        <v>12333</v>
      </c>
      <c r="C1909" t="s">
        <v>12334</v>
      </c>
      <c r="E1909">
        <v>95.65217391304347</v>
      </c>
      <c r="F1909" t="s">
        <v>11989</v>
      </c>
    </row>
    <row r="1910" spans="1:6">
      <c r="A1910" s="306"/>
      <c r="B1910" t="s">
        <v>12335</v>
      </c>
      <c r="C1910" t="s">
        <v>12336</v>
      </c>
      <c r="E1910">
        <v>261.95652173913044</v>
      </c>
      <c r="F1910" t="s">
        <v>11989</v>
      </c>
    </row>
    <row r="1911" spans="1:6">
      <c r="A1911" s="306"/>
      <c r="B1911" t="s">
        <v>12337</v>
      </c>
      <c r="C1911" t="s">
        <v>12338</v>
      </c>
      <c r="E1911">
        <v>185.86956521739128</v>
      </c>
      <c r="F1911" t="s">
        <v>11989</v>
      </c>
    </row>
    <row r="1912" spans="1:6">
      <c r="A1912" s="306"/>
      <c r="B1912" t="s">
        <v>12339</v>
      </c>
      <c r="C1912" t="s">
        <v>12340</v>
      </c>
      <c r="E1912">
        <v>516.30434782608688</v>
      </c>
      <c r="F1912" t="s">
        <v>11989</v>
      </c>
    </row>
    <row r="1913" spans="1:6">
      <c r="A1913" s="306"/>
      <c r="B1913" t="s">
        <v>12341</v>
      </c>
      <c r="C1913" t="s">
        <v>12342</v>
      </c>
      <c r="E1913">
        <v>364.13043478260869</v>
      </c>
      <c r="F1913" t="s">
        <v>11989</v>
      </c>
    </row>
    <row r="1914" spans="1:6">
      <c r="A1914" s="306"/>
      <c r="B1914" t="s">
        <v>12343</v>
      </c>
      <c r="C1914" t="s">
        <v>12344</v>
      </c>
      <c r="E1914">
        <v>1026.086956521739</v>
      </c>
      <c r="F1914" t="s">
        <v>11989</v>
      </c>
    </row>
    <row r="1915" spans="1:6">
      <c r="A1915" s="306"/>
      <c r="B1915" t="s">
        <v>12345</v>
      </c>
      <c r="C1915" t="s">
        <v>12346</v>
      </c>
      <c r="E1915">
        <v>47.826086956521735</v>
      </c>
      <c r="F1915" t="s">
        <v>11989</v>
      </c>
    </row>
    <row r="1916" spans="1:6">
      <c r="A1916" s="306"/>
      <c r="B1916" t="s">
        <v>12347</v>
      </c>
      <c r="C1916" t="s">
        <v>12348</v>
      </c>
      <c r="E1916">
        <v>125</v>
      </c>
      <c r="F1916" t="s">
        <v>11989</v>
      </c>
    </row>
    <row r="1917" spans="1:6">
      <c r="A1917" s="306"/>
      <c r="B1917" t="s">
        <v>12349</v>
      </c>
      <c r="C1917" t="s">
        <v>12350</v>
      </c>
      <c r="E1917">
        <v>204.3478260869565</v>
      </c>
      <c r="F1917" t="s">
        <v>11989</v>
      </c>
    </row>
    <row r="1918" spans="1:6">
      <c r="A1918" s="306"/>
      <c r="B1918" t="s">
        <v>12351</v>
      </c>
      <c r="C1918" t="s">
        <v>12352</v>
      </c>
      <c r="E1918">
        <v>90.217391304347828</v>
      </c>
      <c r="F1918" t="s">
        <v>11989</v>
      </c>
    </row>
    <row r="1919" spans="1:6">
      <c r="A1919" s="306"/>
      <c r="B1919" t="s">
        <v>12353</v>
      </c>
      <c r="C1919" t="s">
        <v>12354</v>
      </c>
      <c r="E1919">
        <v>244.56521739130434</v>
      </c>
      <c r="F1919" t="s">
        <v>11989</v>
      </c>
    </row>
    <row r="1920" spans="1:6">
      <c r="A1920" s="306"/>
      <c r="B1920" t="s">
        <v>12355</v>
      </c>
      <c r="C1920" t="s">
        <v>12356</v>
      </c>
      <c r="E1920">
        <v>403.26086956521738</v>
      </c>
      <c r="F1920" t="s">
        <v>11989</v>
      </c>
    </row>
    <row r="1921" spans="1:6">
      <c r="A1921" s="306"/>
      <c r="B1921" t="s">
        <v>12357</v>
      </c>
      <c r="C1921" t="s">
        <v>12358</v>
      </c>
      <c r="E1921">
        <v>173.91304347826087</v>
      </c>
      <c r="F1921" t="s">
        <v>11989</v>
      </c>
    </row>
    <row r="1922" spans="1:6">
      <c r="A1922" s="306"/>
      <c r="B1922" t="s">
        <v>12359</v>
      </c>
      <c r="C1922" t="s">
        <v>12360</v>
      </c>
      <c r="E1922">
        <v>482.60869565217388</v>
      </c>
      <c r="F1922" t="s">
        <v>11989</v>
      </c>
    </row>
    <row r="1923" spans="1:6">
      <c r="A1923" s="306"/>
      <c r="B1923" t="s">
        <v>12361</v>
      </c>
      <c r="C1923" t="s">
        <v>12362</v>
      </c>
      <c r="E1923">
        <v>798.91304347826087</v>
      </c>
      <c r="F1923" t="s">
        <v>11989</v>
      </c>
    </row>
    <row r="1924" spans="1:6">
      <c r="A1924" s="306"/>
      <c r="B1924" t="s">
        <v>12363</v>
      </c>
      <c r="C1924" t="s">
        <v>12364</v>
      </c>
      <c r="E1924">
        <v>159.78260869565216</v>
      </c>
      <c r="F1924" t="s">
        <v>11989</v>
      </c>
    </row>
    <row r="1925" spans="1:6">
      <c r="A1925" s="306"/>
      <c r="B1925" t="s">
        <v>12365</v>
      </c>
      <c r="C1925" t="s">
        <v>12366</v>
      </c>
      <c r="E1925">
        <v>442.39130434782606</v>
      </c>
      <c r="F1925" t="s">
        <v>11989</v>
      </c>
    </row>
    <row r="1926" spans="1:6">
      <c r="A1926" s="306"/>
      <c r="B1926" t="s">
        <v>12367</v>
      </c>
      <c r="C1926" t="s">
        <v>12368</v>
      </c>
      <c r="E1926">
        <v>311.95652173913044</v>
      </c>
      <c r="F1926" t="s">
        <v>11989</v>
      </c>
    </row>
    <row r="1927" spans="1:6">
      <c r="A1927" s="306"/>
      <c r="B1927" t="s">
        <v>12369</v>
      </c>
      <c r="C1927" t="s">
        <v>12370</v>
      </c>
      <c r="E1927">
        <v>877.17391304347825</v>
      </c>
      <c r="F1927" t="s">
        <v>11989</v>
      </c>
    </row>
    <row r="1928" spans="1:6">
      <c r="A1928" s="306"/>
      <c r="B1928" t="s">
        <v>12371</v>
      </c>
      <c r="C1928" t="s">
        <v>12372</v>
      </c>
      <c r="E1928">
        <v>617.39130434782601</v>
      </c>
      <c r="F1928" t="s">
        <v>11989</v>
      </c>
    </row>
    <row r="1929" spans="1:6">
      <c r="A1929" s="306"/>
      <c r="B1929" t="s">
        <v>12373</v>
      </c>
      <c r="C1929" t="s">
        <v>12374</v>
      </c>
      <c r="E1929">
        <v>1748.9130434782608</v>
      </c>
      <c r="F1929" t="s">
        <v>11989</v>
      </c>
    </row>
    <row r="1930" spans="1:6">
      <c r="A1930" s="306"/>
      <c r="B1930" t="s">
        <v>12375</v>
      </c>
      <c r="C1930" t="s">
        <v>12376</v>
      </c>
      <c r="E1930">
        <v>78.260869565217391</v>
      </c>
      <c r="F1930" t="s">
        <v>11989</v>
      </c>
    </row>
    <row r="1931" spans="1:6">
      <c r="A1931" s="306"/>
      <c r="B1931" t="s">
        <v>12377</v>
      </c>
      <c r="C1931" t="s">
        <v>12378</v>
      </c>
      <c r="E1931">
        <v>209.78260869565216</v>
      </c>
      <c r="F1931" t="s">
        <v>11989</v>
      </c>
    </row>
    <row r="1932" spans="1:6">
      <c r="A1932" s="306"/>
      <c r="B1932" t="s">
        <v>12379</v>
      </c>
      <c r="C1932" t="s">
        <v>12380</v>
      </c>
      <c r="E1932">
        <v>345.65217391304344</v>
      </c>
      <c r="F1932" t="s">
        <v>11989</v>
      </c>
    </row>
    <row r="1933" spans="1:6">
      <c r="A1933" s="306"/>
      <c r="B1933" t="s">
        <v>12381</v>
      </c>
      <c r="C1933" t="s">
        <v>12382</v>
      </c>
      <c r="E1933">
        <v>148.91304347826087</v>
      </c>
      <c r="F1933" t="s">
        <v>11989</v>
      </c>
    </row>
    <row r="1934" spans="1:6">
      <c r="A1934" s="306"/>
      <c r="B1934" t="s">
        <v>12383</v>
      </c>
      <c r="C1934" t="s">
        <v>12384</v>
      </c>
      <c r="E1934">
        <v>413.04347826086956</v>
      </c>
      <c r="F1934" t="s">
        <v>11989</v>
      </c>
    </row>
    <row r="1935" spans="1:6">
      <c r="A1935" s="306"/>
      <c r="B1935" t="s">
        <v>12385</v>
      </c>
      <c r="C1935" t="s">
        <v>12386</v>
      </c>
      <c r="E1935">
        <v>683.695652173913</v>
      </c>
      <c r="F1935" t="s">
        <v>11989</v>
      </c>
    </row>
    <row r="1936" spans="1:6">
      <c r="A1936" s="306"/>
      <c r="B1936" t="s">
        <v>12387</v>
      </c>
      <c r="C1936" t="s">
        <v>12388</v>
      </c>
      <c r="E1936">
        <v>291.30434782608694</v>
      </c>
      <c r="F1936" t="s">
        <v>11989</v>
      </c>
    </row>
    <row r="1937" spans="1:6">
      <c r="A1937" s="306"/>
      <c r="B1937" t="s">
        <v>12389</v>
      </c>
      <c r="C1937" t="s">
        <v>12390</v>
      </c>
      <c r="E1937">
        <v>819.56521739130426</v>
      </c>
      <c r="F1937" t="s">
        <v>11989</v>
      </c>
    </row>
    <row r="1938" spans="1:6">
      <c r="A1938" s="306"/>
      <c r="B1938" t="s">
        <v>12391</v>
      </c>
      <c r="C1938" t="s">
        <v>12392</v>
      </c>
      <c r="E1938">
        <v>1361.9565217391303</v>
      </c>
      <c r="F1938" t="s">
        <v>11989</v>
      </c>
    </row>
    <row r="1939" spans="1:6">
      <c r="A1939" s="306"/>
      <c r="B1939" t="s">
        <v>12393</v>
      </c>
      <c r="C1939" t="s">
        <v>12394</v>
      </c>
      <c r="E1939">
        <v>910.86956521739125</v>
      </c>
      <c r="F1939" t="s">
        <v>11989</v>
      </c>
    </row>
    <row r="1940" spans="1:6">
      <c r="A1940" s="306"/>
      <c r="B1940" t="s">
        <v>12395</v>
      </c>
      <c r="C1940" t="s">
        <v>12396</v>
      </c>
      <c r="E1940">
        <v>2583.695652173913</v>
      </c>
      <c r="F1940" t="s">
        <v>11989</v>
      </c>
    </row>
    <row r="1941" spans="1:6">
      <c r="A1941" s="306"/>
      <c r="B1941" t="s">
        <v>12397</v>
      </c>
      <c r="C1941" t="s">
        <v>12398</v>
      </c>
      <c r="E1941">
        <v>1477.1739130434783</v>
      </c>
      <c r="F1941" t="s">
        <v>11989</v>
      </c>
    </row>
    <row r="1942" spans="1:6">
      <c r="A1942" s="306"/>
      <c r="B1942" t="s">
        <v>12399</v>
      </c>
      <c r="C1942" t="s">
        <v>12400</v>
      </c>
      <c r="E1942">
        <v>4196.7391304347821</v>
      </c>
      <c r="F1942" t="s">
        <v>11989</v>
      </c>
    </row>
    <row r="1943" spans="1:6">
      <c r="A1943" s="306"/>
      <c r="B1943" t="s">
        <v>12401</v>
      </c>
      <c r="C1943" t="s">
        <v>12402</v>
      </c>
      <c r="E1943">
        <v>1128.2608695652173</v>
      </c>
      <c r="F1943" t="s">
        <v>11989</v>
      </c>
    </row>
    <row r="1944" spans="1:6">
      <c r="A1944" s="306"/>
      <c r="B1944" t="s">
        <v>12403</v>
      </c>
      <c r="C1944" t="s">
        <v>12404</v>
      </c>
      <c r="E1944">
        <v>3203.260869565217</v>
      </c>
      <c r="F1944" t="s">
        <v>11989</v>
      </c>
    </row>
    <row r="1945" spans="1:6">
      <c r="A1945" s="306"/>
      <c r="B1945" t="s">
        <v>12405</v>
      </c>
      <c r="C1945" t="s">
        <v>12406</v>
      </c>
      <c r="E1945">
        <v>1694.5652173913043</v>
      </c>
      <c r="F1945" t="s">
        <v>11989</v>
      </c>
    </row>
    <row r="1946" spans="1:6">
      <c r="A1946" s="306"/>
      <c r="B1946" t="s">
        <v>12407</v>
      </c>
      <c r="C1946" t="s">
        <v>12408</v>
      </c>
      <c r="E1946">
        <v>4816.304347826087</v>
      </c>
      <c r="F1946" t="s">
        <v>11989</v>
      </c>
    </row>
    <row r="1947" spans="1:6">
      <c r="A1947" s="306"/>
      <c r="B1947" t="s">
        <v>12409</v>
      </c>
      <c r="C1947" t="s">
        <v>12410</v>
      </c>
      <c r="E1947">
        <v>1363.0434782608695</v>
      </c>
      <c r="F1947" t="s">
        <v>11989</v>
      </c>
    </row>
    <row r="1948" spans="1:6">
      <c r="A1948" s="306"/>
      <c r="B1948" t="s">
        <v>12411</v>
      </c>
      <c r="C1948" t="s">
        <v>12412</v>
      </c>
      <c r="E1948">
        <v>3870.6521739130435</v>
      </c>
      <c r="F1948" t="s">
        <v>11989</v>
      </c>
    </row>
    <row r="1949" spans="1:6">
      <c r="A1949" s="306"/>
      <c r="B1949" t="s">
        <v>12413</v>
      </c>
      <c r="C1949" t="s">
        <v>12414</v>
      </c>
      <c r="E1949">
        <v>2145.6521739130435</v>
      </c>
      <c r="F1949" t="s">
        <v>11989</v>
      </c>
    </row>
    <row r="1950" spans="1:6">
      <c r="A1950" s="306"/>
      <c r="B1950" t="s">
        <v>12415</v>
      </c>
      <c r="C1950" t="s">
        <v>12416</v>
      </c>
      <c r="E1950">
        <v>6103.260869565217</v>
      </c>
      <c r="F1950" t="s">
        <v>11989</v>
      </c>
    </row>
    <row r="1951" spans="1:6">
      <c r="A1951" s="306"/>
      <c r="B1951" t="s">
        <v>12417</v>
      </c>
      <c r="C1951" t="s">
        <v>12418</v>
      </c>
      <c r="E1951">
        <v>910.86956521739125</v>
      </c>
      <c r="F1951" t="s">
        <v>11989</v>
      </c>
    </row>
    <row r="1952" spans="1:6">
      <c r="A1952" s="306"/>
      <c r="B1952" t="s">
        <v>12419</v>
      </c>
      <c r="C1952" t="s">
        <v>12420</v>
      </c>
      <c r="E1952">
        <v>2583.695652173913</v>
      </c>
      <c r="F1952" t="s">
        <v>11989</v>
      </c>
    </row>
    <row r="1953" spans="1:6">
      <c r="A1953" s="306"/>
      <c r="B1953" t="s">
        <v>12421</v>
      </c>
      <c r="C1953" t="s">
        <v>12422</v>
      </c>
      <c r="E1953">
        <v>1477.1739130434783</v>
      </c>
      <c r="F1953" t="s">
        <v>11989</v>
      </c>
    </row>
    <row r="1954" spans="1:6">
      <c r="A1954" s="306"/>
      <c r="B1954" t="s">
        <v>12423</v>
      </c>
      <c r="C1954" t="s">
        <v>12424</v>
      </c>
      <c r="E1954">
        <v>4196.7391304347821</v>
      </c>
      <c r="F1954" t="s">
        <v>11989</v>
      </c>
    </row>
    <row r="1955" spans="1:6">
      <c r="A1955" s="306"/>
      <c r="B1955" t="s">
        <v>12425</v>
      </c>
      <c r="C1955" t="s">
        <v>12426</v>
      </c>
      <c r="E1955">
        <v>1128.2608695652173</v>
      </c>
      <c r="F1955" t="s">
        <v>11989</v>
      </c>
    </row>
    <row r="1956" spans="1:6">
      <c r="A1956" s="306"/>
      <c r="B1956" t="s">
        <v>12427</v>
      </c>
      <c r="C1956" t="s">
        <v>12428</v>
      </c>
      <c r="E1956">
        <v>3203.260869565217</v>
      </c>
      <c r="F1956" t="s">
        <v>11989</v>
      </c>
    </row>
    <row r="1957" spans="1:6">
      <c r="A1957" s="306"/>
      <c r="B1957" t="s">
        <v>12429</v>
      </c>
      <c r="C1957" t="s">
        <v>12430</v>
      </c>
      <c r="E1957">
        <v>1694.5652173913043</v>
      </c>
      <c r="F1957" t="s">
        <v>11989</v>
      </c>
    </row>
    <row r="1958" spans="1:6">
      <c r="A1958" s="306"/>
      <c r="B1958" t="s">
        <v>12431</v>
      </c>
      <c r="C1958" t="s">
        <v>12432</v>
      </c>
      <c r="E1958">
        <v>4816.304347826087</v>
      </c>
      <c r="F1958" t="s">
        <v>11989</v>
      </c>
    </row>
    <row r="1959" spans="1:6">
      <c r="A1959" s="306"/>
      <c r="B1959" t="s">
        <v>12433</v>
      </c>
      <c r="C1959" t="s">
        <v>12434</v>
      </c>
      <c r="E1959">
        <v>2834.782608695652</v>
      </c>
      <c r="F1959" t="s">
        <v>11989</v>
      </c>
    </row>
    <row r="1960" spans="1:6">
      <c r="A1960" s="306"/>
      <c r="B1960" t="s">
        <v>12435</v>
      </c>
      <c r="C1960" t="s">
        <v>12436</v>
      </c>
      <c r="E1960">
        <v>8068.478260869565</v>
      </c>
      <c r="F1960" t="s">
        <v>11989</v>
      </c>
    </row>
    <row r="1961" spans="1:6">
      <c r="A1961" s="306"/>
      <c r="B1961" t="s">
        <v>12437</v>
      </c>
      <c r="C1961" t="s">
        <v>12438</v>
      </c>
      <c r="E1961">
        <v>4532.608695652174</v>
      </c>
      <c r="F1961" t="s">
        <v>11989</v>
      </c>
    </row>
    <row r="1962" spans="1:6">
      <c r="A1962" s="306"/>
      <c r="B1962" t="s">
        <v>12439</v>
      </c>
      <c r="C1962" t="s">
        <v>12440</v>
      </c>
      <c r="E1962">
        <v>12906.521739130434</v>
      </c>
      <c r="F1962" t="s">
        <v>11989</v>
      </c>
    </row>
    <row r="1963" spans="1:6">
      <c r="A1963" s="306"/>
      <c r="B1963" t="s">
        <v>12441</v>
      </c>
      <c r="C1963" t="s">
        <v>12442</v>
      </c>
      <c r="E1963">
        <v>3650</v>
      </c>
      <c r="F1963" t="s">
        <v>11989</v>
      </c>
    </row>
    <row r="1964" spans="1:6">
      <c r="A1964" s="306"/>
      <c r="B1964" t="s">
        <v>12443</v>
      </c>
      <c r="C1964" t="s">
        <v>12444</v>
      </c>
      <c r="E1964">
        <v>10390.217391304348</v>
      </c>
      <c r="F1964" t="s">
        <v>11989</v>
      </c>
    </row>
    <row r="1965" spans="1:6">
      <c r="A1965" s="306"/>
      <c r="B1965" t="s">
        <v>12445</v>
      </c>
      <c r="C1965" t="s">
        <v>12446</v>
      </c>
      <c r="E1965">
        <v>5347.8260869565211</v>
      </c>
      <c r="F1965" t="s">
        <v>11989</v>
      </c>
    </row>
    <row r="1966" spans="1:6">
      <c r="A1966" s="306"/>
      <c r="B1966" t="s">
        <v>12447</v>
      </c>
      <c r="C1966" t="s">
        <v>12448</v>
      </c>
      <c r="E1966">
        <v>15229.347826086956</v>
      </c>
      <c r="F1966" t="s">
        <v>11989</v>
      </c>
    </row>
    <row r="1967" spans="1:6">
      <c r="A1967" s="306"/>
      <c r="B1967" t="s">
        <v>12449</v>
      </c>
      <c r="C1967" t="s">
        <v>12450</v>
      </c>
      <c r="E1967">
        <v>1135.8695652173913</v>
      </c>
      <c r="F1967" t="s">
        <v>11989</v>
      </c>
    </row>
    <row r="1968" spans="1:6">
      <c r="A1968" s="306"/>
      <c r="B1968" t="s">
        <v>12451</v>
      </c>
      <c r="C1968" t="s">
        <v>12452</v>
      </c>
      <c r="E1968">
        <v>3226.086956521739</v>
      </c>
      <c r="F1968" t="s">
        <v>11989</v>
      </c>
    </row>
    <row r="1969" spans="1:6">
      <c r="A1969" s="306"/>
      <c r="B1969" t="s">
        <v>12453</v>
      </c>
      <c r="C1969" t="s">
        <v>12454</v>
      </c>
      <c r="E1969">
        <v>1702.1739130434783</v>
      </c>
      <c r="F1969" t="s">
        <v>11989</v>
      </c>
    </row>
    <row r="1970" spans="1:6">
      <c r="A1970" s="306"/>
      <c r="B1970" t="s">
        <v>12455</v>
      </c>
      <c r="C1970" t="s">
        <v>12456</v>
      </c>
      <c r="E1970">
        <v>4839.1304347826081</v>
      </c>
      <c r="F1970" t="s">
        <v>11989</v>
      </c>
    </row>
    <row r="1971" spans="1:6">
      <c r="A1971" s="306"/>
      <c r="B1971" t="s">
        <v>12457</v>
      </c>
      <c r="C1971" t="s">
        <v>12458</v>
      </c>
      <c r="E1971">
        <v>533.695652173913</v>
      </c>
      <c r="F1971" t="s">
        <v>11989</v>
      </c>
    </row>
    <row r="1972" spans="1:6">
      <c r="A1972" s="306"/>
      <c r="B1972" t="s">
        <v>12459</v>
      </c>
      <c r="C1972" t="s">
        <v>12460</v>
      </c>
      <c r="E1972">
        <v>1508.695652173913</v>
      </c>
      <c r="F1972" t="s">
        <v>11989</v>
      </c>
    </row>
    <row r="1973" spans="1:6">
      <c r="A1973" s="306"/>
      <c r="B1973" t="s">
        <v>12461</v>
      </c>
      <c r="C1973" t="s">
        <v>12462</v>
      </c>
      <c r="E1973">
        <v>2510.869565217391</v>
      </c>
      <c r="F1973" t="s">
        <v>11989</v>
      </c>
    </row>
    <row r="1974" spans="1:6">
      <c r="A1974" s="306"/>
      <c r="B1974" t="s">
        <v>12463</v>
      </c>
      <c r="C1974" t="s">
        <v>12464</v>
      </c>
      <c r="E1974">
        <v>797.82608695652175</v>
      </c>
      <c r="F1974" t="s">
        <v>11989</v>
      </c>
    </row>
    <row r="1975" spans="1:6">
      <c r="A1975" s="306"/>
      <c r="B1975" t="s">
        <v>12465</v>
      </c>
      <c r="C1975" t="s">
        <v>12466</v>
      </c>
      <c r="E1975">
        <v>2261.9565217391305</v>
      </c>
      <c r="F1975" t="s">
        <v>11989</v>
      </c>
    </row>
    <row r="1976" spans="1:6">
      <c r="A1976" s="306"/>
      <c r="B1976" t="s">
        <v>12467</v>
      </c>
      <c r="C1976" t="s">
        <v>12468</v>
      </c>
      <c r="E1976">
        <v>3765.2173913043475</v>
      </c>
      <c r="F1976" t="s">
        <v>11989</v>
      </c>
    </row>
    <row r="1977" spans="1:6">
      <c r="A1977" s="306"/>
      <c r="B1977" t="s">
        <v>12469</v>
      </c>
      <c r="C1977" t="s">
        <v>12470</v>
      </c>
      <c r="E1977">
        <v>2583.695652173913</v>
      </c>
      <c r="F1977" t="s">
        <v>11989</v>
      </c>
    </row>
    <row r="1978" spans="1:6">
      <c r="A1978" s="306"/>
      <c r="B1978" t="s">
        <v>12471</v>
      </c>
      <c r="C1978" t="s">
        <v>12472</v>
      </c>
      <c r="E1978">
        <v>1293.4782608695652</v>
      </c>
      <c r="F1978" t="s">
        <v>11989</v>
      </c>
    </row>
    <row r="1979" spans="1:6">
      <c r="A1979" s="306"/>
      <c r="B1979" t="s">
        <v>12473</v>
      </c>
      <c r="C1979" t="s">
        <v>12474</v>
      </c>
      <c r="E1979">
        <v>217.39130434782606</v>
      </c>
      <c r="F1979" t="s">
        <v>11989</v>
      </c>
    </row>
    <row r="1980" spans="1:6">
      <c r="A1980" s="306"/>
      <c r="B1980" t="s">
        <v>12475</v>
      </c>
      <c r="C1980" t="s">
        <v>12476</v>
      </c>
      <c r="E1980">
        <v>607.60869565217388</v>
      </c>
      <c r="F1980" t="s">
        <v>11989</v>
      </c>
    </row>
    <row r="1981" spans="1:6">
      <c r="A1981" s="306"/>
      <c r="B1981" t="s">
        <v>12477</v>
      </c>
      <c r="C1981" t="s">
        <v>12478</v>
      </c>
      <c r="E1981">
        <v>1007.6086956521739</v>
      </c>
      <c r="F1981" t="s">
        <v>11989</v>
      </c>
    </row>
    <row r="1982" spans="1:6">
      <c r="A1982" s="306"/>
      <c r="B1982" t="s">
        <v>12479</v>
      </c>
      <c r="C1982" t="s">
        <v>12480</v>
      </c>
      <c r="E1982">
        <v>1416.304347826087</v>
      </c>
      <c r="F1982" t="s">
        <v>11989</v>
      </c>
    </row>
    <row r="1983" spans="1:6">
      <c r="A1983" s="306"/>
      <c r="B1983" t="s">
        <v>12481</v>
      </c>
      <c r="C1983" t="s">
        <v>12482</v>
      </c>
      <c r="E1983">
        <v>4022.8260869565215</v>
      </c>
      <c r="F1983" t="s">
        <v>11989</v>
      </c>
    </row>
    <row r="1984" spans="1:6">
      <c r="A1984" s="306"/>
      <c r="B1984" t="s">
        <v>12483</v>
      </c>
      <c r="C1984" t="s">
        <v>12484</v>
      </c>
      <c r="E1984">
        <v>664.13043478260863</v>
      </c>
      <c r="F1984" t="s">
        <v>11989</v>
      </c>
    </row>
    <row r="1985" spans="1:6">
      <c r="A1985" s="306"/>
      <c r="B1985" t="s">
        <v>12485</v>
      </c>
      <c r="C1985" t="s">
        <v>12486</v>
      </c>
      <c r="E1985">
        <v>1880.4347826086955</v>
      </c>
      <c r="F1985" t="s">
        <v>11989</v>
      </c>
    </row>
    <row r="1986" spans="1:6">
      <c r="A1986" s="306"/>
      <c r="B1986" t="s">
        <v>12487</v>
      </c>
      <c r="C1986" t="s">
        <v>12488</v>
      </c>
      <c r="E1986">
        <v>3130.4347826086955</v>
      </c>
      <c r="F1986" t="s">
        <v>11989</v>
      </c>
    </row>
    <row r="1987" spans="1:6">
      <c r="A1987" s="306"/>
      <c r="B1987" t="s">
        <v>12489</v>
      </c>
      <c r="C1987" t="s">
        <v>12490</v>
      </c>
      <c r="E1987">
        <v>231.52173913043478</v>
      </c>
      <c r="F1987" t="s">
        <v>11989</v>
      </c>
    </row>
    <row r="1988" spans="1:6">
      <c r="A1988" s="306"/>
      <c r="B1988" t="s">
        <v>12491</v>
      </c>
      <c r="C1988" t="s">
        <v>12492</v>
      </c>
      <c r="E1988">
        <v>648.91304347826087</v>
      </c>
      <c r="F1988" t="s">
        <v>11989</v>
      </c>
    </row>
    <row r="1989" spans="1:6">
      <c r="A1989" s="306"/>
      <c r="B1989" t="s">
        <v>12493</v>
      </c>
      <c r="C1989" t="s">
        <v>12494</v>
      </c>
      <c r="E1989">
        <v>111.95652173913042</v>
      </c>
      <c r="F1989" t="s">
        <v>11989</v>
      </c>
    </row>
    <row r="1990" spans="1:6">
      <c r="A1990" s="306"/>
      <c r="B1990" t="s">
        <v>12495</v>
      </c>
      <c r="C1990" t="s">
        <v>12496</v>
      </c>
      <c r="E1990">
        <v>306.52173913043475</v>
      </c>
      <c r="F1990" t="s">
        <v>11989</v>
      </c>
    </row>
    <row r="1991" spans="1:6">
      <c r="A1991" s="306"/>
      <c r="B1991" t="s">
        <v>12497</v>
      </c>
      <c r="C1991" t="s">
        <v>12498</v>
      </c>
      <c r="E1991">
        <v>505.43478260869563</v>
      </c>
      <c r="F1991" t="s">
        <v>11989</v>
      </c>
    </row>
    <row r="1992" spans="1:6">
      <c r="A1992" s="306"/>
      <c r="B1992" t="s">
        <v>12499</v>
      </c>
      <c r="C1992" t="s">
        <v>12500</v>
      </c>
      <c r="E1992">
        <v>910.86956521739125</v>
      </c>
      <c r="F1992" t="s">
        <v>11989</v>
      </c>
    </row>
    <row r="1993" spans="1:6">
      <c r="A1993" s="306"/>
      <c r="B1993" t="s">
        <v>12501</v>
      </c>
      <c r="C1993" t="s">
        <v>12502</v>
      </c>
      <c r="E1993">
        <v>2583.695652173913</v>
      </c>
      <c r="F1993" t="s">
        <v>11989</v>
      </c>
    </row>
    <row r="1994" spans="1:6">
      <c r="A1994" s="306"/>
      <c r="B1994" t="s">
        <v>12503</v>
      </c>
      <c r="C1994" t="s">
        <v>12504</v>
      </c>
      <c r="E1994">
        <v>428.26086956521738</v>
      </c>
      <c r="F1994" t="s">
        <v>11989</v>
      </c>
    </row>
    <row r="1995" spans="1:6">
      <c r="A1995" s="306"/>
      <c r="B1995" t="s">
        <v>12505</v>
      </c>
      <c r="C1995" t="s">
        <v>12506</v>
      </c>
      <c r="E1995">
        <v>1209.782608695652</v>
      </c>
      <c r="F1995" t="s">
        <v>11989</v>
      </c>
    </row>
    <row r="1996" spans="1:6">
      <c r="A1996" s="306"/>
      <c r="B1996" t="s">
        <v>12507</v>
      </c>
      <c r="C1996" t="s">
        <v>12508</v>
      </c>
      <c r="E1996">
        <v>2010.8695652173913</v>
      </c>
      <c r="F1996" t="s">
        <v>11989</v>
      </c>
    </row>
    <row r="1997" spans="1:6">
      <c r="A1997" s="306"/>
      <c r="B1997" t="s">
        <v>12509</v>
      </c>
      <c r="C1997" t="s">
        <v>12510</v>
      </c>
      <c r="E1997">
        <v>2830.4347826086955</v>
      </c>
      <c r="F1997" t="s">
        <v>11989</v>
      </c>
    </row>
    <row r="1998" spans="1:6">
      <c r="A1998" s="306"/>
      <c r="B1998" t="s">
        <v>12511</v>
      </c>
      <c r="C1998" t="s">
        <v>12512</v>
      </c>
      <c r="E1998">
        <v>8055.4347826086951</v>
      </c>
      <c r="F1998" t="s">
        <v>11989</v>
      </c>
    </row>
    <row r="1999" spans="1:6">
      <c r="A1999" s="306"/>
      <c r="B1999" t="s">
        <v>12513</v>
      </c>
      <c r="C1999" t="s">
        <v>12514</v>
      </c>
      <c r="E1999">
        <v>1325</v>
      </c>
      <c r="F1999" t="s">
        <v>11989</v>
      </c>
    </row>
    <row r="2000" spans="1:6">
      <c r="A2000" s="306"/>
      <c r="B2000" t="s">
        <v>12515</v>
      </c>
      <c r="C2000" t="s">
        <v>12516</v>
      </c>
      <c r="E2000">
        <v>3763.0434782608695</v>
      </c>
      <c r="F2000" t="s">
        <v>11989</v>
      </c>
    </row>
    <row r="2001" spans="1:6">
      <c r="A2001" s="306"/>
      <c r="B2001" t="s">
        <v>12517</v>
      </c>
      <c r="C2001" t="s">
        <v>12518</v>
      </c>
      <c r="E2001">
        <v>6266.304347826087</v>
      </c>
      <c r="F2001" t="s">
        <v>11989</v>
      </c>
    </row>
    <row r="2002" spans="1:6">
      <c r="A2002" s="306"/>
      <c r="B2002" t="s">
        <v>12519</v>
      </c>
      <c r="C2002" t="s">
        <v>12520</v>
      </c>
      <c r="E2002">
        <v>231.52173913043478</v>
      </c>
      <c r="F2002" t="s">
        <v>11989</v>
      </c>
    </row>
    <row r="2003" spans="1:6">
      <c r="A2003" s="306"/>
      <c r="B2003" t="s">
        <v>12521</v>
      </c>
      <c r="C2003" t="s">
        <v>12522</v>
      </c>
      <c r="E2003">
        <v>648.91304347826087</v>
      </c>
      <c r="F2003" t="s">
        <v>11989</v>
      </c>
    </row>
    <row r="2004" spans="1:6">
      <c r="A2004" s="306"/>
      <c r="B2004" t="s">
        <v>12523</v>
      </c>
      <c r="C2004" t="s">
        <v>12524</v>
      </c>
      <c r="E2004">
        <v>111.95652173913042</v>
      </c>
      <c r="F2004" t="s">
        <v>11989</v>
      </c>
    </row>
    <row r="2005" spans="1:6">
      <c r="A2005" s="306"/>
      <c r="B2005" t="s">
        <v>12525</v>
      </c>
      <c r="C2005" t="s">
        <v>12526</v>
      </c>
      <c r="E2005">
        <v>306.52173913043475</v>
      </c>
      <c r="F2005" t="s">
        <v>11989</v>
      </c>
    </row>
    <row r="2006" spans="1:6">
      <c r="A2006" s="306"/>
      <c r="B2006" t="s">
        <v>12527</v>
      </c>
      <c r="C2006" t="s">
        <v>12528</v>
      </c>
      <c r="E2006">
        <v>505.43478260869563</v>
      </c>
      <c r="F2006" t="s">
        <v>11989</v>
      </c>
    </row>
    <row r="2007" spans="1:6">
      <c r="A2007" s="306"/>
      <c r="B2007" t="s">
        <v>12529</v>
      </c>
      <c r="C2007" t="s">
        <v>12530</v>
      </c>
      <c r="E2007">
        <v>288.04347826086956</v>
      </c>
      <c r="F2007" t="s">
        <v>11989</v>
      </c>
    </row>
    <row r="2008" spans="1:6">
      <c r="A2008" s="306"/>
      <c r="B2008" t="s">
        <v>12531</v>
      </c>
      <c r="C2008" t="s">
        <v>12532</v>
      </c>
      <c r="E2008">
        <v>809.78260869565213</v>
      </c>
      <c r="F2008" t="s">
        <v>11989</v>
      </c>
    </row>
    <row r="2009" spans="1:6">
      <c r="A2009" s="306"/>
      <c r="B2009" t="s">
        <v>12533</v>
      </c>
      <c r="C2009" t="s">
        <v>12534</v>
      </c>
      <c r="E2009">
        <v>138.04347826086956</v>
      </c>
      <c r="F2009" t="s">
        <v>11989</v>
      </c>
    </row>
    <row r="2010" spans="1:6">
      <c r="A2010" s="306"/>
      <c r="B2010" t="s">
        <v>12535</v>
      </c>
      <c r="C2010" t="s">
        <v>12536</v>
      </c>
      <c r="E2010">
        <v>381.52173913043475</v>
      </c>
      <c r="F2010" t="s">
        <v>11989</v>
      </c>
    </row>
    <row r="2011" spans="1:6">
      <c r="A2011" s="306"/>
      <c r="B2011" t="s">
        <v>12537</v>
      </c>
      <c r="C2011" t="s">
        <v>12538</v>
      </c>
      <c r="E2011">
        <v>631.52173913043475</v>
      </c>
      <c r="F2011" t="s">
        <v>11989</v>
      </c>
    </row>
    <row r="2012" spans="1:6">
      <c r="A2012" s="306"/>
      <c r="B2012" t="s">
        <v>12539</v>
      </c>
      <c r="C2012" t="s">
        <v>12540</v>
      </c>
      <c r="E2012">
        <v>883.695652173913</v>
      </c>
      <c r="F2012" t="s">
        <v>11989</v>
      </c>
    </row>
    <row r="2013" spans="1:6">
      <c r="A2013" s="306"/>
      <c r="B2013" t="s">
        <v>12541</v>
      </c>
      <c r="C2013" t="s">
        <v>12542</v>
      </c>
      <c r="E2013">
        <v>2506.5217391304345</v>
      </c>
      <c r="F2013" t="s">
        <v>11989</v>
      </c>
    </row>
    <row r="2014" spans="1:6">
      <c r="A2014" s="306"/>
      <c r="B2014" t="s">
        <v>12543</v>
      </c>
      <c r="C2014" t="s">
        <v>12544</v>
      </c>
      <c r="E2014">
        <v>416.30434782608694</v>
      </c>
      <c r="F2014" t="s">
        <v>11989</v>
      </c>
    </row>
    <row r="2015" spans="1:6">
      <c r="A2015" s="306"/>
      <c r="B2015" t="s">
        <v>12545</v>
      </c>
      <c r="C2015" t="s">
        <v>12546</v>
      </c>
      <c r="E2015">
        <v>1172.8260869565217</v>
      </c>
      <c r="F2015" t="s">
        <v>11989</v>
      </c>
    </row>
    <row r="2016" spans="1:6">
      <c r="A2016" s="306"/>
      <c r="B2016" t="s">
        <v>12547</v>
      </c>
      <c r="C2016" t="s">
        <v>12548</v>
      </c>
      <c r="E2016">
        <v>1951.086956521739</v>
      </c>
      <c r="F2016" t="s">
        <v>11989</v>
      </c>
    </row>
    <row r="2017" spans="1:6">
      <c r="A2017" s="306"/>
      <c r="B2017" t="s">
        <v>12549</v>
      </c>
      <c r="C2017" t="s">
        <v>12550</v>
      </c>
      <c r="E2017">
        <v>223.91304347826085</v>
      </c>
      <c r="F2017" t="s">
        <v>11989</v>
      </c>
    </row>
    <row r="2018" spans="1:6">
      <c r="A2018" s="306"/>
      <c r="B2018" t="s">
        <v>12551</v>
      </c>
      <c r="C2018" t="s">
        <v>12552</v>
      </c>
      <c r="E2018">
        <v>626.08695652173913</v>
      </c>
      <c r="F2018" t="s">
        <v>11989</v>
      </c>
    </row>
    <row r="2019" spans="1:6">
      <c r="A2019" s="306"/>
      <c r="B2019" t="s">
        <v>12553</v>
      </c>
      <c r="C2019" t="s">
        <v>12554</v>
      </c>
      <c r="E2019">
        <v>107.60869565217391</v>
      </c>
      <c r="F2019" t="s">
        <v>11989</v>
      </c>
    </row>
    <row r="2020" spans="1:6">
      <c r="A2020" s="306"/>
      <c r="B2020" t="s">
        <v>12555</v>
      </c>
      <c r="C2020" t="s">
        <v>12556</v>
      </c>
      <c r="E2020">
        <v>295.65217391304344</v>
      </c>
      <c r="F2020" t="s">
        <v>11989</v>
      </c>
    </row>
    <row r="2021" spans="1:6">
      <c r="A2021" s="306"/>
      <c r="B2021" t="s">
        <v>12557</v>
      </c>
      <c r="C2021" t="s">
        <v>12558</v>
      </c>
      <c r="E2021">
        <v>488.04347826086956</v>
      </c>
      <c r="F2021" t="s">
        <v>11989</v>
      </c>
    </row>
    <row r="2022" spans="1:6">
      <c r="A2022" s="306"/>
      <c r="B2022" t="s">
        <v>12559</v>
      </c>
      <c r="C2022" t="s">
        <v>12560</v>
      </c>
      <c r="E2022">
        <v>821.73913043478262</v>
      </c>
      <c r="F2022" t="s">
        <v>11989</v>
      </c>
    </row>
    <row r="2023" spans="1:6">
      <c r="A2023" s="306"/>
      <c r="B2023" t="s">
        <v>12561</v>
      </c>
      <c r="C2023" t="s">
        <v>12562</v>
      </c>
      <c r="E2023">
        <v>2329.3478260869565</v>
      </c>
      <c r="F2023" t="s">
        <v>11989</v>
      </c>
    </row>
    <row r="2024" spans="1:6">
      <c r="A2024" s="306"/>
      <c r="B2024" t="s">
        <v>12563</v>
      </c>
      <c r="C2024" t="s">
        <v>12564</v>
      </c>
      <c r="E2024">
        <v>386.95652173913044</v>
      </c>
      <c r="F2024" t="s">
        <v>11989</v>
      </c>
    </row>
    <row r="2025" spans="1:6">
      <c r="A2025" s="306"/>
      <c r="B2025" t="s">
        <v>12565</v>
      </c>
      <c r="C2025" t="s">
        <v>12566</v>
      </c>
      <c r="E2025">
        <v>1090.2173913043478</v>
      </c>
      <c r="F2025" t="s">
        <v>11989</v>
      </c>
    </row>
    <row r="2026" spans="1:6">
      <c r="A2026" s="306"/>
      <c r="B2026" t="s">
        <v>12567</v>
      </c>
      <c r="C2026" t="s">
        <v>12568</v>
      </c>
      <c r="E2026">
        <v>1813.0434782608695</v>
      </c>
      <c r="F2026" t="s">
        <v>11989</v>
      </c>
    </row>
    <row r="2027" spans="1:6">
      <c r="A2027" s="306"/>
      <c r="B2027" t="s">
        <v>12569</v>
      </c>
      <c r="C2027" t="s">
        <v>12570</v>
      </c>
      <c r="E2027">
        <v>115.21739130434783</v>
      </c>
      <c r="F2027" t="s">
        <v>11989</v>
      </c>
    </row>
    <row r="2028" spans="1:6">
      <c r="A2028" s="306"/>
      <c r="B2028" t="s">
        <v>12571</v>
      </c>
      <c r="C2028" t="s">
        <v>12572</v>
      </c>
      <c r="E2028">
        <v>316.30434782608694</v>
      </c>
      <c r="F2028" t="s">
        <v>11989</v>
      </c>
    </row>
    <row r="2029" spans="1:6">
      <c r="A2029" s="306"/>
      <c r="B2029" t="s">
        <v>12573</v>
      </c>
      <c r="C2029" t="s">
        <v>12574</v>
      </c>
      <c r="E2029">
        <v>332.60869565217388</v>
      </c>
      <c r="F2029" t="s">
        <v>11989</v>
      </c>
    </row>
    <row r="2030" spans="1:6">
      <c r="A2030" s="306"/>
      <c r="B2030" t="s">
        <v>12575</v>
      </c>
      <c r="C2030" t="s">
        <v>12576</v>
      </c>
      <c r="E2030">
        <v>935.86956521739125</v>
      </c>
      <c r="F2030" t="s">
        <v>11989</v>
      </c>
    </row>
    <row r="2031" spans="1:6">
      <c r="A2031" s="306"/>
      <c r="B2031" t="s">
        <v>12577</v>
      </c>
      <c r="C2031" t="s">
        <v>12578</v>
      </c>
      <c r="E2031">
        <v>332.60869565217388</v>
      </c>
      <c r="F2031" t="s">
        <v>11989</v>
      </c>
    </row>
    <row r="2032" spans="1:6">
      <c r="A2032" s="306"/>
      <c r="B2032" t="s">
        <v>12579</v>
      </c>
      <c r="C2032" t="s">
        <v>12580</v>
      </c>
      <c r="E2032">
        <v>935.86956521739125</v>
      </c>
      <c r="F2032" t="s">
        <v>11989</v>
      </c>
    </row>
    <row r="2033" spans="1:6">
      <c r="A2033" s="306"/>
      <c r="B2033" t="s">
        <v>12581</v>
      </c>
      <c r="C2033" t="s">
        <v>12582</v>
      </c>
      <c r="E2033">
        <v>984.78260869565213</v>
      </c>
      <c r="F2033" t="s">
        <v>11989</v>
      </c>
    </row>
    <row r="2034" spans="1:6">
      <c r="A2034" s="306"/>
      <c r="B2034" t="s">
        <v>12583</v>
      </c>
      <c r="C2034" t="s">
        <v>12584</v>
      </c>
      <c r="E2034">
        <v>2793.478260869565</v>
      </c>
      <c r="F2034" t="s">
        <v>11989</v>
      </c>
    </row>
    <row r="2035" spans="1:6">
      <c r="A2035" s="306"/>
      <c r="B2035" t="s">
        <v>12585</v>
      </c>
      <c r="C2035" t="s">
        <v>12586</v>
      </c>
      <c r="E2035">
        <v>5289.1304347826081</v>
      </c>
      <c r="F2035" t="s">
        <v>11989</v>
      </c>
    </row>
    <row r="2036" spans="1:6">
      <c r="A2036" s="306"/>
      <c r="B2036" t="s">
        <v>12587</v>
      </c>
      <c r="C2036" t="s">
        <v>12588</v>
      </c>
      <c r="E2036">
        <v>15060.86956521739</v>
      </c>
      <c r="F2036" t="s">
        <v>11989</v>
      </c>
    </row>
    <row r="2037" spans="1:6">
      <c r="A2037" s="306"/>
      <c r="B2037" t="s">
        <v>12589</v>
      </c>
      <c r="C2037" t="s">
        <v>12590</v>
      </c>
      <c r="E2037">
        <v>25096.73913043478</v>
      </c>
      <c r="F2037" t="s">
        <v>11989</v>
      </c>
    </row>
    <row r="2038" spans="1:6">
      <c r="A2038" s="306"/>
      <c r="B2038" t="s">
        <v>12591</v>
      </c>
      <c r="C2038" t="s">
        <v>12592</v>
      </c>
      <c r="E2038">
        <v>5.4347826086956523</v>
      </c>
      <c r="F2038" t="s">
        <v>11989</v>
      </c>
    </row>
    <row r="2039" spans="1:6">
      <c r="A2039" s="306"/>
      <c r="B2039" t="s">
        <v>12593</v>
      </c>
      <c r="C2039" t="s">
        <v>12594</v>
      </c>
      <c r="E2039">
        <v>4.3478260869565215</v>
      </c>
      <c r="F2039" t="s">
        <v>11989</v>
      </c>
    </row>
    <row r="2040" spans="1:6">
      <c r="A2040" s="306"/>
      <c r="B2040" t="s">
        <v>12595</v>
      </c>
      <c r="C2040" t="s">
        <v>12596</v>
      </c>
      <c r="E2040">
        <v>8.695652173913043</v>
      </c>
      <c r="F2040" t="s">
        <v>11989</v>
      </c>
    </row>
    <row r="2041" spans="1:6">
      <c r="A2041" s="306"/>
      <c r="B2041" t="s">
        <v>12597</v>
      </c>
      <c r="C2041" t="s">
        <v>12598</v>
      </c>
      <c r="E2041">
        <v>4.3478260869565215</v>
      </c>
      <c r="F2041" t="s">
        <v>11989</v>
      </c>
    </row>
    <row r="2042" spans="1:6">
      <c r="A2042" s="306"/>
      <c r="B2042" t="s">
        <v>12599</v>
      </c>
      <c r="C2042" t="s">
        <v>12600</v>
      </c>
      <c r="E2042">
        <v>3.2608695652173911</v>
      </c>
      <c r="F2042" t="s">
        <v>11989</v>
      </c>
    </row>
    <row r="2043" spans="1:6">
      <c r="A2043" s="306"/>
      <c r="B2043" t="s">
        <v>12601</v>
      </c>
    </row>
    <row r="2044" spans="1:6">
      <c r="A2044" s="306"/>
      <c r="B2044" t="s">
        <v>12602</v>
      </c>
      <c r="C2044" t="s">
        <v>12603</v>
      </c>
      <c r="E2044">
        <v>2098.913043478261</v>
      </c>
      <c r="F2044" t="s">
        <v>11989</v>
      </c>
    </row>
    <row r="2045" spans="1:6">
      <c r="A2045" s="306"/>
      <c r="B2045" t="s">
        <v>12604</v>
      </c>
      <c r="C2045" t="s">
        <v>12605</v>
      </c>
      <c r="E2045">
        <v>5971.7391304347821</v>
      </c>
      <c r="F2045" t="s">
        <v>11989</v>
      </c>
    </row>
    <row r="2046" spans="1:6">
      <c r="A2046" s="306"/>
      <c r="B2046" t="s">
        <v>12606</v>
      </c>
      <c r="C2046" t="s">
        <v>12607</v>
      </c>
      <c r="E2046">
        <v>2721.7391304347825</v>
      </c>
      <c r="F2046" t="s">
        <v>11989</v>
      </c>
    </row>
    <row r="2047" spans="1:6">
      <c r="A2047" s="306"/>
      <c r="B2047" t="s">
        <v>12608</v>
      </c>
      <c r="C2047" t="s">
        <v>12609</v>
      </c>
      <c r="E2047">
        <v>7745.652173913043</v>
      </c>
      <c r="F2047" t="s">
        <v>11989</v>
      </c>
    </row>
    <row r="2048" spans="1:6">
      <c r="A2048" s="306"/>
      <c r="B2048" t="s">
        <v>12610</v>
      </c>
      <c r="C2048" t="s">
        <v>12611</v>
      </c>
      <c r="E2048">
        <v>5665.217391304348</v>
      </c>
      <c r="F2048" t="s">
        <v>11989</v>
      </c>
    </row>
    <row r="2049" spans="1:6">
      <c r="A2049" s="306"/>
      <c r="B2049" t="s">
        <v>12612</v>
      </c>
      <c r="C2049" t="s">
        <v>12613</v>
      </c>
      <c r="E2049">
        <v>16132.608695652174</v>
      </c>
      <c r="F2049" t="s">
        <v>11989</v>
      </c>
    </row>
    <row r="2050" spans="1:6">
      <c r="A2050" s="306"/>
      <c r="B2050" t="s">
        <v>12614</v>
      </c>
      <c r="C2050" t="s">
        <v>12615</v>
      </c>
      <c r="E2050">
        <v>7363.0434782608691</v>
      </c>
      <c r="F2050" t="s">
        <v>11989</v>
      </c>
    </row>
    <row r="2051" spans="1:6">
      <c r="A2051" s="306"/>
      <c r="B2051" t="s">
        <v>12616</v>
      </c>
      <c r="C2051" t="s">
        <v>12617</v>
      </c>
      <c r="E2051">
        <v>20971.73913043478</v>
      </c>
      <c r="F2051" t="s">
        <v>11989</v>
      </c>
    </row>
    <row r="2052" spans="1:6">
      <c r="A2052" s="306"/>
      <c r="B2052" t="s">
        <v>12618</v>
      </c>
      <c r="C2052" t="s">
        <v>12619</v>
      </c>
      <c r="E2052">
        <v>3175</v>
      </c>
      <c r="F2052" t="s">
        <v>11989</v>
      </c>
    </row>
    <row r="2053" spans="1:6">
      <c r="A2053" s="306"/>
      <c r="B2053" t="s">
        <v>12620</v>
      </c>
      <c r="C2053" t="s">
        <v>12621</v>
      </c>
      <c r="E2053">
        <v>9035.8695652173901</v>
      </c>
      <c r="F2053" t="s">
        <v>11989</v>
      </c>
    </row>
    <row r="2054" spans="1:6">
      <c r="A2054" s="306"/>
      <c r="B2054" t="s">
        <v>12622</v>
      </c>
      <c r="C2054" t="s">
        <v>12623</v>
      </c>
      <c r="E2054">
        <v>4080.4347826086955</v>
      </c>
      <c r="F2054" t="s">
        <v>11989</v>
      </c>
    </row>
    <row r="2055" spans="1:6">
      <c r="A2055" s="306"/>
      <c r="B2055" t="s">
        <v>12624</v>
      </c>
      <c r="C2055" t="s">
        <v>12625</v>
      </c>
      <c r="E2055">
        <v>11616.304347826086</v>
      </c>
      <c r="F2055" t="s">
        <v>11989</v>
      </c>
    </row>
    <row r="2056" spans="1:6">
      <c r="A2056" s="306"/>
      <c r="B2056" t="s">
        <v>12626</v>
      </c>
      <c r="C2056" t="s">
        <v>12627</v>
      </c>
      <c r="E2056">
        <v>4419.565217391304</v>
      </c>
      <c r="F2056" t="s">
        <v>11989</v>
      </c>
    </row>
    <row r="2057" spans="1:6">
      <c r="A2057" s="306"/>
      <c r="B2057" t="s">
        <v>12628</v>
      </c>
      <c r="C2057" t="s">
        <v>12629</v>
      </c>
      <c r="E2057">
        <v>12584.782608695652</v>
      </c>
      <c r="F2057" t="s">
        <v>11989</v>
      </c>
    </row>
    <row r="2058" spans="1:6">
      <c r="A2058" s="306"/>
      <c r="B2058" t="s">
        <v>12630</v>
      </c>
      <c r="C2058" t="s">
        <v>12631</v>
      </c>
      <c r="E2058">
        <v>5778.260869565217</v>
      </c>
      <c r="F2058" t="s">
        <v>11989</v>
      </c>
    </row>
    <row r="2059" spans="1:6">
      <c r="A2059" s="306"/>
      <c r="B2059" t="s">
        <v>12632</v>
      </c>
      <c r="C2059" t="s">
        <v>12633</v>
      </c>
      <c r="E2059">
        <v>16455.434782608696</v>
      </c>
      <c r="F2059" t="s">
        <v>11989</v>
      </c>
    </row>
    <row r="2060" spans="1:6">
      <c r="A2060" s="306"/>
      <c r="B2060" t="s">
        <v>12634</v>
      </c>
      <c r="C2060" t="s">
        <v>12635</v>
      </c>
      <c r="E2060">
        <v>2439.1304347826085</v>
      </c>
      <c r="F2060" t="s">
        <v>11989</v>
      </c>
    </row>
    <row r="2061" spans="1:6">
      <c r="A2061" s="306"/>
      <c r="B2061" t="s">
        <v>12636</v>
      </c>
      <c r="C2061" t="s">
        <v>12637</v>
      </c>
      <c r="E2061">
        <v>6939.1304347826081</v>
      </c>
      <c r="F2061" t="s">
        <v>11989</v>
      </c>
    </row>
    <row r="2062" spans="1:6">
      <c r="A2062" s="306"/>
      <c r="B2062" t="s">
        <v>12638</v>
      </c>
      <c r="C2062" t="s">
        <v>12639</v>
      </c>
      <c r="E2062">
        <v>3175</v>
      </c>
      <c r="F2062" t="s">
        <v>11989</v>
      </c>
    </row>
    <row r="2063" spans="1:6">
      <c r="A2063" s="306"/>
      <c r="B2063" t="s">
        <v>12640</v>
      </c>
      <c r="C2063" t="s">
        <v>12641</v>
      </c>
      <c r="E2063">
        <v>9035.8695652173901</v>
      </c>
      <c r="F2063" t="s">
        <v>11989</v>
      </c>
    </row>
    <row r="2064" spans="1:6">
      <c r="A2064" s="306"/>
      <c r="B2064" t="s">
        <v>12642</v>
      </c>
      <c r="C2064" t="s">
        <v>12643</v>
      </c>
      <c r="E2064">
        <v>5666.304347826087</v>
      </c>
      <c r="F2064" t="s">
        <v>11989</v>
      </c>
    </row>
    <row r="2065" spans="1:6">
      <c r="A2065" s="306"/>
      <c r="B2065" t="s">
        <v>12644</v>
      </c>
      <c r="C2065" t="s">
        <v>12645</v>
      </c>
      <c r="E2065">
        <v>16135.86956521739</v>
      </c>
      <c r="F2065" t="s">
        <v>11989</v>
      </c>
    </row>
    <row r="2066" spans="1:6">
      <c r="A2066" s="306"/>
      <c r="B2066" t="s">
        <v>12646</v>
      </c>
      <c r="C2066" t="s">
        <v>12647</v>
      </c>
      <c r="E2066">
        <v>8495.652173913044</v>
      </c>
      <c r="F2066" t="s">
        <v>11989</v>
      </c>
    </row>
    <row r="2067" spans="1:6">
      <c r="A2067" s="306"/>
      <c r="B2067" t="s">
        <v>12648</v>
      </c>
      <c r="C2067" t="s">
        <v>12649</v>
      </c>
      <c r="E2067">
        <v>24201.086956521736</v>
      </c>
      <c r="F2067" t="s">
        <v>11989</v>
      </c>
    </row>
    <row r="2068" spans="1:6">
      <c r="A2068" s="306"/>
      <c r="B2068" t="s">
        <v>12650</v>
      </c>
      <c r="C2068" t="s">
        <v>12651</v>
      </c>
      <c r="E2068">
        <v>11325</v>
      </c>
      <c r="F2068" t="s">
        <v>11989</v>
      </c>
    </row>
    <row r="2069" spans="1:6">
      <c r="A2069" s="306"/>
      <c r="B2069" t="s">
        <v>12652</v>
      </c>
      <c r="C2069" t="s">
        <v>12653</v>
      </c>
      <c r="E2069">
        <v>32265.217391304348</v>
      </c>
      <c r="F2069" t="s">
        <v>11989</v>
      </c>
    </row>
    <row r="2070" spans="1:6">
      <c r="A2070" s="306"/>
      <c r="B2070" t="s">
        <v>12654</v>
      </c>
      <c r="C2070" t="s">
        <v>12655</v>
      </c>
      <c r="E2070">
        <v>16984.782608695652</v>
      </c>
      <c r="F2070" t="s">
        <v>11989</v>
      </c>
    </row>
    <row r="2071" spans="1:6">
      <c r="A2071" s="306"/>
      <c r="B2071" t="s">
        <v>12656</v>
      </c>
      <c r="C2071" t="s">
        <v>12657</v>
      </c>
      <c r="E2071">
        <v>48394.565217391304</v>
      </c>
      <c r="F2071" t="s">
        <v>11989</v>
      </c>
    </row>
    <row r="2072" spans="1:6">
      <c r="A2072" s="306"/>
      <c r="B2072" t="s">
        <v>12658</v>
      </c>
      <c r="C2072" t="s">
        <v>12659</v>
      </c>
      <c r="E2072">
        <v>33963.043478260865</v>
      </c>
      <c r="F2072" t="s">
        <v>11989</v>
      </c>
    </row>
    <row r="2073" spans="1:6">
      <c r="A2073" s="306"/>
      <c r="B2073" t="s">
        <v>12660</v>
      </c>
      <c r="C2073" t="s">
        <v>12661</v>
      </c>
      <c r="E2073">
        <v>96782.608695652176</v>
      </c>
      <c r="F2073" t="s">
        <v>11989</v>
      </c>
    </row>
    <row r="2074" spans="1:6">
      <c r="A2074" s="306"/>
      <c r="B2074" t="s">
        <v>12662</v>
      </c>
      <c r="C2074" t="s">
        <v>12663</v>
      </c>
      <c r="E2074">
        <v>63392.391304347824</v>
      </c>
      <c r="F2074" t="s">
        <v>11989</v>
      </c>
    </row>
    <row r="2075" spans="1:6">
      <c r="A2075" s="306"/>
      <c r="B2075" t="s">
        <v>12664</v>
      </c>
      <c r="C2075" t="s">
        <v>12665</v>
      </c>
      <c r="E2075">
        <v>180655.43478260867</v>
      </c>
      <c r="F2075" t="s">
        <v>11989</v>
      </c>
    </row>
    <row r="2076" spans="1:6">
      <c r="A2076" s="306"/>
      <c r="B2076" t="s">
        <v>12666</v>
      </c>
    </row>
    <row r="2077" spans="1:6">
      <c r="A2077" s="306"/>
      <c r="B2077" t="s">
        <v>12667</v>
      </c>
      <c r="C2077" t="s">
        <v>12668</v>
      </c>
      <c r="E2077">
        <v>792.39130434782601</v>
      </c>
      <c r="F2077" t="s">
        <v>11989</v>
      </c>
    </row>
    <row r="2078" spans="1:6">
      <c r="A2078" s="306"/>
      <c r="B2078" t="s">
        <v>12669</v>
      </c>
      <c r="C2078" t="s">
        <v>12670</v>
      </c>
      <c r="E2078">
        <v>2127.173913043478</v>
      </c>
      <c r="F2078" t="s">
        <v>11989</v>
      </c>
    </row>
    <row r="2079" spans="1:6">
      <c r="A2079" s="306"/>
      <c r="B2079" t="s">
        <v>12671</v>
      </c>
      <c r="C2079" t="s">
        <v>12672</v>
      </c>
      <c r="E2079">
        <v>3569.565217391304</v>
      </c>
      <c r="F2079" t="s">
        <v>11989</v>
      </c>
    </row>
    <row r="2080" spans="1:6">
      <c r="A2080" s="306"/>
      <c r="B2080" t="s">
        <v>12673</v>
      </c>
      <c r="C2080" t="s">
        <v>12674</v>
      </c>
      <c r="E2080">
        <v>10.869565217391305</v>
      </c>
      <c r="F2080" t="s">
        <v>11989</v>
      </c>
    </row>
    <row r="2081" spans="1:6">
      <c r="A2081" s="306"/>
      <c r="B2081" t="s">
        <v>12675</v>
      </c>
      <c r="C2081" t="s">
        <v>12676</v>
      </c>
      <c r="E2081">
        <v>10.869565217391305</v>
      </c>
      <c r="F2081" t="s">
        <v>11989</v>
      </c>
    </row>
    <row r="2082" spans="1:6">
      <c r="A2082" s="306"/>
      <c r="B2082" t="s">
        <v>12677</v>
      </c>
      <c r="C2082" t="s">
        <v>12678</v>
      </c>
      <c r="E2082">
        <v>1817.391304347826</v>
      </c>
      <c r="F2082" t="s">
        <v>11989</v>
      </c>
    </row>
    <row r="2083" spans="1:6">
      <c r="A2083" s="306"/>
      <c r="B2083" t="s">
        <v>12679</v>
      </c>
      <c r="C2083" t="s">
        <v>12680</v>
      </c>
      <c r="E2083">
        <v>4897.826086956522</v>
      </c>
      <c r="F2083" t="s">
        <v>11989</v>
      </c>
    </row>
    <row r="2084" spans="1:6">
      <c r="A2084" s="306"/>
      <c r="B2084" t="s">
        <v>12681</v>
      </c>
      <c r="C2084" t="s">
        <v>12682</v>
      </c>
      <c r="E2084">
        <v>8157.608695652174</v>
      </c>
      <c r="F2084" t="s">
        <v>11989</v>
      </c>
    </row>
    <row r="2085" spans="1:6">
      <c r="A2085" s="306"/>
      <c r="B2085" t="s">
        <v>12683</v>
      </c>
      <c r="C2085" t="s">
        <v>12684</v>
      </c>
      <c r="E2085">
        <v>1365.2173913043478</v>
      </c>
      <c r="F2085" t="s">
        <v>11989</v>
      </c>
    </row>
    <row r="2086" spans="1:6">
      <c r="A2086" s="306"/>
      <c r="B2086" t="s">
        <v>12685</v>
      </c>
      <c r="C2086" t="s">
        <v>12686</v>
      </c>
      <c r="E2086">
        <v>3675</v>
      </c>
      <c r="F2086" t="s">
        <v>11989</v>
      </c>
    </row>
    <row r="2087" spans="1:6">
      <c r="A2087" s="306"/>
      <c r="B2087" t="s">
        <v>12687</v>
      </c>
      <c r="C2087" t="s">
        <v>12688</v>
      </c>
      <c r="E2087">
        <v>6165.217391304348</v>
      </c>
      <c r="F2087" t="s">
        <v>11989</v>
      </c>
    </row>
    <row r="2088" spans="1:6">
      <c r="A2088" s="306"/>
      <c r="B2088" t="s">
        <v>12689</v>
      </c>
      <c r="C2088" t="s">
        <v>12690</v>
      </c>
      <c r="E2088">
        <v>2722.8260869565215</v>
      </c>
      <c r="F2088" t="s">
        <v>11989</v>
      </c>
    </row>
    <row r="2089" spans="1:6">
      <c r="A2089" s="306"/>
      <c r="B2089" t="s">
        <v>12691</v>
      </c>
      <c r="C2089" t="s">
        <v>12692</v>
      </c>
      <c r="E2089">
        <v>7342.391304347826</v>
      </c>
      <c r="F2089" t="s">
        <v>11989</v>
      </c>
    </row>
    <row r="2090" spans="1:6">
      <c r="A2090" s="306"/>
      <c r="B2090" t="s">
        <v>12693</v>
      </c>
      <c r="C2090" t="s">
        <v>12694</v>
      </c>
      <c r="E2090">
        <v>12232.608695652174</v>
      </c>
      <c r="F2090" t="s">
        <v>11989</v>
      </c>
    </row>
    <row r="2091" spans="1:6">
      <c r="A2091" s="306"/>
      <c r="B2091" t="s">
        <v>12695</v>
      </c>
      <c r="C2091" t="s">
        <v>12696</v>
      </c>
      <c r="E2091">
        <v>490.21739130434781</v>
      </c>
      <c r="F2091" t="s">
        <v>11989</v>
      </c>
    </row>
    <row r="2092" spans="1:6">
      <c r="A2092" s="306"/>
      <c r="B2092" t="s">
        <v>12697</v>
      </c>
      <c r="C2092" t="s">
        <v>12698</v>
      </c>
      <c r="E2092">
        <v>1311.9565217391303</v>
      </c>
      <c r="F2092" t="s">
        <v>11989</v>
      </c>
    </row>
    <row r="2093" spans="1:6">
      <c r="A2093" s="306"/>
      <c r="B2093" t="s">
        <v>12699</v>
      </c>
      <c r="C2093" t="s">
        <v>12700</v>
      </c>
      <c r="E2093">
        <v>2181.5217391304345</v>
      </c>
      <c r="F2093" t="s">
        <v>11989</v>
      </c>
    </row>
    <row r="2094" spans="1:6">
      <c r="A2094" s="306"/>
      <c r="B2094" t="s">
        <v>12701</v>
      </c>
      <c r="C2094" t="s">
        <v>12702</v>
      </c>
      <c r="E2094">
        <v>972.82608695652175</v>
      </c>
      <c r="F2094" t="s">
        <v>11989</v>
      </c>
    </row>
    <row r="2095" spans="1:6">
      <c r="A2095" s="306"/>
      <c r="B2095" t="s">
        <v>12703</v>
      </c>
      <c r="C2095" t="s">
        <v>12704</v>
      </c>
      <c r="E2095">
        <v>2616.304347826087</v>
      </c>
      <c r="F2095" t="s">
        <v>11989</v>
      </c>
    </row>
    <row r="2096" spans="1:6">
      <c r="A2096" s="306"/>
      <c r="B2096" t="s">
        <v>12705</v>
      </c>
      <c r="C2096" t="s">
        <v>12706</v>
      </c>
      <c r="E2096">
        <v>4354.347826086956</v>
      </c>
      <c r="F2096" t="s">
        <v>11989</v>
      </c>
    </row>
    <row r="2097" spans="1:6">
      <c r="A2097" s="306"/>
      <c r="B2097" t="s">
        <v>12707</v>
      </c>
      <c r="C2097" t="s">
        <v>7180</v>
      </c>
      <c r="E2097">
        <v>731.52173913043475</v>
      </c>
      <c r="F2097" t="s">
        <v>11989</v>
      </c>
    </row>
    <row r="2098" spans="1:6">
      <c r="A2098" s="306"/>
      <c r="B2098" t="s">
        <v>12708</v>
      </c>
      <c r="C2098" t="s">
        <v>7181</v>
      </c>
      <c r="E2098">
        <v>1964.1304347826085</v>
      </c>
      <c r="F2098" t="s">
        <v>11989</v>
      </c>
    </row>
    <row r="2099" spans="1:6">
      <c r="A2099" s="306"/>
      <c r="B2099" t="s">
        <v>12709</v>
      </c>
      <c r="C2099" t="s">
        <v>7182</v>
      </c>
      <c r="E2099">
        <v>3267.391304347826</v>
      </c>
      <c r="F2099" t="s">
        <v>11989</v>
      </c>
    </row>
    <row r="2100" spans="1:6">
      <c r="A2100" s="306"/>
      <c r="B2100" t="s">
        <v>12710</v>
      </c>
      <c r="C2100" t="s">
        <v>7183</v>
      </c>
      <c r="E2100">
        <v>1455.4347826086955</v>
      </c>
      <c r="F2100" t="s">
        <v>11989</v>
      </c>
    </row>
    <row r="2101" spans="1:6">
      <c r="A2101" s="306"/>
      <c r="B2101" t="s">
        <v>12711</v>
      </c>
      <c r="C2101" t="s">
        <v>7184</v>
      </c>
      <c r="E2101">
        <v>3919.565217391304</v>
      </c>
      <c r="F2101" t="s">
        <v>11989</v>
      </c>
    </row>
    <row r="2102" spans="1:6">
      <c r="A2102" s="306"/>
      <c r="B2102" t="s">
        <v>12712</v>
      </c>
      <c r="C2102" t="s">
        <v>7185</v>
      </c>
      <c r="E2102">
        <v>6528.260869565217</v>
      </c>
      <c r="F2102" t="s">
        <v>11989</v>
      </c>
    </row>
    <row r="2103" spans="1:6">
      <c r="A2103" s="306"/>
      <c r="B2103" t="s">
        <v>12713</v>
      </c>
      <c r="C2103" t="s">
        <v>12714</v>
      </c>
      <c r="E2103">
        <v>1631.5217391304348</v>
      </c>
      <c r="F2103" t="s">
        <v>11989</v>
      </c>
    </row>
    <row r="2104" spans="1:6">
      <c r="A2104" s="306"/>
      <c r="B2104" t="s">
        <v>12715</v>
      </c>
      <c r="C2104" t="s">
        <v>12716</v>
      </c>
      <c r="E2104">
        <v>4415.217391304348</v>
      </c>
      <c r="F2104" t="s">
        <v>11989</v>
      </c>
    </row>
    <row r="2105" spans="1:6">
      <c r="A2105" s="306"/>
      <c r="B2105" t="s">
        <v>12717</v>
      </c>
      <c r="C2105" t="s">
        <v>12718</v>
      </c>
      <c r="E2105">
        <v>7372.8260869565211</v>
      </c>
      <c r="F2105" t="s">
        <v>11989</v>
      </c>
    </row>
    <row r="2106" spans="1:6">
      <c r="A2106" s="306"/>
      <c r="B2106" t="s">
        <v>12719</v>
      </c>
      <c r="C2106" t="s">
        <v>12720</v>
      </c>
      <c r="E2106">
        <v>10.869565217391305</v>
      </c>
      <c r="F2106" t="s">
        <v>11989</v>
      </c>
    </row>
    <row r="2107" spans="1:6">
      <c r="A2107" s="306"/>
      <c r="B2107" t="s">
        <v>12721</v>
      </c>
      <c r="C2107" t="s">
        <v>12722</v>
      </c>
      <c r="E2107">
        <v>10.869565217391305</v>
      </c>
      <c r="F2107" t="s">
        <v>11989</v>
      </c>
    </row>
    <row r="2108" spans="1:6">
      <c r="A2108" s="306"/>
      <c r="B2108" t="s">
        <v>12723</v>
      </c>
      <c r="C2108" t="s">
        <v>12724</v>
      </c>
      <c r="E2108">
        <v>2747.8260869565215</v>
      </c>
      <c r="F2108" t="s">
        <v>11989</v>
      </c>
    </row>
    <row r="2109" spans="1:6">
      <c r="A2109" s="306"/>
      <c r="B2109" t="s">
        <v>12725</v>
      </c>
      <c r="C2109" t="s">
        <v>12726</v>
      </c>
      <c r="E2109">
        <v>7433.695652173913</v>
      </c>
      <c r="F2109" t="s">
        <v>11989</v>
      </c>
    </row>
    <row r="2110" spans="1:6">
      <c r="A2110" s="306"/>
      <c r="B2110" t="s">
        <v>12727</v>
      </c>
      <c r="C2110" t="s">
        <v>12728</v>
      </c>
      <c r="E2110">
        <v>12383.695652173912</v>
      </c>
      <c r="F2110" t="s">
        <v>11989</v>
      </c>
    </row>
    <row r="2111" spans="1:6">
      <c r="A2111" s="306"/>
      <c r="B2111" t="s">
        <v>12729</v>
      </c>
      <c r="C2111" t="s">
        <v>12730</v>
      </c>
      <c r="E2111">
        <v>2443.478260869565</v>
      </c>
      <c r="F2111" t="s">
        <v>11989</v>
      </c>
    </row>
    <row r="2112" spans="1:6">
      <c r="A2112" s="306"/>
      <c r="B2112" t="s">
        <v>12731</v>
      </c>
      <c r="C2112" t="s">
        <v>12732</v>
      </c>
      <c r="E2112">
        <v>6618.478260869565</v>
      </c>
      <c r="F2112" t="s">
        <v>11989</v>
      </c>
    </row>
    <row r="2113" spans="1:6">
      <c r="A2113" s="306"/>
      <c r="B2113" t="s">
        <v>12733</v>
      </c>
      <c r="C2113" t="s">
        <v>12734</v>
      </c>
      <c r="E2113">
        <v>11055.434782608696</v>
      </c>
      <c r="F2113" t="s">
        <v>11989</v>
      </c>
    </row>
    <row r="2114" spans="1:6">
      <c r="A2114" s="306"/>
      <c r="B2114" t="s">
        <v>12735</v>
      </c>
      <c r="C2114" t="s">
        <v>12736</v>
      </c>
      <c r="E2114">
        <v>4118.478260869565</v>
      </c>
      <c r="F2114" t="s">
        <v>11989</v>
      </c>
    </row>
    <row r="2115" spans="1:6">
      <c r="A2115" s="306"/>
      <c r="B2115" t="s">
        <v>12737</v>
      </c>
      <c r="C2115" t="s">
        <v>12738</v>
      </c>
      <c r="E2115">
        <v>11145.652173913042</v>
      </c>
      <c r="F2115" t="s">
        <v>11989</v>
      </c>
    </row>
    <row r="2116" spans="1:6">
      <c r="A2116" s="306"/>
      <c r="B2116" t="s">
        <v>12739</v>
      </c>
      <c r="C2116" t="s">
        <v>12740</v>
      </c>
      <c r="E2116">
        <v>18570.652173913044</v>
      </c>
      <c r="F2116" t="s">
        <v>11989</v>
      </c>
    </row>
    <row r="2117" spans="1:6">
      <c r="A2117" s="306"/>
      <c r="B2117" t="s">
        <v>12741</v>
      </c>
      <c r="C2117" t="s">
        <v>12742</v>
      </c>
      <c r="E2117">
        <v>80.434782608695642</v>
      </c>
      <c r="F2117" t="s">
        <v>11989</v>
      </c>
    </row>
    <row r="2118" spans="1:6">
      <c r="A2118" s="306"/>
      <c r="B2118" t="s">
        <v>12743</v>
      </c>
      <c r="C2118" t="s">
        <v>12744</v>
      </c>
      <c r="E2118">
        <v>203.26086956521738</v>
      </c>
      <c r="F2118" t="s">
        <v>11989</v>
      </c>
    </row>
    <row r="2119" spans="1:6">
      <c r="A2119" s="306"/>
      <c r="B2119" t="s">
        <v>12745</v>
      </c>
      <c r="C2119" t="s">
        <v>12746</v>
      </c>
      <c r="E2119">
        <v>333.695652173913</v>
      </c>
      <c r="F2119" t="s">
        <v>11989</v>
      </c>
    </row>
    <row r="2120" spans="1:6">
      <c r="A2120" s="306"/>
      <c r="B2120" t="s">
        <v>12747</v>
      </c>
      <c r="C2120" t="s">
        <v>12748</v>
      </c>
      <c r="E2120">
        <v>170.65217391304347</v>
      </c>
      <c r="F2120" t="s">
        <v>11989</v>
      </c>
    </row>
    <row r="2121" spans="1:6">
      <c r="A2121" s="306"/>
      <c r="B2121" t="s">
        <v>12749</v>
      </c>
      <c r="C2121" t="s">
        <v>12750</v>
      </c>
      <c r="E2121">
        <v>447.82608695652169</v>
      </c>
      <c r="F2121" t="s">
        <v>11989</v>
      </c>
    </row>
    <row r="2122" spans="1:6">
      <c r="A2122" s="306"/>
      <c r="B2122" t="s">
        <v>12751</v>
      </c>
      <c r="C2122" t="s">
        <v>12752</v>
      </c>
      <c r="E2122">
        <v>741.30434782608688</v>
      </c>
      <c r="F2122" t="s">
        <v>11989</v>
      </c>
    </row>
    <row r="2123" spans="1:6">
      <c r="A2123" s="306"/>
      <c r="B2123" t="s">
        <v>12753</v>
      </c>
      <c r="C2123" t="s">
        <v>12754</v>
      </c>
      <c r="E2123">
        <v>316.30434782608694</v>
      </c>
      <c r="F2123" t="s">
        <v>11989</v>
      </c>
    </row>
    <row r="2124" spans="1:6">
      <c r="A2124" s="306"/>
      <c r="B2124" t="s">
        <v>12755</v>
      </c>
      <c r="C2124" t="s">
        <v>12756</v>
      </c>
      <c r="E2124">
        <v>841.30434782608688</v>
      </c>
      <c r="F2124" t="s">
        <v>11989</v>
      </c>
    </row>
    <row r="2125" spans="1:6">
      <c r="A2125" s="306"/>
      <c r="B2125" t="s">
        <v>12757</v>
      </c>
      <c r="C2125" t="s">
        <v>12758</v>
      </c>
      <c r="E2125">
        <v>1393.4782608695652</v>
      </c>
      <c r="F2125" t="s">
        <v>11989</v>
      </c>
    </row>
    <row r="2126" spans="1:6">
      <c r="A2126" s="306"/>
      <c r="B2126" t="s">
        <v>12759</v>
      </c>
      <c r="C2126" t="s">
        <v>7186</v>
      </c>
      <c r="E2126">
        <v>641.30434782608688</v>
      </c>
      <c r="F2126" t="s">
        <v>11989</v>
      </c>
    </row>
    <row r="2127" spans="1:6">
      <c r="A2127" s="306"/>
      <c r="B2127" t="s">
        <v>12760</v>
      </c>
      <c r="C2127" t="s">
        <v>7187</v>
      </c>
      <c r="E2127">
        <v>1719.5652173913043</v>
      </c>
      <c r="F2127" t="s">
        <v>11989</v>
      </c>
    </row>
    <row r="2128" spans="1:6">
      <c r="A2128" s="306"/>
      <c r="B2128" t="s">
        <v>12761</v>
      </c>
      <c r="C2128" t="s">
        <v>7188</v>
      </c>
      <c r="E2128">
        <v>2860.869565217391</v>
      </c>
      <c r="F2128" t="s">
        <v>11989</v>
      </c>
    </row>
    <row r="2129" spans="1:6">
      <c r="A2129" s="306"/>
      <c r="B2129" t="s">
        <v>12762</v>
      </c>
      <c r="C2129" t="s">
        <v>7189</v>
      </c>
      <c r="E2129">
        <v>1003.2608695652174</v>
      </c>
      <c r="F2129" t="s">
        <v>11989</v>
      </c>
    </row>
    <row r="2130" spans="1:6">
      <c r="A2130" s="306"/>
      <c r="B2130" t="s">
        <v>12763</v>
      </c>
      <c r="C2130" t="s">
        <v>7190</v>
      </c>
      <c r="E2130">
        <v>2697.8260869565215</v>
      </c>
      <c r="F2130" t="s">
        <v>11989</v>
      </c>
    </row>
    <row r="2131" spans="1:6">
      <c r="A2131" s="306"/>
      <c r="B2131" t="s">
        <v>12764</v>
      </c>
      <c r="C2131" t="s">
        <v>7191</v>
      </c>
      <c r="E2131">
        <v>4490.217391304348</v>
      </c>
      <c r="F2131" t="s">
        <v>11989</v>
      </c>
    </row>
    <row r="2132" spans="1:6">
      <c r="A2132" s="306"/>
      <c r="B2132" t="s">
        <v>12765</v>
      </c>
      <c r="C2132" t="s">
        <v>12766</v>
      </c>
      <c r="E2132">
        <v>6044.565217391304</v>
      </c>
      <c r="F2132" t="s">
        <v>11989</v>
      </c>
    </row>
    <row r="2133" spans="1:6">
      <c r="A2133" s="306"/>
      <c r="B2133" t="s">
        <v>12767</v>
      </c>
      <c r="C2133" t="s">
        <v>12768</v>
      </c>
      <c r="E2133">
        <v>16307.608695652174</v>
      </c>
      <c r="F2133" t="s">
        <v>11989</v>
      </c>
    </row>
    <row r="2134" spans="1:6">
      <c r="A2134" s="306"/>
      <c r="B2134" t="s">
        <v>12769</v>
      </c>
      <c r="C2134" t="s">
        <v>12770</v>
      </c>
      <c r="E2134">
        <v>3026.086956521739</v>
      </c>
      <c r="F2134" t="s">
        <v>11989</v>
      </c>
    </row>
    <row r="2135" spans="1:6">
      <c r="A2135" s="306"/>
      <c r="B2135" t="s">
        <v>12771</v>
      </c>
      <c r="C2135" t="s">
        <v>12772</v>
      </c>
      <c r="E2135">
        <v>8157.608695652174</v>
      </c>
      <c r="F2135" t="s">
        <v>11989</v>
      </c>
    </row>
    <row r="2136" spans="1:6">
      <c r="A2136" s="306"/>
      <c r="B2136" t="s">
        <v>12773</v>
      </c>
      <c r="C2136" t="s">
        <v>12774</v>
      </c>
      <c r="E2136">
        <v>1517.391304347826</v>
      </c>
      <c r="F2136" t="s">
        <v>11989</v>
      </c>
    </row>
    <row r="2137" spans="1:6">
      <c r="A2137" s="306"/>
      <c r="B2137" t="s">
        <v>12775</v>
      </c>
      <c r="C2137" t="s">
        <v>12776</v>
      </c>
      <c r="E2137">
        <v>4113.0434782608691</v>
      </c>
      <c r="F2137" t="s">
        <v>11989</v>
      </c>
    </row>
    <row r="2138" spans="1:6">
      <c r="A2138" s="306"/>
      <c r="B2138" t="s">
        <v>12777</v>
      </c>
      <c r="C2138" t="s">
        <v>12778</v>
      </c>
      <c r="E2138">
        <v>123.91304347826086</v>
      </c>
      <c r="F2138" t="s">
        <v>11989</v>
      </c>
    </row>
    <row r="2139" spans="1:6">
      <c r="A2139" s="306"/>
      <c r="B2139" t="s">
        <v>12779</v>
      </c>
      <c r="C2139" t="s">
        <v>12780</v>
      </c>
      <c r="E2139">
        <v>321.73913043478257</v>
      </c>
      <c r="F2139" t="s">
        <v>11989</v>
      </c>
    </row>
    <row r="2140" spans="1:6">
      <c r="A2140" s="306"/>
      <c r="B2140" t="s">
        <v>12781</v>
      </c>
      <c r="C2140" t="s">
        <v>12782</v>
      </c>
      <c r="E2140">
        <v>240.21739130434781</v>
      </c>
      <c r="F2140" t="s">
        <v>11989</v>
      </c>
    </row>
    <row r="2141" spans="1:6">
      <c r="A2141" s="306"/>
      <c r="B2141" t="s">
        <v>12783</v>
      </c>
      <c r="C2141" t="s">
        <v>12784</v>
      </c>
      <c r="E2141">
        <v>635.86956521739125</v>
      </c>
      <c r="F2141" t="s">
        <v>11989</v>
      </c>
    </row>
    <row r="2142" spans="1:6">
      <c r="A2142" s="306"/>
      <c r="B2142" t="s">
        <v>12785</v>
      </c>
      <c r="C2142" t="s">
        <v>12786</v>
      </c>
      <c r="E2142">
        <v>66.304347826086953</v>
      </c>
      <c r="F2142" t="s">
        <v>11989</v>
      </c>
    </row>
    <row r="2143" spans="1:6">
      <c r="A2143" s="306"/>
      <c r="B2143" t="s">
        <v>12787</v>
      </c>
      <c r="C2143" t="s">
        <v>12788</v>
      </c>
      <c r="E2143">
        <v>165.21739130434781</v>
      </c>
      <c r="F2143" t="s">
        <v>11989</v>
      </c>
    </row>
    <row r="2144" spans="1:6">
      <c r="A2144" s="306"/>
      <c r="B2144" t="s">
        <v>12789</v>
      </c>
      <c r="C2144" t="s">
        <v>12790</v>
      </c>
      <c r="E2144">
        <v>123.91304347826086</v>
      </c>
      <c r="F2144" t="s">
        <v>11989</v>
      </c>
    </row>
    <row r="2145" spans="1:6">
      <c r="A2145" s="306"/>
      <c r="B2145" t="s">
        <v>12791</v>
      </c>
      <c r="C2145" t="s">
        <v>12792</v>
      </c>
      <c r="E2145">
        <v>321.73913043478257</v>
      </c>
      <c r="F2145" t="s">
        <v>11989</v>
      </c>
    </row>
    <row r="2146" spans="1:6">
      <c r="A2146" s="306"/>
      <c r="B2146" t="s">
        <v>12793</v>
      </c>
      <c r="C2146" t="s">
        <v>12794</v>
      </c>
      <c r="E2146">
        <v>9063.04347826087</v>
      </c>
      <c r="F2146" t="s">
        <v>11989</v>
      </c>
    </row>
    <row r="2147" spans="1:6">
      <c r="A2147" s="306"/>
      <c r="B2147" t="s">
        <v>12795</v>
      </c>
      <c r="C2147" t="s">
        <v>12796</v>
      </c>
      <c r="E2147">
        <v>24456.521739130432</v>
      </c>
      <c r="F2147" t="s">
        <v>11989</v>
      </c>
    </row>
    <row r="2148" spans="1:6">
      <c r="A2148" s="306"/>
      <c r="B2148" t="s">
        <v>12797</v>
      </c>
      <c r="C2148" t="s">
        <v>12798</v>
      </c>
      <c r="E2148">
        <v>4535.869565217391</v>
      </c>
      <c r="F2148" t="s">
        <v>11989</v>
      </c>
    </row>
    <row r="2149" spans="1:6">
      <c r="A2149" s="306"/>
      <c r="B2149" t="s">
        <v>12799</v>
      </c>
      <c r="C2149" t="s">
        <v>12800</v>
      </c>
      <c r="E2149">
        <v>12232.608695652174</v>
      </c>
      <c r="F2149" t="s">
        <v>11989</v>
      </c>
    </row>
    <row r="2150" spans="1:6">
      <c r="A2150" s="306"/>
      <c r="B2150" t="s">
        <v>12801</v>
      </c>
      <c r="C2150" t="s">
        <v>12802</v>
      </c>
      <c r="E2150">
        <v>2271.7391304347825</v>
      </c>
      <c r="F2150" t="s">
        <v>11989</v>
      </c>
    </row>
    <row r="2151" spans="1:6">
      <c r="A2151" s="306"/>
      <c r="B2151" t="s">
        <v>12803</v>
      </c>
      <c r="C2151" t="s">
        <v>12804</v>
      </c>
      <c r="E2151">
        <v>6165.217391304348</v>
      </c>
      <c r="F2151" t="s">
        <v>11989</v>
      </c>
    </row>
    <row r="2152" spans="1:6">
      <c r="A2152" s="306"/>
      <c r="B2152" t="s">
        <v>12805</v>
      </c>
      <c r="C2152" t="s">
        <v>12806</v>
      </c>
      <c r="E2152">
        <v>181.52173913043478</v>
      </c>
      <c r="F2152" t="s">
        <v>11989</v>
      </c>
    </row>
    <row r="2153" spans="1:6">
      <c r="A2153" s="306"/>
      <c r="B2153" t="s">
        <v>12807</v>
      </c>
      <c r="C2153" t="s">
        <v>12808</v>
      </c>
      <c r="E2153">
        <v>479.3478260869565</v>
      </c>
      <c r="F2153" t="s">
        <v>11989</v>
      </c>
    </row>
    <row r="2154" spans="1:6">
      <c r="A2154" s="306"/>
      <c r="B2154" t="s">
        <v>12809</v>
      </c>
      <c r="C2154" t="s">
        <v>12810</v>
      </c>
      <c r="E2154">
        <v>355.43478260869563</v>
      </c>
      <c r="F2154" t="s">
        <v>11989</v>
      </c>
    </row>
    <row r="2155" spans="1:6">
      <c r="A2155" s="306"/>
      <c r="B2155" t="s">
        <v>12811</v>
      </c>
      <c r="C2155" t="s">
        <v>12812</v>
      </c>
      <c r="E2155">
        <v>950</v>
      </c>
      <c r="F2155" t="s">
        <v>11989</v>
      </c>
    </row>
    <row r="2156" spans="1:6">
      <c r="A2156" s="306"/>
      <c r="B2156" t="s">
        <v>12813</v>
      </c>
      <c r="C2156" t="s">
        <v>12814</v>
      </c>
      <c r="E2156">
        <v>94.565217391304344</v>
      </c>
      <c r="F2156" t="s">
        <v>11989</v>
      </c>
    </row>
    <row r="2157" spans="1:6">
      <c r="A2157" s="306"/>
      <c r="B2157" t="s">
        <v>12815</v>
      </c>
      <c r="C2157" t="s">
        <v>12816</v>
      </c>
      <c r="E2157">
        <v>243.47826086956522</v>
      </c>
      <c r="F2157" t="s">
        <v>11989</v>
      </c>
    </row>
    <row r="2158" spans="1:6">
      <c r="A2158" s="306"/>
      <c r="B2158" t="s">
        <v>12817</v>
      </c>
      <c r="C2158" t="s">
        <v>12818</v>
      </c>
      <c r="E2158">
        <v>181.52173913043478</v>
      </c>
      <c r="F2158" t="s">
        <v>11989</v>
      </c>
    </row>
    <row r="2159" spans="1:6">
      <c r="A2159" s="306"/>
      <c r="B2159" t="s">
        <v>12819</v>
      </c>
      <c r="C2159" t="s">
        <v>12820</v>
      </c>
      <c r="E2159">
        <v>479.3478260869565</v>
      </c>
      <c r="F2159" t="s">
        <v>11989</v>
      </c>
    </row>
    <row r="2160" spans="1:6">
      <c r="A2160" s="306"/>
      <c r="B2160" t="s">
        <v>12821</v>
      </c>
      <c r="C2160" t="s">
        <v>12822</v>
      </c>
      <c r="E2160">
        <v>914.13043478260863</v>
      </c>
      <c r="F2160" t="s">
        <v>11989</v>
      </c>
    </row>
    <row r="2161" spans="1:6">
      <c r="A2161" s="306"/>
      <c r="B2161" t="s">
        <v>12823</v>
      </c>
      <c r="C2161" t="s">
        <v>12824</v>
      </c>
      <c r="E2161">
        <v>1517.391304347826</v>
      </c>
      <c r="F2161" t="s">
        <v>11989</v>
      </c>
    </row>
    <row r="2162" spans="1:6">
      <c r="A2162" s="306"/>
      <c r="B2162" t="s">
        <v>12825</v>
      </c>
      <c r="C2162" t="s">
        <v>12826</v>
      </c>
      <c r="E2162">
        <v>4113.0434782608691</v>
      </c>
      <c r="F2162" t="s">
        <v>11989</v>
      </c>
    </row>
    <row r="2163" spans="1:6">
      <c r="A2163" s="306"/>
      <c r="B2163" t="s">
        <v>12827</v>
      </c>
      <c r="C2163" t="s">
        <v>12828</v>
      </c>
      <c r="E2163">
        <v>6044.565217391304</v>
      </c>
      <c r="F2163" t="s">
        <v>11989</v>
      </c>
    </row>
    <row r="2164" spans="1:6">
      <c r="A2164" s="306"/>
      <c r="B2164" t="s">
        <v>12829</v>
      </c>
      <c r="C2164" t="s">
        <v>12830</v>
      </c>
      <c r="E2164">
        <v>16307.608695652174</v>
      </c>
      <c r="F2164" t="s">
        <v>11989</v>
      </c>
    </row>
    <row r="2165" spans="1:6">
      <c r="A2165" s="306"/>
      <c r="B2165" t="s">
        <v>12831</v>
      </c>
      <c r="C2165" t="s">
        <v>12832</v>
      </c>
      <c r="E2165">
        <v>491.30434782608694</v>
      </c>
      <c r="F2165" t="s">
        <v>11989</v>
      </c>
    </row>
    <row r="2166" spans="1:6">
      <c r="A2166" s="306"/>
      <c r="B2166" t="s">
        <v>12833</v>
      </c>
      <c r="C2166" t="s">
        <v>12834</v>
      </c>
      <c r="E2166">
        <v>1311.9565217391303</v>
      </c>
      <c r="F2166" t="s">
        <v>11989</v>
      </c>
    </row>
    <row r="2167" spans="1:6">
      <c r="A2167" s="306"/>
      <c r="B2167" t="s">
        <v>12835</v>
      </c>
      <c r="C2167" t="s">
        <v>12836</v>
      </c>
      <c r="E2167">
        <v>2271.7391304347825</v>
      </c>
      <c r="F2167" t="s">
        <v>11989</v>
      </c>
    </row>
    <row r="2168" spans="1:6">
      <c r="A2168" s="306"/>
      <c r="B2168" t="s">
        <v>12837</v>
      </c>
      <c r="C2168" t="s">
        <v>12838</v>
      </c>
      <c r="E2168">
        <v>6165.217391304348</v>
      </c>
      <c r="F2168" t="s">
        <v>11989</v>
      </c>
    </row>
    <row r="2169" spans="1:6">
      <c r="A2169" s="306"/>
      <c r="B2169" t="s">
        <v>12839</v>
      </c>
      <c r="C2169" t="s">
        <v>12840</v>
      </c>
      <c r="E2169">
        <v>9063.04347826087</v>
      </c>
      <c r="F2169" t="s">
        <v>11989</v>
      </c>
    </row>
    <row r="2170" spans="1:6">
      <c r="A2170" s="306"/>
      <c r="B2170" t="s">
        <v>12841</v>
      </c>
      <c r="C2170" t="s">
        <v>12842</v>
      </c>
      <c r="E2170">
        <v>24456.521739130432</v>
      </c>
      <c r="F2170" t="s">
        <v>11989</v>
      </c>
    </row>
    <row r="2171" spans="1:6">
      <c r="A2171" s="306"/>
      <c r="B2171" t="s">
        <v>12843</v>
      </c>
      <c r="C2171" t="s">
        <v>12844</v>
      </c>
      <c r="E2171">
        <v>732.60869565217388</v>
      </c>
      <c r="F2171" t="s">
        <v>11989</v>
      </c>
    </row>
    <row r="2172" spans="1:6">
      <c r="A2172" s="306"/>
      <c r="B2172" t="s">
        <v>12845</v>
      </c>
      <c r="C2172" t="s">
        <v>12846</v>
      </c>
      <c r="E2172">
        <v>1964.1304347826085</v>
      </c>
      <c r="F2172" t="s">
        <v>11989</v>
      </c>
    </row>
    <row r="2173" spans="1:6">
      <c r="A2173" s="306"/>
      <c r="B2173" t="s">
        <v>12847</v>
      </c>
      <c r="C2173" t="s">
        <v>12848</v>
      </c>
      <c r="E2173">
        <v>491.30434782608694</v>
      </c>
      <c r="F2173" t="s">
        <v>11989</v>
      </c>
    </row>
    <row r="2174" spans="1:6">
      <c r="A2174" s="306"/>
      <c r="B2174" t="s">
        <v>12849</v>
      </c>
      <c r="C2174" t="s">
        <v>12850</v>
      </c>
      <c r="E2174">
        <v>1311.9565217391303</v>
      </c>
      <c r="F2174" t="s">
        <v>11989</v>
      </c>
    </row>
    <row r="2175" spans="1:6">
      <c r="A2175" s="306"/>
      <c r="B2175" t="s">
        <v>12851</v>
      </c>
      <c r="C2175" t="s">
        <v>12852</v>
      </c>
      <c r="E2175">
        <v>2120.6521739130435</v>
      </c>
      <c r="F2175" t="s">
        <v>11989</v>
      </c>
    </row>
    <row r="2176" spans="1:6">
      <c r="A2176" s="306"/>
      <c r="B2176" t="s">
        <v>12853</v>
      </c>
      <c r="C2176" t="s">
        <v>12854</v>
      </c>
      <c r="E2176">
        <v>5743.478260869565</v>
      </c>
      <c r="F2176" t="s">
        <v>11989</v>
      </c>
    </row>
    <row r="2177" spans="1:6">
      <c r="A2177" s="306"/>
      <c r="B2177" t="s">
        <v>12855</v>
      </c>
      <c r="C2177" t="s">
        <v>12856</v>
      </c>
      <c r="E2177">
        <v>732.60869565217388</v>
      </c>
      <c r="F2177" t="s">
        <v>11989</v>
      </c>
    </row>
    <row r="2178" spans="1:6">
      <c r="A2178" s="306"/>
      <c r="B2178" t="s">
        <v>12857</v>
      </c>
      <c r="C2178" t="s">
        <v>12858</v>
      </c>
      <c r="E2178">
        <v>1964.1304347826085</v>
      </c>
      <c r="F2178" t="s">
        <v>11989</v>
      </c>
    </row>
    <row r="2179" spans="1:6">
      <c r="A2179" s="306"/>
      <c r="B2179" t="s">
        <v>12859</v>
      </c>
      <c r="C2179" t="s">
        <v>12860</v>
      </c>
      <c r="E2179">
        <v>3177.173913043478</v>
      </c>
      <c r="F2179" t="s">
        <v>11989</v>
      </c>
    </row>
    <row r="2180" spans="1:6">
      <c r="A2180" s="306"/>
      <c r="B2180" t="s">
        <v>12861</v>
      </c>
      <c r="C2180" t="s">
        <v>12862</v>
      </c>
      <c r="E2180">
        <v>8610.8695652173901</v>
      </c>
      <c r="F2180" t="s">
        <v>11989</v>
      </c>
    </row>
    <row r="2181" spans="1:6">
      <c r="A2181" s="306"/>
      <c r="B2181" t="s">
        <v>12863</v>
      </c>
      <c r="C2181" t="s">
        <v>12864</v>
      </c>
      <c r="E2181">
        <v>6044.565217391304</v>
      </c>
      <c r="F2181" t="s">
        <v>11989</v>
      </c>
    </row>
    <row r="2182" spans="1:6">
      <c r="A2182" s="306"/>
      <c r="B2182" t="s">
        <v>12865</v>
      </c>
      <c r="C2182" t="s">
        <v>12866</v>
      </c>
      <c r="E2182">
        <v>16307.608695652174</v>
      </c>
      <c r="F2182" t="s">
        <v>11989</v>
      </c>
    </row>
    <row r="2183" spans="1:6">
      <c r="A2183" s="306"/>
      <c r="B2183" t="s">
        <v>12867</v>
      </c>
      <c r="C2183" t="s">
        <v>12868</v>
      </c>
      <c r="E2183">
        <v>2120.6521739130435</v>
      </c>
      <c r="F2183" t="s">
        <v>11989</v>
      </c>
    </row>
    <row r="2184" spans="1:6">
      <c r="A2184" s="306"/>
      <c r="B2184" t="s">
        <v>12869</v>
      </c>
      <c r="C2184" t="s">
        <v>12870</v>
      </c>
      <c r="E2184">
        <v>5743.478260869565</v>
      </c>
      <c r="F2184" t="s">
        <v>11989</v>
      </c>
    </row>
    <row r="2185" spans="1:6">
      <c r="A2185" s="306"/>
      <c r="B2185" t="s">
        <v>12871</v>
      </c>
      <c r="C2185" t="s">
        <v>12872</v>
      </c>
      <c r="E2185">
        <v>9063.04347826087</v>
      </c>
      <c r="F2185" t="s">
        <v>11989</v>
      </c>
    </row>
    <row r="2186" spans="1:6">
      <c r="A2186" s="306"/>
      <c r="B2186" t="s">
        <v>12873</v>
      </c>
      <c r="C2186" t="s">
        <v>12874</v>
      </c>
      <c r="E2186">
        <v>24456.521739130432</v>
      </c>
      <c r="F2186" t="s">
        <v>11989</v>
      </c>
    </row>
    <row r="2187" spans="1:6">
      <c r="A2187" s="306"/>
      <c r="B2187" t="s">
        <v>12875</v>
      </c>
      <c r="C2187" t="s">
        <v>12876</v>
      </c>
      <c r="E2187">
        <v>3177.173913043478</v>
      </c>
      <c r="F2187" t="s">
        <v>11989</v>
      </c>
    </row>
    <row r="2188" spans="1:6">
      <c r="A2188" s="306"/>
      <c r="B2188" t="s">
        <v>12877</v>
      </c>
      <c r="C2188" t="s">
        <v>12878</v>
      </c>
      <c r="E2188">
        <v>8610.8695652173901</v>
      </c>
      <c r="F2188" t="s">
        <v>11989</v>
      </c>
    </row>
    <row r="2189" spans="1:6">
      <c r="A2189" s="306"/>
      <c r="B2189" t="s">
        <v>12879</v>
      </c>
    </row>
    <row r="2190" spans="1:6">
      <c r="A2190" s="306"/>
      <c r="B2190" t="s">
        <v>12880</v>
      </c>
      <c r="C2190" t="s">
        <v>12881</v>
      </c>
      <c r="E2190">
        <v>645.6521739130435</v>
      </c>
      <c r="F2190" t="s">
        <v>11989</v>
      </c>
    </row>
    <row r="2191" spans="1:6">
      <c r="A2191" s="306"/>
      <c r="B2191" t="s">
        <v>12882</v>
      </c>
      <c r="C2191" t="s">
        <v>12883</v>
      </c>
      <c r="E2191">
        <v>982.60869565217388</v>
      </c>
      <c r="F2191" t="s">
        <v>11989</v>
      </c>
    </row>
    <row r="2192" spans="1:6">
      <c r="A2192" s="306"/>
      <c r="B2192" t="s">
        <v>12884</v>
      </c>
      <c r="C2192" t="s">
        <v>12885</v>
      </c>
      <c r="E2192">
        <v>5461.95652173913</v>
      </c>
      <c r="F2192" t="s">
        <v>11989</v>
      </c>
    </row>
    <row r="2193" spans="1:6">
      <c r="A2193" s="306"/>
      <c r="B2193" t="s">
        <v>12886</v>
      </c>
      <c r="C2193" t="s">
        <v>12887</v>
      </c>
      <c r="E2193">
        <v>7965.2173913043471</v>
      </c>
      <c r="F2193" t="s">
        <v>11989</v>
      </c>
    </row>
    <row r="2194" spans="1:6">
      <c r="A2194" s="306"/>
      <c r="B2194" t="s">
        <v>12888</v>
      </c>
      <c r="C2194" t="s">
        <v>12889</v>
      </c>
      <c r="E2194">
        <v>1309.782608695652</v>
      </c>
      <c r="F2194" t="s">
        <v>11989</v>
      </c>
    </row>
    <row r="2195" spans="1:6">
      <c r="A2195" s="306"/>
      <c r="B2195" t="s">
        <v>12890</v>
      </c>
      <c r="C2195" t="s">
        <v>12891</v>
      </c>
      <c r="E2195">
        <v>2029.3478260869565</v>
      </c>
      <c r="F2195" t="s">
        <v>11989</v>
      </c>
    </row>
    <row r="2196" spans="1:6">
      <c r="A2196" s="306"/>
      <c r="B2196" t="s">
        <v>12892</v>
      </c>
      <c r="C2196" t="s">
        <v>12893</v>
      </c>
      <c r="E2196">
        <v>3493.478260869565</v>
      </c>
      <c r="F2196" t="s">
        <v>11989</v>
      </c>
    </row>
    <row r="2197" spans="1:6">
      <c r="A2197" s="306"/>
      <c r="B2197" t="s">
        <v>12894</v>
      </c>
      <c r="C2197" t="s">
        <v>12895</v>
      </c>
      <c r="E2197">
        <v>5095.652173913043</v>
      </c>
      <c r="F2197" t="s">
        <v>11989</v>
      </c>
    </row>
    <row r="2198" spans="1:6">
      <c r="A2198" s="306"/>
      <c r="B2198" t="s">
        <v>12896</v>
      </c>
      <c r="C2198" t="s">
        <v>12897</v>
      </c>
      <c r="E2198">
        <v>4246.7391304347821</v>
      </c>
      <c r="F2198" t="s">
        <v>11989</v>
      </c>
    </row>
    <row r="2199" spans="1:6">
      <c r="A2199" s="306"/>
      <c r="B2199" t="s">
        <v>12898</v>
      </c>
      <c r="C2199" t="s">
        <v>12899</v>
      </c>
      <c r="E2199">
        <v>6193.478260869565</v>
      </c>
      <c r="F2199" t="s">
        <v>11989</v>
      </c>
    </row>
    <row r="2200" spans="1:6">
      <c r="A2200" s="306"/>
      <c r="B2200" t="s">
        <v>12900</v>
      </c>
      <c r="C2200" t="s">
        <v>12901</v>
      </c>
      <c r="E2200">
        <v>2120.6521739130435</v>
      </c>
      <c r="F2200" t="s">
        <v>11989</v>
      </c>
    </row>
    <row r="2201" spans="1:6">
      <c r="A2201" s="306"/>
      <c r="B2201" t="s">
        <v>12902</v>
      </c>
      <c r="C2201" t="s">
        <v>12903</v>
      </c>
      <c r="E2201">
        <v>3091.304347826087</v>
      </c>
      <c r="F2201" t="s">
        <v>11989</v>
      </c>
    </row>
    <row r="2202" spans="1:6">
      <c r="A2202" s="306"/>
      <c r="B2202" t="s">
        <v>12904</v>
      </c>
      <c r="C2202" t="s">
        <v>12905</v>
      </c>
      <c r="E2202">
        <v>14000</v>
      </c>
      <c r="F2202" t="s">
        <v>11989</v>
      </c>
    </row>
    <row r="2203" spans="1:6">
      <c r="A2203" s="306"/>
      <c r="B2203" t="s">
        <v>12906</v>
      </c>
      <c r="C2203" t="s">
        <v>12907</v>
      </c>
      <c r="E2203">
        <v>22611.956521739128</v>
      </c>
      <c r="F2203" t="s">
        <v>11989</v>
      </c>
    </row>
    <row r="2204" spans="1:6">
      <c r="A2204" s="306"/>
      <c r="B2204" t="s">
        <v>12908</v>
      </c>
      <c r="C2204" t="s">
        <v>12909</v>
      </c>
      <c r="E2204">
        <v>4404.347826086956</v>
      </c>
      <c r="F2204" t="s">
        <v>11989</v>
      </c>
    </row>
    <row r="2205" spans="1:6">
      <c r="A2205" s="306"/>
      <c r="B2205" t="s">
        <v>12910</v>
      </c>
      <c r="C2205" t="s">
        <v>12911</v>
      </c>
      <c r="E2205">
        <v>6422.8260869565211</v>
      </c>
      <c r="F2205" t="s">
        <v>11989</v>
      </c>
    </row>
    <row r="2206" spans="1:6">
      <c r="A2206" s="306"/>
      <c r="B2206" t="s">
        <v>12912</v>
      </c>
      <c r="C2206" t="s">
        <v>12913</v>
      </c>
      <c r="E2206">
        <v>5157.608695652174</v>
      </c>
      <c r="F2206" t="s">
        <v>11989</v>
      </c>
    </row>
    <row r="2207" spans="1:6">
      <c r="A2207" s="306"/>
      <c r="B2207" t="s">
        <v>12914</v>
      </c>
      <c r="C2207" t="s">
        <v>12915</v>
      </c>
      <c r="E2207">
        <v>7520.652173913043</v>
      </c>
      <c r="F2207" t="s">
        <v>11989</v>
      </c>
    </row>
    <row r="2208" spans="1:6">
      <c r="A2208" s="306"/>
      <c r="B2208" t="s">
        <v>12916</v>
      </c>
      <c r="C2208" t="s">
        <v>12917</v>
      </c>
      <c r="E2208">
        <v>26144.565217391304</v>
      </c>
      <c r="F2208" t="s">
        <v>11989</v>
      </c>
    </row>
    <row r="2209" spans="1:6">
      <c r="A2209" s="306"/>
      <c r="B2209" t="s">
        <v>12918</v>
      </c>
      <c r="C2209" t="s">
        <v>12919</v>
      </c>
      <c r="E2209">
        <v>41035.869565217392</v>
      </c>
      <c r="F2209" t="s">
        <v>11989</v>
      </c>
    </row>
    <row r="2210" spans="1:6">
      <c r="A2210" s="306"/>
      <c r="B2210" t="s">
        <v>12920</v>
      </c>
      <c r="C2210" t="s">
        <v>12921</v>
      </c>
      <c r="E2210">
        <v>30909.782608695652</v>
      </c>
      <c r="F2210" t="s">
        <v>11989</v>
      </c>
    </row>
    <row r="2211" spans="1:6">
      <c r="A2211" s="306"/>
      <c r="B2211" t="s">
        <v>12922</v>
      </c>
      <c r="C2211" t="s">
        <v>12923</v>
      </c>
      <c r="E2211">
        <v>47872.82608695652</v>
      </c>
      <c r="F2211" t="s">
        <v>11989</v>
      </c>
    </row>
    <row r="2212" spans="1:6">
      <c r="A2212" s="306"/>
      <c r="B2212" t="s">
        <v>12924</v>
      </c>
      <c r="C2212" t="s">
        <v>12925</v>
      </c>
      <c r="E2212">
        <v>9719.565217391304</v>
      </c>
      <c r="F2212" t="s">
        <v>11989</v>
      </c>
    </row>
    <row r="2213" spans="1:6">
      <c r="A2213" s="306"/>
      <c r="B2213" t="s">
        <v>12926</v>
      </c>
      <c r="C2213" t="s">
        <v>12927</v>
      </c>
      <c r="E2213">
        <v>14175</v>
      </c>
      <c r="F2213" t="s">
        <v>11989</v>
      </c>
    </row>
    <row r="2214" spans="1:6">
      <c r="A2214" s="306"/>
      <c r="B2214" t="s">
        <v>12928</v>
      </c>
      <c r="C2214" t="s">
        <v>12929</v>
      </c>
      <c r="E2214">
        <v>3645.6521739130435</v>
      </c>
      <c r="F2214" t="s">
        <v>11989</v>
      </c>
    </row>
    <row r="2215" spans="1:6">
      <c r="A2215" s="306"/>
      <c r="B2215" t="s">
        <v>12930</v>
      </c>
      <c r="C2215" t="s">
        <v>12931</v>
      </c>
      <c r="E2215">
        <v>5316.304347826087</v>
      </c>
      <c r="F2215" t="s">
        <v>11989</v>
      </c>
    </row>
    <row r="2216" spans="1:6">
      <c r="A2216" s="306"/>
      <c r="B2216" t="s">
        <v>12932</v>
      </c>
      <c r="C2216" t="s">
        <v>12933</v>
      </c>
      <c r="E2216">
        <v>5467.391304347826</v>
      </c>
      <c r="F2216" t="s">
        <v>11989</v>
      </c>
    </row>
    <row r="2217" spans="1:6">
      <c r="A2217" s="306"/>
      <c r="B2217" t="s">
        <v>12934</v>
      </c>
      <c r="C2217" t="s">
        <v>12935</v>
      </c>
      <c r="E2217">
        <v>7973.9130434782601</v>
      </c>
      <c r="F2217" t="s">
        <v>11989</v>
      </c>
    </row>
    <row r="2218" spans="1:6">
      <c r="A2218" s="306"/>
      <c r="B2218" t="s">
        <v>12936</v>
      </c>
      <c r="C2218" t="s">
        <v>12937</v>
      </c>
      <c r="E2218">
        <v>3038.0434782608695</v>
      </c>
      <c r="F2218" t="s">
        <v>11989</v>
      </c>
    </row>
    <row r="2219" spans="1:6">
      <c r="A2219" s="306"/>
      <c r="B2219" t="s">
        <v>12938</v>
      </c>
      <c r="C2219" t="s">
        <v>12939</v>
      </c>
      <c r="E2219">
        <v>4430.4347826086951</v>
      </c>
      <c r="F2219" t="s">
        <v>11989</v>
      </c>
    </row>
    <row r="2220" spans="1:6">
      <c r="A2220" s="306"/>
      <c r="B2220" t="s">
        <v>12940</v>
      </c>
      <c r="C2220" t="s">
        <v>12941</v>
      </c>
      <c r="E2220">
        <v>3038.0434782608695</v>
      </c>
      <c r="F2220" t="s">
        <v>11989</v>
      </c>
    </row>
    <row r="2221" spans="1:6">
      <c r="A2221" s="306"/>
      <c r="B2221" t="s">
        <v>12942</v>
      </c>
      <c r="C2221" t="s">
        <v>12943</v>
      </c>
      <c r="E2221">
        <v>4430.4347826086951</v>
      </c>
      <c r="F2221" t="s">
        <v>11989</v>
      </c>
    </row>
    <row r="2222" spans="1:6">
      <c r="A2222" s="306"/>
      <c r="B2222" t="s">
        <v>12944</v>
      </c>
      <c r="C2222" t="s">
        <v>12945</v>
      </c>
      <c r="E2222">
        <v>30372.82608695652</v>
      </c>
      <c r="F2222" t="s">
        <v>11989</v>
      </c>
    </row>
    <row r="2223" spans="1:6">
      <c r="A2223" s="306"/>
      <c r="B2223" t="s">
        <v>12946</v>
      </c>
      <c r="C2223" t="s">
        <v>12947</v>
      </c>
      <c r="E2223">
        <v>44294.565217391304</v>
      </c>
      <c r="F2223" t="s">
        <v>11989</v>
      </c>
    </row>
    <row r="2224" spans="1:6">
      <c r="A2224" s="306"/>
      <c r="B2224" t="s">
        <v>12948</v>
      </c>
      <c r="C2224" t="s">
        <v>12949</v>
      </c>
      <c r="E2224">
        <v>2308.695652173913</v>
      </c>
      <c r="F2224" t="s">
        <v>11989</v>
      </c>
    </row>
    <row r="2225" spans="1:6">
      <c r="A2225" s="306"/>
      <c r="B2225" t="s">
        <v>12950</v>
      </c>
      <c r="C2225" t="s">
        <v>12951</v>
      </c>
      <c r="E2225">
        <v>3367.391304347826</v>
      </c>
      <c r="F2225" t="s">
        <v>11989</v>
      </c>
    </row>
    <row r="2226" spans="1:6">
      <c r="A2226" s="306"/>
      <c r="B2226" t="s">
        <v>12952</v>
      </c>
      <c r="C2226" t="s">
        <v>12953</v>
      </c>
      <c r="E2226">
        <v>23083.695652173912</v>
      </c>
      <c r="F2226" t="s">
        <v>11989</v>
      </c>
    </row>
    <row r="2227" spans="1:6">
      <c r="A2227" s="306"/>
      <c r="B2227" t="s">
        <v>12954</v>
      </c>
      <c r="C2227" t="s">
        <v>12955</v>
      </c>
      <c r="E2227">
        <v>33664.130434782608</v>
      </c>
      <c r="F2227" t="s">
        <v>11989</v>
      </c>
    </row>
    <row r="2228" spans="1:6">
      <c r="A2228" s="306"/>
      <c r="B2228" t="s">
        <v>12956</v>
      </c>
      <c r="C2228" t="s">
        <v>12957</v>
      </c>
      <c r="E2228">
        <v>4859.782608695652</v>
      </c>
      <c r="F2228" t="s">
        <v>11989</v>
      </c>
    </row>
    <row r="2229" spans="1:6">
      <c r="A2229" s="306"/>
      <c r="B2229" t="s">
        <v>12958</v>
      </c>
      <c r="C2229" t="s">
        <v>12959</v>
      </c>
      <c r="E2229">
        <v>7088.0434782608691</v>
      </c>
      <c r="F2229" t="s">
        <v>11989</v>
      </c>
    </row>
    <row r="2230" spans="1:6">
      <c r="A2230" s="306"/>
      <c r="B2230" t="s">
        <v>12960</v>
      </c>
      <c r="C2230" t="s">
        <v>12961</v>
      </c>
      <c r="E2230">
        <v>48596.739130434784</v>
      </c>
      <c r="F2230" t="s">
        <v>11989</v>
      </c>
    </row>
    <row r="2231" spans="1:6">
      <c r="A2231" s="306"/>
      <c r="B2231" t="s">
        <v>12962</v>
      </c>
      <c r="C2231" t="s">
        <v>12963</v>
      </c>
      <c r="E2231">
        <v>70871.739130434784</v>
      </c>
      <c r="F2231" t="s">
        <v>11989</v>
      </c>
    </row>
    <row r="2232" spans="1:6">
      <c r="A2232" s="306"/>
      <c r="B2232" t="s">
        <v>12964</v>
      </c>
      <c r="C2232" t="s">
        <v>12965</v>
      </c>
      <c r="E2232">
        <v>3038.0434782608695</v>
      </c>
      <c r="F2232" t="s">
        <v>11989</v>
      </c>
    </row>
    <row r="2233" spans="1:6">
      <c r="A2233" s="306"/>
      <c r="B2233" t="s">
        <v>12966</v>
      </c>
      <c r="C2233" t="s">
        <v>12967</v>
      </c>
      <c r="E2233">
        <v>4430.4347826086951</v>
      </c>
      <c r="F2233" t="s">
        <v>11989</v>
      </c>
    </row>
    <row r="2234" spans="1:6">
      <c r="A2234" s="306"/>
      <c r="B2234" t="s">
        <v>12968</v>
      </c>
      <c r="C2234" t="s">
        <v>12969</v>
      </c>
      <c r="E2234">
        <v>30372.82608695652</v>
      </c>
      <c r="F2234" t="s">
        <v>11989</v>
      </c>
    </row>
    <row r="2235" spans="1:6">
      <c r="A2235" s="306"/>
      <c r="B2235" t="s">
        <v>12970</v>
      </c>
      <c r="C2235" t="s">
        <v>12971</v>
      </c>
      <c r="E2235">
        <v>44294.565217391304</v>
      </c>
      <c r="F2235" t="s">
        <v>11989</v>
      </c>
    </row>
    <row r="2236" spans="1:6">
      <c r="A2236" s="306"/>
      <c r="B2236" t="s">
        <v>12972</v>
      </c>
      <c r="C2236" t="s">
        <v>12973</v>
      </c>
      <c r="E2236">
        <v>6330.4347826086951</v>
      </c>
      <c r="F2236" t="s">
        <v>11989</v>
      </c>
    </row>
    <row r="2237" spans="1:6">
      <c r="A2237" s="306"/>
      <c r="B2237" t="s">
        <v>12974</v>
      </c>
      <c r="C2237" t="s">
        <v>12975</v>
      </c>
      <c r="E2237">
        <v>9533.6956521739121</v>
      </c>
      <c r="F2237" t="s">
        <v>11989</v>
      </c>
    </row>
    <row r="2238" spans="1:6">
      <c r="A2238" s="306"/>
      <c r="B2238" t="s">
        <v>12976</v>
      </c>
      <c r="C2238" t="s">
        <v>12977</v>
      </c>
      <c r="E2238">
        <v>63292.391304347824</v>
      </c>
      <c r="F2238" t="s">
        <v>11989</v>
      </c>
    </row>
    <row r="2239" spans="1:6">
      <c r="A2239" s="306"/>
      <c r="B2239" t="s">
        <v>12978</v>
      </c>
      <c r="C2239" t="s">
        <v>12979</v>
      </c>
      <c r="E2239">
        <v>95313.043478260865</v>
      </c>
      <c r="F2239" t="s">
        <v>11989</v>
      </c>
    </row>
    <row r="2240" spans="1:6">
      <c r="A2240" s="306"/>
      <c r="B2240" t="s">
        <v>12980</v>
      </c>
      <c r="C2240" t="s">
        <v>12981</v>
      </c>
      <c r="E2240">
        <v>3815.2173913043475</v>
      </c>
      <c r="F2240" t="s">
        <v>11989</v>
      </c>
    </row>
    <row r="2241" spans="1:6">
      <c r="A2241" s="306"/>
      <c r="B2241" t="s">
        <v>12982</v>
      </c>
      <c r="C2241" t="s">
        <v>12983</v>
      </c>
      <c r="E2241">
        <v>5764.1304347826081</v>
      </c>
      <c r="F2241" t="s">
        <v>11989</v>
      </c>
    </row>
    <row r="2242" spans="1:6">
      <c r="A2242" s="306"/>
      <c r="B2242" t="s">
        <v>12984</v>
      </c>
      <c r="C2242" t="s">
        <v>12985</v>
      </c>
      <c r="E2242">
        <v>38145.65217391304</v>
      </c>
      <c r="F2242" t="s">
        <v>11989</v>
      </c>
    </row>
    <row r="2243" spans="1:6">
      <c r="A2243" s="306"/>
      <c r="B2243" t="s">
        <v>12986</v>
      </c>
      <c r="C2243" t="s">
        <v>12987</v>
      </c>
      <c r="E2243">
        <v>57635.869565217392</v>
      </c>
      <c r="F2243" t="s">
        <v>11989</v>
      </c>
    </row>
    <row r="2244" spans="1:6">
      <c r="A2244" s="306"/>
      <c r="B2244" t="s">
        <v>12988</v>
      </c>
      <c r="C2244" t="s">
        <v>12989</v>
      </c>
      <c r="E2244">
        <v>1822.8260869565217</v>
      </c>
      <c r="F2244" t="s">
        <v>11989</v>
      </c>
    </row>
    <row r="2245" spans="1:6">
      <c r="A2245" s="306"/>
      <c r="B2245" t="s">
        <v>12990</v>
      </c>
      <c r="C2245" t="s">
        <v>12991</v>
      </c>
      <c r="E2245">
        <v>2658.695652173913</v>
      </c>
      <c r="F2245" t="s">
        <v>11989</v>
      </c>
    </row>
    <row r="2246" spans="1:6">
      <c r="A2246" s="306"/>
      <c r="B2246" t="s">
        <v>12992</v>
      </c>
      <c r="C2246" t="s">
        <v>12993</v>
      </c>
      <c r="E2246">
        <v>18223.91304347826</v>
      </c>
      <c r="F2246" t="s">
        <v>11989</v>
      </c>
    </row>
    <row r="2247" spans="1:6">
      <c r="A2247" s="306"/>
      <c r="B2247" t="s">
        <v>12994</v>
      </c>
      <c r="C2247" t="s">
        <v>12995</v>
      </c>
      <c r="E2247">
        <v>26577.173913043476</v>
      </c>
      <c r="F2247" t="s">
        <v>11989</v>
      </c>
    </row>
    <row r="2248" spans="1:6">
      <c r="A2248" s="306"/>
      <c r="B2248" t="s">
        <v>12996</v>
      </c>
      <c r="C2248" t="s">
        <v>12997</v>
      </c>
      <c r="E2248">
        <v>5923.913043478261</v>
      </c>
      <c r="F2248" t="s">
        <v>11989</v>
      </c>
    </row>
    <row r="2249" spans="1:6">
      <c r="A2249" s="306"/>
      <c r="B2249" t="s">
        <v>12998</v>
      </c>
      <c r="C2249" t="s">
        <v>12999</v>
      </c>
      <c r="E2249">
        <v>8639.1304347826081</v>
      </c>
      <c r="F2249" t="s">
        <v>11989</v>
      </c>
    </row>
    <row r="2250" spans="1:6">
      <c r="A2250" s="306"/>
      <c r="B2250" t="s">
        <v>13000</v>
      </c>
      <c r="C2250" t="s">
        <v>13001</v>
      </c>
      <c r="E2250">
        <v>15034.782608695652</v>
      </c>
      <c r="F2250" t="s">
        <v>11989</v>
      </c>
    </row>
    <row r="2251" spans="1:6">
      <c r="A2251" s="306"/>
      <c r="B2251" t="s">
        <v>13002</v>
      </c>
      <c r="C2251" t="s">
        <v>13003</v>
      </c>
      <c r="E2251">
        <v>21927.173913043476</v>
      </c>
      <c r="F2251" t="s">
        <v>11989</v>
      </c>
    </row>
    <row r="2252" spans="1:6">
      <c r="A2252" s="306"/>
      <c r="B2252" t="s">
        <v>13004</v>
      </c>
      <c r="C2252" t="s">
        <v>13005</v>
      </c>
      <c r="E2252">
        <v>2184.782608695652</v>
      </c>
      <c r="F2252" t="s">
        <v>11989</v>
      </c>
    </row>
    <row r="2253" spans="1:6">
      <c r="A2253" s="306"/>
      <c r="B2253" t="s">
        <v>13006</v>
      </c>
      <c r="C2253" t="s">
        <v>13007</v>
      </c>
      <c r="E2253">
        <v>3621.7391304347825</v>
      </c>
      <c r="F2253" t="s">
        <v>11989</v>
      </c>
    </row>
    <row r="2254" spans="1:6">
      <c r="A2254" s="306"/>
      <c r="B2254" t="s">
        <v>13008</v>
      </c>
      <c r="C2254" t="s">
        <v>13009</v>
      </c>
      <c r="E2254">
        <v>6069.565217391304</v>
      </c>
      <c r="F2254" t="s">
        <v>11989</v>
      </c>
    </row>
    <row r="2255" spans="1:6">
      <c r="A2255" s="306"/>
      <c r="B2255" t="s">
        <v>13010</v>
      </c>
      <c r="C2255" t="s">
        <v>13011</v>
      </c>
      <c r="E2255">
        <v>8851.0869565217381</v>
      </c>
      <c r="F2255" t="s">
        <v>11989</v>
      </c>
    </row>
    <row r="2256" spans="1:6">
      <c r="A2256" s="306"/>
      <c r="B2256" t="s">
        <v>13012</v>
      </c>
      <c r="C2256" t="s">
        <v>13013</v>
      </c>
      <c r="E2256">
        <v>6069.565217391304</v>
      </c>
      <c r="F2256" t="s">
        <v>11989</v>
      </c>
    </row>
    <row r="2257" spans="1:6">
      <c r="A2257" s="306"/>
      <c r="B2257" t="s">
        <v>13014</v>
      </c>
      <c r="C2257" t="s">
        <v>13015</v>
      </c>
      <c r="E2257">
        <v>8851.0869565217381</v>
      </c>
      <c r="F2257" t="s">
        <v>11989</v>
      </c>
    </row>
    <row r="2258" spans="1:6">
      <c r="A2258" s="306"/>
      <c r="B2258" t="s">
        <v>13016</v>
      </c>
      <c r="C2258" t="s">
        <v>13017</v>
      </c>
      <c r="E2258">
        <v>9106.5217391304341</v>
      </c>
      <c r="F2258" t="s">
        <v>11989</v>
      </c>
    </row>
    <row r="2259" spans="1:6">
      <c r="A2259" s="306"/>
      <c r="B2259" t="s">
        <v>13018</v>
      </c>
      <c r="C2259" t="s">
        <v>13019</v>
      </c>
      <c r="E2259">
        <v>13280.434782608696</v>
      </c>
      <c r="F2259" t="s">
        <v>11989</v>
      </c>
    </row>
    <row r="2260" spans="1:6">
      <c r="A2260" s="306"/>
      <c r="B2260" t="s">
        <v>13020</v>
      </c>
      <c r="C2260" t="s">
        <v>13021</v>
      </c>
      <c r="E2260">
        <v>13966.304347826086</v>
      </c>
      <c r="F2260" t="s">
        <v>11989</v>
      </c>
    </row>
    <row r="2261" spans="1:6">
      <c r="A2261" s="306"/>
      <c r="B2261" t="s">
        <v>13022</v>
      </c>
      <c r="C2261" t="s">
        <v>13023</v>
      </c>
      <c r="E2261">
        <v>20368.478260869564</v>
      </c>
      <c r="F2261" t="s">
        <v>11989</v>
      </c>
    </row>
    <row r="2262" spans="1:6">
      <c r="A2262" s="306"/>
      <c r="B2262" t="s">
        <v>13024</v>
      </c>
      <c r="C2262" t="s">
        <v>13025</v>
      </c>
      <c r="E2262">
        <v>3031.5217391304345</v>
      </c>
      <c r="F2262" t="s">
        <v>11989</v>
      </c>
    </row>
    <row r="2263" spans="1:6">
      <c r="A2263" s="306"/>
      <c r="B2263" t="s">
        <v>13026</v>
      </c>
      <c r="C2263" t="s">
        <v>13027</v>
      </c>
      <c r="E2263">
        <v>4421.7391304347821</v>
      </c>
      <c r="F2263" t="s">
        <v>11989</v>
      </c>
    </row>
    <row r="2264" spans="1:6">
      <c r="A2264" s="306"/>
      <c r="B2264" t="s">
        <v>13028</v>
      </c>
      <c r="C2264" t="s">
        <v>13029</v>
      </c>
      <c r="E2264">
        <v>607.60869565217388</v>
      </c>
      <c r="F2264" t="s">
        <v>11989</v>
      </c>
    </row>
    <row r="2265" spans="1:6">
      <c r="A2265" s="306"/>
      <c r="B2265" t="s">
        <v>13030</v>
      </c>
      <c r="C2265" t="s">
        <v>13031</v>
      </c>
      <c r="E2265">
        <v>886.95652173913038</v>
      </c>
      <c r="F2265" t="s">
        <v>11989</v>
      </c>
    </row>
    <row r="2266" spans="1:6">
      <c r="A2266" s="306"/>
      <c r="B2266" t="s">
        <v>13032</v>
      </c>
      <c r="C2266" t="s">
        <v>13033</v>
      </c>
      <c r="E2266">
        <v>6075</v>
      </c>
      <c r="F2266" t="s">
        <v>11989</v>
      </c>
    </row>
    <row r="2267" spans="1:6">
      <c r="A2267" s="306"/>
      <c r="B2267" t="s">
        <v>13034</v>
      </c>
      <c r="C2267" t="s">
        <v>13035</v>
      </c>
      <c r="E2267">
        <v>8859.782608695652</v>
      </c>
      <c r="F2267" t="s">
        <v>11989</v>
      </c>
    </row>
    <row r="2268" spans="1:6">
      <c r="A2268" s="306"/>
      <c r="B2268" t="s">
        <v>13036</v>
      </c>
      <c r="C2268" t="s">
        <v>13037</v>
      </c>
      <c r="E2268">
        <v>1817.391304347826</v>
      </c>
      <c r="F2268" t="s">
        <v>11989</v>
      </c>
    </row>
    <row r="2269" spans="1:6">
      <c r="A2269" s="306"/>
      <c r="B2269" t="s">
        <v>13038</v>
      </c>
      <c r="C2269" t="s">
        <v>13039</v>
      </c>
      <c r="E2269">
        <v>2650</v>
      </c>
      <c r="F2269" t="s">
        <v>11989</v>
      </c>
    </row>
    <row r="2270" spans="1:6">
      <c r="A2270" s="306"/>
      <c r="B2270" t="s">
        <v>13040</v>
      </c>
      <c r="C2270" t="s">
        <v>13041</v>
      </c>
      <c r="E2270">
        <v>365.21739130434781</v>
      </c>
      <c r="F2270" t="s">
        <v>11989</v>
      </c>
    </row>
    <row r="2271" spans="1:6">
      <c r="A2271" s="306"/>
      <c r="B2271" t="s">
        <v>13042</v>
      </c>
      <c r="C2271" t="s">
        <v>13043</v>
      </c>
      <c r="E2271">
        <v>532.60869565217388</v>
      </c>
      <c r="F2271" t="s">
        <v>11989</v>
      </c>
    </row>
    <row r="2272" spans="1:6">
      <c r="A2272" s="306"/>
      <c r="B2272" t="s">
        <v>13044</v>
      </c>
      <c r="C2272" t="s">
        <v>13045</v>
      </c>
      <c r="E2272">
        <v>3645.6521739130435</v>
      </c>
      <c r="F2272" t="s">
        <v>11989</v>
      </c>
    </row>
    <row r="2273" spans="1:6">
      <c r="A2273" s="306"/>
      <c r="B2273" t="s">
        <v>13046</v>
      </c>
      <c r="C2273" t="s">
        <v>13047</v>
      </c>
      <c r="E2273">
        <v>5316.304347826087</v>
      </c>
      <c r="F2273" t="s">
        <v>11989</v>
      </c>
    </row>
    <row r="2274" spans="1:6">
      <c r="A2274" s="306"/>
      <c r="B2274" t="s">
        <v>13048</v>
      </c>
      <c r="C2274" t="s">
        <v>13049</v>
      </c>
      <c r="E2274">
        <v>12150</v>
      </c>
      <c r="F2274" t="s">
        <v>11989</v>
      </c>
    </row>
    <row r="2275" spans="1:6">
      <c r="A2275" s="306"/>
      <c r="B2275" t="s">
        <v>13050</v>
      </c>
      <c r="C2275" t="s">
        <v>13051</v>
      </c>
      <c r="E2275">
        <v>17718.478260869564</v>
      </c>
      <c r="F2275" t="s">
        <v>11989</v>
      </c>
    </row>
    <row r="2276" spans="1:6">
      <c r="A2276" s="306"/>
      <c r="B2276" t="s">
        <v>13052</v>
      </c>
      <c r="C2276" t="s">
        <v>13053</v>
      </c>
      <c r="E2276">
        <v>23539.130434782608</v>
      </c>
      <c r="F2276" t="s">
        <v>11989</v>
      </c>
    </row>
    <row r="2277" spans="1:6">
      <c r="A2277" s="306"/>
      <c r="B2277" t="s">
        <v>13054</v>
      </c>
      <c r="C2277" t="s">
        <v>13055</v>
      </c>
      <c r="E2277">
        <v>34329.347826086952</v>
      </c>
      <c r="F2277" t="s">
        <v>11989</v>
      </c>
    </row>
    <row r="2278" spans="1:6">
      <c r="A2278" s="306"/>
      <c r="B2278" t="s">
        <v>13056</v>
      </c>
      <c r="C2278" t="s">
        <v>13057</v>
      </c>
      <c r="E2278">
        <v>6075</v>
      </c>
      <c r="F2278" t="s">
        <v>11989</v>
      </c>
    </row>
    <row r="2279" spans="1:6">
      <c r="A2279" s="306"/>
      <c r="B2279" t="s">
        <v>13058</v>
      </c>
      <c r="C2279" t="s">
        <v>13059</v>
      </c>
      <c r="E2279">
        <v>8859.782608695652</v>
      </c>
      <c r="F2279" t="s">
        <v>11989</v>
      </c>
    </row>
    <row r="2280" spans="1:6">
      <c r="A2280" s="306"/>
      <c r="B2280" t="s">
        <v>13060</v>
      </c>
      <c r="C2280" t="s">
        <v>13061</v>
      </c>
      <c r="E2280">
        <v>4040.2173913043475</v>
      </c>
      <c r="F2280" t="s">
        <v>11989</v>
      </c>
    </row>
    <row r="2281" spans="1:6">
      <c r="A2281" s="306"/>
      <c r="B2281" t="s">
        <v>13062</v>
      </c>
      <c r="C2281" t="s">
        <v>13063</v>
      </c>
      <c r="E2281">
        <v>5891.304347826087</v>
      </c>
      <c r="F2281" t="s">
        <v>11989</v>
      </c>
    </row>
    <row r="2282" spans="1:6">
      <c r="A2282" s="306"/>
      <c r="B2282" t="s">
        <v>13064</v>
      </c>
      <c r="C2282" t="s">
        <v>13065</v>
      </c>
      <c r="E2282">
        <v>11997.826086956522</v>
      </c>
      <c r="F2282" t="s">
        <v>11989</v>
      </c>
    </row>
    <row r="2283" spans="1:6">
      <c r="A2283" s="306"/>
      <c r="B2283" t="s">
        <v>13066</v>
      </c>
      <c r="C2283" t="s">
        <v>13067</v>
      </c>
      <c r="E2283">
        <v>17497.82608695652</v>
      </c>
      <c r="F2283" t="s">
        <v>11989</v>
      </c>
    </row>
    <row r="2284" spans="1:6">
      <c r="A2284" s="306"/>
      <c r="B2284" t="s">
        <v>13068</v>
      </c>
      <c r="C2284" t="s">
        <v>13069</v>
      </c>
      <c r="E2284">
        <v>6075</v>
      </c>
      <c r="F2284" t="s">
        <v>11989</v>
      </c>
    </row>
    <row r="2285" spans="1:6">
      <c r="A2285" s="306"/>
      <c r="B2285" t="s">
        <v>13070</v>
      </c>
      <c r="C2285" t="s">
        <v>13071</v>
      </c>
      <c r="E2285">
        <v>8859.782608695652</v>
      </c>
      <c r="F2285" t="s">
        <v>11989</v>
      </c>
    </row>
    <row r="2286" spans="1:6">
      <c r="A2286" s="306"/>
      <c r="B2286" t="s">
        <v>13072</v>
      </c>
      <c r="C2286" t="s">
        <v>13073</v>
      </c>
      <c r="E2286">
        <v>1822.8260869565217</v>
      </c>
      <c r="F2286" t="s">
        <v>11989</v>
      </c>
    </row>
    <row r="2287" spans="1:6">
      <c r="A2287" s="306"/>
      <c r="B2287" t="s">
        <v>13074</v>
      </c>
      <c r="C2287" t="s">
        <v>13075</v>
      </c>
      <c r="E2287">
        <v>2658.695652173913</v>
      </c>
      <c r="F2287" t="s">
        <v>11989</v>
      </c>
    </row>
    <row r="2288" spans="1:6">
      <c r="A2288" s="306"/>
      <c r="B2288" t="s">
        <v>13076</v>
      </c>
      <c r="C2288" t="s">
        <v>13077</v>
      </c>
      <c r="E2288">
        <v>2734.782608695652</v>
      </c>
      <c r="F2288" t="s">
        <v>11989</v>
      </c>
    </row>
    <row r="2289" spans="1:6">
      <c r="A2289" s="306"/>
      <c r="B2289" t="s">
        <v>13078</v>
      </c>
      <c r="C2289" t="s">
        <v>13079</v>
      </c>
      <c r="E2289">
        <v>3989.1304347826085</v>
      </c>
      <c r="F2289" t="s">
        <v>11989</v>
      </c>
    </row>
    <row r="2290" spans="1:6">
      <c r="A2290" s="306"/>
      <c r="B2290" t="s">
        <v>13080</v>
      </c>
      <c r="C2290" t="s">
        <v>13081</v>
      </c>
      <c r="E2290">
        <v>4101.086956521739</v>
      </c>
      <c r="F2290" t="s">
        <v>11989</v>
      </c>
    </row>
    <row r="2291" spans="1:6">
      <c r="A2291" s="306"/>
      <c r="B2291" t="s">
        <v>13082</v>
      </c>
      <c r="C2291" t="s">
        <v>13083</v>
      </c>
      <c r="E2291">
        <v>5981.5217391304341</v>
      </c>
      <c r="F2291" t="s">
        <v>11989</v>
      </c>
    </row>
    <row r="2292" spans="1:6">
      <c r="A2292" s="306"/>
      <c r="B2292" t="s">
        <v>13084</v>
      </c>
      <c r="C2292" t="s">
        <v>13085</v>
      </c>
      <c r="E2292">
        <v>1822.8260869565217</v>
      </c>
      <c r="F2292" t="s">
        <v>11989</v>
      </c>
    </row>
    <row r="2293" spans="1:6">
      <c r="A2293" s="306"/>
      <c r="B2293" t="s">
        <v>13086</v>
      </c>
      <c r="C2293" t="s">
        <v>13087</v>
      </c>
      <c r="E2293">
        <v>2658.695652173913</v>
      </c>
      <c r="F2293" t="s">
        <v>11989</v>
      </c>
    </row>
    <row r="2294" spans="1:6">
      <c r="A2294" s="306"/>
      <c r="B2294" t="s">
        <v>13088</v>
      </c>
      <c r="C2294" t="s">
        <v>13089</v>
      </c>
      <c r="E2294">
        <v>3796.7391304347825</v>
      </c>
      <c r="F2294" t="s">
        <v>11989</v>
      </c>
    </row>
    <row r="2295" spans="1:6">
      <c r="A2295" s="306"/>
      <c r="B2295" t="s">
        <v>13090</v>
      </c>
      <c r="C2295" t="s">
        <v>13091</v>
      </c>
      <c r="E2295">
        <v>5536.95652173913</v>
      </c>
      <c r="F2295" t="s">
        <v>11989</v>
      </c>
    </row>
    <row r="2296" spans="1:6">
      <c r="A2296" s="306"/>
      <c r="B2296" t="s">
        <v>13092</v>
      </c>
      <c r="C2296" t="s">
        <v>13093</v>
      </c>
      <c r="E2296">
        <v>8353.2608695652161</v>
      </c>
      <c r="F2296" t="s">
        <v>11989</v>
      </c>
    </row>
    <row r="2297" spans="1:6">
      <c r="A2297" s="306"/>
      <c r="B2297" t="s">
        <v>13094</v>
      </c>
      <c r="C2297" t="s">
        <v>13095</v>
      </c>
      <c r="E2297">
        <v>12182.608695652174</v>
      </c>
      <c r="F2297" t="s">
        <v>11989</v>
      </c>
    </row>
    <row r="2298" spans="1:6">
      <c r="A2298" s="306"/>
      <c r="B2298" t="s">
        <v>13096</v>
      </c>
      <c r="C2298" t="s">
        <v>13097</v>
      </c>
      <c r="E2298">
        <v>21109.782608695652</v>
      </c>
      <c r="F2298" t="s">
        <v>11989</v>
      </c>
    </row>
    <row r="2299" spans="1:6">
      <c r="A2299" s="306"/>
      <c r="B2299" t="s">
        <v>13098</v>
      </c>
      <c r="C2299" t="s">
        <v>13099</v>
      </c>
      <c r="E2299">
        <v>30785.869565217388</v>
      </c>
      <c r="F2299" t="s">
        <v>11989</v>
      </c>
    </row>
    <row r="2300" spans="1:6">
      <c r="A2300" s="306"/>
      <c r="B2300" t="s">
        <v>13100</v>
      </c>
      <c r="C2300" t="s">
        <v>13101</v>
      </c>
      <c r="E2300">
        <v>911.95652173913038</v>
      </c>
      <c r="F2300" t="s">
        <v>11989</v>
      </c>
    </row>
    <row r="2301" spans="1:6">
      <c r="A2301" s="306"/>
      <c r="B2301" t="s">
        <v>13102</v>
      </c>
      <c r="C2301" t="s">
        <v>13103</v>
      </c>
      <c r="E2301">
        <v>1331.5217391304348</v>
      </c>
      <c r="F2301" t="s">
        <v>11989</v>
      </c>
    </row>
    <row r="2302" spans="1:6">
      <c r="A2302" s="306"/>
      <c r="B2302" t="s">
        <v>13104</v>
      </c>
      <c r="C2302" t="s">
        <v>13105</v>
      </c>
      <c r="E2302">
        <v>9111.95652173913</v>
      </c>
      <c r="F2302" t="s">
        <v>11989</v>
      </c>
    </row>
    <row r="2303" spans="1:6">
      <c r="A2303" s="306"/>
      <c r="B2303" t="s">
        <v>13106</v>
      </c>
      <c r="C2303" t="s">
        <v>13107</v>
      </c>
      <c r="E2303">
        <v>13289.130434782608</v>
      </c>
      <c r="F2303" t="s">
        <v>11989</v>
      </c>
    </row>
    <row r="2304" spans="1:6">
      <c r="A2304" s="306"/>
      <c r="B2304" t="s">
        <v>13108</v>
      </c>
      <c r="C2304" t="s">
        <v>13109</v>
      </c>
      <c r="E2304">
        <v>2430.4347826086955</v>
      </c>
      <c r="F2304" t="s">
        <v>11989</v>
      </c>
    </row>
    <row r="2305" spans="1:6">
      <c r="A2305" s="306"/>
      <c r="B2305" t="s">
        <v>13110</v>
      </c>
      <c r="C2305" t="s">
        <v>13111</v>
      </c>
      <c r="E2305">
        <v>3544.565217391304</v>
      </c>
      <c r="F2305" t="s">
        <v>11989</v>
      </c>
    </row>
    <row r="2306" spans="1:6">
      <c r="A2306" s="306"/>
      <c r="B2306" t="s">
        <v>13112</v>
      </c>
      <c r="C2306" t="s">
        <v>13113</v>
      </c>
      <c r="E2306">
        <v>6075</v>
      </c>
      <c r="F2306" t="s">
        <v>11989</v>
      </c>
    </row>
    <row r="2307" spans="1:6">
      <c r="A2307" s="306"/>
      <c r="B2307" t="s">
        <v>13114</v>
      </c>
      <c r="C2307" t="s">
        <v>13115</v>
      </c>
      <c r="E2307">
        <v>8859.782608695652</v>
      </c>
      <c r="F2307" t="s">
        <v>11989</v>
      </c>
    </row>
    <row r="2308" spans="1:6">
      <c r="A2308" s="306"/>
      <c r="B2308" t="s">
        <v>13116</v>
      </c>
      <c r="C2308" t="s">
        <v>13117</v>
      </c>
      <c r="E2308">
        <v>11997.826086956522</v>
      </c>
      <c r="F2308" t="s">
        <v>11989</v>
      </c>
    </row>
    <row r="2309" spans="1:6">
      <c r="A2309" s="306"/>
      <c r="B2309" t="s">
        <v>13118</v>
      </c>
      <c r="C2309" t="s">
        <v>13119</v>
      </c>
      <c r="E2309">
        <v>17497.82608695652</v>
      </c>
      <c r="F2309" t="s">
        <v>11989</v>
      </c>
    </row>
    <row r="2310" spans="1:6">
      <c r="A2310" s="306"/>
      <c r="B2310" t="s">
        <v>13120</v>
      </c>
      <c r="C2310" t="s">
        <v>13121</v>
      </c>
      <c r="E2310">
        <v>20502.173913043476</v>
      </c>
      <c r="F2310" t="s">
        <v>11989</v>
      </c>
    </row>
    <row r="2311" spans="1:6">
      <c r="A2311" s="306"/>
      <c r="B2311" t="s">
        <v>13122</v>
      </c>
      <c r="C2311" t="s">
        <v>13123</v>
      </c>
      <c r="E2311">
        <v>29900</v>
      </c>
      <c r="F2311" t="s">
        <v>11989</v>
      </c>
    </row>
    <row r="2312" spans="1:6">
      <c r="A2312" s="306"/>
      <c r="B2312" t="s">
        <v>13124</v>
      </c>
      <c r="C2312" t="s">
        <v>13125</v>
      </c>
      <c r="E2312">
        <v>30221.73913043478</v>
      </c>
      <c r="F2312" t="s">
        <v>11989</v>
      </c>
    </row>
    <row r="2313" spans="1:6">
      <c r="A2313" s="306"/>
      <c r="B2313" t="s">
        <v>13126</v>
      </c>
      <c r="C2313" t="s">
        <v>13127</v>
      </c>
      <c r="E2313">
        <v>44075</v>
      </c>
      <c r="F2313" t="s">
        <v>11989</v>
      </c>
    </row>
    <row r="2314" spans="1:6">
      <c r="A2314" s="306"/>
      <c r="B2314" t="s">
        <v>13128</v>
      </c>
      <c r="C2314" t="s">
        <v>13129</v>
      </c>
      <c r="E2314">
        <v>607.60869565217388</v>
      </c>
      <c r="F2314" t="s">
        <v>11989</v>
      </c>
    </row>
    <row r="2315" spans="1:6">
      <c r="A2315" s="306"/>
      <c r="B2315" t="s">
        <v>13130</v>
      </c>
      <c r="C2315" t="s">
        <v>13131</v>
      </c>
      <c r="E2315">
        <v>886.95652173913038</v>
      </c>
      <c r="F2315" t="s">
        <v>11989</v>
      </c>
    </row>
    <row r="2316" spans="1:6">
      <c r="A2316" s="306"/>
      <c r="B2316" t="s">
        <v>13132</v>
      </c>
      <c r="C2316" t="s">
        <v>13133</v>
      </c>
      <c r="E2316">
        <v>6075</v>
      </c>
      <c r="F2316" t="s">
        <v>11989</v>
      </c>
    </row>
    <row r="2317" spans="1:6">
      <c r="A2317" s="306"/>
      <c r="B2317" t="s">
        <v>13134</v>
      </c>
      <c r="C2317" t="s">
        <v>13135</v>
      </c>
      <c r="E2317">
        <v>8859.782608695652</v>
      </c>
      <c r="F2317" t="s">
        <v>11989</v>
      </c>
    </row>
    <row r="2318" spans="1:6">
      <c r="A2318" s="306"/>
      <c r="B2318" t="s">
        <v>13136</v>
      </c>
      <c r="C2318" t="s">
        <v>13137</v>
      </c>
      <c r="E2318">
        <v>2381.5217391304345</v>
      </c>
      <c r="F2318" t="s">
        <v>11989</v>
      </c>
    </row>
    <row r="2319" spans="1:6">
      <c r="A2319" s="306"/>
      <c r="B2319" t="s">
        <v>13138</v>
      </c>
      <c r="C2319" t="s">
        <v>13139</v>
      </c>
      <c r="E2319">
        <v>23807.608695652172</v>
      </c>
      <c r="F2319" t="s">
        <v>11989</v>
      </c>
    </row>
    <row r="2320" spans="1:6">
      <c r="A2320" s="306"/>
      <c r="B2320" t="s">
        <v>13140</v>
      </c>
      <c r="C2320" t="s">
        <v>13141</v>
      </c>
      <c r="E2320">
        <v>29993.478260869564</v>
      </c>
      <c r="F2320" t="s">
        <v>11989</v>
      </c>
    </row>
    <row r="2321" spans="1:6">
      <c r="A2321" s="306"/>
      <c r="B2321" t="s">
        <v>13142</v>
      </c>
      <c r="C2321" t="s">
        <v>13143</v>
      </c>
      <c r="E2321">
        <v>43846.739130434784</v>
      </c>
      <c r="F2321" t="s">
        <v>11989</v>
      </c>
    </row>
    <row r="2322" spans="1:6">
      <c r="A2322" s="306"/>
      <c r="B2322" t="s">
        <v>13144</v>
      </c>
      <c r="C2322" t="s">
        <v>13145</v>
      </c>
      <c r="E2322">
        <v>22772.82608695652</v>
      </c>
      <c r="F2322" t="s">
        <v>11989</v>
      </c>
    </row>
    <row r="2323" spans="1:6">
      <c r="A2323" s="306"/>
      <c r="B2323" t="s">
        <v>13146</v>
      </c>
      <c r="C2323" t="s">
        <v>13147</v>
      </c>
      <c r="E2323">
        <v>12353.260869565216</v>
      </c>
      <c r="F2323" t="s">
        <v>11989</v>
      </c>
    </row>
    <row r="2324" spans="1:6">
      <c r="A2324" s="306"/>
      <c r="B2324" t="s">
        <v>13148</v>
      </c>
      <c r="C2324" t="s">
        <v>13149</v>
      </c>
      <c r="E2324">
        <v>25779.347826086956</v>
      </c>
      <c r="F2324" t="s">
        <v>11989</v>
      </c>
    </row>
    <row r="2325" spans="1:6">
      <c r="A2325" s="306"/>
      <c r="B2325" t="s">
        <v>13150</v>
      </c>
      <c r="C2325" t="s">
        <v>13151</v>
      </c>
      <c r="E2325">
        <v>39632.608695652176</v>
      </c>
      <c r="F2325" t="s">
        <v>11989</v>
      </c>
    </row>
    <row r="2326" spans="1:6">
      <c r="A2326" s="306"/>
      <c r="B2326" t="s">
        <v>13152</v>
      </c>
      <c r="C2326" t="s">
        <v>13153</v>
      </c>
      <c r="E2326">
        <v>15669.565217391304</v>
      </c>
      <c r="F2326" t="s">
        <v>11989</v>
      </c>
    </row>
    <row r="2327" spans="1:6">
      <c r="A2327" s="306"/>
      <c r="B2327" t="s">
        <v>13154</v>
      </c>
      <c r="C2327" t="s">
        <v>13155</v>
      </c>
      <c r="E2327">
        <v>29390.217391304348</v>
      </c>
      <c r="F2327" t="s">
        <v>11989</v>
      </c>
    </row>
    <row r="2328" spans="1:6">
      <c r="A2328" s="306"/>
      <c r="B2328" t="s">
        <v>13156</v>
      </c>
      <c r="C2328" t="s">
        <v>13157</v>
      </c>
      <c r="E2328">
        <v>43243.47826086956</v>
      </c>
      <c r="F2328" t="s">
        <v>11989</v>
      </c>
    </row>
    <row r="2329" spans="1:6">
      <c r="A2329" s="306"/>
      <c r="B2329" t="s">
        <v>13158</v>
      </c>
      <c r="C2329" t="s">
        <v>13159</v>
      </c>
      <c r="E2329">
        <v>16150</v>
      </c>
      <c r="F2329" t="s">
        <v>11989</v>
      </c>
    </row>
    <row r="2330" spans="1:6">
      <c r="A2330" s="306"/>
      <c r="B2330" t="s">
        <v>13160</v>
      </c>
      <c r="C2330" t="s">
        <v>13161</v>
      </c>
      <c r="E2330">
        <v>8050</v>
      </c>
      <c r="F2330" t="s">
        <v>11989</v>
      </c>
    </row>
    <row r="2331" spans="1:6">
      <c r="A2331" s="306"/>
      <c r="B2331" t="s">
        <v>13162</v>
      </c>
      <c r="C2331" t="s">
        <v>13163</v>
      </c>
      <c r="E2331">
        <v>2232.608695652174</v>
      </c>
      <c r="F2331" t="s">
        <v>11989</v>
      </c>
    </row>
    <row r="2332" spans="1:6">
      <c r="A2332" s="306"/>
      <c r="B2332" t="s">
        <v>13164</v>
      </c>
      <c r="C2332" t="s">
        <v>13165</v>
      </c>
      <c r="E2332">
        <v>8050</v>
      </c>
      <c r="F2332" t="s">
        <v>11989</v>
      </c>
    </row>
    <row r="2333" spans="1:6">
      <c r="A2333" s="306"/>
      <c r="B2333" t="s">
        <v>13166</v>
      </c>
      <c r="C2333" t="s">
        <v>13167</v>
      </c>
      <c r="E2333">
        <v>27586.956521739128</v>
      </c>
      <c r="F2333" t="s">
        <v>11989</v>
      </c>
    </row>
    <row r="2334" spans="1:6">
      <c r="A2334" s="306"/>
      <c r="B2334" t="s">
        <v>13168</v>
      </c>
      <c r="C2334" t="s">
        <v>13169</v>
      </c>
      <c r="E2334">
        <v>41440.217391304344</v>
      </c>
      <c r="F2334" t="s">
        <v>11989</v>
      </c>
    </row>
    <row r="2335" spans="1:6">
      <c r="A2335" s="306"/>
      <c r="B2335" t="s">
        <v>13170</v>
      </c>
      <c r="C2335" t="s">
        <v>13171</v>
      </c>
      <c r="E2335">
        <v>11484.782608695652</v>
      </c>
      <c r="F2335" t="s">
        <v>11989</v>
      </c>
    </row>
    <row r="2336" spans="1:6">
      <c r="A2336" s="306"/>
      <c r="B2336" t="s">
        <v>13172</v>
      </c>
      <c r="C2336" t="s">
        <v>13173</v>
      </c>
      <c r="E2336">
        <v>6275</v>
      </c>
      <c r="F2336" t="s">
        <v>11989</v>
      </c>
    </row>
    <row r="2337" spans="1:6">
      <c r="A2337" s="306"/>
      <c r="B2337" t="s">
        <v>13174</v>
      </c>
      <c r="C2337" t="s">
        <v>13175</v>
      </c>
      <c r="E2337">
        <v>3014.1304347826085</v>
      </c>
      <c r="F2337" t="s">
        <v>11989</v>
      </c>
    </row>
    <row r="2338" spans="1:6">
      <c r="A2338" s="306"/>
      <c r="B2338" t="s">
        <v>13176</v>
      </c>
      <c r="C2338" t="s">
        <v>13177</v>
      </c>
      <c r="E2338">
        <v>10884.782608695652</v>
      </c>
      <c r="F2338" t="s">
        <v>11989</v>
      </c>
    </row>
    <row r="2339" spans="1:6">
      <c r="A2339" s="306"/>
      <c r="B2339" t="s">
        <v>13178</v>
      </c>
      <c r="C2339" t="s">
        <v>13179</v>
      </c>
      <c r="E2339">
        <v>5675</v>
      </c>
      <c r="F2339" t="s">
        <v>11989</v>
      </c>
    </row>
    <row r="2340" spans="1:6">
      <c r="A2340" s="306"/>
      <c r="B2340" t="s">
        <v>13180</v>
      </c>
      <c r="C2340" t="s">
        <v>13181</v>
      </c>
      <c r="E2340">
        <v>13292.391304347826</v>
      </c>
      <c r="F2340" t="s">
        <v>11989</v>
      </c>
    </row>
    <row r="2341" spans="1:6">
      <c r="A2341" s="306"/>
      <c r="B2341" t="s">
        <v>13182</v>
      </c>
      <c r="C2341" t="s">
        <v>13183</v>
      </c>
      <c r="E2341">
        <v>19694.565217391304</v>
      </c>
      <c r="F2341" t="s">
        <v>11989</v>
      </c>
    </row>
    <row r="2342" spans="1:6">
      <c r="A2342" s="306"/>
      <c r="B2342" t="s">
        <v>13184</v>
      </c>
      <c r="C2342" t="s">
        <v>13185</v>
      </c>
      <c r="E2342">
        <v>8082.608695652174</v>
      </c>
      <c r="F2342" t="s">
        <v>11989</v>
      </c>
    </row>
    <row r="2343" spans="1:6">
      <c r="A2343" s="306"/>
      <c r="B2343" t="s">
        <v>13186</v>
      </c>
      <c r="C2343" t="s">
        <v>13187</v>
      </c>
      <c r="E2343">
        <v>12256.521739130434</v>
      </c>
      <c r="F2343" t="s">
        <v>11989</v>
      </c>
    </row>
    <row r="2344" spans="1:6">
      <c r="A2344" s="306"/>
      <c r="B2344" t="s">
        <v>13188</v>
      </c>
      <c r="C2344" t="s">
        <v>13189</v>
      </c>
      <c r="E2344">
        <v>4826.086956521739</v>
      </c>
      <c r="F2344" t="s">
        <v>11989</v>
      </c>
    </row>
    <row r="2345" spans="1:6">
      <c r="A2345" s="306"/>
      <c r="B2345" t="s">
        <v>13190</v>
      </c>
      <c r="C2345" t="s">
        <v>13191</v>
      </c>
      <c r="E2345">
        <v>25926.086956521736</v>
      </c>
      <c r="F2345" t="s">
        <v>11989</v>
      </c>
    </row>
    <row r="2346" spans="1:6">
      <c r="A2346" s="306"/>
      <c r="B2346" t="s">
        <v>13192</v>
      </c>
      <c r="C2346" t="s">
        <v>13193</v>
      </c>
      <c r="E2346">
        <v>30690.217391304348</v>
      </c>
      <c r="F2346" t="s">
        <v>11989</v>
      </c>
    </row>
    <row r="2347" spans="1:6">
      <c r="A2347" s="306"/>
      <c r="B2347" t="s">
        <v>13194</v>
      </c>
      <c r="C2347" t="s">
        <v>13195</v>
      </c>
      <c r="E2347">
        <v>13781.521739130434</v>
      </c>
      <c r="F2347" t="s">
        <v>11989</v>
      </c>
    </row>
    <row r="2348" spans="1:6">
      <c r="A2348" s="306"/>
      <c r="B2348" t="s">
        <v>13196</v>
      </c>
      <c r="C2348" t="s">
        <v>13197</v>
      </c>
      <c r="E2348">
        <v>23523.91304347826</v>
      </c>
      <c r="F2348" t="s">
        <v>11989</v>
      </c>
    </row>
    <row r="2349" spans="1:6">
      <c r="A2349" s="306"/>
      <c r="B2349" t="s">
        <v>13198</v>
      </c>
      <c r="C2349" t="s">
        <v>13199</v>
      </c>
      <c r="E2349">
        <v>28638.043478260868</v>
      </c>
      <c r="F2349" t="s">
        <v>11989</v>
      </c>
    </row>
    <row r="2350" spans="1:6">
      <c r="A2350" s="306"/>
      <c r="B2350" t="s">
        <v>13200</v>
      </c>
      <c r="C2350" t="s">
        <v>13201</v>
      </c>
      <c r="E2350">
        <v>10547.826086956522</v>
      </c>
      <c r="F2350" t="s">
        <v>11989</v>
      </c>
    </row>
    <row r="2351" spans="1:6">
      <c r="A2351" s="306"/>
      <c r="B2351" t="s">
        <v>13202</v>
      </c>
      <c r="C2351" t="s">
        <v>13203</v>
      </c>
      <c r="E2351">
        <v>2803.2608695652175</v>
      </c>
      <c r="F2351" t="s">
        <v>11989</v>
      </c>
    </row>
    <row r="2352" spans="1:6">
      <c r="A2352" s="306"/>
      <c r="B2352" t="s">
        <v>13204</v>
      </c>
      <c r="C2352" t="s">
        <v>13205</v>
      </c>
      <c r="E2352">
        <v>28026.086956521736</v>
      </c>
      <c r="F2352" t="s">
        <v>11989</v>
      </c>
    </row>
    <row r="2353" spans="1:6">
      <c r="A2353" s="306"/>
      <c r="B2353" t="s">
        <v>13206</v>
      </c>
      <c r="C2353" t="s">
        <v>13207</v>
      </c>
      <c r="E2353">
        <v>4360.869565217391</v>
      </c>
      <c r="F2353" t="s">
        <v>11989</v>
      </c>
    </row>
    <row r="2354" spans="1:6">
      <c r="A2354" s="306"/>
      <c r="B2354" t="s">
        <v>13208</v>
      </c>
      <c r="C2354" t="s">
        <v>13209</v>
      </c>
      <c r="E2354">
        <v>43596.739130434784</v>
      </c>
      <c r="F2354" t="s">
        <v>11989</v>
      </c>
    </row>
    <row r="2355" spans="1:6">
      <c r="A2355" s="306"/>
      <c r="B2355" t="s">
        <v>13210</v>
      </c>
      <c r="C2355" t="s">
        <v>13211</v>
      </c>
      <c r="E2355">
        <v>3766.304347826087</v>
      </c>
      <c r="F2355" t="s">
        <v>11989</v>
      </c>
    </row>
    <row r="2356" spans="1:6">
      <c r="A2356" s="306"/>
      <c r="B2356" t="s">
        <v>13212</v>
      </c>
      <c r="C2356" t="s">
        <v>13213</v>
      </c>
      <c r="E2356">
        <v>1811.9565217391303</v>
      </c>
      <c r="F2356" t="s">
        <v>11989</v>
      </c>
    </row>
    <row r="2357" spans="1:6">
      <c r="A2357" s="306"/>
      <c r="B2357" t="s">
        <v>13214</v>
      </c>
      <c r="C2357" t="s">
        <v>13215</v>
      </c>
      <c r="E2357">
        <v>37654.347826086952</v>
      </c>
      <c r="F2357" t="s">
        <v>11989</v>
      </c>
    </row>
    <row r="2358" spans="1:6">
      <c r="A2358" s="306"/>
      <c r="B2358" t="s">
        <v>13216</v>
      </c>
      <c r="C2358" t="s">
        <v>13217</v>
      </c>
      <c r="E2358">
        <v>18118.478260869564</v>
      </c>
      <c r="F2358" t="s">
        <v>11989</v>
      </c>
    </row>
    <row r="2359" spans="1:6">
      <c r="A2359" s="306"/>
      <c r="B2359" t="s">
        <v>13218</v>
      </c>
      <c r="C2359" t="s">
        <v>13219</v>
      </c>
      <c r="E2359">
        <v>3766.304347826087</v>
      </c>
      <c r="F2359" t="s">
        <v>11989</v>
      </c>
    </row>
    <row r="2360" spans="1:6">
      <c r="A2360" s="306"/>
      <c r="B2360" t="s">
        <v>13220</v>
      </c>
      <c r="C2360" t="s">
        <v>13221</v>
      </c>
      <c r="E2360">
        <v>1811.9565217391303</v>
      </c>
      <c r="F2360" t="s">
        <v>11989</v>
      </c>
    </row>
    <row r="2361" spans="1:6">
      <c r="A2361" s="306"/>
      <c r="B2361" t="s">
        <v>13222</v>
      </c>
      <c r="C2361" t="s">
        <v>13223</v>
      </c>
      <c r="E2361">
        <v>18118.478260869564</v>
      </c>
      <c r="F2361" t="s">
        <v>11989</v>
      </c>
    </row>
    <row r="2362" spans="1:6">
      <c r="A2362" s="306"/>
      <c r="B2362" t="s">
        <v>13224</v>
      </c>
      <c r="C2362" t="s">
        <v>13225</v>
      </c>
      <c r="E2362">
        <v>37654.347826086952</v>
      </c>
      <c r="F2362" t="s">
        <v>11989</v>
      </c>
    </row>
    <row r="2363" spans="1:6">
      <c r="A2363" s="306"/>
      <c r="B2363" t="s">
        <v>13226</v>
      </c>
      <c r="C2363" t="s">
        <v>13227</v>
      </c>
      <c r="E2363">
        <v>11425</v>
      </c>
      <c r="F2363" t="s">
        <v>11989</v>
      </c>
    </row>
    <row r="2364" spans="1:6">
      <c r="A2364" s="306"/>
      <c r="B2364" t="s">
        <v>13228</v>
      </c>
      <c r="C2364" t="s">
        <v>13229</v>
      </c>
      <c r="E2364">
        <v>7755.4347826086951</v>
      </c>
      <c r="F2364" t="s">
        <v>11989</v>
      </c>
    </row>
    <row r="2365" spans="1:6">
      <c r="A2365" s="306"/>
      <c r="B2365" t="s">
        <v>13230</v>
      </c>
      <c r="C2365" t="s">
        <v>13231</v>
      </c>
      <c r="E2365">
        <v>4953.260869565217</v>
      </c>
      <c r="F2365" t="s">
        <v>11989</v>
      </c>
    </row>
    <row r="2366" spans="1:6">
      <c r="A2366" s="306"/>
      <c r="B2366" t="s">
        <v>13232</v>
      </c>
      <c r="C2366" t="s">
        <v>13233</v>
      </c>
      <c r="E2366">
        <v>10163.04347826087</v>
      </c>
      <c r="F2366" t="s">
        <v>11989</v>
      </c>
    </row>
    <row r="2367" spans="1:6">
      <c r="A2367" s="306"/>
      <c r="B2367" t="s">
        <v>13234</v>
      </c>
      <c r="C2367" t="s">
        <v>13235</v>
      </c>
      <c r="E2367">
        <v>5067.391304347826</v>
      </c>
      <c r="F2367" t="s">
        <v>11989</v>
      </c>
    </row>
    <row r="2368" spans="1:6">
      <c r="A2368" s="306"/>
      <c r="B2368" t="s">
        <v>13236</v>
      </c>
      <c r="C2368" t="s">
        <v>13237</v>
      </c>
      <c r="E2368">
        <v>7848.9130434782601</v>
      </c>
      <c r="F2368" t="s">
        <v>11989</v>
      </c>
    </row>
    <row r="2369" spans="1:6">
      <c r="A2369" s="306"/>
      <c r="B2369" t="s">
        <v>13238</v>
      </c>
      <c r="C2369" t="s">
        <v>13239</v>
      </c>
      <c r="E2369">
        <v>1725</v>
      </c>
      <c r="F2369" t="s">
        <v>11989</v>
      </c>
    </row>
    <row r="2370" spans="1:6">
      <c r="A2370" s="306"/>
      <c r="B2370" t="s">
        <v>13240</v>
      </c>
      <c r="C2370" t="s">
        <v>13241</v>
      </c>
      <c r="E2370">
        <v>17243.478260869564</v>
      </c>
      <c r="F2370" t="s">
        <v>11989</v>
      </c>
    </row>
    <row r="2371" spans="1:6">
      <c r="A2371" s="306"/>
      <c r="B2371" t="s">
        <v>13242</v>
      </c>
      <c r="C2371" t="s">
        <v>13243</v>
      </c>
      <c r="E2371">
        <v>4929.347826086956</v>
      </c>
      <c r="F2371" t="s">
        <v>11989</v>
      </c>
    </row>
    <row r="2372" spans="1:6">
      <c r="A2372" s="306"/>
      <c r="B2372" t="s">
        <v>13244</v>
      </c>
      <c r="C2372" t="s">
        <v>13245</v>
      </c>
      <c r="E2372">
        <v>49286.956521739128</v>
      </c>
      <c r="F2372" t="s">
        <v>11989</v>
      </c>
    </row>
    <row r="2373" spans="1:6">
      <c r="A2373" s="306"/>
      <c r="B2373" t="s">
        <v>13246</v>
      </c>
      <c r="C2373" t="s">
        <v>13247</v>
      </c>
      <c r="E2373">
        <v>15608.695652173912</v>
      </c>
      <c r="F2373" t="s">
        <v>11989</v>
      </c>
    </row>
    <row r="2374" spans="1:6">
      <c r="A2374" s="306"/>
      <c r="B2374" t="s">
        <v>13248</v>
      </c>
      <c r="C2374" t="s">
        <v>13249</v>
      </c>
      <c r="E2374">
        <v>16010.86956521739</v>
      </c>
      <c r="F2374" t="s">
        <v>11989</v>
      </c>
    </row>
    <row r="2375" spans="1:6">
      <c r="A2375" s="306"/>
      <c r="B2375" t="s">
        <v>13250</v>
      </c>
      <c r="C2375" t="s">
        <v>13251</v>
      </c>
      <c r="E2375">
        <v>5945.652173913043</v>
      </c>
      <c r="F2375" t="s">
        <v>11989</v>
      </c>
    </row>
    <row r="2376" spans="1:6">
      <c r="A2376" s="306"/>
      <c r="B2376" t="s">
        <v>13252</v>
      </c>
      <c r="C2376" t="s">
        <v>13253</v>
      </c>
      <c r="E2376">
        <v>19621.73913043478</v>
      </c>
      <c r="F2376" t="s">
        <v>11989</v>
      </c>
    </row>
    <row r="2377" spans="1:6">
      <c r="A2377" s="306"/>
      <c r="B2377" t="s">
        <v>13254</v>
      </c>
      <c r="C2377" t="s">
        <v>13255</v>
      </c>
      <c r="E2377">
        <v>29297.82608695652</v>
      </c>
      <c r="F2377" t="s">
        <v>11989</v>
      </c>
    </row>
    <row r="2378" spans="1:6">
      <c r="A2378" s="306"/>
      <c r="B2378" t="s">
        <v>13256</v>
      </c>
      <c r="C2378" t="s">
        <v>13257</v>
      </c>
      <c r="E2378">
        <v>2763.0434782608695</v>
      </c>
      <c r="F2378" t="s">
        <v>11989</v>
      </c>
    </row>
    <row r="2379" spans="1:6">
      <c r="A2379" s="306"/>
      <c r="B2379" t="s">
        <v>13258</v>
      </c>
      <c r="C2379" t="s">
        <v>13259</v>
      </c>
      <c r="E2379">
        <v>2972.8260869565215</v>
      </c>
      <c r="F2379" t="s">
        <v>11989</v>
      </c>
    </row>
    <row r="2380" spans="1:6">
      <c r="A2380" s="306"/>
      <c r="B2380" t="s">
        <v>13260</v>
      </c>
      <c r="C2380" t="s">
        <v>13261</v>
      </c>
      <c r="E2380">
        <v>2786.9565217391305</v>
      </c>
      <c r="F2380" t="s">
        <v>11989</v>
      </c>
    </row>
    <row r="2381" spans="1:6">
      <c r="A2381" s="306"/>
      <c r="B2381" t="s">
        <v>13262</v>
      </c>
      <c r="C2381" t="s">
        <v>13263</v>
      </c>
      <c r="E2381">
        <v>3594.565217391304</v>
      </c>
      <c r="F2381" t="s">
        <v>11989</v>
      </c>
    </row>
    <row r="2382" spans="1:6">
      <c r="A2382" s="306"/>
      <c r="B2382" t="s">
        <v>13264</v>
      </c>
      <c r="C2382" t="s">
        <v>13265</v>
      </c>
      <c r="E2382">
        <v>5541.304347826087</v>
      </c>
      <c r="F2382" t="s">
        <v>11989</v>
      </c>
    </row>
    <row r="2383" spans="1:6">
      <c r="A2383" s="306"/>
      <c r="B2383" t="s">
        <v>13266</v>
      </c>
      <c r="C2383" t="s">
        <v>13267</v>
      </c>
      <c r="E2383">
        <v>3765.2173913043475</v>
      </c>
      <c r="F2383" t="s">
        <v>11989</v>
      </c>
    </row>
    <row r="2384" spans="1:6">
      <c r="A2384" s="306"/>
      <c r="B2384" t="s">
        <v>13268</v>
      </c>
      <c r="C2384" t="s">
        <v>13269</v>
      </c>
      <c r="E2384">
        <v>5783.695652173913</v>
      </c>
      <c r="F2384" t="s">
        <v>11989</v>
      </c>
    </row>
    <row r="2385" spans="1:6">
      <c r="A2385" s="306"/>
      <c r="B2385" t="s">
        <v>13270</v>
      </c>
      <c r="C2385" t="s">
        <v>13271</v>
      </c>
      <c r="E2385">
        <v>4570.652173913043</v>
      </c>
      <c r="F2385" t="s">
        <v>11989</v>
      </c>
    </row>
    <row r="2386" spans="1:6">
      <c r="A2386" s="306"/>
      <c r="B2386" t="s">
        <v>13272</v>
      </c>
      <c r="C2386" t="s">
        <v>13273</v>
      </c>
      <c r="E2386">
        <v>6934.782608695652</v>
      </c>
      <c r="F2386" t="s">
        <v>11989</v>
      </c>
    </row>
    <row r="2387" spans="1:6">
      <c r="A2387" s="306"/>
      <c r="B2387" t="s">
        <v>13274</v>
      </c>
      <c r="C2387" t="s">
        <v>13275</v>
      </c>
      <c r="E2387">
        <v>1315.2173913043478</v>
      </c>
      <c r="F2387" t="s">
        <v>11989</v>
      </c>
    </row>
    <row r="2388" spans="1:6">
      <c r="A2388" s="306"/>
      <c r="B2388" t="s">
        <v>13276</v>
      </c>
      <c r="C2388" t="s">
        <v>13277</v>
      </c>
      <c r="E2388">
        <v>3043.478260869565</v>
      </c>
      <c r="F2388" t="s">
        <v>11989</v>
      </c>
    </row>
    <row r="2389" spans="1:6">
      <c r="A2389" s="306"/>
      <c r="B2389" t="s">
        <v>13278</v>
      </c>
      <c r="C2389" t="s">
        <v>13279</v>
      </c>
      <c r="E2389">
        <v>3848.9130434782605</v>
      </c>
      <c r="F2389" t="s">
        <v>11989</v>
      </c>
    </row>
    <row r="2390" spans="1:6">
      <c r="A2390" s="306"/>
      <c r="B2390" t="s">
        <v>13280</v>
      </c>
      <c r="C2390" t="s">
        <v>13281</v>
      </c>
      <c r="E2390">
        <v>5378.260869565217</v>
      </c>
      <c r="F2390" t="s">
        <v>11989</v>
      </c>
    </row>
    <row r="2391" spans="1:6">
      <c r="A2391" s="306"/>
      <c r="B2391" t="s">
        <v>13282</v>
      </c>
      <c r="C2391" t="s">
        <v>13283</v>
      </c>
      <c r="E2391">
        <v>7882.608695652174</v>
      </c>
      <c r="F2391" t="s">
        <v>11989</v>
      </c>
    </row>
    <row r="2392" spans="1:6">
      <c r="A2392" s="306"/>
      <c r="B2392" t="s">
        <v>13284</v>
      </c>
      <c r="C2392" t="s">
        <v>13285</v>
      </c>
      <c r="E2392">
        <v>6994.565217391304</v>
      </c>
      <c r="F2392" t="s">
        <v>11989</v>
      </c>
    </row>
    <row r="2393" spans="1:6">
      <c r="A2393" s="306"/>
      <c r="B2393" t="s">
        <v>13286</v>
      </c>
      <c r="C2393" t="s">
        <v>13287</v>
      </c>
      <c r="E2393">
        <v>12204.347826086956</v>
      </c>
      <c r="F2393" t="s">
        <v>11989</v>
      </c>
    </row>
    <row r="2394" spans="1:6">
      <c r="A2394" s="306"/>
      <c r="B2394" t="s">
        <v>13288</v>
      </c>
      <c r="C2394" t="s">
        <v>13289</v>
      </c>
      <c r="E2394">
        <v>18606.521739130432</v>
      </c>
      <c r="F2394" t="s">
        <v>11989</v>
      </c>
    </row>
    <row r="2395" spans="1:6">
      <c r="A2395" s="306"/>
      <c r="B2395" t="s">
        <v>13290</v>
      </c>
      <c r="C2395" t="s">
        <v>13291</v>
      </c>
      <c r="E2395">
        <v>3738.0434782608695</v>
      </c>
      <c r="F2395" t="s">
        <v>11989</v>
      </c>
    </row>
    <row r="2396" spans="1:6">
      <c r="A2396" s="306"/>
      <c r="B2396" t="s">
        <v>13292</v>
      </c>
      <c r="C2396" t="s">
        <v>13293</v>
      </c>
      <c r="E2396">
        <v>6397.8260869565211</v>
      </c>
      <c r="F2396" t="s">
        <v>11989</v>
      </c>
    </row>
    <row r="2397" spans="1:6">
      <c r="A2397" s="306"/>
      <c r="B2397" t="s">
        <v>13294</v>
      </c>
      <c r="C2397" t="s">
        <v>13295</v>
      </c>
      <c r="E2397">
        <v>11607.608695652174</v>
      </c>
      <c r="F2397" t="s">
        <v>11989</v>
      </c>
    </row>
    <row r="2398" spans="1:6">
      <c r="A2398" s="306"/>
      <c r="B2398" t="s">
        <v>13296</v>
      </c>
      <c r="C2398" t="s">
        <v>13297</v>
      </c>
      <c r="E2398">
        <v>3141.304347826087</v>
      </c>
      <c r="F2398" t="s">
        <v>11989</v>
      </c>
    </row>
    <row r="2399" spans="1:6">
      <c r="A2399" s="306"/>
      <c r="B2399" t="s">
        <v>13298</v>
      </c>
      <c r="C2399" t="s">
        <v>13299</v>
      </c>
      <c r="E2399">
        <v>8671.7391304347821</v>
      </c>
      <c r="F2399" t="s">
        <v>11989</v>
      </c>
    </row>
    <row r="2400" spans="1:6">
      <c r="A2400" s="306"/>
      <c r="B2400" t="s">
        <v>13300</v>
      </c>
      <c r="C2400" t="s">
        <v>13301</v>
      </c>
      <c r="E2400">
        <v>12845.652173913042</v>
      </c>
      <c r="F2400" t="s">
        <v>11989</v>
      </c>
    </row>
    <row r="2401" spans="1:6">
      <c r="A2401" s="306"/>
      <c r="B2401" t="s">
        <v>13302</v>
      </c>
      <c r="C2401" t="s">
        <v>13303</v>
      </c>
      <c r="E2401">
        <v>13531.521739130434</v>
      </c>
      <c r="F2401" t="s">
        <v>11989</v>
      </c>
    </row>
    <row r="2402" spans="1:6">
      <c r="A2402" s="306"/>
      <c r="B2402" t="s">
        <v>13304</v>
      </c>
      <c r="C2402" t="s">
        <v>13305</v>
      </c>
      <c r="E2402">
        <v>19932.608695652172</v>
      </c>
      <c r="F2402" t="s">
        <v>11989</v>
      </c>
    </row>
    <row r="2403" spans="1:6">
      <c r="A2403" s="306"/>
      <c r="B2403" t="s">
        <v>13306</v>
      </c>
      <c r="C2403" t="s">
        <v>13307</v>
      </c>
      <c r="E2403">
        <v>5548.913043478261</v>
      </c>
      <c r="F2403" t="s">
        <v>11989</v>
      </c>
    </row>
    <row r="2404" spans="1:6">
      <c r="A2404" s="306"/>
      <c r="B2404" t="s">
        <v>13308</v>
      </c>
      <c r="C2404" t="s">
        <v>13309</v>
      </c>
      <c r="E2404">
        <v>8330.434782608696</v>
      </c>
      <c r="F2404" t="s">
        <v>11989</v>
      </c>
    </row>
    <row r="2405" spans="1:6">
      <c r="A2405" s="306"/>
      <c r="B2405" t="s">
        <v>13310</v>
      </c>
      <c r="C2405" t="s">
        <v>13311</v>
      </c>
      <c r="E2405">
        <v>1811.9565217391303</v>
      </c>
      <c r="F2405" t="s">
        <v>11989</v>
      </c>
    </row>
    <row r="2406" spans="1:6">
      <c r="A2406" s="306"/>
      <c r="B2406" t="s">
        <v>13312</v>
      </c>
      <c r="C2406" t="s">
        <v>13313</v>
      </c>
      <c r="E2406">
        <v>18118.478260869564</v>
      </c>
      <c r="F2406" t="s">
        <v>11989</v>
      </c>
    </row>
    <row r="2407" spans="1:6">
      <c r="A2407" s="306"/>
      <c r="B2407" t="s">
        <v>13314</v>
      </c>
      <c r="C2407" t="s">
        <v>13315</v>
      </c>
      <c r="E2407">
        <v>19431.521739130432</v>
      </c>
      <c r="F2407" t="s">
        <v>11989</v>
      </c>
    </row>
    <row r="2408" spans="1:6">
      <c r="A2408" s="306"/>
      <c r="B2408" t="s">
        <v>13316</v>
      </c>
      <c r="C2408" t="s">
        <v>13317</v>
      </c>
      <c r="E2408">
        <v>3371.7391304347825</v>
      </c>
      <c r="F2408" t="s">
        <v>11989</v>
      </c>
    </row>
    <row r="2409" spans="1:6">
      <c r="A2409" s="306"/>
      <c r="B2409" t="s">
        <v>13318</v>
      </c>
      <c r="C2409" t="s">
        <v>13319</v>
      </c>
      <c r="E2409">
        <v>33715.217391304344</v>
      </c>
      <c r="F2409" t="s">
        <v>11989</v>
      </c>
    </row>
    <row r="2410" spans="1:6">
      <c r="A2410" s="306"/>
      <c r="B2410" t="s">
        <v>13320</v>
      </c>
      <c r="C2410" t="s">
        <v>13321</v>
      </c>
      <c r="E2410">
        <v>19573.91304347826</v>
      </c>
      <c r="F2410" t="s">
        <v>11989</v>
      </c>
    </row>
    <row r="2411" spans="1:6">
      <c r="A2411" s="306"/>
      <c r="B2411" t="s">
        <v>13322</v>
      </c>
      <c r="C2411" t="s">
        <v>13323</v>
      </c>
      <c r="E2411">
        <v>28972.82608695652</v>
      </c>
      <c r="F2411" t="s">
        <v>11989</v>
      </c>
    </row>
    <row r="2412" spans="1:6">
      <c r="A2412" s="306"/>
      <c r="B2412" t="s">
        <v>13324</v>
      </c>
      <c r="C2412" t="s">
        <v>13325</v>
      </c>
      <c r="E2412">
        <v>15359.782608695652</v>
      </c>
      <c r="F2412" t="s">
        <v>11989</v>
      </c>
    </row>
    <row r="2413" spans="1:6">
      <c r="A2413" s="306"/>
      <c r="B2413" t="s">
        <v>13326</v>
      </c>
      <c r="C2413" t="s">
        <v>13327</v>
      </c>
      <c r="E2413">
        <v>18970.652173913044</v>
      </c>
      <c r="F2413" t="s">
        <v>11989</v>
      </c>
    </row>
    <row r="2414" spans="1:6">
      <c r="A2414" s="306"/>
      <c r="B2414" t="s">
        <v>13328</v>
      </c>
      <c r="C2414" t="s">
        <v>13329</v>
      </c>
      <c r="E2414">
        <v>28368.478260869564</v>
      </c>
      <c r="F2414" t="s">
        <v>11989</v>
      </c>
    </row>
    <row r="2415" spans="1:6">
      <c r="A2415" s="306"/>
      <c r="B2415" t="s">
        <v>13330</v>
      </c>
      <c r="C2415" t="s">
        <v>13331</v>
      </c>
      <c r="E2415">
        <v>17167.391304347824</v>
      </c>
      <c r="F2415" t="s">
        <v>11989</v>
      </c>
    </row>
    <row r="2416" spans="1:6">
      <c r="A2416" s="306"/>
      <c r="B2416" t="s">
        <v>13332</v>
      </c>
      <c r="C2416" t="s">
        <v>13333</v>
      </c>
      <c r="E2416">
        <v>26565.217391304348</v>
      </c>
      <c r="F2416" t="s">
        <v>11989</v>
      </c>
    </row>
    <row r="2417" spans="1:6">
      <c r="A2417" s="306"/>
      <c r="B2417" t="s">
        <v>13334</v>
      </c>
      <c r="C2417" t="s">
        <v>13335</v>
      </c>
      <c r="E2417">
        <v>15359.782608695652</v>
      </c>
      <c r="F2417" t="s">
        <v>11989</v>
      </c>
    </row>
    <row r="2418" spans="1:6">
      <c r="A2418" s="306"/>
      <c r="B2418" t="s">
        <v>13336</v>
      </c>
    </row>
    <row r="2419" spans="1:6">
      <c r="A2419" s="306"/>
      <c r="B2419" t="s">
        <v>13337</v>
      </c>
      <c r="C2419" t="s">
        <v>13338</v>
      </c>
      <c r="E2419">
        <v>1167.391304347826</v>
      </c>
      <c r="F2419" t="s">
        <v>11989</v>
      </c>
    </row>
    <row r="2420" spans="1:6">
      <c r="A2420" s="306"/>
      <c r="B2420" t="s">
        <v>13339</v>
      </c>
      <c r="C2420" t="s">
        <v>13340</v>
      </c>
      <c r="E2420">
        <v>17172.82608695652</v>
      </c>
      <c r="F2420" t="s">
        <v>11989</v>
      </c>
    </row>
    <row r="2421" spans="1:6">
      <c r="A2421" s="306"/>
      <c r="B2421" t="s">
        <v>13341</v>
      </c>
      <c r="C2421" t="s">
        <v>13342</v>
      </c>
      <c r="E2421">
        <v>27592.391304347824</v>
      </c>
      <c r="F2421" t="s">
        <v>11989</v>
      </c>
    </row>
    <row r="2422" spans="1:6">
      <c r="A2422" s="306"/>
      <c r="B2422" t="s">
        <v>13343</v>
      </c>
      <c r="C2422" t="s">
        <v>13344</v>
      </c>
      <c r="E2422">
        <v>1829.3478260869565</v>
      </c>
      <c r="F2422" t="s">
        <v>11989</v>
      </c>
    </row>
    <row r="2423" spans="1:6">
      <c r="A2423" s="306"/>
      <c r="B2423" t="s">
        <v>13345</v>
      </c>
      <c r="C2423" t="s">
        <v>13346</v>
      </c>
      <c r="E2423">
        <v>6081.5217391304341</v>
      </c>
      <c r="F2423" t="s">
        <v>11989</v>
      </c>
    </row>
    <row r="2424" spans="1:6">
      <c r="A2424" s="306"/>
      <c r="B2424" t="s">
        <v>13347</v>
      </c>
      <c r="C2424" t="s">
        <v>13348</v>
      </c>
      <c r="E2424">
        <v>4860.869565217391</v>
      </c>
      <c r="F2424" t="s">
        <v>11989</v>
      </c>
    </row>
    <row r="2425" spans="1:6">
      <c r="A2425" s="306"/>
      <c r="B2425" t="s">
        <v>13349</v>
      </c>
      <c r="C2425" t="s">
        <v>13350</v>
      </c>
      <c r="E2425">
        <v>2807.608695652174</v>
      </c>
      <c r="F2425" t="s">
        <v>11989</v>
      </c>
    </row>
    <row r="2426" spans="1:6">
      <c r="A2426" s="306"/>
      <c r="B2426" t="s">
        <v>13351</v>
      </c>
      <c r="C2426" t="s">
        <v>13352</v>
      </c>
      <c r="E2426">
        <v>4160.869565217391</v>
      </c>
      <c r="F2426" t="s">
        <v>11989</v>
      </c>
    </row>
    <row r="2427" spans="1:6">
      <c r="A2427" s="306"/>
      <c r="B2427" t="s">
        <v>13353</v>
      </c>
      <c r="C2427" t="s">
        <v>13354</v>
      </c>
      <c r="E2427">
        <v>2518.478260869565</v>
      </c>
      <c r="F2427" t="s">
        <v>11989</v>
      </c>
    </row>
    <row r="2428" spans="1:6">
      <c r="A2428" s="306"/>
      <c r="B2428" t="s">
        <v>13355</v>
      </c>
      <c r="C2428" t="s">
        <v>13356</v>
      </c>
      <c r="E2428">
        <v>1221.7391304347825</v>
      </c>
      <c r="F2428" t="s">
        <v>11989</v>
      </c>
    </row>
    <row r="2429" spans="1:6">
      <c r="A2429" s="306"/>
      <c r="B2429" t="s">
        <v>13357</v>
      </c>
      <c r="C2429" t="s">
        <v>13358</v>
      </c>
      <c r="E2429">
        <v>827.17391304347825</v>
      </c>
      <c r="F2429" t="s">
        <v>11989</v>
      </c>
    </row>
    <row r="2430" spans="1:6">
      <c r="A2430" s="306"/>
      <c r="B2430" t="s">
        <v>13359</v>
      </c>
      <c r="C2430" t="s">
        <v>13360</v>
      </c>
      <c r="E2430">
        <v>12155.434782608696</v>
      </c>
      <c r="F2430" t="s">
        <v>11989</v>
      </c>
    </row>
    <row r="2431" spans="1:6">
      <c r="A2431" s="306"/>
      <c r="B2431" t="s">
        <v>13361</v>
      </c>
      <c r="C2431" t="s">
        <v>13362</v>
      </c>
      <c r="E2431">
        <v>8216.3043478260861</v>
      </c>
      <c r="F2431" t="s">
        <v>11989</v>
      </c>
    </row>
    <row r="2432" spans="1:6">
      <c r="A2432" s="306"/>
      <c r="B2432" t="s">
        <v>13363</v>
      </c>
      <c r="C2432" t="s">
        <v>13364</v>
      </c>
      <c r="E2432">
        <v>15192.391304347826</v>
      </c>
      <c r="F2432" t="s">
        <v>11989</v>
      </c>
    </row>
    <row r="2433" spans="1:6">
      <c r="A2433" s="306"/>
      <c r="B2433" t="s">
        <v>13365</v>
      </c>
      <c r="C2433" t="s">
        <v>13366</v>
      </c>
      <c r="E2433">
        <v>2280.4347826086955</v>
      </c>
      <c r="F2433" t="s">
        <v>11989</v>
      </c>
    </row>
    <row r="2434" spans="1:6">
      <c r="A2434" s="306"/>
      <c r="B2434" t="s">
        <v>13367</v>
      </c>
      <c r="C2434" t="s">
        <v>13368</v>
      </c>
      <c r="E2434">
        <v>26571.73913043478</v>
      </c>
      <c r="F2434" t="s">
        <v>11989</v>
      </c>
    </row>
    <row r="2435" spans="1:6">
      <c r="A2435" s="306"/>
      <c r="B2435" t="s">
        <v>13369</v>
      </c>
      <c r="C2435" t="s">
        <v>13370</v>
      </c>
      <c r="E2435">
        <v>41445.65217391304</v>
      </c>
      <c r="F2435" t="s">
        <v>11989</v>
      </c>
    </row>
    <row r="2436" spans="1:6">
      <c r="A2436" s="306"/>
      <c r="B2436" t="s">
        <v>13371</v>
      </c>
      <c r="C2436" t="s">
        <v>13372</v>
      </c>
      <c r="E2436">
        <v>2664.1304347826085</v>
      </c>
      <c r="F2436" t="s">
        <v>11989</v>
      </c>
    </row>
    <row r="2437" spans="1:6">
      <c r="A2437" s="306"/>
      <c r="B2437" t="s">
        <v>13373</v>
      </c>
      <c r="C2437" t="s">
        <v>13374</v>
      </c>
      <c r="E2437">
        <v>8865.217391304348</v>
      </c>
      <c r="F2437" t="s">
        <v>11989</v>
      </c>
    </row>
    <row r="2438" spans="1:6">
      <c r="A2438" s="306"/>
      <c r="B2438" t="s">
        <v>13375</v>
      </c>
      <c r="C2438" t="s">
        <v>13376</v>
      </c>
      <c r="E2438">
        <v>7085.869565217391</v>
      </c>
      <c r="F2438" t="s">
        <v>11989</v>
      </c>
    </row>
    <row r="2439" spans="1:6">
      <c r="A2439" s="306"/>
      <c r="B2439" t="s">
        <v>13377</v>
      </c>
      <c r="C2439" t="s">
        <v>13378</v>
      </c>
      <c r="E2439">
        <v>5032.608695652174</v>
      </c>
      <c r="F2439" t="s">
        <v>11989</v>
      </c>
    </row>
    <row r="2440" spans="1:6">
      <c r="A2440" s="306"/>
      <c r="B2440" t="s">
        <v>13379</v>
      </c>
      <c r="C2440" t="s">
        <v>13380</v>
      </c>
      <c r="E2440">
        <v>6385.869565217391</v>
      </c>
      <c r="F2440" t="s">
        <v>11989</v>
      </c>
    </row>
    <row r="2441" spans="1:6">
      <c r="A2441" s="306"/>
      <c r="B2441" t="s">
        <v>13381</v>
      </c>
      <c r="C2441" t="s">
        <v>13382</v>
      </c>
      <c r="E2441">
        <v>4744.565217391304</v>
      </c>
      <c r="F2441" t="s">
        <v>11989</v>
      </c>
    </row>
    <row r="2442" spans="1:6">
      <c r="A2442" s="306"/>
      <c r="B2442" t="s">
        <v>13383</v>
      </c>
      <c r="C2442" t="s">
        <v>13384</v>
      </c>
      <c r="E2442">
        <v>1778.2608695652173</v>
      </c>
      <c r="F2442" t="s">
        <v>11989</v>
      </c>
    </row>
    <row r="2443" spans="1:6">
      <c r="A2443" s="306"/>
      <c r="B2443" t="s">
        <v>13385</v>
      </c>
      <c r="C2443" t="s">
        <v>13386</v>
      </c>
      <c r="E2443">
        <v>1384.782608695652</v>
      </c>
      <c r="F2443" t="s">
        <v>11989</v>
      </c>
    </row>
    <row r="2444" spans="1:6">
      <c r="A2444" s="306"/>
      <c r="B2444" t="s">
        <v>13387</v>
      </c>
      <c r="C2444" t="s">
        <v>13388</v>
      </c>
      <c r="E2444">
        <v>17723.91304347826</v>
      </c>
      <c r="F2444" t="s">
        <v>11989</v>
      </c>
    </row>
    <row r="2445" spans="1:6">
      <c r="A2445" s="306"/>
      <c r="B2445" t="s">
        <v>13389</v>
      </c>
      <c r="C2445" t="s">
        <v>13390</v>
      </c>
      <c r="E2445">
        <v>13785.86956521739</v>
      </c>
      <c r="F2445" t="s">
        <v>11989</v>
      </c>
    </row>
    <row r="2446" spans="1:6">
      <c r="A2446" s="306"/>
      <c r="B2446" t="s">
        <v>13391</v>
      </c>
      <c r="C2446" t="s">
        <v>13392</v>
      </c>
      <c r="E2446">
        <v>22154.347826086956</v>
      </c>
      <c r="F2446" t="s">
        <v>11989</v>
      </c>
    </row>
    <row r="2447" spans="1:6">
      <c r="A2447" s="306"/>
      <c r="B2447" t="s">
        <v>8909</v>
      </c>
    </row>
    <row r="2448" spans="1:6">
      <c r="A2448" s="306"/>
      <c r="B2448" t="s">
        <v>7206</v>
      </c>
      <c r="C2448" t="s">
        <v>7207</v>
      </c>
      <c r="E2448">
        <v>402.17391304347825</v>
      </c>
      <c r="F2448" t="s">
        <v>11989</v>
      </c>
    </row>
    <row r="2449" spans="1:6">
      <c r="A2449" s="306"/>
      <c r="B2449" t="s">
        <v>7192</v>
      </c>
      <c r="C2449" t="s">
        <v>7193</v>
      </c>
      <c r="E2449">
        <v>234.78260869565216</v>
      </c>
      <c r="F2449" t="s">
        <v>11989</v>
      </c>
    </row>
    <row r="2450" spans="1:6">
      <c r="A2450" s="306"/>
      <c r="B2450" t="s">
        <v>7194</v>
      </c>
      <c r="C2450" t="s">
        <v>7195</v>
      </c>
      <c r="E2450">
        <v>825</v>
      </c>
      <c r="F2450" t="s">
        <v>11989</v>
      </c>
    </row>
    <row r="2451" spans="1:6">
      <c r="A2451" s="306"/>
      <c r="B2451" t="s">
        <v>7196</v>
      </c>
      <c r="C2451" t="s">
        <v>7197</v>
      </c>
      <c r="E2451">
        <v>1648.9130434782608</v>
      </c>
      <c r="F2451" t="s">
        <v>11989</v>
      </c>
    </row>
    <row r="2452" spans="1:6">
      <c r="A2452" s="306"/>
      <c r="B2452" t="s">
        <v>7208</v>
      </c>
      <c r="C2452" t="s">
        <v>7209</v>
      </c>
      <c r="E2452">
        <v>19.565217391304348</v>
      </c>
      <c r="F2452" t="s">
        <v>11989</v>
      </c>
    </row>
    <row r="2453" spans="1:6">
      <c r="A2453" s="306"/>
      <c r="B2453" t="s">
        <v>7212</v>
      </c>
      <c r="C2453" t="s">
        <v>7213</v>
      </c>
      <c r="E2453">
        <v>19.565217391304348</v>
      </c>
      <c r="F2453" t="s">
        <v>11989</v>
      </c>
    </row>
    <row r="2454" spans="1:6">
      <c r="A2454" s="306"/>
      <c r="B2454" t="s">
        <v>7198</v>
      </c>
      <c r="C2454" t="s">
        <v>7199</v>
      </c>
      <c r="E2454">
        <v>4958.695652173913</v>
      </c>
      <c r="F2454" t="s">
        <v>11989</v>
      </c>
    </row>
    <row r="2455" spans="1:6">
      <c r="A2455" s="306"/>
      <c r="B2455" t="s">
        <v>7200</v>
      </c>
      <c r="C2455" t="s">
        <v>7201</v>
      </c>
      <c r="E2455">
        <v>9916.3043478260861</v>
      </c>
      <c r="F2455" t="s">
        <v>11989</v>
      </c>
    </row>
    <row r="2456" spans="1:6">
      <c r="A2456" s="306"/>
      <c r="B2456" t="s">
        <v>7210</v>
      </c>
      <c r="C2456" t="s">
        <v>7211</v>
      </c>
      <c r="E2456">
        <v>19.565217391304348</v>
      </c>
      <c r="F2456" t="s">
        <v>11989</v>
      </c>
    </row>
    <row r="2457" spans="1:6">
      <c r="A2457" s="306"/>
      <c r="B2457" t="s">
        <v>7214</v>
      </c>
      <c r="C2457" t="s">
        <v>7215</v>
      </c>
      <c r="E2457">
        <v>19.565217391304348</v>
      </c>
      <c r="F2457" t="s">
        <v>11989</v>
      </c>
    </row>
    <row r="2458" spans="1:6">
      <c r="A2458" s="306"/>
      <c r="B2458" t="s">
        <v>7609</v>
      </c>
      <c r="C2458" t="s">
        <v>7610</v>
      </c>
      <c r="E2458">
        <v>3786.9565217391305</v>
      </c>
      <c r="F2458" t="s">
        <v>11989</v>
      </c>
    </row>
    <row r="2459" spans="1:6">
      <c r="A2459" s="306"/>
      <c r="B2459" t="s">
        <v>7202</v>
      </c>
      <c r="C2459" t="s">
        <v>7203</v>
      </c>
      <c r="E2459">
        <v>579.3478260869565</v>
      </c>
      <c r="F2459" t="s">
        <v>11989</v>
      </c>
    </row>
    <row r="2460" spans="1:6">
      <c r="A2460" s="306"/>
      <c r="B2460" t="s">
        <v>7204</v>
      </c>
      <c r="C2460" t="s">
        <v>7205</v>
      </c>
      <c r="E2460">
        <v>1158.695652173913</v>
      </c>
      <c r="F2460" t="s">
        <v>11989</v>
      </c>
    </row>
    <row r="2461" spans="1:6">
      <c r="A2461" s="306"/>
      <c r="B2461" t="s">
        <v>7611</v>
      </c>
      <c r="C2461" t="s">
        <v>7612</v>
      </c>
      <c r="E2461">
        <v>560.86956521739125</v>
      </c>
      <c r="F2461" t="s">
        <v>11989</v>
      </c>
    </row>
    <row r="2462" spans="1:6">
      <c r="A2462" s="306"/>
      <c r="B2462" t="s">
        <v>7613</v>
      </c>
      <c r="C2462" t="s">
        <v>7614</v>
      </c>
      <c r="E2462">
        <v>52.173913043478258</v>
      </c>
      <c r="F2462" t="s">
        <v>11989</v>
      </c>
    </row>
    <row r="2463" spans="1:6">
      <c r="A2463" s="306"/>
      <c r="B2463" t="s">
        <v>7615</v>
      </c>
      <c r="C2463" t="s">
        <v>7616</v>
      </c>
      <c r="E2463">
        <v>197.82608695652172</v>
      </c>
      <c r="F2463" t="s">
        <v>11989</v>
      </c>
    </row>
    <row r="2464" spans="1:6">
      <c r="A2464" s="306"/>
      <c r="B2464" t="s">
        <v>7617</v>
      </c>
      <c r="C2464" t="s">
        <v>7618</v>
      </c>
      <c r="E2464">
        <v>381.52173913043475</v>
      </c>
      <c r="F2464" t="s">
        <v>11989</v>
      </c>
    </row>
    <row r="2465" spans="1:6">
      <c r="A2465" s="306"/>
      <c r="B2465" t="s">
        <v>7619</v>
      </c>
      <c r="C2465" t="s">
        <v>7620</v>
      </c>
      <c r="E2465">
        <v>1844.5652173913043</v>
      </c>
      <c r="F2465" t="s">
        <v>11989</v>
      </c>
    </row>
    <row r="2466" spans="1:6">
      <c r="A2466" s="306"/>
      <c r="B2466" t="s">
        <v>7621</v>
      </c>
      <c r="C2466" t="s">
        <v>7622</v>
      </c>
      <c r="E2466">
        <v>43.478260869565219</v>
      </c>
      <c r="F2466" t="s">
        <v>11989</v>
      </c>
    </row>
    <row r="2467" spans="1:6">
      <c r="A2467" s="306"/>
      <c r="B2467" t="s">
        <v>7623</v>
      </c>
      <c r="C2467" t="s">
        <v>7624</v>
      </c>
      <c r="E2467">
        <v>154.3478260869565</v>
      </c>
      <c r="F2467" t="s">
        <v>11989</v>
      </c>
    </row>
    <row r="2468" spans="1:6">
      <c r="A2468" s="306"/>
      <c r="B2468" t="s">
        <v>7625</v>
      </c>
      <c r="C2468" t="s">
        <v>7626</v>
      </c>
      <c r="E2468">
        <v>294.56521739130432</v>
      </c>
      <c r="F2468" t="s">
        <v>11989</v>
      </c>
    </row>
    <row r="2469" spans="1:6">
      <c r="A2469" s="306"/>
      <c r="B2469" t="s">
        <v>7627</v>
      </c>
      <c r="C2469" t="s">
        <v>7628</v>
      </c>
      <c r="E2469">
        <v>1410.8695652173913</v>
      </c>
      <c r="F2469" t="s">
        <v>11989</v>
      </c>
    </row>
    <row r="2470" spans="1:6">
      <c r="A2470" s="306"/>
      <c r="B2470" t="s">
        <v>7629</v>
      </c>
      <c r="C2470" t="s">
        <v>7630</v>
      </c>
      <c r="E2470">
        <v>170.65217391304347</v>
      </c>
      <c r="F2470" t="s">
        <v>11989</v>
      </c>
    </row>
    <row r="2471" spans="1:6">
      <c r="A2471" s="306"/>
      <c r="B2471" t="s">
        <v>7631</v>
      </c>
      <c r="C2471" t="s">
        <v>7632</v>
      </c>
      <c r="E2471">
        <v>792.39130434782601</v>
      </c>
      <c r="F2471" t="s">
        <v>11989</v>
      </c>
    </row>
    <row r="2472" spans="1:6">
      <c r="A2472" s="306"/>
      <c r="B2472" t="s">
        <v>7633</v>
      </c>
      <c r="C2472" t="s">
        <v>7634</v>
      </c>
      <c r="E2472">
        <v>134.78260869565216</v>
      </c>
      <c r="F2472" t="s">
        <v>11989</v>
      </c>
    </row>
    <row r="2473" spans="1:6">
      <c r="A2473" s="306"/>
      <c r="B2473" t="s">
        <v>7635</v>
      </c>
      <c r="C2473" t="s">
        <v>7636</v>
      </c>
      <c r="E2473">
        <v>613.04347826086951</v>
      </c>
      <c r="F2473" t="s">
        <v>11989</v>
      </c>
    </row>
    <row r="2474" spans="1:6">
      <c r="A2474" s="306"/>
      <c r="B2474" t="s">
        <v>7647</v>
      </c>
      <c r="C2474" t="s">
        <v>7648</v>
      </c>
      <c r="E2474">
        <v>68.478260869565219</v>
      </c>
      <c r="F2474" t="s">
        <v>11989</v>
      </c>
    </row>
    <row r="2475" spans="1:6">
      <c r="A2475" s="306"/>
      <c r="B2475" t="s">
        <v>7649</v>
      </c>
      <c r="C2475" t="s">
        <v>7650</v>
      </c>
      <c r="E2475">
        <v>72.826086956521735</v>
      </c>
      <c r="F2475" t="s">
        <v>11989</v>
      </c>
    </row>
    <row r="2476" spans="1:6">
      <c r="A2476" s="306"/>
      <c r="B2476" t="s">
        <v>7651</v>
      </c>
      <c r="C2476" t="s">
        <v>7652</v>
      </c>
      <c r="E2476">
        <v>77.173913043478251</v>
      </c>
      <c r="F2476" t="s">
        <v>11989</v>
      </c>
    </row>
    <row r="2477" spans="1:6">
      <c r="A2477" s="306"/>
      <c r="B2477" t="s">
        <v>7653</v>
      </c>
      <c r="C2477" t="s">
        <v>7654</v>
      </c>
      <c r="E2477">
        <v>81.521739130434781</v>
      </c>
      <c r="F2477" t="s">
        <v>11989</v>
      </c>
    </row>
    <row r="2478" spans="1:6">
      <c r="A2478" s="306"/>
      <c r="B2478" t="s">
        <v>13393</v>
      </c>
    </row>
    <row r="2479" spans="1:6">
      <c r="A2479" s="306"/>
      <c r="B2479" t="s">
        <v>13394</v>
      </c>
      <c r="C2479" t="s">
        <v>13395</v>
      </c>
      <c r="E2479">
        <v>1984.782608695652</v>
      </c>
      <c r="F2479" t="s">
        <v>11989</v>
      </c>
    </row>
    <row r="2480" spans="1:6">
      <c r="A2480" s="306"/>
      <c r="B2480" t="s">
        <v>13396</v>
      </c>
      <c r="C2480" t="s">
        <v>13397</v>
      </c>
      <c r="E2480">
        <v>6118.478260869565</v>
      </c>
      <c r="F2480" t="s">
        <v>11989</v>
      </c>
    </row>
    <row r="2481" spans="1:6">
      <c r="A2481" s="306"/>
      <c r="B2481" t="s">
        <v>13398</v>
      </c>
      <c r="C2481" t="s">
        <v>13399</v>
      </c>
      <c r="E2481">
        <v>254.3478260869565</v>
      </c>
      <c r="F2481" t="s">
        <v>11989</v>
      </c>
    </row>
    <row r="2482" spans="1:6">
      <c r="A2482" s="306"/>
      <c r="B2482" t="s">
        <v>13400</v>
      </c>
      <c r="C2482" t="s">
        <v>13401</v>
      </c>
      <c r="E2482">
        <v>1214.1304347826087</v>
      </c>
      <c r="F2482" t="s">
        <v>11989</v>
      </c>
    </row>
    <row r="2483" spans="1:6">
      <c r="A2483" s="306"/>
      <c r="B2483" t="s">
        <v>13402</v>
      </c>
      <c r="C2483" t="s">
        <v>13403</v>
      </c>
      <c r="E2483">
        <v>2414.1304347826085</v>
      </c>
      <c r="F2483" t="s">
        <v>11989</v>
      </c>
    </row>
    <row r="2484" spans="1:6">
      <c r="A2484" s="306"/>
      <c r="B2484" t="s">
        <v>13404</v>
      </c>
      <c r="C2484" t="s">
        <v>13405</v>
      </c>
      <c r="E2484">
        <v>254.3478260869565</v>
      </c>
      <c r="F2484" t="s">
        <v>11989</v>
      </c>
    </row>
    <row r="2485" spans="1:6">
      <c r="A2485" s="306"/>
      <c r="B2485" t="s">
        <v>13406</v>
      </c>
      <c r="C2485" t="s">
        <v>13407</v>
      </c>
      <c r="E2485">
        <v>1214.1304347826087</v>
      </c>
      <c r="F2485" t="s">
        <v>11989</v>
      </c>
    </row>
    <row r="2486" spans="1:6">
      <c r="A2486" s="306"/>
      <c r="B2486" t="s">
        <v>13408</v>
      </c>
      <c r="C2486" t="s">
        <v>13409</v>
      </c>
      <c r="E2486">
        <v>2414.1304347826085</v>
      </c>
      <c r="F2486" t="s">
        <v>11989</v>
      </c>
    </row>
    <row r="2487" spans="1:6">
      <c r="A2487" s="306"/>
      <c r="B2487" t="s">
        <v>13410</v>
      </c>
      <c r="C2487" t="s">
        <v>13411</v>
      </c>
      <c r="E2487">
        <v>922.82608695652175</v>
      </c>
      <c r="F2487" t="s">
        <v>11989</v>
      </c>
    </row>
    <row r="2488" spans="1:6">
      <c r="A2488" s="306"/>
      <c r="B2488" t="s">
        <v>13412</v>
      </c>
      <c r="C2488" t="s">
        <v>13395</v>
      </c>
      <c r="E2488">
        <v>1984.782608695652</v>
      </c>
      <c r="F2488" t="s">
        <v>11989</v>
      </c>
    </row>
    <row r="2489" spans="1:6">
      <c r="A2489" s="306"/>
      <c r="B2489" t="s">
        <v>13413</v>
      </c>
      <c r="C2489" t="s">
        <v>13414</v>
      </c>
      <c r="E2489">
        <v>1984.782608695652</v>
      </c>
      <c r="F2489" t="s">
        <v>11989</v>
      </c>
    </row>
    <row r="2490" spans="1:6">
      <c r="A2490" s="306"/>
      <c r="B2490" t="s">
        <v>13415</v>
      </c>
      <c r="C2490" t="s">
        <v>13397</v>
      </c>
      <c r="E2490">
        <v>6118.478260869565</v>
      </c>
      <c r="F2490" t="s">
        <v>11989</v>
      </c>
    </row>
    <row r="2491" spans="1:6">
      <c r="A2491" s="306"/>
      <c r="B2491" t="s">
        <v>13416</v>
      </c>
      <c r="C2491" t="s">
        <v>13417</v>
      </c>
      <c r="E2491">
        <v>6118.478260869565</v>
      </c>
      <c r="F2491" t="s">
        <v>11989</v>
      </c>
    </row>
    <row r="2492" spans="1:6">
      <c r="A2492" s="306"/>
      <c r="B2492" t="s">
        <v>13418</v>
      </c>
    </row>
    <row r="2493" spans="1:6">
      <c r="A2493" s="306"/>
      <c r="B2493" t="s">
        <v>7442</v>
      </c>
      <c r="C2493" t="s">
        <v>13419</v>
      </c>
      <c r="E2493">
        <v>91.304347826086953</v>
      </c>
      <c r="F2493" t="s">
        <v>12049</v>
      </c>
    </row>
    <row r="2494" spans="1:6">
      <c r="A2494" s="306"/>
      <c r="B2494" t="s">
        <v>7449</v>
      </c>
      <c r="C2494" t="s">
        <v>7450</v>
      </c>
      <c r="E2494">
        <v>390.21739130434781</v>
      </c>
      <c r="F2494" t="s">
        <v>11989</v>
      </c>
    </row>
    <row r="2495" spans="1:6">
      <c r="A2495" s="306"/>
      <c r="B2495" t="s">
        <v>7443</v>
      </c>
      <c r="C2495" t="s">
        <v>7444</v>
      </c>
      <c r="E2495">
        <v>6995.652173913043</v>
      </c>
      <c r="F2495" t="s">
        <v>11989</v>
      </c>
    </row>
    <row r="2496" spans="1:6">
      <c r="A2496" s="306"/>
      <c r="B2496" t="s">
        <v>7451</v>
      </c>
      <c r="C2496" t="s">
        <v>7452</v>
      </c>
      <c r="E2496">
        <v>3886.95652173913</v>
      </c>
      <c r="F2496" t="s">
        <v>11989</v>
      </c>
    </row>
    <row r="2497" spans="1:6">
      <c r="A2497" s="306"/>
      <c r="B2497" t="s">
        <v>7445</v>
      </c>
      <c r="C2497" t="s">
        <v>7446</v>
      </c>
      <c r="E2497">
        <v>54406.521739130432</v>
      </c>
      <c r="F2497" t="s">
        <v>11989</v>
      </c>
    </row>
    <row r="2498" spans="1:6">
      <c r="A2498" s="306"/>
      <c r="B2498" t="s">
        <v>7453</v>
      </c>
      <c r="C2498" t="s">
        <v>7454</v>
      </c>
      <c r="E2498">
        <v>29147.82608695652</v>
      </c>
      <c r="F2498" t="s">
        <v>11989</v>
      </c>
    </row>
    <row r="2499" spans="1:6">
      <c r="A2499" s="306"/>
      <c r="B2499" t="s">
        <v>7447</v>
      </c>
      <c r="C2499" t="s">
        <v>7448</v>
      </c>
      <c r="E2499">
        <v>322551.08695652173</v>
      </c>
      <c r="F2499" t="s">
        <v>11989</v>
      </c>
    </row>
    <row r="2500" spans="1:6">
      <c r="A2500" s="306"/>
      <c r="B2500" t="s">
        <v>13420</v>
      </c>
      <c r="C2500" t="s">
        <v>13421</v>
      </c>
      <c r="E2500">
        <v>114441.30434782608</v>
      </c>
      <c r="F2500" t="s">
        <v>11989</v>
      </c>
    </row>
    <row r="2501" spans="1:6">
      <c r="A2501" s="306"/>
      <c r="B2501" t="s">
        <v>13422</v>
      </c>
      <c r="C2501" t="s">
        <v>13423</v>
      </c>
      <c r="E2501">
        <v>4807.608695652174</v>
      </c>
      <c r="F2501" t="s">
        <v>11989</v>
      </c>
    </row>
    <row r="2502" spans="1:6">
      <c r="A2502" s="306"/>
      <c r="B2502" t="s">
        <v>13424</v>
      </c>
      <c r="C2502" t="s">
        <v>13425</v>
      </c>
      <c r="E2502">
        <v>44328.260869565216</v>
      </c>
      <c r="F2502" t="s">
        <v>11989</v>
      </c>
    </row>
    <row r="2503" spans="1:6">
      <c r="A2503" s="306"/>
      <c r="B2503" t="s">
        <v>13426</v>
      </c>
      <c r="C2503" t="s">
        <v>13427</v>
      </c>
      <c r="E2503">
        <v>297697.82608695648</v>
      </c>
      <c r="F2503" t="s">
        <v>11989</v>
      </c>
    </row>
    <row r="2504" spans="1:6">
      <c r="A2504" s="306"/>
      <c r="B2504" t="s">
        <v>13428</v>
      </c>
      <c r="C2504" t="s">
        <v>13429</v>
      </c>
      <c r="E2504">
        <v>234.78260869565216</v>
      </c>
      <c r="F2504" t="s">
        <v>11989</v>
      </c>
    </row>
    <row r="2505" spans="1:6">
      <c r="A2505" s="306"/>
      <c r="B2505" t="s">
        <v>13430</v>
      </c>
      <c r="C2505" t="s">
        <v>13431</v>
      </c>
      <c r="E2505">
        <v>2152.173913043478</v>
      </c>
      <c r="F2505" t="s">
        <v>11989</v>
      </c>
    </row>
    <row r="2506" spans="1:6">
      <c r="A2506" s="306"/>
      <c r="B2506" t="s">
        <v>13432</v>
      </c>
      <c r="C2506" t="s">
        <v>13433</v>
      </c>
      <c r="E2506">
        <v>19353.260869565216</v>
      </c>
      <c r="F2506" t="s">
        <v>11989</v>
      </c>
    </row>
    <row r="2507" spans="1:6">
      <c r="A2507" s="306"/>
      <c r="B2507" t="s">
        <v>13434</v>
      </c>
      <c r="C2507" t="s">
        <v>13435</v>
      </c>
      <c r="E2507">
        <v>176060.86956521738</v>
      </c>
      <c r="F2507" t="s">
        <v>11989</v>
      </c>
    </row>
    <row r="2508" spans="1:6">
      <c r="A2508" s="306"/>
      <c r="B2508" t="s">
        <v>13436</v>
      </c>
    </row>
    <row r="2509" spans="1:6">
      <c r="A2509" s="306"/>
      <c r="B2509" t="s">
        <v>7641</v>
      </c>
      <c r="C2509" t="s">
        <v>7642</v>
      </c>
      <c r="E2509">
        <v>304.3478260869565</v>
      </c>
      <c r="F2509" t="s">
        <v>11989</v>
      </c>
    </row>
    <row r="2510" spans="1:6">
      <c r="A2510" s="306"/>
      <c r="B2510" t="s">
        <v>7643</v>
      </c>
      <c r="C2510" t="s">
        <v>7644</v>
      </c>
      <c r="E2510">
        <v>2396.7391304347825</v>
      </c>
      <c r="F2510" t="s">
        <v>11989</v>
      </c>
    </row>
    <row r="2511" spans="1:6">
      <c r="A2511" s="306"/>
      <c r="B2511" t="s">
        <v>7645</v>
      </c>
      <c r="C2511" t="s">
        <v>7646</v>
      </c>
      <c r="E2511">
        <v>692.39130434782601</v>
      </c>
      <c r="F2511" t="s">
        <v>11989</v>
      </c>
    </row>
    <row r="2512" spans="1:6">
      <c r="A2512" s="306"/>
      <c r="B2512" t="s">
        <v>7659</v>
      </c>
    </row>
    <row r="2513" spans="1:7">
      <c r="A2513" s="306"/>
      <c r="B2513" t="s">
        <v>13437</v>
      </c>
      <c r="C2513" t="s">
        <v>13438</v>
      </c>
      <c r="E2513">
        <v>4026.086956521739</v>
      </c>
      <c r="F2513" t="s">
        <v>13439</v>
      </c>
    </row>
    <row r="2514" spans="1:7">
      <c r="A2514" s="306"/>
      <c r="B2514" t="s">
        <v>13440</v>
      </c>
      <c r="C2514" t="s">
        <v>13441</v>
      </c>
      <c r="E2514">
        <v>2719.565217391304</v>
      </c>
      <c r="F2514" t="s">
        <v>13439</v>
      </c>
    </row>
    <row r="2515" spans="1:7">
      <c r="A2515" s="306"/>
      <c r="B2515" t="s">
        <v>13442</v>
      </c>
      <c r="C2515" t="s">
        <v>13443</v>
      </c>
      <c r="E2515">
        <v>4026.086956521739</v>
      </c>
      <c r="F2515" t="s">
        <v>13439</v>
      </c>
    </row>
    <row r="2516" spans="1:7">
      <c r="A2516" s="306"/>
      <c r="B2516" t="s">
        <v>7660</v>
      </c>
      <c r="C2516" t="s">
        <v>7661</v>
      </c>
      <c r="E2516">
        <v>4026.086956521739</v>
      </c>
      <c r="F2516" t="s">
        <v>13439</v>
      </c>
    </row>
    <row r="2517" spans="1:7">
      <c r="A2517" s="306"/>
      <c r="B2517" t="s">
        <v>7662</v>
      </c>
      <c r="C2517" t="s">
        <v>7663</v>
      </c>
      <c r="E2517">
        <v>2719.565217391304</v>
      </c>
      <c r="F2517" t="s">
        <v>13439</v>
      </c>
    </row>
    <row r="2518" spans="1:7">
      <c r="A2518" s="306"/>
      <c r="B2518" t="s">
        <v>7664</v>
      </c>
      <c r="C2518" t="s">
        <v>7665</v>
      </c>
      <c r="E2518">
        <v>4026.086956521739</v>
      </c>
      <c r="F2518" t="s">
        <v>13439</v>
      </c>
    </row>
    <row r="2519" spans="1:7">
      <c r="A2519" s="306"/>
      <c r="B2519" t="s">
        <v>13444</v>
      </c>
    </row>
    <row r="2520" spans="1:7">
      <c r="A2520" s="306"/>
      <c r="B2520" t="s">
        <v>7737</v>
      </c>
      <c r="C2520" t="s">
        <v>13445</v>
      </c>
      <c r="E2520">
        <v>7803.260869565217</v>
      </c>
      <c r="F2520" t="s">
        <v>13446</v>
      </c>
      <c r="G2520" t="s">
        <v>10999</v>
      </c>
    </row>
    <row r="2521" spans="1:7">
      <c r="A2521" s="306"/>
      <c r="B2521" t="s">
        <v>7738</v>
      </c>
      <c r="C2521" t="s">
        <v>13447</v>
      </c>
      <c r="E2521">
        <v>3368.478260869565</v>
      </c>
      <c r="F2521" t="s">
        <v>13446</v>
      </c>
      <c r="G2521" t="s">
        <v>10996</v>
      </c>
    </row>
    <row r="2522" spans="1:7">
      <c r="A2522" s="306"/>
      <c r="B2522" t="s">
        <v>7738</v>
      </c>
      <c r="C2522" t="s">
        <v>13447</v>
      </c>
      <c r="E2522">
        <v>3368.478260869565</v>
      </c>
      <c r="F2522" t="s">
        <v>13446</v>
      </c>
      <c r="G2522" t="s">
        <v>10996</v>
      </c>
    </row>
    <row r="2523" spans="1:7">
      <c r="A2523" s="306"/>
      <c r="B2523" t="s">
        <v>7739</v>
      </c>
      <c r="C2523" t="s">
        <v>13448</v>
      </c>
      <c r="E2523">
        <v>3109.782608695652</v>
      </c>
      <c r="F2523" t="s">
        <v>13446</v>
      </c>
      <c r="G2523" t="s">
        <v>10996</v>
      </c>
    </row>
    <row r="2524" spans="1:7">
      <c r="A2524" s="306"/>
      <c r="B2524" t="s">
        <v>7739</v>
      </c>
      <c r="C2524" t="s">
        <v>13448</v>
      </c>
      <c r="E2524">
        <v>3109.782608695652</v>
      </c>
      <c r="F2524" t="s">
        <v>13446</v>
      </c>
      <c r="G2524" t="s">
        <v>10996</v>
      </c>
    </row>
    <row r="2525" spans="1:7">
      <c r="A2525" s="306"/>
      <c r="B2525" t="s">
        <v>7737</v>
      </c>
      <c r="C2525" t="s">
        <v>13445</v>
      </c>
      <c r="E2525">
        <v>7803.260869565217</v>
      </c>
      <c r="F2525" t="s">
        <v>13446</v>
      </c>
      <c r="G2525" t="s">
        <v>10999</v>
      </c>
    </row>
    <row r="2526" spans="1:7">
      <c r="A2526" s="306"/>
      <c r="B2526" t="s">
        <v>13449</v>
      </c>
    </row>
    <row r="2527" spans="1:7">
      <c r="A2527" s="306"/>
      <c r="B2527" t="s">
        <v>13450</v>
      </c>
      <c r="C2527" t="s">
        <v>13451</v>
      </c>
      <c r="E2527">
        <v>2498.913043478261</v>
      </c>
      <c r="F2527" t="s">
        <v>13452</v>
      </c>
    </row>
    <row r="2528" spans="1:7">
      <c r="A2528" s="306"/>
      <c r="B2528" t="s">
        <v>8527</v>
      </c>
      <c r="C2528" t="s">
        <v>8528</v>
      </c>
      <c r="E2528">
        <v>3078.260869565217</v>
      </c>
      <c r="F2528" t="s">
        <v>13452</v>
      </c>
    </row>
    <row r="2529" spans="1:6">
      <c r="A2529" s="306"/>
      <c r="B2529" t="s">
        <v>13453</v>
      </c>
      <c r="C2529" t="s">
        <v>13454</v>
      </c>
      <c r="E2529">
        <v>2871.7391304347825</v>
      </c>
      <c r="F2529" t="s">
        <v>13452</v>
      </c>
    </row>
    <row r="2530" spans="1:6">
      <c r="A2530" s="306"/>
      <c r="B2530" t="s">
        <v>8529</v>
      </c>
      <c r="C2530" t="s">
        <v>8530</v>
      </c>
      <c r="E2530">
        <v>3451.086956521739</v>
      </c>
      <c r="F2530" t="s">
        <v>13452</v>
      </c>
    </row>
    <row r="2531" spans="1:6">
      <c r="A2531" s="306"/>
      <c r="B2531" t="s">
        <v>13455</v>
      </c>
      <c r="C2531" t="s">
        <v>13456</v>
      </c>
      <c r="E2531">
        <v>3629.3478260869565</v>
      </c>
      <c r="F2531" t="s">
        <v>13452</v>
      </c>
    </row>
    <row r="2532" spans="1:6">
      <c r="A2532" s="306"/>
      <c r="B2532" t="s">
        <v>13457</v>
      </c>
      <c r="C2532" t="s">
        <v>13458</v>
      </c>
      <c r="E2532">
        <v>5327.173913043478</v>
      </c>
      <c r="F2532" t="s">
        <v>13452</v>
      </c>
    </row>
    <row r="2533" spans="1:6">
      <c r="A2533" s="306"/>
      <c r="B2533" t="s">
        <v>13459</v>
      </c>
      <c r="C2533" t="s">
        <v>13460</v>
      </c>
      <c r="E2533">
        <v>4002.173913043478</v>
      </c>
      <c r="F2533" t="s">
        <v>13452</v>
      </c>
    </row>
    <row r="2534" spans="1:6">
      <c r="A2534" s="306"/>
      <c r="B2534" t="s">
        <v>13461</v>
      </c>
      <c r="C2534" t="s">
        <v>13462</v>
      </c>
      <c r="E2534">
        <v>5700</v>
      </c>
      <c r="F2534" t="s">
        <v>13452</v>
      </c>
    </row>
    <row r="2535" spans="1:6">
      <c r="A2535" s="306"/>
      <c r="B2535" t="s">
        <v>13463</v>
      </c>
      <c r="C2535" t="s">
        <v>13464</v>
      </c>
      <c r="E2535">
        <v>4667.391304347826</v>
      </c>
      <c r="F2535" t="s">
        <v>13452</v>
      </c>
    </row>
    <row r="2536" spans="1:6">
      <c r="A2536" s="306"/>
      <c r="B2536" t="s">
        <v>13465</v>
      </c>
      <c r="C2536" t="s">
        <v>13466</v>
      </c>
      <c r="E2536">
        <v>7402.173913043478</v>
      </c>
      <c r="F2536" t="s">
        <v>13452</v>
      </c>
    </row>
    <row r="2537" spans="1:6">
      <c r="A2537" s="306"/>
      <c r="B2537" t="s">
        <v>13467</v>
      </c>
      <c r="C2537" t="s">
        <v>13468</v>
      </c>
      <c r="E2537">
        <v>5039.1304347826081</v>
      </c>
      <c r="F2537" t="s">
        <v>13452</v>
      </c>
    </row>
    <row r="2538" spans="1:6">
      <c r="A2538" s="306"/>
      <c r="B2538" t="s">
        <v>13469</v>
      </c>
      <c r="C2538" t="s">
        <v>13470</v>
      </c>
      <c r="E2538">
        <v>7775</v>
      </c>
      <c r="F2538" t="s">
        <v>13452</v>
      </c>
    </row>
    <row r="2539" spans="1:6">
      <c r="A2539" s="306"/>
      <c r="B2539" t="s">
        <v>13471</v>
      </c>
      <c r="C2539" t="s">
        <v>13472</v>
      </c>
      <c r="E2539">
        <v>3540.2173913043475</v>
      </c>
      <c r="F2539" t="s">
        <v>13452</v>
      </c>
    </row>
    <row r="2540" spans="1:6">
      <c r="A2540" s="306"/>
      <c r="B2540" t="s">
        <v>8508</v>
      </c>
      <c r="C2540" t="s">
        <v>13473</v>
      </c>
      <c r="E2540">
        <v>5150</v>
      </c>
      <c r="F2540" t="s">
        <v>13452</v>
      </c>
    </row>
    <row r="2541" spans="1:6">
      <c r="A2541" s="306"/>
      <c r="B2541" t="s">
        <v>13474</v>
      </c>
      <c r="C2541" t="s">
        <v>13475</v>
      </c>
      <c r="E2541">
        <v>3913.0434782608695</v>
      </c>
      <c r="F2541" t="s">
        <v>13452</v>
      </c>
    </row>
    <row r="2542" spans="1:6">
      <c r="A2542" s="306"/>
      <c r="B2542" t="s">
        <v>8507</v>
      </c>
      <c r="C2542" t="s">
        <v>13476</v>
      </c>
      <c r="E2542">
        <v>5522.8260869565211</v>
      </c>
      <c r="F2542" t="s">
        <v>13452</v>
      </c>
    </row>
    <row r="2543" spans="1:6">
      <c r="A2543" s="306"/>
      <c r="B2543" t="s">
        <v>13477</v>
      </c>
      <c r="C2543" t="s">
        <v>13478</v>
      </c>
      <c r="E2543">
        <v>4525</v>
      </c>
      <c r="F2543" t="s">
        <v>13452</v>
      </c>
    </row>
    <row r="2544" spans="1:6">
      <c r="A2544" s="306"/>
      <c r="B2544" t="s">
        <v>8510</v>
      </c>
      <c r="C2544" t="s">
        <v>13479</v>
      </c>
      <c r="E2544">
        <v>7142.391304347826</v>
      </c>
      <c r="F2544" t="s">
        <v>13452</v>
      </c>
    </row>
    <row r="2545" spans="1:6">
      <c r="A2545" s="306"/>
      <c r="B2545" t="s">
        <v>13480</v>
      </c>
      <c r="C2545" t="s">
        <v>13481</v>
      </c>
      <c r="E2545">
        <v>4909.782608695652</v>
      </c>
      <c r="F2545" t="s">
        <v>13452</v>
      </c>
    </row>
    <row r="2546" spans="1:6">
      <c r="A2546" s="306"/>
      <c r="B2546" t="s">
        <v>8509</v>
      </c>
      <c r="C2546" t="s">
        <v>13482</v>
      </c>
      <c r="E2546">
        <v>7515.2173913043471</v>
      </c>
      <c r="F2546" t="s">
        <v>13452</v>
      </c>
    </row>
    <row r="2547" spans="1:6">
      <c r="A2547" s="306"/>
      <c r="B2547" t="s">
        <v>13483</v>
      </c>
      <c r="C2547" t="s">
        <v>13484</v>
      </c>
      <c r="E2547">
        <v>7004.347826086956</v>
      </c>
      <c r="F2547" t="s">
        <v>13452</v>
      </c>
    </row>
    <row r="2548" spans="1:6">
      <c r="A2548" s="306"/>
      <c r="B2548" t="s">
        <v>13485</v>
      </c>
      <c r="C2548" t="s">
        <v>13486</v>
      </c>
      <c r="E2548">
        <v>17905.434782608696</v>
      </c>
      <c r="F2548" t="s">
        <v>13452</v>
      </c>
    </row>
    <row r="2549" spans="1:6">
      <c r="A2549" s="306"/>
      <c r="B2549" t="s">
        <v>13487</v>
      </c>
      <c r="C2549" t="s">
        <v>13488</v>
      </c>
      <c r="E2549">
        <v>1656.5217391304348</v>
      </c>
      <c r="F2549" t="s">
        <v>13452</v>
      </c>
    </row>
    <row r="2550" spans="1:6">
      <c r="A2550" s="306"/>
      <c r="B2550" t="s">
        <v>13489</v>
      </c>
      <c r="C2550" t="s">
        <v>13490</v>
      </c>
      <c r="E2550">
        <v>1822.8260869565217</v>
      </c>
      <c r="F2550" t="s">
        <v>13452</v>
      </c>
    </row>
    <row r="2551" spans="1:6">
      <c r="A2551" s="306"/>
      <c r="B2551" t="s">
        <v>13491</v>
      </c>
      <c r="C2551" t="s">
        <v>13492</v>
      </c>
      <c r="E2551">
        <v>1656.5217391304348</v>
      </c>
      <c r="F2551" t="s">
        <v>13452</v>
      </c>
    </row>
    <row r="2552" spans="1:6">
      <c r="A2552" s="306"/>
      <c r="B2552" t="s">
        <v>13493</v>
      </c>
      <c r="C2552" t="s">
        <v>13494</v>
      </c>
      <c r="E2552">
        <v>1822.8260869565217</v>
      </c>
      <c r="F2552" t="s">
        <v>13452</v>
      </c>
    </row>
    <row r="2553" spans="1:6">
      <c r="A2553" s="306"/>
      <c r="B2553" t="s">
        <v>13495</v>
      </c>
      <c r="C2553" t="s">
        <v>13496</v>
      </c>
      <c r="E2553">
        <v>1656.5217391304348</v>
      </c>
      <c r="F2553" t="s">
        <v>13452</v>
      </c>
    </row>
    <row r="2554" spans="1:6">
      <c r="A2554" s="306"/>
      <c r="B2554" t="s">
        <v>13497</v>
      </c>
      <c r="C2554" t="s">
        <v>13498</v>
      </c>
      <c r="E2554">
        <v>1822.8260869565217</v>
      </c>
      <c r="F2554" t="s">
        <v>13452</v>
      </c>
    </row>
    <row r="2555" spans="1:6">
      <c r="A2555" s="306"/>
      <c r="B2555" t="s">
        <v>13499</v>
      </c>
      <c r="C2555" t="s">
        <v>13500</v>
      </c>
      <c r="E2555">
        <v>1756.5217391304348</v>
      </c>
      <c r="F2555" t="s">
        <v>13452</v>
      </c>
    </row>
    <row r="2556" spans="1:6">
      <c r="A2556" s="306"/>
      <c r="B2556" t="s">
        <v>13501</v>
      </c>
      <c r="C2556" t="s">
        <v>13502</v>
      </c>
      <c r="E2556">
        <v>11251.086956521738</v>
      </c>
      <c r="F2556" t="s">
        <v>13452</v>
      </c>
    </row>
    <row r="2557" spans="1:6">
      <c r="A2557" s="306"/>
      <c r="B2557" t="s">
        <v>13503</v>
      </c>
      <c r="C2557" t="s">
        <v>13504</v>
      </c>
      <c r="E2557">
        <v>8464.1304347826081</v>
      </c>
      <c r="F2557" t="s">
        <v>13452</v>
      </c>
    </row>
    <row r="2558" spans="1:6">
      <c r="A2558" s="306"/>
      <c r="B2558" t="s">
        <v>13505</v>
      </c>
      <c r="C2558" t="s">
        <v>13506</v>
      </c>
      <c r="E2558">
        <v>14057.608695652174</v>
      </c>
      <c r="F2558" t="s">
        <v>13452</v>
      </c>
    </row>
    <row r="2559" spans="1:6">
      <c r="A2559" s="306"/>
      <c r="B2559" t="s">
        <v>13507</v>
      </c>
      <c r="C2559" t="s">
        <v>13508</v>
      </c>
      <c r="E2559">
        <v>11270.652173913042</v>
      </c>
      <c r="F2559" t="s">
        <v>13452</v>
      </c>
    </row>
    <row r="2560" spans="1:6">
      <c r="A2560" s="306"/>
      <c r="B2560" t="s">
        <v>13509</v>
      </c>
      <c r="C2560" t="s">
        <v>13510</v>
      </c>
      <c r="E2560">
        <v>8444.565217391304</v>
      </c>
      <c r="F2560" t="s">
        <v>13452</v>
      </c>
    </row>
    <row r="2561" spans="1:6">
      <c r="A2561" s="306"/>
      <c r="B2561" t="s">
        <v>13511</v>
      </c>
      <c r="C2561" t="s">
        <v>13512</v>
      </c>
      <c r="E2561">
        <v>5657.608695652174</v>
      </c>
      <c r="F2561" t="s">
        <v>13452</v>
      </c>
    </row>
    <row r="2562" spans="1:6">
      <c r="A2562" s="306"/>
      <c r="B2562" t="s">
        <v>13513</v>
      </c>
      <c r="C2562" t="s">
        <v>13514</v>
      </c>
      <c r="E2562">
        <v>2870.6521739130435</v>
      </c>
      <c r="F2562" t="s">
        <v>13452</v>
      </c>
    </row>
    <row r="2563" spans="1:6">
      <c r="A2563" s="306"/>
      <c r="B2563" s="325">
        <v>641100000000000</v>
      </c>
      <c r="C2563" t="s">
        <v>13515</v>
      </c>
      <c r="E2563">
        <v>5327.173913043478</v>
      </c>
      <c r="F2563" t="s">
        <v>13452</v>
      </c>
    </row>
    <row r="2564" spans="1:6">
      <c r="A2564" s="306"/>
      <c r="B2564" s="325">
        <v>6411000000000000</v>
      </c>
      <c r="C2564" t="s">
        <v>13516</v>
      </c>
      <c r="E2564">
        <v>8909.782608695652</v>
      </c>
      <c r="F2564" t="s">
        <v>13452</v>
      </c>
    </row>
    <row r="2565" spans="1:6">
      <c r="A2565" s="306"/>
      <c r="B2565" s="325">
        <v>6.411E+16</v>
      </c>
      <c r="C2565" t="s">
        <v>13517</v>
      </c>
      <c r="E2565">
        <v>5548.913043478261</v>
      </c>
      <c r="F2565" t="s">
        <v>13452</v>
      </c>
    </row>
    <row r="2566" spans="1:6">
      <c r="A2566" s="306"/>
      <c r="B2566" s="325">
        <v>6.411E+17</v>
      </c>
      <c r="C2566" t="s">
        <v>13518</v>
      </c>
      <c r="E2566">
        <v>7571.7391304347821</v>
      </c>
      <c r="F2566" t="s">
        <v>13452</v>
      </c>
    </row>
    <row r="2567" spans="1:6">
      <c r="A2567" s="306"/>
      <c r="B2567" s="325">
        <v>6.411E+19</v>
      </c>
      <c r="C2567" t="s">
        <v>13519</v>
      </c>
      <c r="E2567">
        <v>5700</v>
      </c>
      <c r="F2567" t="s">
        <v>13452</v>
      </c>
    </row>
    <row r="2568" spans="1:6">
      <c r="A2568" s="306"/>
      <c r="B2568" s="325">
        <v>6.411E+20</v>
      </c>
      <c r="C2568" t="s">
        <v>13520</v>
      </c>
      <c r="E2568">
        <v>5921.7391304347821</v>
      </c>
      <c r="F2568" t="s">
        <v>13452</v>
      </c>
    </row>
    <row r="2569" spans="1:6">
      <c r="A2569" s="306"/>
      <c r="B2569" s="325">
        <v>6.4110000000000003E+21</v>
      </c>
      <c r="C2569" t="s">
        <v>13521</v>
      </c>
      <c r="E2569">
        <v>7203.260869565217</v>
      </c>
      <c r="F2569" t="s">
        <v>13452</v>
      </c>
    </row>
    <row r="2570" spans="1:6">
      <c r="A2570" s="306"/>
      <c r="B2570" s="325">
        <v>6.4110000000000001E+22</v>
      </c>
      <c r="C2570" t="s">
        <v>13522</v>
      </c>
      <c r="E2570">
        <v>7566.304347826087</v>
      </c>
      <c r="F2570" t="s">
        <v>13452</v>
      </c>
    </row>
    <row r="2571" spans="1:6">
      <c r="A2571" s="306"/>
      <c r="B2571" s="325">
        <v>6.4110000000000003E+24</v>
      </c>
      <c r="C2571" t="s">
        <v>13523</v>
      </c>
      <c r="E2571">
        <v>13179.347826086956</v>
      </c>
      <c r="F2571" t="s">
        <v>13452</v>
      </c>
    </row>
    <row r="2572" spans="1:6">
      <c r="A2572" s="306"/>
      <c r="B2572" s="325">
        <v>6.411E+25</v>
      </c>
      <c r="C2572" t="s">
        <v>13524</v>
      </c>
      <c r="E2572">
        <v>7929.347826086956</v>
      </c>
      <c r="F2572" t="s">
        <v>13452</v>
      </c>
    </row>
    <row r="2573" spans="1:6">
      <c r="A2573" s="306"/>
      <c r="B2573" s="325">
        <v>6.4109999999999995E+26</v>
      </c>
      <c r="C2573" t="s">
        <v>13525</v>
      </c>
      <c r="E2573">
        <v>6646.7391304347821</v>
      </c>
      <c r="F2573" t="s">
        <v>13452</v>
      </c>
    </row>
    <row r="2574" spans="1:6">
      <c r="A2574" s="306"/>
      <c r="B2574" s="325">
        <v>6.4110000000000001E+27</v>
      </c>
      <c r="C2574" t="s">
        <v>13526</v>
      </c>
      <c r="E2574">
        <v>7370.652173913043</v>
      </c>
      <c r="F2574" t="s">
        <v>13452</v>
      </c>
    </row>
    <row r="2575" spans="1:6">
      <c r="A2575" s="306"/>
      <c r="B2575" s="325">
        <v>6.4110000000000003E+28</v>
      </c>
      <c r="C2575" t="s">
        <v>13527</v>
      </c>
      <c r="E2575">
        <v>15203.260869565216</v>
      </c>
      <c r="F2575" t="s">
        <v>13452</v>
      </c>
    </row>
    <row r="2576" spans="1:6">
      <c r="A2576" s="306"/>
      <c r="B2576" s="325">
        <v>6.4109999999999996E+29</v>
      </c>
      <c r="C2576" t="s">
        <v>13528</v>
      </c>
      <c r="E2576">
        <v>8858.6956521739121</v>
      </c>
      <c r="F2576" t="s">
        <v>13452</v>
      </c>
    </row>
    <row r="2577" spans="1:6">
      <c r="A2577" s="306"/>
      <c r="B2577" s="325">
        <v>6.4110000000000002E+30</v>
      </c>
      <c r="C2577" t="s">
        <v>13529</v>
      </c>
      <c r="E2577">
        <v>8651.0869565217381</v>
      </c>
      <c r="F2577" t="s">
        <v>13452</v>
      </c>
    </row>
    <row r="2578" spans="1:6">
      <c r="A2578" s="306"/>
      <c r="B2578" s="325">
        <v>6.4110000000000004E+31</v>
      </c>
      <c r="C2578" t="s">
        <v>13530</v>
      </c>
      <c r="E2578">
        <v>8878.2608695652161</v>
      </c>
      <c r="F2578" t="s">
        <v>13452</v>
      </c>
    </row>
    <row r="2579" spans="1:6">
      <c r="A2579" s="306"/>
      <c r="B2579" s="325">
        <v>6.4109999999999998E+32</v>
      </c>
      <c r="C2579" t="s">
        <v>13531</v>
      </c>
      <c r="E2579">
        <v>7743.478260869565</v>
      </c>
      <c r="F2579" t="s">
        <v>13452</v>
      </c>
    </row>
    <row r="2580" spans="1:6">
      <c r="A2580" s="306"/>
      <c r="B2580" s="325">
        <v>6.4110000000000001E+34</v>
      </c>
      <c r="C2580" t="s">
        <v>13532</v>
      </c>
      <c r="E2580">
        <v>9558.6956521739121</v>
      </c>
      <c r="F2580" t="s">
        <v>13452</v>
      </c>
    </row>
    <row r="2581" spans="1:6">
      <c r="A2581" s="306"/>
      <c r="B2581" s="325">
        <v>6.4109999999999994E+36</v>
      </c>
      <c r="C2581" t="s">
        <v>13533</v>
      </c>
      <c r="E2581">
        <v>9195.652173913044</v>
      </c>
      <c r="F2581" t="s">
        <v>13452</v>
      </c>
    </row>
    <row r="2582" spans="1:6">
      <c r="A2582" s="306"/>
      <c r="B2582" s="325">
        <v>6.4109999999999997E+37</v>
      </c>
      <c r="C2582" t="s">
        <v>13534</v>
      </c>
      <c r="E2582">
        <v>18515.217391304348</v>
      </c>
      <c r="F2582" t="s">
        <v>13452</v>
      </c>
    </row>
    <row r="2583" spans="1:6">
      <c r="A2583" s="306"/>
      <c r="B2583" s="325">
        <v>6.4110000000000002E+38</v>
      </c>
      <c r="C2583" t="s">
        <v>13535</v>
      </c>
      <c r="E2583">
        <v>10530.434782608696</v>
      </c>
      <c r="F2583" t="s">
        <v>13452</v>
      </c>
    </row>
    <row r="2584" spans="1:6">
      <c r="A2584" s="306"/>
      <c r="B2584" s="325">
        <v>6.4109999999999995E+39</v>
      </c>
      <c r="C2584" t="s">
        <v>13536</v>
      </c>
      <c r="E2584">
        <v>8832.608695652174</v>
      </c>
      <c r="F2584" t="s">
        <v>13452</v>
      </c>
    </row>
    <row r="2585" spans="1:6">
      <c r="A2585" s="306"/>
      <c r="B2585" s="325">
        <v>6.4110000000000005E+40</v>
      </c>
      <c r="C2585" t="s">
        <v>13531</v>
      </c>
      <c r="E2585">
        <v>7743.478260869565</v>
      </c>
      <c r="F2585" t="s">
        <v>13452</v>
      </c>
    </row>
    <row r="2586" spans="1:6">
      <c r="A2586" s="306"/>
      <c r="B2586" t="s">
        <v>13537</v>
      </c>
    </row>
    <row r="2587" spans="1:6">
      <c r="A2587" s="306"/>
      <c r="B2587" t="s">
        <v>13538</v>
      </c>
      <c r="C2587" t="s">
        <v>13539</v>
      </c>
      <c r="E2587">
        <v>4170.652173913043</v>
      </c>
      <c r="F2587" t="s">
        <v>13540</v>
      </c>
    </row>
    <row r="2588" spans="1:6">
      <c r="A2588" s="306"/>
      <c r="B2588" t="s">
        <v>13541</v>
      </c>
      <c r="C2588" t="s">
        <v>13542</v>
      </c>
      <c r="E2588">
        <v>4000</v>
      </c>
      <c r="F2588" t="s">
        <v>13540</v>
      </c>
    </row>
    <row r="2589" spans="1:6">
      <c r="A2589" s="306"/>
      <c r="B2589" t="s">
        <v>13543</v>
      </c>
      <c r="C2589" t="s">
        <v>13544</v>
      </c>
      <c r="E2589">
        <v>4170.652173913043</v>
      </c>
      <c r="F2589" t="s">
        <v>13540</v>
      </c>
    </row>
    <row r="2590" spans="1:6">
      <c r="A2590" s="306"/>
      <c r="B2590" t="s">
        <v>13545</v>
      </c>
      <c r="C2590" t="s">
        <v>13546</v>
      </c>
      <c r="E2590">
        <v>4203.260869565217</v>
      </c>
      <c r="F2590" t="s">
        <v>13540</v>
      </c>
    </row>
    <row r="2591" spans="1:6">
      <c r="A2591" s="306"/>
      <c r="B2591" t="s">
        <v>13547</v>
      </c>
      <c r="C2591" t="s">
        <v>13548</v>
      </c>
      <c r="E2591">
        <v>4958.695652173913</v>
      </c>
      <c r="F2591" t="s">
        <v>13540</v>
      </c>
    </row>
    <row r="2592" spans="1:6">
      <c r="A2592" s="306"/>
      <c r="B2592" t="s">
        <v>13549</v>
      </c>
      <c r="C2592" t="s">
        <v>13550</v>
      </c>
      <c r="E2592">
        <v>5258.695652173913</v>
      </c>
      <c r="F2592" t="s">
        <v>13540</v>
      </c>
    </row>
    <row r="2593" spans="1:6">
      <c r="A2593" s="306"/>
      <c r="B2593" t="s">
        <v>13551</v>
      </c>
      <c r="C2593" t="s">
        <v>13552</v>
      </c>
      <c r="E2593">
        <v>4681.521739130435</v>
      </c>
      <c r="F2593" t="s">
        <v>13540</v>
      </c>
    </row>
    <row r="2594" spans="1:6">
      <c r="A2594" s="306"/>
      <c r="B2594" t="s">
        <v>13553</v>
      </c>
      <c r="C2594" t="s">
        <v>13554</v>
      </c>
      <c r="E2594">
        <v>5129.347826086956</v>
      </c>
      <c r="F2594" t="s">
        <v>13540</v>
      </c>
    </row>
    <row r="2595" spans="1:6">
      <c r="A2595" s="306"/>
      <c r="B2595" t="s">
        <v>13555</v>
      </c>
      <c r="C2595" t="s">
        <v>13556</v>
      </c>
      <c r="E2595">
        <v>5803.260869565217</v>
      </c>
      <c r="F2595" t="s">
        <v>13540</v>
      </c>
    </row>
    <row r="2596" spans="1:6">
      <c r="A2596" s="306"/>
      <c r="B2596" t="s">
        <v>13557</v>
      </c>
      <c r="C2596" t="s">
        <v>13558</v>
      </c>
      <c r="E2596">
        <v>4679.347826086956</v>
      </c>
      <c r="F2596" t="s">
        <v>13540</v>
      </c>
    </row>
    <row r="2597" spans="1:6">
      <c r="A2597" s="306"/>
      <c r="B2597" t="s">
        <v>13559</v>
      </c>
      <c r="C2597" t="s">
        <v>13560</v>
      </c>
      <c r="E2597">
        <v>5498.913043478261</v>
      </c>
      <c r="F2597" t="s">
        <v>13540</v>
      </c>
    </row>
    <row r="2598" spans="1:6">
      <c r="A2598" s="306"/>
      <c r="B2598" t="s">
        <v>13561</v>
      </c>
      <c r="C2598" t="s">
        <v>13562</v>
      </c>
      <c r="E2598">
        <v>4881.521739130435</v>
      </c>
      <c r="F2598" t="s">
        <v>13540</v>
      </c>
    </row>
    <row r="2599" spans="1:6">
      <c r="A2599" s="306"/>
      <c r="B2599" t="s">
        <v>13563</v>
      </c>
      <c r="C2599" t="s">
        <v>13564</v>
      </c>
      <c r="E2599">
        <v>3838.0434782608695</v>
      </c>
      <c r="F2599" t="s">
        <v>13540</v>
      </c>
    </row>
    <row r="2600" spans="1:6">
      <c r="A2600" s="306"/>
      <c r="B2600" t="s">
        <v>13565</v>
      </c>
      <c r="C2600" t="s">
        <v>13566</v>
      </c>
      <c r="E2600">
        <v>4372.826086956522</v>
      </c>
      <c r="F2600" t="s">
        <v>13540</v>
      </c>
    </row>
    <row r="2601" spans="1:6">
      <c r="A2601" s="306"/>
      <c r="B2601" t="s">
        <v>13567</v>
      </c>
      <c r="C2601" t="s">
        <v>13568</v>
      </c>
      <c r="E2601">
        <v>4381.521739130435</v>
      </c>
      <c r="F2601" t="s">
        <v>13540</v>
      </c>
    </row>
    <row r="2602" spans="1:6">
      <c r="A2602" s="306"/>
      <c r="B2602" t="s">
        <v>13569</v>
      </c>
      <c r="C2602" t="s">
        <v>13570</v>
      </c>
      <c r="E2602">
        <v>4300</v>
      </c>
      <c r="F2602" t="s">
        <v>13540</v>
      </c>
    </row>
    <row r="2603" spans="1:6">
      <c r="A2603" s="306"/>
      <c r="B2603" t="s">
        <v>13571</v>
      </c>
      <c r="C2603" t="s">
        <v>13572</v>
      </c>
      <c r="E2603">
        <v>4959.782608695652</v>
      </c>
      <c r="F2603" t="s">
        <v>13540</v>
      </c>
    </row>
    <row r="2604" spans="1:6">
      <c r="A2604" s="306"/>
      <c r="B2604" t="s">
        <v>13573</v>
      </c>
      <c r="C2604" t="s">
        <v>13574</v>
      </c>
      <c r="E2604">
        <v>5880.4347826086951</v>
      </c>
      <c r="F2604" t="s">
        <v>13540</v>
      </c>
    </row>
    <row r="2605" spans="1:6">
      <c r="A2605" s="306"/>
      <c r="B2605" t="s">
        <v>13575</v>
      </c>
      <c r="C2605" t="s">
        <v>13576</v>
      </c>
      <c r="E2605">
        <v>5067.391304347826</v>
      </c>
      <c r="F2605" t="s">
        <v>13540</v>
      </c>
    </row>
    <row r="2606" spans="1:6">
      <c r="A2606" s="306"/>
      <c r="B2606" t="s">
        <v>13577</v>
      </c>
      <c r="C2606" t="s">
        <v>13578</v>
      </c>
      <c r="E2606">
        <v>4594.565217391304</v>
      </c>
      <c r="F2606" t="s">
        <v>13540</v>
      </c>
    </row>
    <row r="2607" spans="1:6">
      <c r="A2607" s="306"/>
      <c r="B2607" t="s">
        <v>13579</v>
      </c>
      <c r="C2607" t="s">
        <v>13570</v>
      </c>
      <c r="E2607">
        <v>4503.260869565217</v>
      </c>
      <c r="F2607" t="s">
        <v>13540</v>
      </c>
    </row>
    <row r="2608" spans="1:6">
      <c r="A2608" s="306"/>
      <c r="B2608" t="s">
        <v>13580</v>
      </c>
      <c r="C2608" t="s">
        <v>13581</v>
      </c>
      <c r="E2608">
        <v>4300</v>
      </c>
      <c r="F2608" t="s">
        <v>13540</v>
      </c>
    </row>
    <row r="2609" spans="1:6">
      <c r="A2609" s="306"/>
      <c r="B2609" t="s">
        <v>13582</v>
      </c>
      <c r="C2609" t="s">
        <v>13583</v>
      </c>
      <c r="E2609">
        <v>4765.217391304348</v>
      </c>
      <c r="F2609" t="s">
        <v>13540</v>
      </c>
    </row>
    <row r="2610" spans="1:6">
      <c r="A2610" s="306"/>
      <c r="B2610" t="s">
        <v>13584</v>
      </c>
      <c r="C2610" t="s">
        <v>13585</v>
      </c>
      <c r="E2610">
        <v>4894.565217391304</v>
      </c>
      <c r="F2610" t="s">
        <v>13540</v>
      </c>
    </row>
    <row r="2611" spans="1:6">
      <c r="A2611" s="306"/>
      <c r="B2611" t="s">
        <v>13586</v>
      </c>
      <c r="C2611" t="s">
        <v>13587</v>
      </c>
      <c r="E2611">
        <v>4432.608695652174</v>
      </c>
      <c r="F2611" t="s">
        <v>13540</v>
      </c>
    </row>
    <row r="2612" spans="1:6">
      <c r="A2612" s="306"/>
      <c r="B2612" t="s">
        <v>13588</v>
      </c>
      <c r="C2612" t="s">
        <v>13589</v>
      </c>
      <c r="E2612">
        <v>3838.0434782608695</v>
      </c>
      <c r="F2612" t="s">
        <v>13540</v>
      </c>
    </row>
    <row r="2613" spans="1:6">
      <c r="A2613" s="306"/>
      <c r="B2613" t="s">
        <v>13590</v>
      </c>
      <c r="C2613" t="s">
        <v>13591</v>
      </c>
      <c r="E2613">
        <v>4897.826086956522</v>
      </c>
      <c r="F2613" t="s">
        <v>13540</v>
      </c>
    </row>
    <row r="2614" spans="1:6">
      <c r="A2614" s="306"/>
      <c r="B2614" t="s">
        <v>13592</v>
      </c>
      <c r="C2614" t="s">
        <v>13593</v>
      </c>
      <c r="E2614">
        <v>4735.869565217391</v>
      </c>
      <c r="F2614" t="s">
        <v>13540</v>
      </c>
    </row>
    <row r="2615" spans="1:6">
      <c r="A2615" s="306"/>
      <c r="B2615" t="s">
        <v>13594</v>
      </c>
      <c r="C2615" t="s">
        <v>13595</v>
      </c>
      <c r="E2615">
        <v>4552.173913043478</v>
      </c>
      <c r="F2615" t="s">
        <v>13540</v>
      </c>
    </row>
    <row r="2616" spans="1:6">
      <c r="A2616" s="306"/>
      <c r="B2616" t="s">
        <v>13596</v>
      </c>
      <c r="C2616" t="s">
        <v>13597</v>
      </c>
      <c r="E2616">
        <v>5421.7391304347821</v>
      </c>
      <c r="F2616" t="s">
        <v>13540</v>
      </c>
    </row>
    <row r="2617" spans="1:6">
      <c r="A2617" s="306"/>
      <c r="B2617" t="s">
        <v>13598</v>
      </c>
      <c r="C2617" t="s">
        <v>13599</v>
      </c>
      <c r="E2617">
        <v>3635.869565217391</v>
      </c>
      <c r="F2617" t="s">
        <v>13540</v>
      </c>
    </row>
    <row r="2618" spans="1:6">
      <c r="A2618" s="306"/>
      <c r="B2618" t="s">
        <v>13600</v>
      </c>
      <c r="C2618" t="s">
        <v>13601</v>
      </c>
      <c r="E2618">
        <v>4097.826086956522</v>
      </c>
      <c r="F2618" t="s">
        <v>13540</v>
      </c>
    </row>
    <row r="2619" spans="1:6">
      <c r="A2619" s="306"/>
      <c r="B2619" t="s">
        <v>13602</v>
      </c>
      <c r="C2619" t="s">
        <v>13603</v>
      </c>
      <c r="E2619">
        <v>4219.565217391304</v>
      </c>
      <c r="F2619" t="s">
        <v>13540</v>
      </c>
    </row>
    <row r="2620" spans="1:6">
      <c r="A2620" s="306"/>
      <c r="B2620" t="s">
        <v>13604</v>
      </c>
      <c r="C2620" t="s">
        <v>13605</v>
      </c>
      <c r="E2620">
        <v>5197.8260869565211</v>
      </c>
      <c r="F2620" t="s">
        <v>13540</v>
      </c>
    </row>
    <row r="2621" spans="1:6">
      <c r="A2621" s="306"/>
      <c r="B2621" t="s">
        <v>13606</v>
      </c>
      <c r="C2621" t="s">
        <v>13607</v>
      </c>
      <c r="E2621">
        <v>4000</v>
      </c>
      <c r="F2621" t="s">
        <v>13540</v>
      </c>
    </row>
    <row r="2622" spans="1:6">
      <c r="A2622" s="306"/>
      <c r="B2622" t="s">
        <v>13608</v>
      </c>
      <c r="C2622" t="s">
        <v>13609</v>
      </c>
      <c r="E2622">
        <v>4796.7391304347821</v>
      </c>
      <c r="F2622" t="s">
        <v>13540</v>
      </c>
    </row>
    <row r="2623" spans="1:6">
      <c r="A2623" s="306"/>
      <c r="B2623" t="s">
        <v>13610</v>
      </c>
      <c r="C2623" t="s">
        <v>13611</v>
      </c>
      <c r="E2623">
        <v>4756.521739130435</v>
      </c>
      <c r="F2623" t="s">
        <v>13540</v>
      </c>
    </row>
    <row r="2624" spans="1:6">
      <c r="A2624" s="306"/>
      <c r="B2624" t="s">
        <v>13612</v>
      </c>
      <c r="C2624" t="s">
        <v>13613</v>
      </c>
      <c r="E2624">
        <v>3968.478260869565</v>
      </c>
      <c r="F2624" t="s">
        <v>13540</v>
      </c>
    </row>
    <row r="2625" spans="1:6">
      <c r="A2625" s="306"/>
      <c r="B2625" t="s">
        <v>13614</v>
      </c>
      <c r="C2625" t="s">
        <v>13615</v>
      </c>
      <c r="E2625">
        <v>4041.304347826087</v>
      </c>
      <c r="F2625" t="s">
        <v>13540</v>
      </c>
    </row>
    <row r="2626" spans="1:6">
      <c r="A2626" s="306"/>
      <c r="B2626" t="s">
        <v>8503</v>
      </c>
      <c r="C2626" t="s">
        <v>13616</v>
      </c>
      <c r="E2626">
        <v>3797.8260869565215</v>
      </c>
      <c r="F2626" t="s">
        <v>13540</v>
      </c>
    </row>
    <row r="2627" spans="1:6">
      <c r="A2627" s="306"/>
      <c r="B2627" t="s">
        <v>13617</v>
      </c>
    </row>
    <row r="2628" spans="1:6">
      <c r="A2628" s="306"/>
      <c r="B2628" t="s">
        <v>13618</v>
      </c>
      <c r="C2628" t="s">
        <v>13619</v>
      </c>
      <c r="E2628">
        <v>5123.913043478261</v>
      </c>
      <c r="F2628" t="s">
        <v>13540</v>
      </c>
    </row>
    <row r="2629" spans="1:6">
      <c r="A2629" s="306"/>
      <c r="B2629" t="s">
        <v>13620</v>
      </c>
      <c r="C2629" t="s">
        <v>13621</v>
      </c>
      <c r="E2629">
        <v>5257.608695652174</v>
      </c>
      <c r="F2629" t="s">
        <v>13540</v>
      </c>
    </row>
    <row r="2630" spans="1:6">
      <c r="A2630" s="306"/>
      <c r="B2630" t="s">
        <v>13622</v>
      </c>
      <c r="C2630" t="s">
        <v>13623</v>
      </c>
      <c r="E2630">
        <v>6953.260869565217</v>
      </c>
      <c r="F2630" t="s">
        <v>13540</v>
      </c>
    </row>
    <row r="2631" spans="1:6">
      <c r="A2631" s="306"/>
      <c r="B2631" t="s">
        <v>8504</v>
      </c>
      <c r="C2631" t="s">
        <v>13624</v>
      </c>
      <c r="E2631">
        <v>5419.565217391304</v>
      </c>
      <c r="F2631" t="s">
        <v>13540</v>
      </c>
    </row>
    <row r="2632" spans="1:6">
      <c r="A2632" s="306"/>
      <c r="B2632" t="s">
        <v>13625</v>
      </c>
      <c r="C2632" t="s">
        <v>13626</v>
      </c>
      <c r="E2632">
        <v>7829.347826086956</v>
      </c>
      <c r="F2632" t="s">
        <v>13540</v>
      </c>
    </row>
    <row r="2633" spans="1:6">
      <c r="A2633" s="306"/>
      <c r="B2633" t="s">
        <v>13627</v>
      </c>
      <c r="C2633" t="s">
        <v>13628</v>
      </c>
      <c r="E2633">
        <v>7634.782608695652</v>
      </c>
      <c r="F2633" t="s">
        <v>13540</v>
      </c>
    </row>
    <row r="2634" spans="1:6">
      <c r="A2634" s="306"/>
      <c r="B2634" t="s">
        <v>13629</v>
      </c>
      <c r="C2634" t="s">
        <v>13630</v>
      </c>
      <c r="E2634">
        <v>5548.913043478261</v>
      </c>
      <c r="F2634" t="s">
        <v>13540</v>
      </c>
    </row>
    <row r="2635" spans="1:6">
      <c r="A2635" s="306"/>
      <c r="B2635" t="s">
        <v>8505</v>
      </c>
      <c r="C2635" t="s">
        <v>13631</v>
      </c>
      <c r="E2635">
        <v>6558.695652173913</v>
      </c>
      <c r="F2635" t="s">
        <v>13540</v>
      </c>
    </row>
    <row r="2636" spans="1:6">
      <c r="A2636" s="306"/>
      <c r="B2636" t="s">
        <v>13632</v>
      </c>
      <c r="C2636" t="s">
        <v>13633</v>
      </c>
      <c r="E2636">
        <v>7369.565217391304</v>
      </c>
      <c r="F2636" t="s">
        <v>13540</v>
      </c>
    </row>
    <row r="2637" spans="1:6">
      <c r="A2637" s="306"/>
      <c r="B2637" t="s">
        <v>13634</v>
      </c>
      <c r="C2637" t="s">
        <v>13635</v>
      </c>
      <c r="E2637">
        <v>8850</v>
      </c>
      <c r="F2637" t="s">
        <v>13540</v>
      </c>
    </row>
    <row r="2638" spans="1:6">
      <c r="A2638" s="306"/>
      <c r="B2638" t="s">
        <v>13636</v>
      </c>
      <c r="C2638" t="s">
        <v>13637</v>
      </c>
      <c r="E2638">
        <v>9969.565217391304</v>
      </c>
      <c r="F2638" t="s">
        <v>13540</v>
      </c>
    </row>
    <row r="2639" spans="1:6">
      <c r="A2639" s="306"/>
      <c r="B2639" t="s">
        <v>13638</v>
      </c>
      <c r="C2639" t="s">
        <v>13639</v>
      </c>
      <c r="E2639">
        <v>9775</v>
      </c>
      <c r="F2639" t="s">
        <v>13540</v>
      </c>
    </row>
    <row r="2640" spans="1:6">
      <c r="A2640" s="306"/>
      <c r="B2640" t="s">
        <v>13640</v>
      </c>
      <c r="C2640" t="s">
        <v>13641</v>
      </c>
      <c r="E2640">
        <v>6263.0434782608691</v>
      </c>
      <c r="F2640" t="s">
        <v>13540</v>
      </c>
    </row>
    <row r="2641" spans="1:6">
      <c r="A2641" s="306"/>
      <c r="B2641" t="s">
        <v>13642</v>
      </c>
      <c r="C2641" t="s">
        <v>13643</v>
      </c>
      <c r="E2641">
        <v>6953.260869565217</v>
      </c>
      <c r="F2641" t="s">
        <v>13540</v>
      </c>
    </row>
    <row r="2642" spans="1:6">
      <c r="A2642" s="306"/>
      <c r="B2642" t="s">
        <v>13644</v>
      </c>
      <c r="C2642" t="s">
        <v>13645</v>
      </c>
      <c r="E2642">
        <v>9775</v>
      </c>
      <c r="F2642" t="s">
        <v>13540</v>
      </c>
    </row>
    <row r="2643" spans="1:6">
      <c r="A2643" s="306"/>
      <c r="B2643" t="s">
        <v>13646</v>
      </c>
      <c r="C2643" t="s">
        <v>13647</v>
      </c>
      <c r="E2643">
        <v>7829.347826086956</v>
      </c>
      <c r="F2643" t="s">
        <v>13540</v>
      </c>
    </row>
    <row r="2644" spans="1:6">
      <c r="A2644" s="306"/>
      <c r="B2644" t="s">
        <v>13648</v>
      </c>
      <c r="C2644" t="s">
        <v>13649</v>
      </c>
      <c r="E2644">
        <v>9969.565217391304</v>
      </c>
      <c r="F2644" t="s">
        <v>13540</v>
      </c>
    </row>
    <row r="2645" spans="1:6">
      <c r="A2645" s="306"/>
      <c r="B2645" t="s">
        <v>13650</v>
      </c>
      <c r="C2645" t="s">
        <v>13651</v>
      </c>
      <c r="E2645">
        <v>6734.782608695652</v>
      </c>
      <c r="F2645" t="s">
        <v>13540</v>
      </c>
    </row>
    <row r="2646" spans="1:6">
      <c r="A2646" s="306"/>
      <c r="B2646" t="s">
        <v>13652</v>
      </c>
      <c r="C2646" t="s">
        <v>13653</v>
      </c>
      <c r="E2646">
        <v>7634.782608695652</v>
      </c>
      <c r="F2646" t="s">
        <v>13540</v>
      </c>
    </row>
    <row r="2647" spans="1:6">
      <c r="A2647" s="306"/>
      <c r="B2647" t="s">
        <v>13654</v>
      </c>
      <c r="C2647" t="s">
        <v>13655</v>
      </c>
      <c r="E2647">
        <v>6558.695652173913</v>
      </c>
      <c r="F2647" t="s">
        <v>13540</v>
      </c>
    </row>
    <row r="2648" spans="1:6">
      <c r="A2648" s="306"/>
      <c r="B2648" t="s">
        <v>8506</v>
      </c>
      <c r="C2648" t="s">
        <v>13656</v>
      </c>
      <c r="E2648">
        <v>7369.565217391304</v>
      </c>
      <c r="F2648" t="s">
        <v>13540</v>
      </c>
    </row>
    <row r="2649" spans="1:6">
      <c r="A2649" s="306"/>
      <c r="B2649" t="s">
        <v>13657</v>
      </c>
      <c r="C2649" t="s">
        <v>13658</v>
      </c>
      <c r="E2649">
        <v>7634.782608695652</v>
      </c>
      <c r="F2649" t="s">
        <v>13540</v>
      </c>
    </row>
    <row r="2650" spans="1:6">
      <c r="A2650" s="306"/>
      <c r="B2650" t="s">
        <v>13659</v>
      </c>
      <c r="C2650" t="s">
        <v>13660</v>
      </c>
      <c r="E2650">
        <v>8850</v>
      </c>
      <c r="F2650" t="s">
        <v>13540</v>
      </c>
    </row>
    <row r="2651" spans="1:6">
      <c r="A2651" s="306"/>
      <c r="B2651" t="s">
        <v>13661</v>
      </c>
      <c r="C2651" t="s">
        <v>13662</v>
      </c>
      <c r="E2651">
        <v>9775</v>
      </c>
      <c r="F2651" t="s">
        <v>13540</v>
      </c>
    </row>
    <row r="2652" spans="1:6">
      <c r="A2652" s="306"/>
      <c r="B2652" t="s">
        <v>13663</v>
      </c>
      <c r="C2652" t="s">
        <v>13664</v>
      </c>
      <c r="E2652">
        <v>5123.913043478261</v>
      </c>
      <c r="F2652" t="s">
        <v>13540</v>
      </c>
    </row>
    <row r="2653" spans="1:6">
      <c r="A2653" s="306"/>
      <c r="B2653" t="s">
        <v>13665</v>
      </c>
      <c r="C2653" t="s">
        <v>13666</v>
      </c>
      <c r="E2653">
        <v>5257.608695652174</v>
      </c>
      <c r="F2653" t="s">
        <v>13540</v>
      </c>
    </row>
    <row r="2654" spans="1:6">
      <c r="A2654" s="306"/>
      <c r="B2654" t="s">
        <v>13667</v>
      </c>
      <c r="C2654" t="s">
        <v>13668</v>
      </c>
      <c r="E2654">
        <v>5419.565217391304</v>
      </c>
      <c r="F2654" t="s">
        <v>13540</v>
      </c>
    </row>
    <row r="2655" spans="1:6">
      <c r="A2655" s="306"/>
      <c r="B2655" t="s">
        <v>13669</v>
      </c>
      <c r="C2655" t="s">
        <v>13670</v>
      </c>
      <c r="E2655">
        <v>5548.913043478261</v>
      </c>
      <c r="F2655" t="s">
        <v>13540</v>
      </c>
    </row>
    <row r="2656" spans="1:6">
      <c r="A2656" s="306"/>
      <c r="B2656" t="s">
        <v>13671</v>
      </c>
      <c r="C2656" t="s">
        <v>13672</v>
      </c>
      <c r="E2656">
        <v>6263.0434782608691</v>
      </c>
      <c r="F2656" t="s">
        <v>13540</v>
      </c>
    </row>
    <row r="2657" spans="1:7">
      <c r="A2657" s="306"/>
      <c r="B2657" t="s">
        <v>13673</v>
      </c>
      <c r="C2657" t="s">
        <v>13674</v>
      </c>
      <c r="E2657">
        <v>6953.260869565217</v>
      </c>
      <c r="F2657" t="s">
        <v>13540</v>
      </c>
    </row>
    <row r="2658" spans="1:7">
      <c r="A2658" s="306"/>
      <c r="B2658" t="s">
        <v>13675</v>
      </c>
      <c r="C2658" t="s">
        <v>13658</v>
      </c>
      <c r="E2658">
        <v>7829.347826086956</v>
      </c>
      <c r="F2658" t="s">
        <v>13540</v>
      </c>
    </row>
    <row r="2659" spans="1:7">
      <c r="A2659" s="306"/>
      <c r="B2659" t="s">
        <v>13676</v>
      </c>
      <c r="C2659" t="s">
        <v>13662</v>
      </c>
      <c r="E2659">
        <v>9969.565217391304</v>
      </c>
      <c r="F2659" t="s">
        <v>13540</v>
      </c>
    </row>
    <row r="2660" spans="1:7">
      <c r="A2660" s="306"/>
      <c r="B2660" t="s">
        <v>13677</v>
      </c>
      <c r="C2660" t="s">
        <v>13664</v>
      </c>
      <c r="E2660">
        <v>5123.913043478261</v>
      </c>
      <c r="F2660" t="s">
        <v>13540</v>
      </c>
    </row>
    <row r="2661" spans="1:7">
      <c r="A2661" s="306"/>
      <c r="B2661" t="s">
        <v>13678</v>
      </c>
      <c r="C2661" t="s">
        <v>13666</v>
      </c>
      <c r="E2661">
        <v>5257.608695652174</v>
      </c>
      <c r="F2661" t="s">
        <v>13540</v>
      </c>
    </row>
    <row r="2662" spans="1:7">
      <c r="A2662" s="306"/>
      <c r="B2662" t="s">
        <v>13679</v>
      </c>
      <c r="C2662" t="s">
        <v>13668</v>
      </c>
      <c r="E2662">
        <v>5419.565217391304</v>
      </c>
      <c r="F2662" t="s">
        <v>13540</v>
      </c>
    </row>
    <row r="2663" spans="1:7">
      <c r="A2663" s="306"/>
      <c r="B2663" t="s">
        <v>13680</v>
      </c>
      <c r="C2663" t="s">
        <v>13666</v>
      </c>
      <c r="E2663">
        <v>6734.782608695652</v>
      </c>
      <c r="F2663" t="s">
        <v>13540</v>
      </c>
    </row>
    <row r="2664" spans="1:7">
      <c r="A2664" s="306"/>
      <c r="B2664" t="s">
        <v>13681</v>
      </c>
      <c r="C2664" t="s">
        <v>13682</v>
      </c>
      <c r="E2664">
        <v>7634.782608695652</v>
      </c>
      <c r="F2664" t="s">
        <v>13540</v>
      </c>
    </row>
    <row r="2665" spans="1:7">
      <c r="A2665" s="306"/>
      <c r="B2665" t="s">
        <v>13683</v>
      </c>
      <c r="C2665" t="s">
        <v>13662</v>
      </c>
      <c r="E2665">
        <v>9775</v>
      </c>
      <c r="F2665" t="s">
        <v>13540</v>
      </c>
    </row>
    <row r="2666" spans="1:7">
      <c r="A2666" s="306"/>
      <c r="B2666" t="s">
        <v>13684</v>
      </c>
      <c r="C2666" t="s">
        <v>13658</v>
      </c>
      <c r="E2666">
        <v>7829.347826086956</v>
      </c>
      <c r="F2666" t="s">
        <v>13540</v>
      </c>
    </row>
    <row r="2667" spans="1:7">
      <c r="A2667" s="306"/>
      <c r="B2667" t="s">
        <v>13685</v>
      </c>
      <c r="C2667" t="s">
        <v>13662</v>
      </c>
      <c r="E2667">
        <v>9969.565217391304</v>
      </c>
      <c r="F2667" t="s">
        <v>13540</v>
      </c>
    </row>
    <row r="2668" spans="1:7">
      <c r="A2668" s="306"/>
      <c r="B2668" t="s">
        <v>13686</v>
      </c>
      <c r="C2668" t="s">
        <v>13674</v>
      </c>
      <c r="E2668">
        <v>6953.260869565217</v>
      </c>
      <c r="F2668" t="s">
        <v>13540</v>
      </c>
    </row>
    <row r="2669" spans="1:7">
      <c r="A2669" s="306"/>
      <c r="B2669" t="s">
        <v>6321</v>
      </c>
    </row>
    <row r="2670" spans="1:7">
      <c r="A2670" s="306"/>
      <c r="B2670" t="s">
        <v>7764</v>
      </c>
      <c r="C2670" t="s">
        <v>7765</v>
      </c>
      <c r="E2670">
        <v>216.30434782608694</v>
      </c>
      <c r="F2670" t="s">
        <v>13687</v>
      </c>
      <c r="G2670" t="s">
        <v>10996</v>
      </c>
    </row>
    <row r="2671" spans="1:7">
      <c r="A2671" s="306"/>
      <c r="B2671" t="s">
        <v>7766</v>
      </c>
      <c r="C2671" t="s">
        <v>7767</v>
      </c>
      <c r="E2671">
        <v>11160.86956521739</v>
      </c>
      <c r="F2671" t="s">
        <v>13688</v>
      </c>
      <c r="G2671" t="s">
        <v>10999</v>
      </c>
    </row>
    <row r="2672" spans="1:7">
      <c r="A2672" s="306"/>
      <c r="B2672" t="s">
        <v>7037</v>
      </c>
    </row>
    <row r="2673" spans="1:7">
      <c r="A2673" s="306"/>
      <c r="B2673" t="s">
        <v>7768</v>
      </c>
      <c r="C2673" t="s">
        <v>7769</v>
      </c>
      <c r="E2673">
        <v>304.3478260869565</v>
      </c>
      <c r="F2673" t="s">
        <v>13687</v>
      </c>
    </row>
    <row r="2674" spans="1:7">
      <c r="A2674" s="306"/>
      <c r="B2674" t="s">
        <v>7770</v>
      </c>
      <c r="C2674" t="s">
        <v>7771</v>
      </c>
      <c r="E2674">
        <v>304.3478260869565</v>
      </c>
      <c r="F2674" t="s">
        <v>13687</v>
      </c>
    </row>
    <row r="2675" spans="1:7">
      <c r="A2675" s="306"/>
      <c r="B2675" t="s">
        <v>7772</v>
      </c>
      <c r="C2675" t="s">
        <v>7773</v>
      </c>
      <c r="E2675">
        <v>304.3478260869565</v>
      </c>
      <c r="F2675" t="s">
        <v>13687</v>
      </c>
    </row>
    <row r="2676" spans="1:7">
      <c r="A2676" s="306"/>
      <c r="B2676" t="s">
        <v>7774</v>
      </c>
      <c r="C2676" t="s">
        <v>7775</v>
      </c>
      <c r="E2676">
        <v>304.3478260869565</v>
      </c>
      <c r="F2676" t="s">
        <v>13687</v>
      </c>
    </row>
    <row r="2677" spans="1:7">
      <c r="A2677" s="306"/>
      <c r="B2677" t="s">
        <v>7776</v>
      </c>
    </row>
    <row r="2678" spans="1:7">
      <c r="A2678" s="306"/>
      <c r="B2678" t="s">
        <v>7777</v>
      </c>
      <c r="C2678" t="s">
        <v>1342</v>
      </c>
      <c r="E2678">
        <v>3555.4347826086955</v>
      </c>
      <c r="F2678" t="s">
        <v>13689</v>
      </c>
      <c r="G2678" t="s">
        <v>10996</v>
      </c>
    </row>
    <row r="2679" spans="1:7">
      <c r="A2679" s="306"/>
      <c r="B2679" t="s">
        <v>7778</v>
      </c>
      <c r="C2679" t="s">
        <v>7779</v>
      </c>
      <c r="E2679">
        <v>1556.5217391304348</v>
      </c>
      <c r="F2679" t="s">
        <v>13689</v>
      </c>
      <c r="G2679" t="s">
        <v>10999</v>
      </c>
    </row>
    <row r="2680" spans="1:7">
      <c r="A2680" s="306"/>
      <c r="B2680" t="s">
        <v>7780</v>
      </c>
      <c r="C2680" t="s">
        <v>7781</v>
      </c>
      <c r="E2680">
        <v>4411.95652173913</v>
      </c>
      <c r="F2680" t="s">
        <v>13689</v>
      </c>
      <c r="G2680" t="s">
        <v>10996</v>
      </c>
    </row>
    <row r="2681" spans="1:7">
      <c r="A2681" s="306"/>
      <c r="B2681" t="s">
        <v>7782</v>
      </c>
      <c r="C2681" t="s">
        <v>7783</v>
      </c>
      <c r="E2681">
        <v>2076.086956521739</v>
      </c>
      <c r="F2681" t="s">
        <v>13687</v>
      </c>
      <c r="G2681" t="s">
        <v>10996</v>
      </c>
    </row>
    <row r="2682" spans="1:7">
      <c r="A2682" s="306"/>
      <c r="B2682" t="s">
        <v>7784</v>
      </c>
      <c r="C2682" t="s">
        <v>7785</v>
      </c>
      <c r="E2682">
        <v>12403.260869565216</v>
      </c>
      <c r="F2682" t="s">
        <v>13688</v>
      </c>
    </row>
    <row r="2683" spans="1:7">
      <c r="A2683" s="306"/>
      <c r="B2683" t="s">
        <v>7786</v>
      </c>
      <c r="C2683" t="s">
        <v>7787</v>
      </c>
      <c r="E2683">
        <v>868.47826086956513</v>
      </c>
      <c r="F2683" t="s">
        <v>13688</v>
      </c>
    </row>
    <row r="2684" spans="1:7">
      <c r="A2684" s="306"/>
      <c r="B2684" t="s">
        <v>7788</v>
      </c>
      <c r="C2684" t="s">
        <v>7789</v>
      </c>
      <c r="E2684">
        <v>9.7826086956521738</v>
      </c>
      <c r="F2684" t="s">
        <v>12035</v>
      </c>
      <c r="G2684" t="s">
        <v>10999</v>
      </c>
    </row>
    <row r="2685" spans="1:7">
      <c r="A2685" s="306"/>
      <c r="B2685" t="s">
        <v>7790</v>
      </c>
      <c r="C2685" t="s">
        <v>7791</v>
      </c>
      <c r="E2685">
        <v>2509.782608695652</v>
      </c>
      <c r="F2685" t="s">
        <v>12035</v>
      </c>
    </row>
    <row r="2686" spans="1:7">
      <c r="A2686" s="306"/>
      <c r="B2686" t="s">
        <v>7792</v>
      </c>
      <c r="C2686" t="s">
        <v>7793</v>
      </c>
      <c r="E2686">
        <v>929.3478260869565</v>
      </c>
      <c r="F2686" t="s">
        <v>12035</v>
      </c>
    </row>
    <row r="2687" spans="1:7">
      <c r="A2687" s="306"/>
      <c r="B2687" t="s">
        <v>6587</v>
      </c>
    </row>
    <row r="2688" spans="1:7">
      <c r="A2688" s="306"/>
      <c r="B2688" t="s">
        <v>7794</v>
      </c>
      <c r="C2688" t="s">
        <v>7795</v>
      </c>
      <c r="E2688">
        <v>289.13043478260869</v>
      </c>
      <c r="F2688" t="s">
        <v>12035</v>
      </c>
      <c r="G2688" t="s">
        <v>10999</v>
      </c>
    </row>
    <row r="2689" spans="1:7">
      <c r="A2689" s="306"/>
      <c r="B2689" t="s">
        <v>7796</v>
      </c>
      <c r="C2689" t="s">
        <v>7797</v>
      </c>
      <c r="E2689">
        <v>246.7391304347826</v>
      </c>
      <c r="F2689" t="s">
        <v>12035</v>
      </c>
      <c r="G2689" t="s">
        <v>10999</v>
      </c>
    </row>
    <row r="2690" spans="1:7">
      <c r="A2690" s="306"/>
      <c r="B2690" t="s">
        <v>7798</v>
      </c>
      <c r="C2690" t="s">
        <v>7799</v>
      </c>
      <c r="E2690">
        <v>192.39130434782606</v>
      </c>
      <c r="F2690" t="s">
        <v>12035</v>
      </c>
      <c r="G2690" t="s">
        <v>10999</v>
      </c>
    </row>
    <row r="2691" spans="1:7">
      <c r="A2691" s="306"/>
      <c r="B2691" t="s">
        <v>7800</v>
      </c>
      <c r="C2691" t="s">
        <v>7801</v>
      </c>
      <c r="E2691">
        <v>150</v>
      </c>
      <c r="F2691" t="s">
        <v>12035</v>
      </c>
      <c r="G2691" t="s">
        <v>10999</v>
      </c>
    </row>
    <row r="2692" spans="1:7">
      <c r="A2692" s="306"/>
      <c r="B2692" t="s">
        <v>5848</v>
      </c>
    </row>
    <row r="2693" spans="1:7">
      <c r="A2693" s="306"/>
      <c r="B2693" t="s">
        <v>7802</v>
      </c>
      <c r="C2693" t="s">
        <v>7803</v>
      </c>
      <c r="E2693">
        <v>67.391304347826079</v>
      </c>
      <c r="F2693" t="s">
        <v>12035</v>
      </c>
      <c r="G2693" t="s">
        <v>10999</v>
      </c>
    </row>
    <row r="2694" spans="1:7">
      <c r="A2694" s="306"/>
      <c r="B2694" t="s">
        <v>7804</v>
      </c>
      <c r="C2694" t="s">
        <v>7805</v>
      </c>
      <c r="E2694">
        <v>182.60869565217391</v>
      </c>
      <c r="F2694" t="s">
        <v>12035</v>
      </c>
      <c r="G2694" t="s">
        <v>10999</v>
      </c>
    </row>
    <row r="2695" spans="1:7">
      <c r="A2695" s="306"/>
      <c r="B2695" t="s">
        <v>7806</v>
      </c>
      <c r="C2695" t="s">
        <v>7807</v>
      </c>
      <c r="E2695">
        <v>267.39130434782606</v>
      </c>
      <c r="F2695" t="s">
        <v>12035</v>
      </c>
      <c r="G2695" t="s">
        <v>10999</v>
      </c>
    </row>
    <row r="2696" spans="1:7">
      <c r="A2696" s="306"/>
      <c r="B2696" t="s">
        <v>7808</v>
      </c>
      <c r="C2696" t="s">
        <v>7809</v>
      </c>
      <c r="E2696">
        <v>67.391304347826079</v>
      </c>
      <c r="F2696" t="s">
        <v>12035</v>
      </c>
      <c r="G2696" t="s">
        <v>10999</v>
      </c>
    </row>
    <row r="2697" spans="1:7">
      <c r="A2697" s="306"/>
      <c r="B2697" t="s">
        <v>7810</v>
      </c>
      <c r="C2697" t="s">
        <v>7811</v>
      </c>
      <c r="E2697">
        <v>310.86956521739131</v>
      </c>
      <c r="F2697" t="s">
        <v>13690</v>
      </c>
      <c r="G2697" t="s">
        <v>10996</v>
      </c>
    </row>
    <row r="2698" spans="1:7">
      <c r="A2698" s="306"/>
      <c r="B2698" t="s">
        <v>7812</v>
      </c>
      <c r="C2698" t="s">
        <v>7813</v>
      </c>
      <c r="E2698">
        <v>420.65217391304344</v>
      </c>
      <c r="F2698" t="s">
        <v>13690</v>
      </c>
      <c r="G2698" t="s">
        <v>10996</v>
      </c>
    </row>
    <row r="2699" spans="1:7">
      <c r="A2699" s="306"/>
      <c r="B2699" t="s">
        <v>13691</v>
      </c>
      <c r="C2699" t="s">
        <v>13692</v>
      </c>
      <c r="E2699">
        <v>600</v>
      </c>
      <c r="F2699" t="s">
        <v>13693</v>
      </c>
    </row>
    <row r="2700" spans="1:7">
      <c r="A2700" s="306"/>
      <c r="B2700" t="s">
        <v>6380</v>
      </c>
    </row>
    <row r="2701" spans="1:7">
      <c r="A2701" s="306"/>
      <c r="B2701" t="s">
        <v>7847</v>
      </c>
      <c r="C2701" t="s">
        <v>7840</v>
      </c>
      <c r="E2701">
        <v>2468.478260869565</v>
      </c>
      <c r="F2701" t="s">
        <v>13688</v>
      </c>
      <c r="G2701" t="s">
        <v>10999</v>
      </c>
    </row>
    <row r="2702" spans="1:7">
      <c r="A2702" s="306"/>
      <c r="B2702" t="s">
        <v>7864</v>
      </c>
      <c r="C2702" t="s">
        <v>7840</v>
      </c>
      <c r="E2702">
        <v>383.695652173913</v>
      </c>
      <c r="F2702" t="s">
        <v>13694</v>
      </c>
      <c r="G2702" t="s">
        <v>10996</v>
      </c>
    </row>
    <row r="2703" spans="1:7">
      <c r="A2703" s="306"/>
      <c r="B2703" t="s">
        <v>7839</v>
      </c>
      <c r="C2703" t="s">
        <v>7840</v>
      </c>
      <c r="E2703">
        <v>2429.3478260869565</v>
      </c>
      <c r="F2703" t="s">
        <v>13688</v>
      </c>
      <c r="G2703" t="s">
        <v>10999</v>
      </c>
    </row>
    <row r="2704" spans="1:7">
      <c r="A2704" s="306"/>
      <c r="B2704" t="s">
        <v>7863</v>
      </c>
      <c r="C2704" t="s">
        <v>7838</v>
      </c>
      <c r="E2704">
        <v>475</v>
      </c>
      <c r="F2704" t="s">
        <v>13694</v>
      </c>
      <c r="G2704" t="s">
        <v>10996</v>
      </c>
    </row>
    <row r="2705" spans="1:7">
      <c r="A2705" s="306"/>
      <c r="B2705" t="s">
        <v>7837</v>
      </c>
      <c r="C2705" t="s">
        <v>7838</v>
      </c>
      <c r="E2705">
        <v>4710.869565217391</v>
      </c>
      <c r="F2705" t="s">
        <v>13688</v>
      </c>
      <c r="G2705" t="s">
        <v>10999</v>
      </c>
    </row>
    <row r="2706" spans="1:7">
      <c r="A2706" s="306"/>
      <c r="B2706" t="s">
        <v>7887</v>
      </c>
      <c r="C2706" t="s">
        <v>7838</v>
      </c>
      <c r="E2706">
        <v>4710.869565217391</v>
      </c>
      <c r="F2706" t="s">
        <v>13688</v>
      </c>
      <c r="G2706" t="s">
        <v>10999</v>
      </c>
    </row>
    <row r="2707" spans="1:7">
      <c r="A2707" s="306"/>
      <c r="B2707" t="s">
        <v>7852</v>
      </c>
      <c r="C2707" t="s">
        <v>7853</v>
      </c>
      <c r="E2707">
        <v>526.08695652173913</v>
      </c>
      <c r="F2707" t="s">
        <v>13687</v>
      </c>
      <c r="G2707" t="s">
        <v>10999</v>
      </c>
    </row>
    <row r="2708" spans="1:7">
      <c r="A2708" s="306"/>
      <c r="B2708" t="s">
        <v>7880</v>
      </c>
      <c r="C2708" t="s">
        <v>7853</v>
      </c>
      <c r="E2708">
        <v>5405.4347826086951</v>
      </c>
      <c r="F2708" t="s">
        <v>13688</v>
      </c>
      <c r="G2708" t="s">
        <v>10999</v>
      </c>
    </row>
    <row r="2709" spans="1:7">
      <c r="A2709" s="306"/>
      <c r="B2709" t="s">
        <v>13695</v>
      </c>
      <c r="C2709" t="s">
        <v>13696</v>
      </c>
      <c r="E2709">
        <v>7096.7391304347821</v>
      </c>
      <c r="F2709" t="s">
        <v>13694</v>
      </c>
    </row>
    <row r="2710" spans="1:7">
      <c r="A2710" s="306"/>
      <c r="B2710" t="s">
        <v>13697</v>
      </c>
      <c r="C2710" t="s">
        <v>13696</v>
      </c>
      <c r="E2710">
        <v>44306.521739130432</v>
      </c>
      <c r="F2710" t="s">
        <v>13694</v>
      </c>
    </row>
    <row r="2711" spans="1:7">
      <c r="A2711" s="306"/>
      <c r="B2711" t="s">
        <v>13698</v>
      </c>
      <c r="C2711" t="s">
        <v>13696</v>
      </c>
      <c r="E2711">
        <v>44306.521739130432</v>
      </c>
      <c r="F2711" t="s">
        <v>13694</v>
      </c>
    </row>
    <row r="2712" spans="1:7">
      <c r="A2712" s="306"/>
      <c r="B2712" t="s">
        <v>7818</v>
      </c>
      <c r="C2712" t="s">
        <v>7819</v>
      </c>
      <c r="E2712">
        <v>764.13043478260863</v>
      </c>
      <c r="F2712" t="s">
        <v>13687</v>
      </c>
    </row>
    <row r="2713" spans="1:7">
      <c r="A2713" s="306"/>
      <c r="B2713" t="s">
        <v>7821</v>
      </c>
      <c r="C2713" t="s">
        <v>7819</v>
      </c>
      <c r="E2713">
        <v>6571.7391304347821</v>
      </c>
      <c r="F2713" t="s">
        <v>13688</v>
      </c>
    </row>
    <row r="2714" spans="1:7">
      <c r="A2714" s="306"/>
      <c r="B2714" t="s">
        <v>7824</v>
      </c>
      <c r="C2714" t="s">
        <v>7819</v>
      </c>
      <c r="E2714">
        <v>6571.7391304347821</v>
      </c>
      <c r="F2714" t="s">
        <v>13688</v>
      </c>
    </row>
    <row r="2715" spans="1:7">
      <c r="A2715" s="306"/>
      <c r="B2715" t="s">
        <v>7816</v>
      </c>
      <c r="C2715" t="s">
        <v>7817</v>
      </c>
      <c r="E2715">
        <v>777.17391304347825</v>
      </c>
      <c r="F2715" t="s">
        <v>13687</v>
      </c>
    </row>
    <row r="2716" spans="1:7">
      <c r="A2716" s="306"/>
      <c r="B2716" t="s">
        <v>7823</v>
      </c>
      <c r="C2716" t="s">
        <v>7817</v>
      </c>
      <c r="E2716">
        <v>6571.7391304347821</v>
      </c>
      <c r="F2716" t="s">
        <v>13688</v>
      </c>
    </row>
    <row r="2717" spans="1:7">
      <c r="A2717" s="306"/>
      <c r="B2717" t="s">
        <v>7875</v>
      </c>
      <c r="C2717" t="s">
        <v>7876</v>
      </c>
      <c r="E2717">
        <v>389.13043478260869</v>
      </c>
      <c r="F2717" t="s">
        <v>13699</v>
      </c>
      <c r="G2717" t="s">
        <v>10999</v>
      </c>
    </row>
    <row r="2718" spans="1:7">
      <c r="A2718" s="306"/>
      <c r="B2718" t="s">
        <v>7865</v>
      </c>
      <c r="C2718" t="s">
        <v>7842</v>
      </c>
      <c r="E2718">
        <v>1114.1304347826087</v>
      </c>
      <c r="F2718" t="s">
        <v>13694</v>
      </c>
      <c r="G2718" t="s">
        <v>10996</v>
      </c>
    </row>
    <row r="2719" spans="1:7">
      <c r="A2719" s="306"/>
      <c r="B2719" t="s">
        <v>7841</v>
      </c>
      <c r="C2719" t="s">
        <v>7842</v>
      </c>
      <c r="E2719">
        <v>11904.347826086956</v>
      </c>
      <c r="F2719" t="s">
        <v>13688</v>
      </c>
      <c r="G2719" t="s">
        <v>10999</v>
      </c>
    </row>
    <row r="2720" spans="1:7">
      <c r="A2720" s="306"/>
      <c r="B2720" t="s">
        <v>7888</v>
      </c>
      <c r="C2720" t="s">
        <v>7842</v>
      </c>
      <c r="E2720">
        <v>11904.347826086956</v>
      </c>
      <c r="F2720" t="s">
        <v>13688</v>
      </c>
      <c r="G2720" t="s">
        <v>10999</v>
      </c>
    </row>
    <row r="2721" spans="1:7">
      <c r="A2721" s="306"/>
      <c r="B2721" t="s">
        <v>13700</v>
      </c>
      <c r="C2721" t="s">
        <v>13701</v>
      </c>
      <c r="E2721">
        <v>790.21739130434776</v>
      </c>
      <c r="F2721" t="s">
        <v>13694</v>
      </c>
    </row>
    <row r="2722" spans="1:7">
      <c r="A2722" s="306"/>
      <c r="B2722" t="s">
        <v>13702</v>
      </c>
      <c r="C2722" t="s">
        <v>13701</v>
      </c>
      <c r="E2722">
        <v>3772.8260869565215</v>
      </c>
      <c r="F2722" t="s">
        <v>13694</v>
      </c>
    </row>
    <row r="2723" spans="1:7">
      <c r="A2723" s="306"/>
      <c r="B2723" t="s">
        <v>13703</v>
      </c>
      <c r="C2723" t="s">
        <v>13701</v>
      </c>
      <c r="E2723">
        <v>3772.8260869565215</v>
      </c>
      <c r="F2723" t="s">
        <v>13694</v>
      </c>
    </row>
    <row r="2724" spans="1:7">
      <c r="A2724" s="306"/>
      <c r="B2724" t="s">
        <v>7848</v>
      </c>
      <c r="C2724" t="s">
        <v>7826</v>
      </c>
      <c r="E2724">
        <v>385.86956521739131</v>
      </c>
      <c r="F2724" t="s">
        <v>13694</v>
      </c>
      <c r="G2724" t="s">
        <v>10996</v>
      </c>
    </row>
    <row r="2725" spans="1:7">
      <c r="A2725" s="306"/>
      <c r="B2725" t="s">
        <v>7825</v>
      </c>
      <c r="C2725" t="s">
        <v>7826</v>
      </c>
      <c r="E2725">
        <v>3718.478260869565</v>
      </c>
      <c r="F2725" t="s">
        <v>13688</v>
      </c>
      <c r="G2725" t="s">
        <v>10999</v>
      </c>
    </row>
    <row r="2726" spans="1:7">
      <c r="A2726" s="306"/>
      <c r="B2726" t="s">
        <v>7881</v>
      </c>
      <c r="C2726" t="s">
        <v>7826</v>
      </c>
      <c r="E2726">
        <v>3718.478260869565</v>
      </c>
      <c r="F2726" t="s">
        <v>13688</v>
      </c>
      <c r="G2726" t="s">
        <v>10999</v>
      </c>
    </row>
    <row r="2727" spans="1:7">
      <c r="A2727" s="306"/>
      <c r="B2727" t="s">
        <v>7829</v>
      </c>
      <c r="C2727" t="s">
        <v>7830</v>
      </c>
      <c r="E2727">
        <v>3247.8260869565215</v>
      </c>
      <c r="F2727" t="s">
        <v>13688</v>
      </c>
      <c r="G2727" t="s">
        <v>10999</v>
      </c>
    </row>
    <row r="2728" spans="1:7">
      <c r="A2728" s="306"/>
      <c r="B2728" t="s">
        <v>7858</v>
      </c>
      <c r="C2728" t="s">
        <v>7859</v>
      </c>
      <c r="E2728">
        <v>345.65217391304344</v>
      </c>
      <c r="F2728" t="s">
        <v>13694</v>
      </c>
      <c r="G2728" t="s">
        <v>10996</v>
      </c>
    </row>
    <row r="2729" spans="1:7">
      <c r="A2729" s="306"/>
      <c r="B2729" t="s">
        <v>7883</v>
      </c>
      <c r="C2729" t="s">
        <v>7859</v>
      </c>
      <c r="E2729">
        <v>3247.8260869565215</v>
      </c>
      <c r="F2729" t="s">
        <v>13688</v>
      </c>
      <c r="G2729" t="s">
        <v>10999</v>
      </c>
    </row>
    <row r="2730" spans="1:7">
      <c r="A2730" s="306"/>
      <c r="B2730" t="s">
        <v>7854</v>
      </c>
      <c r="C2730" t="s">
        <v>7855</v>
      </c>
      <c r="E2730">
        <v>364.13043478260869</v>
      </c>
      <c r="F2730" t="s">
        <v>13687</v>
      </c>
      <c r="G2730" t="s">
        <v>10996</v>
      </c>
    </row>
    <row r="2731" spans="1:7">
      <c r="A2731" s="306"/>
      <c r="B2731" t="s">
        <v>7877</v>
      </c>
      <c r="C2731" t="s">
        <v>7855</v>
      </c>
      <c r="E2731">
        <v>3296.7391304347825</v>
      </c>
      <c r="F2731" t="s">
        <v>13688</v>
      </c>
      <c r="G2731" t="s">
        <v>10999</v>
      </c>
    </row>
    <row r="2732" spans="1:7">
      <c r="A2732" s="306"/>
      <c r="B2732" t="s">
        <v>7868</v>
      </c>
      <c r="C2732" t="s">
        <v>7869</v>
      </c>
      <c r="E2732">
        <v>400</v>
      </c>
      <c r="F2732" t="s">
        <v>13699</v>
      </c>
      <c r="G2732" t="s">
        <v>10999</v>
      </c>
    </row>
    <row r="2733" spans="1:7">
      <c r="A2733" s="306"/>
      <c r="B2733" t="s">
        <v>7849</v>
      </c>
      <c r="C2733" t="s">
        <v>7828</v>
      </c>
      <c r="E2733">
        <v>432.60869565217388</v>
      </c>
      <c r="F2733" t="s">
        <v>13694</v>
      </c>
      <c r="G2733" t="s">
        <v>10996</v>
      </c>
    </row>
    <row r="2734" spans="1:7">
      <c r="A2734" s="306"/>
      <c r="B2734" t="s">
        <v>7827</v>
      </c>
      <c r="C2734" t="s">
        <v>7828</v>
      </c>
      <c r="E2734">
        <v>4636.95652173913</v>
      </c>
      <c r="F2734" t="s">
        <v>13688</v>
      </c>
      <c r="G2734" t="s">
        <v>10999</v>
      </c>
    </row>
    <row r="2735" spans="1:7">
      <c r="A2735" s="306"/>
      <c r="B2735" t="s">
        <v>7882</v>
      </c>
      <c r="C2735" t="s">
        <v>7828</v>
      </c>
      <c r="E2735">
        <v>4636.95652173913</v>
      </c>
      <c r="F2735" t="s">
        <v>13688</v>
      </c>
      <c r="G2735" t="s">
        <v>10999</v>
      </c>
    </row>
    <row r="2736" spans="1:7">
      <c r="A2736" s="306"/>
      <c r="B2736" t="s">
        <v>7866</v>
      </c>
      <c r="C2736" t="s">
        <v>7844</v>
      </c>
      <c r="E2736">
        <v>2101.086956521739</v>
      </c>
      <c r="F2736" t="s">
        <v>13694</v>
      </c>
      <c r="G2736" t="s">
        <v>10996</v>
      </c>
    </row>
    <row r="2737" spans="1:7">
      <c r="A2737" s="306"/>
      <c r="B2737" t="s">
        <v>7843</v>
      </c>
      <c r="C2737" t="s">
        <v>7844</v>
      </c>
      <c r="E2737">
        <v>17485.869565217392</v>
      </c>
      <c r="F2737" t="s">
        <v>13688</v>
      </c>
      <c r="G2737" t="s">
        <v>10999</v>
      </c>
    </row>
    <row r="2738" spans="1:7">
      <c r="A2738" s="306"/>
      <c r="B2738" t="s">
        <v>7889</v>
      </c>
      <c r="C2738" t="s">
        <v>7844</v>
      </c>
      <c r="E2738">
        <v>17485.869565217392</v>
      </c>
      <c r="F2738" t="s">
        <v>13688</v>
      </c>
      <c r="G2738" t="s">
        <v>10999</v>
      </c>
    </row>
    <row r="2739" spans="1:7">
      <c r="A2739" s="306"/>
      <c r="B2739" t="s">
        <v>7870</v>
      </c>
      <c r="C2739" t="s">
        <v>7871</v>
      </c>
      <c r="E2739">
        <v>480.43478260869563</v>
      </c>
      <c r="F2739" t="s">
        <v>13699</v>
      </c>
      <c r="G2739" t="s">
        <v>10996</v>
      </c>
    </row>
    <row r="2740" spans="1:7">
      <c r="A2740" s="306"/>
      <c r="B2740" t="s">
        <v>7814</v>
      </c>
      <c r="C2740" t="s">
        <v>7815</v>
      </c>
      <c r="E2740">
        <v>690.21739130434776</v>
      </c>
      <c r="F2740" t="s">
        <v>13687</v>
      </c>
    </row>
    <row r="2741" spans="1:7">
      <c r="A2741" s="306"/>
      <c r="B2741" t="s">
        <v>7820</v>
      </c>
      <c r="C2741" t="s">
        <v>7815</v>
      </c>
      <c r="E2741">
        <v>6447.8260869565211</v>
      </c>
      <c r="F2741" t="s">
        <v>13688</v>
      </c>
    </row>
    <row r="2742" spans="1:7">
      <c r="A2742" s="306"/>
      <c r="B2742" t="s">
        <v>7822</v>
      </c>
      <c r="C2742" t="s">
        <v>7815</v>
      </c>
      <c r="E2742">
        <v>6447.8260869565211</v>
      </c>
      <c r="F2742" t="s">
        <v>13688</v>
      </c>
    </row>
    <row r="2743" spans="1:7">
      <c r="A2743" s="306"/>
      <c r="B2743" t="s">
        <v>7861</v>
      </c>
      <c r="C2743" t="s">
        <v>7834</v>
      </c>
      <c r="E2743">
        <v>275</v>
      </c>
      <c r="F2743" t="s">
        <v>13694</v>
      </c>
      <c r="G2743" t="s">
        <v>10996</v>
      </c>
    </row>
    <row r="2744" spans="1:7">
      <c r="A2744" s="306"/>
      <c r="B2744" t="s">
        <v>7833</v>
      </c>
      <c r="C2744" t="s">
        <v>7834</v>
      </c>
      <c r="E2744">
        <v>2528.2608695652175</v>
      </c>
      <c r="F2744" t="s">
        <v>13688</v>
      </c>
      <c r="G2744" t="s">
        <v>10999</v>
      </c>
    </row>
    <row r="2745" spans="1:7">
      <c r="A2745" s="306"/>
      <c r="B2745" t="s">
        <v>7885</v>
      </c>
      <c r="C2745" t="s">
        <v>7834</v>
      </c>
      <c r="E2745">
        <v>2528.2608695652175</v>
      </c>
      <c r="F2745" t="s">
        <v>13688</v>
      </c>
      <c r="G2745" t="s">
        <v>10999</v>
      </c>
    </row>
    <row r="2746" spans="1:7">
      <c r="A2746" s="306"/>
      <c r="B2746" t="s">
        <v>7860</v>
      </c>
      <c r="C2746" t="s">
        <v>7832</v>
      </c>
      <c r="E2746">
        <v>513.04347826086951</v>
      </c>
      <c r="F2746" t="s">
        <v>13694</v>
      </c>
      <c r="G2746" t="s">
        <v>10996</v>
      </c>
    </row>
    <row r="2747" spans="1:7">
      <c r="A2747" s="306"/>
      <c r="B2747" t="s">
        <v>7831</v>
      </c>
      <c r="C2747" t="s">
        <v>7832</v>
      </c>
      <c r="E2747">
        <v>5703.260869565217</v>
      </c>
      <c r="F2747" t="s">
        <v>13688</v>
      </c>
      <c r="G2747" t="s">
        <v>10999</v>
      </c>
    </row>
    <row r="2748" spans="1:7">
      <c r="A2748" s="306"/>
      <c r="B2748" t="s">
        <v>7884</v>
      </c>
      <c r="C2748" t="s">
        <v>7832</v>
      </c>
      <c r="E2748">
        <v>5703.260869565217</v>
      </c>
      <c r="F2748" t="s">
        <v>13688</v>
      </c>
      <c r="G2748" t="s">
        <v>10999</v>
      </c>
    </row>
    <row r="2749" spans="1:7">
      <c r="A2749" s="306"/>
      <c r="B2749" t="s">
        <v>7856</v>
      </c>
      <c r="C2749" t="s">
        <v>7857</v>
      </c>
      <c r="E2749">
        <v>515.21739130434776</v>
      </c>
      <c r="F2749" t="s">
        <v>13694</v>
      </c>
      <c r="G2749" t="s">
        <v>10996</v>
      </c>
    </row>
    <row r="2750" spans="1:7">
      <c r="A2750" s="306"/>
      <c r="B2750" t="s">
        <v>7878</v>
      </c>
      <c r="C2750" t="s">
        <v>7857</v>
      </c>
      <c r="E2750">
        <v>5703.260869565217</v>
      </c>
      <c r="F2750" t="s">
        <v>13688</v>
      </c>
      <c r="G2750" t="s">
        <v>10999</v>
      </c>
    </row>
    <row r="2751" spans="1:7">
      <c r="A2751" s="306"/>
      <c r="B2751" t="s">
        <v>7872</v>
      </c>
      <c r="C2751" t="s">
        <v>1192</v>
      </c>
      <c r="E2751">
        <v>296.73913043478262</v>
      </c>
      <c r="F2751" t="s">
        <v>13699</v>
      </c>
      <c r="G2751" t="s">
        <v>10999</v>
      </c>
    </row>
    <row r="2752" spans="1:7">
      <c r="A2752" s="306"/>
      <c r="B2752" t="s">
        <v>7867</v>
      </c>
      <c r="C2752" t="s">
        <v>7846</v>
      </c>
      <c r="E2752">
        <v>3898.9130434782605</v>
      </c>
      <c r="F2752" t="s">
        <v>13687</v>
      </c>
      <c r="G2752" t="s">
        <v>10996</v>
      </c>
    </row>
    <row r="2753" spans="1:7">
      <c r="A2753" s="306"/>
      <c r="B2753" t="s">
        <v>7845</v>
      </c>
      <c r="C2753" t="s">
        <v>7846</v>
      </c>
      <c r="E2753">
        <v>34478.260869565216</v>
      </c>
      <c r="F2753" t="s">
        <v>13688</v>
      </c>
      <c r="G2753" t="s">
        <v>10999</v>
      </c>
    </row>
    <row r="2754" spans="1:7">
      <c r="A2754" s="306"/>
      <c r="B2754" t="s">
        <v>7890</v>
      </c>
      <c r="C2754" t="s">
        <v>7846</v>
      </c>
      <c r="E2754">
        <v>34478.260869565216</v>
      </c>
      <c r="F2754" t="s">
        <v>13688</v>
      </c>
      <c r="G2754" t="s">
        <v>10999</v>
      </c>
    </row>
    <row r="2755" spans="1:7">
      <c r="A2755" s="306"/>
      <c r="B2755" t="s">
        <v>13704</v>
      </c>
      <c r="C2755" t="s">
        <v>13705</v>
      </c>
      <c r="E2755">
        <v>1285.8695652173913</v>
      </c>
      <c r="F2755" t="s">
        <v>13694</v>
      </c>
    </row>
    <row r="2756" spans="1:7">
      <c r="A2756" s="306"/>
      <c r="B2756" t="s">
        <v>13706</v>
      </c>
      <c r="C2756" t="s">
        <v>13705</v>
      </c>
      <c r="E2756">
        <v>7704.347826086956</v>
      </c>
      <c r="F2756" t="s">
        <v>13694</v>
      </c>
    </row>
    <row r="2757" spans="1:7">
      <c r="A2757" s="306"/>
      <c r="B2757" t="s">
        <v>13707</v>
      </c>
      <c r="C2757" t="s">
        <v>13705</v>
      </c>
      <c r="E2757">
        <v>7704.347826086956</v>
      </c>
      <c r="F2757" t="s">
        <v>13694</v>
      </c>
    </row>
    <row r="2758" spans="1:7">
      <c r="A2758" s="306"/>
      <c r="B2758" t="s">
        <v>7862</v>
      </c>
      <c r="C2758" t="s">
        <v>7836</v>
      </c>
      <c r="E2758">
        <v>350</v>
      </c>
      <c r="F2758" t="s">
        <v>13694</v>
      </c>
      <c r="G2758" t="s">
        <v>10996</v>
      </c>
    </row>
    <row r="2759" spans="1:7">
      <c r="A2759" s="306"/>
      <c r="B2759" t="s">
        <v>7835</v>
      </c>
      <c r="C2759" t="s">
        <v>7836</v>
      </c>
      <c r="E2759">
        <v>3421.7391304347825</v>
      </c>
      <c r="F2759" t="s">
        <v>13688</v>
      </c>
      <c r="G2759" t="s">
        <v>10999</v>
      </c>
    </row>
    <row r="2760" spans="1:7">
      <c r="A2760" s="306"/>
      <c r="B2760" t="s">
        <v>7886</v>
      </c>
      <c r="C2760" t="s">
        <v>7836</v>
      </c>
      <c r="E2760">
        <v>3421.7391304347825</v>
      </c>
      <c r="F2760" t="s">
        <v>13688</v>
      </c>
      <c r="G2760" t="s">
        <v>10999</v>
      </c>
    </row>
    <row r="2761" spans="1:7">
      <c r="A2761" s="306"/>
      <c r="B2761" t="s">
        <v>7850</v>
      </c>
      <c r="C2761" t="s">
        <v>7851</v>
      </c>
      <c r="E2761">
        <v>393.47826086956519</v>
      </c>
      <c r="F2761" t="s">
        <v>13687</v>
      </c>
      <c r="G2761" t="s">
        <v>10996</v>
      </c>
    </row>
    <row r="2762" spans="1:7">
      <c r="A2762" s="306"/>
      <c r="B2762" t="s">
        <v>7879</v>
      </c>
      <c r="C2762" t="s">
        <v>7851</v>
      </c>
      <c r="E2762">
        <v>3718.478260869565</v>
      </c>
      <c r="F2762" t="s">
        <v>13688</v>
      </c>
      <c r="G2762" t="s">
        <v>10999</v>
      </c>
    </row>
    <row r="2763" spans="1:7">
      <c r="A2763" s="306"/>
      <c r="B2763" t="s">
        <v>7873</v>
      </c>
      <c r="C2763" t="s">
        <v>7874</v>
      </c>
      <c r="E2763">
        <v>400</v>
      </c>
      <c r="F2763" t="s">
        <v>13699</v>
      </c>
      <c r="G2763" t="s">
        <v>10996</v>
      </c>
    </row>
    <row r="2764" spans="1:7">
      <c r="A2764" s="306"/>
      <c r="B2764" t="s">
        <v>8521</v>
      </c>
      <c r="C2764" t="s">
        <v>13708</v>
      </c>
      <c r="E2764">
        <v>403.26086956521738</v>
      </c>
      <c r="F2764" t="s">
        <v>13709</v>
      </c>
    </row>
    <row r="2765" spans="1:7">
      <c r="A2765" s="306"/>
      <c r="B2765" t="s">
        <v>13710</v>
      </c>
      <c r="C2765" t="s">
        <v>13711</v>
      </c>
      <c r="E2765">
        <v>403.26086956521738</v>
      </c>
      <c r="F2765" t="s">
        <v>13709</v>
      </c>
    </row>
    <row r="2766" spans="1:7">
      <c r="A2766" s="306"/>
      <c r="B2766" t="s">
        <v>13712</v>
      </c>
      <c r="C2766" t="s">
        <v>13713</v>
      </c>
      <c r="E2766">
        <v>5732.608695652174</v>
      </c>
      <c r="F2766" t="s">
        <v>13709</v>
      </c>
    </row>
    <row r="2767" spans="1:7">
      <c r="A2767" s="306"/>
      <c r="B2767" t="s">
        <v>8522</v>
      </c>
      <c r="C2767" t="s">
        <v>13714</v>
      </c>
      <c r="E2767">
        <v>377.17391304347825</v>
      </c>
      <c r="F2767" t="s">
        <v>13709</v>
      </c>
    </row>
    <row r="2768" spans="1:7">
      <c r="A2768" s="306"/>
      <c r="B2768" t="s">
        <v>8518</v>
      </c>
      <c r="C2768" t="s">
        <v>13715</v>
      </c>
      <c r="E2768">
        <v>296.73913043478262</v>
      </c>
      <c r="F2768" t="s">
        <v>13709</v>
      </c>
    </row>
    <row r="2769" spans="1:6">
      <c r="A2769" s="306"/>
      <c r="B2769" t="s">
        <v>13716</v>
      </c>
      <c r="C2769" t="s">
        <v>13717</v>
      </c>
      <c r="E2769">
        <v>1750</v>
      </c>
      <c r="F2769" t="s">
        <v>13709</v>
      </c>
    </row>
    <row r="2770" spans="1:6">
      <c r="A2770" s="306"/>
      <c r="B2770" t="s">
        <v>8519</v>
      </c>
      <c r="C2770" t="s">
        <v>13718</v>
      </c>
      <c r="E2770">
        <v>245.65217391304347</v>
      </c>
      <c r="F2770" t="s">
        <v>13709</v>
      </c>
    </row>
    <row r="2771" spans="1:6">
      <c r="A2771" s="306"/>
      <c r="B2771" t="s">
        <v>13719</v>
      </c>
      <c r="C2771" t="s">
        <v>13720</v>
      </c>
      <c r="E2771">
        <v>245.65217391304347</v>
      </c>
      <c r="F2771" t="s">
        <v>13709</v>
      </c>
    </row>
    <row r="2772" spans="1:6">
      <c r="A2772" s="306"/>
      <c r="B2772" t="s">
        <v>13721</v>
      </c>
      <c r="C2772" t="s">
        <v>13722</v>
      </c>
      <c r="E2772">
        <v>456.52173913043475</v>
      </c>
      <c r="F2772" t="s">
        <v>13709</v>
      </c>
    </row>
    <row r="2773" spans="1:6">
      <c r="A2773" s="306"/>
      <c r="B2773" t="s">
        <v>13723</v>
      </c>
      <c r="C2773" t="s">
        <v>13724</v>
      </c>
      <c r="E2773">
        <v>3233.695652173913</v>
      </c>
      <c r="F2773" t="s">
        <v>13709</v>
      </c>
    </row>
    <row r="2774" spans="1:6">
      <c r="A2774" s="306"/>
      <c r="B2774" t="s">
        <v>8520</v>
      </c>
      <c r="C2774" t="s">
        <v>13725</v>
      </c>
      <c r="E2774">
        <v>301.08695652173913</v>
      </c>
      <c r="F2774" t="s">
        <v>13709</v>
      </c>
    </row>
    <row r="2775" spans="1:6">
      <c r="A2775" s="306"/>
      <c r="B2775" t="s">
        <v>13726</v>
      </c>
      <c r="C2775" t="s">
        <v>13727</v>
      </c>
      <c r="E2775">
        <v>301.08695652173913</v>
      </c>
      <c r="F2775" t="s">
        <v>13709</v>
      </c>
    </row>
    <row r="2776" spans="1:6">
      <c r="A2776" s="306"/>
      <c r="B2776" t="s">
        <v>8523</v>
      </c>
      <c r="C2776" t="s">
        <v>13728</v>
      </c>
      <c r="E2776">
        <v>272.82608695652175</v>
      </c>
      <c r="F2776" t="s">
        <v>13709</v>
      </c>
    </row>
    <row r="2777" spans="1:6">
      <c r="A2777" s="306"/>
      <c r="B2777" t="s">
        <v>13729</v>
      </c>
      <c r="C2777" t="s">
        <v>13730</v>
      </c>
      <c r="E2777">
        <v>1767.391304347826</v>
      </c>
      <c r="F2777" t="s">
        <v>13709</v>
      </c>
    </row>
    <row r="2778" spans="1:6">
      <c r="A2778" s="306"/>
      <c r="B2778" t="s">
        <v>8524</v>
      </c>
      <c r="C2778" t="s">
        <v>13731</v>
      </c>
      <c r="E2778">
        <v>359.78260869565219</v>
      </c>
      <c r="F2778" t="s">
        <v>13709</v>
      </c>
    </row>
    <row r="2779" spans="1:6">
      <c r="A2779" s="306"/>
      <c r="B2779" t="s">
        <v>13732</v>
      </c>
      <c r="C2779" t="s">
        <v>13733</v>
      </c>
      <c r="E2779">
        <v>359.78260869565219</v>
      </c>
      <c r="F2779" t="s">
        <v>13709</v>
      </c>
    </row>
    <row r="2780" spans="1:6">
      <c r="A2780" s="306"/>
      <c r="B2780" t="s">
        <v>8526</v>
      </c>
      <c r="C2780" t="s">
        <v>13734</v>
      </c>
      <c r="E2780">
        <v>264.13043478260869</v>
      </c>
      <c r="F2780" t="s">
        <v>13709</v>
      </c>
    </row>
    <row r="2781" spans="1:6">
      <c r="A2781" s="306"/>
      <c r="B2781" t="s">
        <v>13735</v>
      </c>
      <c r="C2781" t="s">
        <v>13736</v>
      </c>
      <c r="E2781">
        <v>573.91304347826087</v>
      </c>
      <c r="F2781" t="s">
        <v>13709</v>
      </c>
    </row>
    <row r="2782" spans="1:6">
      <c r="A2782" s="306"/>
      <c r="B2782" t="s">
        <v>13737</v>
      </c>
      <c r="C2782" t="s">
        <v>13738</v>
      </c>
      <c r="E2782">
        <v>886.95652173913038</v>
      </c>
      <c r="F2782" t="s">
        <v>13709</v>
      </c>
    </row>
    <row r="2783" spans="1:6">
      <c r="A2783" s="306"/>
      <c r="B2783" t="s">
        <v>8525</v>
      </c>
      <c r="C2783" t="s">
        <v>13739</v>
      </c>
      <c r="E2783">
        <v>319.56521739130432</v>
      </c>
      <c r="F2783" t="s">
        <v>13709</v>
      </c>
    </row>
    <row r="2784" spans="1:6">
      <c r="A2784" s="306"/>
      <c r="B2784" t="s">
        <v>7891</v>
      </c>
    </row>
    <row r="2785" spans="1:7">
      <c r="A2785" s="306"/>
      <c r="B2785" t="s">
        <v>7956</v>
      </c>
      <c r="C2785" t="s">
        <v>7957</v>
      </c>
      <c r="E2785">
        <v>543.47826086956525</v>
      </c>
      <c r="F2785" t="s">
        <v>12035</v>
      </c>
      <c r="G2785" t="s">
        <v>10999</v>
      </c>
    </row>
    <row r="2786" spans="1:7">
      <c r="A2786" s="306"/>
      <c r="B2786" t="s">
        <v>7958</v>
      </c>
      <c r="C2786" t="s">
        <v>7959</v>
      </c>
      <c r="E2786">
        <v>643.47826086956513</v>
      </c>
      <c r="F2786" t="s">
        <v>12035</v>
      </c>
      <c r="G2786" t="s">
        <v>10999</v>
      </c>
    </row>
    <row r="2787" spans="1:7">
      <c r="A2787" s="306"/>
      <c r="B2787" t="s">
        <v>7952</v>
      </c>
      <c r="C2787" t="s">
        <v>7953</v>
      </c>
      <c r="E2787">
        <v>245.65217391304347</v>
      </c>
      <c r="F2787" t="s">
        <v>12035</v>
      </c>
      <c r="G2787" t="s">
        <v>10999</v>
      </c>
    </row>
    <row r="2788" spans="1:7">
      <c r="A2788" s="306"/>
      <c r="B2788" t="s">
        <v>7954</v>
      </c>
      <c r="C2788" t="s">
        <v>7955</v>
      </c>
      <c r="E2788">
        <v>268.47826086956519</v>
      </c>
      <c r="F2788" t="s">
        <v>12035</v>
      </c>
      <c r="G2788" t="s">
        <v>10999</v>
      </c>
    </row>
    <row r="2789" spans="1:7">
      <c r="A2789" s="306"/>
      <c r="B2789" t="s">
        <v>7950</v>
      </c>
      <c r="C2789" t="s">
        <v>7951</v>
      </c>
      <c r="E2789">
        <v>873.91304347826087</v>
      </c>
      <c r="F2789" t="s">
        <v>12035</v>
      </c>
      <c r="G2789" t="s">
        <v>10999</v>
      </c>
    </row>
    <row r="2790" spans="1:7">
      <c r="A2790" s="306"/>
      <c r="B2790" t="s">
        <v>7960</v>
      </c>
      <c r="C2790" t="s">
        <v>7961</v>
      </c>
      <c r="E2790">
        <v>923.91304347826087</v>
      </c>
      <c r="F2790" t="s">
        <v>12035</v>
      </c>
      <c r="G2790" t="s">
        <v>10999</v>
      </c>
    </row>
    <row r="2791" spans="1:7">
      <c r="A2791" s="306"/>
      <c r="B2791" t="s">
        <v>7946</v>
      </c>
      <c r="C2791" t="s">
        <v>7947</v>
      </c>
      <c r="E2791">
        <v>575</v>
      </c>
      <c r="F2791" t="s">
        <v>12035</v>
      </c>
      <c r="G2791" t="s">
        <v>10999</v>
      </c>
    </row>
    <row r="2792" spans="1:7">
      <c r="A2792" s="306"/>
      <c r="B2792" t="s">
        <v>7948</v>
      </c>
      <c r="C2792" t="s">
        <v>7949</v>
      </c>
      <c r="E2792">
        <v>714.13043478260863</v>
      </c>
      <c r="F2792" t="s">
        <v>12035</v>
      </c>
      <c r="G2792" t="s">
        <v>10999</v>
      </c>
    </row>
    <row r="2793" spans="1:7">
      <c r="A2793" s="306"/>
      <c r="B2793" t="s">
        <v>7895</v>
      </c>
      <c r="C2793" t="s">
        <v>13740</v>
      </c>
      <c r="E2793">
        <v>195.65217391304347</v>
      </c>
      <c r="F2793" t="s">
        <v>12035</v>
      </c>
      <c r="G2793" t="s">
        <v>10996</v>
      </c>
    </row>
    <row r="2794" spans="1:7">
      <c r="A2794" s="306"/>
      <c r="B2794" t="s">
        <v>7892</v>
      </c>
      <c r="C2794" t="s">
        <v>13741</v>
      </c>
      <c r="E2794">
        <v>410.86956521739131</v>
      </c>
      <c r="F2794" t="s">
        <v>12035</v>
      </c>
      <c r="G2794" t="s">
        <v>10999</v>
      </c>
    </row>
    <row r="2795" spans="1:7">
      <c r="A2795" s="306"/>
      <c r="B2795" t="s">
        <v>13742</v>
      </c>
      <c r="C2795" t="s">
        <v>13743</v>
      </c>
      <c r="E2795">
        <v>143.47826086956522</v>
      </c>
      <c r="F2795" t="s">
        <v>12035</v>
      </c>
      <c r="G2795" t="s">
        <v>10996</v>
      </c>
    </row>
    <row r="2796" spans="1:7">
      <c r="A2796" s="306"/>
      <c r="B2796" t="s">
        <v>7894</v>
      </c>
      <c r="C2796" t="s">
        <v>13744</v>
      </c>
      <c r="E2796">
        <v>150</v>
      </c>
      <c r="F2796" t="s">
        <v>12035</v>
      </c>
      <c r="G2796" t="s">
        <v>10996</v>
      </c>
    </row>
    <row r="2797" spans="1:7">
      <c r="A2797" s="306"/>
      <c r="B2797" t="s">
        <v>1904</v>
      </c>
      <c r="C2797" t="s">
        <v>13745</v>
      </c>
      <c r="E2797">
        <v>408.695652173913</v>
      </c>
      <c r="F2797" t="s">
        <v>12035</v>
      </c>
      <c r="G2797" t="s">
        <v>10996</v>
      </c>
    </row>
    <row r="2798" spans="1:7">
      <c r="A2798" s="306"/>
      <c r="B2798" t="s">
        <v>1908</v>
      </c>
      <c r="C2798" t="s">
        <v>13746</v>
      </c>
      <c r="E2798">
        <v>363.04347826086956</v>
      </c>
      <c r="F2798" t="s">
        <v>12035</v>
      </c>
      <c r="G2798" t="s">
        <v>10996</v>
      </c>
    </row>
    <row r="2799" spans="1:7">
      <c r="A2799" s="306"/>
      <c r="B2799" t="s">
        <v>1902</v>
      </c>
      <c r="C2799" t="s">
        <v>13747</v>
      </c>
      <c r="E2799">
        <v>370.65217391304344</v>
      </c>
      <c r="F2799" t="s">
        <v>12035</v>
      </c>
      <c r="G2799" t="s">
        <v>10996</v>
      </c>
    </row>
    <row r="2800" spans="1:7">
      <c r="A2800" s="306"/>
      <c r="B2800" t="s">
        <v>1900</v>
      </c>
      <c r="C2800" t="s">
        <v>13748</v>
      </c>
      <c r="E2800">
        <v>326.08695652173913</v>
      </c>
      <c r="F2800" t="s">
        <v>12035</v>
      </c>
      <c r="G2800" t="s">
        <v>10996</v>
      </c>
    </row>
    <row r="2801" spans="1:7">
      <c r="A2801" s="306"/>
      <c r="B2801" t="s">
        <v>7898</v>
      </c>
      <c r="C2801" t="s">
        <v>7899</v>
      </c>
      <c r="E2801">
        <v>69.565217391304344</v>
      </c>
      <c r="F2801" t="s">
        <v>12035</v>
      </c>
      <c r="G2801" t="s">
        <v>10999</v>
      </c>
    </row>
    <row r="2802" spans="1:7">
      <c r="A2802" s="306"/>
      <c r="B2802" t="s">
        <v>7902</v>
      </c>
      <c r="C2802" t="s">
        <v>7903</v>
      </c>
      <c r="E2802">
        <v>175</v>
      </c>
      <c r="F2802" t="s">
        <v>12035</v>
      </c>
      <c r="G2802" t="s">
        <v>10999</v>
      </c>
    </row>
    <row r="2803" spans="1:7">
      <c r="A2803" s="306"/>
      <c r="B2803" t="s">
        <v>7904</v>
      </c>
      <c r="C2803" t="s">
        <v>7905</v>
      </c>
      <c r="E2803">
        <v>179.3478260869565</v>
      </c>
      <c r="F2803" t="s">
        <v>12035</v>
      </c>
      <c r="G2803" t="s">
        <v>10999</v>
      </c>
    </row>
    <row r="2804" spans="1:7">
      <c r="A2804" s="306"/>
      <c r="B2804" t="s">
        <v>7906</v>
      </c>
      <c r="C2804" t="s">
        <v>7907</v>
      </c>
      <c r="E2804">
        <v>373.91304347826087</v>
      </c>
      <c r="F2804" t="s">
        <v>12035</v>
      </c>
      <c r="G2804" t="s">
        <v>10999</v>
      </c>
    </row>
    <row r="2805" spans="1:7">
      <c r="A2805" s="306"/>
      <c r="B2805" t="s">
        <v>7916</v>
      </c>
      <c r="C2805" t="s">
        <v>7917</v>
      </c>
      <c r="E2805">
        <v>3547.8260869565215</v>
      </c>
      <c r="F2805" t="s">
        <v>12035</v>
      </c>
      <c r="G2805" t="s">
        <v>10999</v>
      </c>
    </row>
    <row r="2806" spans="1:7">
      <c r="A2806" s="306"/>
      <c r="B2806" t="s">
        <v>7918</v>
      </c>
      <c r="C2806" t="s">
        <v>7919</v>
      </c>
      <c r="E2806">
        <v>2483.695652173913</v>
      </c>
      <c r="F2806" t="s">
        <v>12035</v>
      </c>
      <c r="G2806" t="s">
        <v>10999</v>
      </c>
    </row>
    <row r="2807" spans="1:7">
      <c r="A2807" s="306"/>
      <c r="B2807" t="s">
        <v>7920</v>
      </c>
      <c r="C2807" t="s">
        <v>7921</v>
      </c>
      <c r="E2807">
        <v>2338.0434782608695</v>
      </c>
      <c r="F2807" t="s">
        <v>12035</v>
      </c>
      <c r="G2807" t="s">
        <v>10999</v>
      </c>
    </row>
    <row r="2808" spans="1:7">
      <c r="A2808" s="306"/>
      <c r="B2808" t="s">
        <v>7936</v>
      </c>
      <c r="C2808" t="s">
        <v>7937</v>
      </c>
      <c r="E2808">
        <v>3406.5217391304345</v>
      </c>
      <c r="F2808" t="s">
        <v>12035</v>
      </c>
      <c r="G2808" t="s">
        <v>10999</v>
      </c>
    </row>
    <row r="2809" spans="1:7">
      <c r="A2809" s="306"/>
      <c r="B2809" t="s">
        <v>7928</v>
      </c>
      <c r="C2809" t="s">
        <v>7929</v>
      </c>
      <c r="E2809">
        <v>2413.0434782608695</v>
      </c>
      <c r="F2809" t="s">
        <v>12035</v>
      </c>
      <c r="G2809" t="s">
        <v>10999</v>
      </c>
    </row>
    <row r="2810" spans="1:7">
      <c r="A2810" s="306"/>
      <c r="B2810" t="s">
        <v>7926</v>
      </c>
      <c r="C2810" t="s">
        <v>7927</v>
      </c>
      <c r="E2810">
        <v>2338.0434782608695</v>
      </c>
      <c r="F2810" t="s">
        <v>12035</v>
      </c>
      <c r="G2810" t="s">
        <v>10999</v>
      </c>
    </row>
    <row r="2811" spans="1:7">
      <c r="A2811" s="306"/>
      <c r="B2811" t="s">
        <v>7922</v>
      </c>
      <c r="C2811" t="s">
        <v>7923</v>
      </c>
      <c r="E2811">
        <v>3364.1304347826085</v>
      </c>
      <c r="F2811" t="s">
        <v>12035</v>
      </c>
      <c r="G2811" t="s">
        <v>10999</v>
      </c>
    </row>
    <row r="2812" spans="1:7">
      <c r="A2812" s="306"/>
      <c r="B2812" t="s">
        <v>7924</v>
      </c>
      <c r="C2812" t="s">
        <v>7925</v>
      </c>
      <c r="E2812">
        <v>3252.173913043478</v>
      </c>
      <c r="F2812" t="s">
        <v>12035</v>
      </c>
      <c r="G2812" t="s">
        <v>10999</v>
      </c>
    </row>
    <row r="2813" spans="1:7">
      <c r="A2813" s="306"/>
      <c r="B2813" t="s">
        <v>7934</v>
      </c>
      <c r="C2813" t="s">
        <v>7935</v>
      </c>
      <c r="E2813">
        <v>2455.4347826086955</v>
      </c>
      <c r="F2813" t="s">
        <v>12035</v>
      </c>
      <c r="G2813" t="s">
        <v>10999</v>
      </c>
    </row>
    <row r="2814" spans="1:7">
      <c r="A2814" s="306"/>
      <c r="B2814" t="s">
        <v>7932</v>
      </c>
      <c r="C2814" t="s">
        <v>7933</v>
      </c>
      <c r="E2814">
        <v>2317.391304347826</v>
      </c>
      <c r="F2814" t="s">
        <v>12035</v>
      </c>
      <c r="G2814" t="s">
        <v>10999</v>
      </c>
    </row>
    <row r="2815" spans="1:7">
      <c r="A2815" s="306"/>
      <c r="B2815" t="s">
        <v>7930</v>
      </c>
      <c r="C2815" t="s">
        <v>7931</v>
      </c>
      <c r="E2815">
        <v>3605.4347826086955</v>
      </c>
      <c r="F2815" t="s">
        <v>12035</v>
      </c>
      <c r="G2815" t="s">
        <v>10999</v>
      </c>
    </row>
    <row r="2816" spans="1:7">
      <c r="A2816" s="306"/>
      <c r="B2816" t="s">
        <v>7938</v>
      </c>
      <c r="C2816" t="s">
        <v>7939</v>
      </c>
      <c r="E2816">
        <v>2338.0434782608695</v>
      </c>
      <c r="F2816" t="s">
        <v>12035</v>
      </c>
      <c r="G2816" t="s">
        <v>10999</v>
      </c>
    </row>
    <row r="2817" spans="1:7">
      <c r="A2817" s="306"/>
      <c r="B2817" t="s">
        <v>7942</v>
      </c>
      <c r="C2817" t="s">
        <v>7943</v>
      </c>
      <c r="E2817">
        <v>2317.391304347826</v>
      </c>
      <c r="F2817" t="s">
        <v>12035</v>
      </c>
      <c r="G2817" t="s">
        <v>10999</v>
      </c>
    </row>
    <row r="2818" spans="1:7">
      <c r="A2818" s="306"/>
      <c r="B2818" t="s">
        <v>7940</v>
      </c>
      <c r="C2818" t="s">
        <v>7941</v>
      </c>
      <c r="E2818">
        <v>2413.0434782608695</v>
      </c>
      <c r="F2818" t="s">
        <v>12035</v>
      </c>
      <c r="G2818" t="s">
        <v>10999</v>
      </c>
    </row>
    <row r="2819" spans="1:7">
      <c r="A2819" s="306"/>
      <c r="B2819" t="s">
        <v>7944</v>
      </c>
      <c r="C2819" t="s">
        <v>7945</v>
      </c>
      <c r="E2819">
        <v>2455.4347826086955</v>
      </c>
      <c r="F2819" t="s">
        <v>12035</v>
      </c>
      <c r="G2819" t="s">
        <v>10999</v>
      </c>
    </row>
    <row r="2820" spans="1:7">
      <c r="A2820" s="306"/>
      <c r="B2820" t="s">
        <v>360</v>
      </c>
      <c r="C2820" t="s">
        <v>13749</v>
      </c>
      <c r="E2820">
        <v>2709.782608695652</v>
      </c>
      <c r="F2820" t="s">
        <v>12035</v>
      </c>
      <c r="G2820" t="s">
        <v>10996</v>
      </c>
    </row>
    <row r="2821" spans="1:7">
      <c r="A2821" s="306"/>
      <c r="B2821" t="s">
        <v>7893</v>
      </c>
      <c r="C2821" t="s">
        <v>13750</v>
      </c>
      <c r="E2821">
        <v>2753.2608695652175</v>
      </c>
      <c r="F2821" t="s">
        <v>12035</v>
      </c>
      <c r="G2821" t="s">
        <v>10999</v>
      </c>
    </row>
    <row r="2822" spans="1:7">
      <c r="A2822" s="306"/>
      <c r="B2822" t="s">
        <v>7725</v>
      </c>
      <c r="C2822" t="s">
        <v>13751</v>
      </c>
      <c r="E2822">
        <v>2311.9565217391305</v>
      </c>
      <c r="F2822" t="s">
        <v>12035</v>
      </c>
      <c r="G2822" t="s">
        <v>10999</v>
      </c>
    </row>
    <row r="2823" spans="1:7">
      <c r="A2823" s="306"/>
      <c r="B2823" t="s">
        <v>7726</v>
      </c>
      <c r="C2823" t="s">
        <v>13752</v>
      </c>
      <c r="E2823">
        <v>2292.391304347826</v>
      </c>
      <c r="F2823" t="s">
        <v>13753</v>
      </c>
      <c r="G2823" t="s">
        <v>10999</v>
      </c>
    </row>
    <row r="2824" spans="1:7">
      <c r="A2824" s="306"/>
      <c r="B2824" t="s">
        <v>7728</v>
      </c>
      <c r="C2824" t="s">
        <v>13754</v>
      </c>
      <c r="E2824">
        <v>3539.1304347826085</v>
      </c>
      <c r="F2824" t="s">
        <v>12035</v>
      </c>
      <c r="G2824" t="s">
        <v>10999</v>
      </c>
    </row>
    <row r="2825" spans="1:7">
      <c r="A2825" s="306"/>
      <c r="B2825" t="s">
        <v>7729</v>
      </c>
      <c r="C2825" t="s">
        <v>13755</v>
      </c>
      <c r="E2825">
        <v>4466.304347826087</v>
      </c>
      <c r="F2825" t="s">
        <v>13753</v>
      </c>
      <c r="G2825" t="s">
        <v>10999</v>
      </c>
    </row>
    <row r="2826" spans="1:7">
      <c r="A2826" s="306"/>
      <c r="B2826" t="s">
        <v>7730</v>
      </c>
      <c r="C2826" t="s">
        <v>13756</v>
      </c>
      <c r="E2826">
        <v>3765.2173913043475</v>
      </c>
      <c r="F2826" t="s">
        <v>13753</v>
      </c>
      <c r="G2826" t="s">
        <v>10999</v>
      </c>
    </row>
    <row r="2827" spans="1:7">
      <c r="A2827" s="306"/>
      <c r="B2827" t="s">
        <v>7731</v>
      </c>
      <c r="C2827" t="s">
        <v>13757</v>
      </c>
      <c r="E2827">
        <v>3745.6521739130435</v>
      </c>
      <c r="F2827" t="s">
        <v>13753</v>
      </c>
      <c r="G2827" t="s">
        <v>10999</v>
      </c>
    </row>
    <row r="2828" spans="1:7">
      <c r="A2828" s="306"/>
      <c r="B2828" t="s">
        <v>7732</v>
      </c>
      <c r="C2828" t="s">
        <v>7733</v>
      </c>
      <c r="E2828">
        <v>2442.391304347826</v>
      </c>
      <c r="F2828" t="s">
        <v>12035</v>
      </c>
      <c r="G2828" t="s">
        <v>10999</v>
      </c>
    </row>
    <row r="2829" spans="1:7">
      <c r="A2829" s="306"/>
      <c r="B2829" t="s">
        <v>7734</v>
      </c>
      <c r="C2829" t="s">
        <v>7735</v>
      </c>
      <c r="E2829">
        <v>3927.173913043478</v>
      </c>
      <c r="F2829" t="s">
        <v>12035</v>
      </c>
      <c r="G2829" t="s">
        <v>10999</v>
      </c>
    </row>
    <row r="2830" spans="1:7">
      <c r="A2830" s="306"/>
      <c r="B2830" t="s">
        <v>7908</v>
      </c>
      <c r="C2830" t="s">
        <v>7909</v>
      </c>
      <c r="E2830">
        <v>541.30434782608688</v>
      </c>
      <c r="F2830" t="s">
        <v>12035</v>
      </c>
      <c r="G2830" t="s">
        <v>10999</v>
      </c>
    </row>
    <row r="2831" spans="1:7">
      <c r="A2831" s="306"/>
      <c r="B2831" t="s">
        <v>7910</v>
      </c>
      <c r="C2831" t="s">
        <v>7911</v>
      </c>
      <c r="E2831">
        <v>486.95652173913044</v>
      </c>
      <c r="F2831" t="s">
        <v>12035</v>
      </c>
      <c r="G2831" t="s">
        <v>10999</v>
      </c>
    </row>
    <row r="2832" spans="1:7">
      <c r="A2832" s="306"/>
      <c r="B2832" t="s">
        <v>7912</v>
      </c>
      <c r="C2832" t="s">
        <v>7913</v>
      </c>
      <c r="E2832">
        <v>486.95652173913044</v>
      </c>
      <c r="F2832" t="s">
        <v>12035</v>
      </c>
      <c r="G2832" t="s">
        <v>10999</v>
      </c>
    </row>
    <row r="2833" spans="1:7">
      <c r="A2833" s="306"/>
      <c r="B2833" t="s">
        <v>7914</v>
      </c>
      <c r="C2833" t="s">
        <v>7915</v>
      </c>
      <c r="E2833">
        <v>500</v>
      </c>
      <c r="F2833" t="s">
        <v>12035</v>
      </c>
      <c r="G2833" t="s">
        <v>10999</v>
      </c>
    </row>
    <row r="2834" spans="1:7">
      <c r="A2834" s="306"/>
      <c r="B2834" t="s">
        <v>7900</v>
      </c>
      <c r="C2834" t="s">
        <v>7901</v>
      </c>
      <c r="E2834">
        <v>396.73913043478257</v>
      </c>
      <c r="F2834" t="s">
        <v>12035</v>
      </c>
      <c r="G2834" t="s">
        <v>10999</v>
      </c>
    </row>
    <row r="2835" spans="1:7">
      <c r="A2835" s="306"/>
      <c r="B2835" t="s">
        <v>7736</v>
      </c>
      <c r="C2835" t="s">
        <v>13758</v>
      </c>
      <c r="E2835">
        <v>625</v>
      </c>
      <c r="F2835" t="s">
        <v>13753</v>
      </c>
    </row>
    <row r="2836" spans="1:7">
      <c r="A2836" s="306"/>
      <c r="B2836" t="s">
        <v>13759</v>
      </c>
    </row>
    <row r="2837" spans="1:7">
      <c r="A2837" s="306"/>
      <c r="B2837" t="s">
        <v>13760</v>
      </c>
      <c r="C2837" t="s">
        <v>13761</v>
      </c>
      <c r="E2837">
        <v>4536.95652173913</v>
      </c>
      <c r="F2837" t="s">
        <v>12035</v>
      </c>
    </row>
    <row r="2838" spans="1:7">
      <c r="A2838" s="306"/>
      <c r="B2838" t="s">
        <v>13762</v>
      </c>
      <c r="C2838" t="s">
        <v>13763</v>
      </c>
      <c r="E2838">
        <v>3748.9130434782605</v>
      </c>
      <c r="F2838" t="s">
        <v>12035</v>
      </c>
    </row>
    <row r="2839" spans="1:7">
      <c r="A2839" s="306"/>
      <c r="B2839" t="s">
        <v>13764</v>
      </c>
      <c r="C2839" t="s">
        <v>13765</v>
      </c>
      <c r="E2839">
        <v>3835.869565217391</v>
      </c>
      <c r="F2839" t="s">
        <v>12035</v>
      </c>
    </row>
    <row r="2840" spans="1:7">
      <c r="A2840" s="306"/>
      <c r="B2840" t="s">
        <v>13766</v>
      </c>
      <c r="C2840" t="s">
        <v>13767</v>
      </c>
      <c r="E2840">
        <v>1101.086956521739</v>
      </c>
      <c r="F2840" t="s">
        <v>12035</v>
      </c>
    </row>
    <row r="2841" spans="1:7">
      <c r="A2841" s="306"/>
      <c r="B2841" t="s">
        <v>13768</v>
      </c>
      <c r="C2841" t="s">
        <v>13769</v>
      </c>
      <c r="E2841">
        <v>3748.9130434782605</v>
      </c>
      <c r="F2841" t="s">
        <v>12035</v>
      </c>
    </row>
    <row r="2842" spans="1:7">
      <c r="A2842" s="306"/>
      <c r="B2842" t="s">
        <v>13770</v>
      </c>
      <c r="C2842" t="s">
        <v>13771</v>
      </c>
      <c r="E2842">
        <v>5236.95652173913</v>
      </c>
      <c r="F2842" t="s">
        <v>12035</v>
      </c>
    </row>
    <row r="2843" spans="1:7">
      <c r="A2843" s="306"/>
      <c r="B2843" t="s">
        <v>13772</v>
      </c>
    </row>
    <row r="2844" spans="1:7">
      <c r="A2844" s="306"/>
      <c r="B2844" t="s">
        <v>13773</v>
      </c>
      <c r="C2844" t="s">
        <v>13774</v>
      </c>
      <c r="E2844">
        <v>126.08695652173913</v>
      </c>
      <c r="F2844" t="s">
        <v>12039</v>
      </c>
    </row>
    <row r="2845" spans="1:7">
      <c r="A2845" s="306"/>
      <c r="B2845" t="s">
        <v>13775</v>
      </c>
      <c r="C2845" t="s">
        <v>13776</v>
      </c>
      <c r="E2845">
        <v>252.17391304347825</v>
      </c>
      <c r="F2845" t="s">
        <v>12039</v>
      </c>
    </row>
    <row r="2846" spans="1:7">
      <c r="A2846" s="306"/>
      <c r="B2846" t="s">
        <v>13777</v>
      </c>
      <c r="C2846" t="s">
        <v>13778</v>
      </c>
      <c r="E2846">
        <v>229.3478260869565</v>
      </c>
      <c r="F2846" t="s">
        <v>12039</v>
      </c>
    </row>
    <row r="2847" spans="1:7">
      <c r="A2847" s="306"/>
      <c r="B2847" t="s">
        <v>13779</v>
      </c>
      <c r="C2847" t="s">
        <v>13780</v>
      </c>
      <c r="E2847">
        <v>457.60869565217388</v>
      </c>
      <c r="F2847" t="s">
        <v>12039</v>
      </c>
    </row>
    <row r="2848" spans="1:7">
      <c r="A2848" s="306"/>
      <c r="B2848" t="s">
        <v>13781</v>
      </c>
      <c r="C2848" t="s">
        <v>13782</v>
      </c>
      <c r="E2848">
        <v>816.30434782608688</v>
      </c>
      <c r="F2848" t="s">
        <v>12039</v>
      </c>
    </row>
    <row r="2849" spans="1:7">
      <c r="A2849" s="306"/>
      <c r="B2849" t="s">
        <v>13783</v>
      </c>
      <c r="C2849" t="s">
        <v>13784</v>
      </c>
      <c r="E2849">
        <v>1631.5217391304348</v>
      </c>
      <c r="F2849" t="s">
        <v>12039</v>
      </c>
    </row>
    <row r="2850" spans="1:7">
      <c r="A2850" s="306"/>
      <c r="B2850" t="s">
        <v>7978</v>
      </c>
      <c r="C2850" t="s">
        <v>1344</v>
      </c>
      <c r="E2850">
        <v>80.434782608695642</v>
      </c>
      <c r="F2850" t="s">
        <v>13687</v>
      </c>
      <c r="G2850" t="s">
        <v>10996</v>
      </c>
    </row>
    <row r="2851" spans="1:7">
      <c r="A2851" s="306"/>
      <c r="B2851" t="s">
        <v>7979</v>
      </c>
      <c r="C2851" t="s">
        <v>7980</v>
      </c>
      <c r="E2851">
        <v>443.47826086956519</v>
      </c>
      <c r="F2851" t="s">
        <v>13687</v>
      </c>
      <c r="G2851" t="s">
        <v>10999</v>
      </c>
    </row>
    <row r="2852" spans="1:7">
      <c r="A2852" s="306"/>
      <c r="B2852" t="s">
        <v>7981</v>
      </c>
      <c r="C2852" t="s">
        <v>7982</v>
      </c>
      <c r="E2852">
        <v>11.956521739130434</v>
      </c>
      <c r="F2852" t="s">
        <v>13687</v>
      </c>
      <c r="G2852" t="s">
        <v>10996</v>
      </c>
    </row>
    <row r="2853" spans="1:7">
      <c r="A2853" s="306"/>
      <c r="B2853" t="s">
        <v>7983</v>
      </c>
      <c r="C2853" t="s">
        <v>7984</v>
      </c>
      <c r="E2853">
        <v>14.130434782608695</v>
      </c>
      <c r="F2853" t="s">
        <v>13687</v>
      </c>
      <c r="G2853" t="s">
        <v>10996</v>
      </c>
    </row>
    <row r="2854" spans="1:7">
      <c r="A2854" s="306"/>
      <c r="B2854" t="s">
        <v>7985</v>
      </c>
      <c r="C2854" t="s">
        <v>7986</v>
      </c>
      <c r="E2854">
        <v>28.260869565217391</v>
      </c>
      <c r="F2854" t="s">
        <v>13687</v>
      </c>
      <c r="G2854" t="s">
        <v>10996</v>
      </c>
    </row>
    <row r="2855" spans="1:7">
      <c r="A2855" s="306"/>
      <c r="B2855" t="s">
        <v>7987</v>
      </c>
      <c r="C2855" t="s">
        <v>7988</v>
      </c>
      <c r="E2855">
        <v>19.565217391304348</v>
      </c>
      <c r="F2855" t="s">
        <v>13687</v>
      </c>
      <c r="G2855" t="s">
        <v>10996</v>
      </c>
    </row>
    <row r="2856" spans="1:7">
      <c r="A2856" s="306"/>
      <c r="B2856" t="s">
        <v>7989</v>
      </c>
      <c r="C2856" t="s">
        <v>7990</v>
      </c>
      <c r="E2856">
        <v>4463.0434782608691</v>
      </c>
      <c r="F2856" t="s">
        <v>13688</v>
      </c>
    </row>
    <row r="2857" spans="1:7">
      <c r="A2857" s="306"/>
      <c r="B2857" t="s">
        <v>7991</v>
      </c>
      <c r="C2857" t="s">
        <v>7992</v>
      </c>
      <c r="E2857">
        <v>1608.695652173913</v>
      </c>
      <c r="F2857" t="s">
        <v>13785</v>
      </c>
      <c r="G2857" t="s">
        <v>10996</v>
      </c>
    </row>
    <row r="2858" spans="1:7">
      <c r="A2858" s="306"/>
      <c r="B2858" t="s">
        <v>7993</v>
      </c>
      <c r="C2858" t="s">
        <v>7994</v>
      </c>
      <c r="E2858">
        <v>4703.260869565217</v>
      </c>
      <c r="F2858" t="s">
        <v>13785</v>
      </c>
      <c r="G2858" t="s">
        <v>10996</v>
      </c>
    </row>
    <row r="2859" spans="1:7">
      <c r="A2859" s="306"/>
      <c r="B2859" t="s">
        <v>7995</v>
      </c>
      <c r="C2859" t="s">
        <v>7996</v>
      </c>
      <c r="E2859">
        <v>2293.478260869565</v>
      </c>
      <c r="F2859" t="s">
        <v>13785</v>
      </c>
      <c r="G2859" t="s">
        <v>10996</v>
      </c>
    </row>
    <row r="2860" spans="1:7">
      <c r="A2860" s="306"/>
      <c r="B2860" t="s">
        <v>7997</v>
      </c>
      <c r="C2860" t="s">
        <v>7998</v>
      </c>
      <c r="E2860">
        <v>5853.260869565217</v>
      </c>
      <c r="F2860" t="s">
        <v>13785</v>
      </c>
      <c r="G2860" t="s">
        <v>10996</v>
      </c>
    </row>
    <row r="2861" spans="1:7">
      <c r="A2861" s="306"/>
      <c r="B2861" t="s">
        <v>7999</v>
      </c>
      <c r="C2861" t="s">
        <v>8000</v>
      </c>
      <c r="E2861">
        <v>22.826086956521738</v>
      </c>
      <c r="F2861" t="s">
        <v>12035</v>
      </c>
      <c r="G2861" t="s">
        <v>10999</v>
      </c>
    </row>
    <row r="2862" spans="1:7">
      <c r="A2862" s="306"/>
      <c r="B2862" t="s">
        <v>8001</v>
      </c>
      <c r="C2862" t="s">
        <v>8002</v>
      </c>
      <c r="E2862">
        <v>90.217391304347828</v>
      </c>
      <c r="F2862" t="s">
        <v>12035</v>
      </c>
      <c r="G2862" t="s">
        <v>10999</v>
      </c>
    </row>
    <row r="2863" spans="1:7">
      <c r="A2863" s="306"/>
      <c r="B2863" t="s">
        <v>8513</v>
      </c>
      <c r="C2863" t="s">
        <v>8514</v>
      </c>
      <c r="E2863">
        <v>100</v>
      </c>
      <c r="F2863" t="s">
        <v>13693</v>
      </c>
    </row>
    <row r="2864" spans="1:7">
      <c r="A2864" s="306"/>
      <c r="B2864" t="s">
        <v>8515</v>
      </c>
      <c r="C2864" t="s">
        <v>8516</v>
      </c>
      <c r="E2864">
        <v>177.17391304347825</v>
      </c>
      <c r="F2864" t="s">
        <v>13693</v>
      </c>
    </row>
    <row r="2865" spans="1:7">
      <c r="A2865" s="306"/>
      <c r="B2865" t="s">
        <v>8511</v>
      </c>
      <c r="C2865" t="s">
        <v>8512</v>
      </c>
      <c r="E2865">
        <v>57.608695652173914</v>
      </c>
      <c r="F2865" t="s">
        <v>13693</v>
      </c>
    </row>
    <row r="2866" spans="1:7">
      <c r="A2866" s="306"/>
      <c r="B2866" t="s">
        <v>8517</v>
      </c>
      <c r="C2866" t="s">
        <v>13786</v>
      </c>
      <c r="E2866">
        <v>209.78260869565216</v>
      </c>
      <c r="F2866" t="s">
        <v>13693</v>
      </c>
    </row>
    <row r="2867" spans="1:7">
      <c r="A2867" s="306"/>
      <c r="B2867" t="s">
        <v>7719</v>
      </c>
      <c r="C2867" t="s">
        <v>7720</v>
      </c>
      <c r="E2867">
        <v>2097.8260869565215</v>
      </c>
      <c r="F2867" t="s">
        <v>13787</v>
      </c>
      <c r="G2867" t="s">
        <v>10996</v>
      </c>
    </row>
    <row r="2868" spans="1:7">
      <c r="A2868" s="306"/>
      <c r="B2868" t="s">
        <v>7721</v>
      </c>
      <c r="C2868" t="s">
        <v>7722</v>
      </c>
      <c r="E2868">
        <v>4603.260869565217</v>
      </c>
      <c r="F2868" t="s">
        <v>13787</v>
      </c>
      <c r="G2868" t="s">
        <v>10996</v>
      </c>
    </row>
    <row r="2869" spans="1:7">
      <c r="A2869" s="306"/>
      <c r="B2869" t="s">
        <v>7723</v>
      </c>
      <c r="C2869" t="s">
        <v>7724</v>
      </c>
      <c r="E2869">
        <v>14506.521739130434</v>
      </c>
      <c r="F2869" t="s">
        <v>13787</v>
      </c>
      <c r="G2869" t="s">
        <v>10996</v>
      </c>
    </row>
    <row r="2870" spans="1:7">
      <c r="A2870" s="306"/>
      <c r="B2870" t="s">
        <v>13501</v>
      </c>
      <c r="C2870" t="s">
        <v>13502</v>
      </c>
      <c r="E2870">
        <v>11251.086956521738</v>
      </c>
      <c r="F2870" t="s">
        <v>13787</v>
      </c>
    </row>
    <row r="2871" spans="1:7">
      <c r="A2871" s="306"/>
      <c r="B2871" t="s">
        <v>13503</v>
      </c>
      <c r="C2871" t="s">
        <v>13504</v>
      </c>
      <c r="E2871">
        <v>8464.1304347826081</v>
      </c>
      <c r="F2871" t="s">
        <v>13787</v>
      </c>
    </row>
    <row r="2872" spans="1:7">
      <c r="A2872" s="306"/>
      <c r="B2872" t="s">
        <v>13505</v>
      </c>
      <c r="C2872" t="s">
        <v>13506</v>
      </c>
      <c r="E2872">
        <v>14057.608695652174</v>
      </c>
      <c r="F2872" t="s">
        <v>13787</v>
      </c>
    </row>
    <row r="2873" spans="1:7">
      <c r="A2873" s="306"/>
      <c r="B2873" t="s">
        <v>13507</v>
      </c>
      <c r="C2873" t="s">
        <v>13508</v>
      </c>
      <c r="E2873">
        <v>11270.652173913042</v>
      </c>
      <c r="F2873" t="s">
        <v>13787</v>
      </c>
    </row>
    <row r="2874" spans="1:7">
      <c r="A2874" s="306"/>
      <c r="B2874" t="s">
        <v>13509</v>
      </c>
      <c r="C2874" t="s">
        <v>13510</v>
      </c>
      <c r="E2874">
        <v>8444.565217391304</v>
      </c>
      <c r="F2874" t="s">
        <v>13787</v>
      </c>
    </row>
    <row r="2875" spans="1:7">
      <c r="A2875" s="306"/>
      <c r="B2875" t="s">
        <v>13511</v>
      </c>
      <c r="C2875" t="s">
        <v>13512</v>
      </c>
      <c r="E2875">
        <v>5657.608695652174</v>
      </c>
      <c r="F2875" t="s">
        <v>13787</v>
      </c>
    </row>
    <row r="2876" spans="1:7">
      <c r="A2876" s="306"/>
      <c r="B2876" t="s">
        <v>13513</v>
      </c>
      <c r="C2876" t="s">
        <v>13514</v>
      </c>
      <c r="E2876">
        <v>2870.6521739130435</v>
      </c>
      <c r="F2876" t="s">
        <v>13787</v>
      </c>
    </row>
    <row r="2877" spans="1:7">
      <c r="A2877" s="306"/>
      <c r="B2877" t="s">
        <v>7712</v>
      </c>
      <c r="C2877" t="s">
        <v>13788</v>
      </c>
      <c r="E2877">
        <v>5806.521739130435</v>
      </c>
      <c r="F2877" t="s">
        <v>13446</v>
      </c>
      <c r="G2877" t="s">
        <v>10996</v>
      </c>
    </row>
    <row r="2878" spans="1:7">
      <c r="A2878" s="306"/>
      <c r="B2878" t="s">
        <v>7713</v>
      </c>
      <c r="C2878" t="s">
        <v>13789</v>
      </c>
      <c r="E2878">
        <v>5881.5217391304304</v>
      </c>
      <c r="F2878" t="s">
        <v>13446</v>
      </c>
      <c r="G2878" t="s">
        <v>10996</v>
      </c>
    </row>
    <row r="2879" spans="1:7">
      <c r="A2879" s="306"/>
      <c r="B2879" t="s">
        <v>7714</v>
      </c>
      <c r="C2879" t="s">
        <v>13790</v>
      </c>
      <c r="E2879">
        <v>10642.391304347826</v>
      </c>
      <c r="F2879" t="s">
        <v>13446</v>
      </c>
      <c r="G2879" t="s">
        <v>10999</v>
      </c>
    </row>
    <row r="2880" spans="1:7">
      <c r="A2880" s="306"/>
      <c r="B2880" t="s">
        <v>7715</v>
      </c>
      <c r="C2880" t="s">
        <v>13791</v>
      </c>
      <c r="E2880">
        <v>27904.347826086956</v>
      </c>
      <c r="F2880" t="s">
        <v>13688</v>
      </c>
      <c r="G2880" t="s">
        <v>10999</v>
      </c>
    </row>
    <row r="2881" spans="1:7">
      <c r="A2881" s="306"/>
      <c r="B2881" t="s">
        <v>7741</v>
      </c>
      <c r="C2881" t="s">
        <v>13792</v>
      </c>
      <c r="E2881">
        <v>13020.652173913042</v>
      </c>
      <c r="F2881" t="s">
        <v>13688</v>
      </c>
      <c r="G2881" t="s">
        <v>10999</v>
      </c>
    </row>
    <row r="2882" spans="1:7">
      <c r="A2882" s="306"/>
      <c r="B2882" t="s">
        <v>7716</v>
      </c>
      <c r="C2882" t="s">
        <v>13793</v>
      </c>
      <c r="E2882">
        <v>27904.347826086956</v>
      </c>
      <c r="F2882" t="s">
        <v>13688</v>
      </c>
      <c r="G2882" t="s">
        <v>10999</v>
      </c>
    </row>
    <row r="2883" spans="1:7">
      <c r="A2883" s="306"/>
      <c r="B2883" t="s">
        <v>7740</v>
      </c>
      <c r="C2883" t="s">
        <v>13794</v>
      </c>
      <c r="E2883">
        <v>13020.652173913042</v>
      </c>
      <c r="F2883" t="s">
        <v>13688</v>
      </c>
      <c r="G2883" t="s">
        <v>10999</v>
      </c>
    </row>
    <row r="2884" spans="1:7">
      <c r="A2884" s="306"/>
      <c r="B2884" t="s">
        <v>7742</v>
      </c>
      <c r="C2884" t="s">
        <v>13795</v>
      </c>
      <c r="E2884">
        <v>15873.91304347826</v>
      </c>
      <c r="F2884" t="s">
        <v>13688</v>
      </c>
      <c r="G2884" t="s">
        <v>10999</v>
      </c>
    </row>
    <row r="2885" spans="1:7">
      <c r="A2885" s="306"/>
      <c r="B2885" t="s">
        <v>7717</v>
      </c>
      <c r="C2885" t="s">
        <v>13796</v>
      </c>
      <c r="E2885">
        <v>80368.478260869568</v>
      </c>
      <c r="F2885" t="s">
        <v>13688</v>
      </c>
      <c r="G2885" t="s">
        <v>10999</v>
      </c>
    </row>
    <row r="2886" spans="1:7">
      <c r="A2886" s="306"/>
      <c r="B2886" t="s">
        <v>7743</v>
      </c>
      <c r="C2886" t="s">
        <v>13797</v>
      </c>
      <c r="E2886">
        <v>15873.91304347826</v>
      </c>
      <c r="F2886" t="s">
        <v>13688</v>
      </c>
      <c r="G2886" t="s">
        <v>10999</v>
      </c>
    </row>
    <row r="2887" spans="1:7">
      <c r="A2887" s="306"/>
      <c r="B2887" t="s">
        <v>6816</v>
      </c>
    </row>
    <row r="2888" spans="1:7">
      <c r="A2888" s="306"/>
      <c r="B2888" t="s">
        <v>13798</v>
      </c>
      <c r="C2888" t="s">
        <v>13799</v>
      </c>
      <c r="E2888">
        <v>92.391304347826079</v>
      </c>
      <c r="F2888" t="s">
        <v>13693</v>
      </c>
    </row>
    <row r="2889" spans="1:7">
      <c r="A2889" s="306"/>
      <c r="B2889" t="s">
        <v>13800</v>
      </c>
      <c r="C2889" t="s">
        <v>13801</v>
      </c>
      <c r="E2889">
        <v>118.47826086956522</v>
      </c>
      <c r="F2889" t="s">
        <v>13693</v>
      </c>
    </row>
    <row r="2890" spans="1:7">
      <c r="A2890" s="306"/>
      <c r="B2890" t="s">
        <v>7744</v>
      </c>
      <c r="C2890" t="s">
        <v>7745</v>
      </c>
      <c r="E2890">
        <v>65.217391304347828</v>
      </c>
      <c r="F2890" t="s">
        <v>13687</v>
      </c>
      <c r="G2890" t="s">
        <v>10996</v>
      </c>
    </row>
    <row r="2891" spans="1:7">
      <c r="A2891" s="306"/>
      <c r="B2891" t="s">
        <v>7746</v>
      </c>
      <c r="C2891" t="s">
        <v>7747</v>
      </c>
      <c r="E2891">
        <v>81.521739130434781</v>
      </c>
      <c r="F2891" t="s">
        <v>13687</v>
      </c>
      <c r="G2891" t="s">
        <v>10996</v>
      </c>
    </row>
    <row r="2892" spans="1:7">
      <c r="A2892" s="306"/>
      <c r="B2892" t="s">
        <v>7748</v>
      </c>
      <c r="C2892" t="s">
        <v>7749</v>
      </c>
      <c r="E2892">
        <v>108.69565217391303</v>
      </c>
      <c r="F2892" t="s">
        <v>13687</v>
      </c>
      <c r="G2892" t="s">
        <v>10996</v>
      </c>
    </row>
    <row r="2893" spans="1:7">
      <c r="A2893" s="306"/>
      <c r="B2893" t="s">
        <v>7750</v>
      </c>
      <c r="C2893" t="s">
        <v>7751</v>
      </c>
      <c r="E2893">
        <v>88.043478260869563</v>
      </c>
      <c r="F2893" t="s">
        <v>13687</v>
      </c>
      <c r="G2893" t="s">
        <v>10996</v>
      </c>
    </row>
    <row r="2894" spans="1:7">
      <c r="A2894" s="306"/>
      <c r="B2894" t="s">
        <v>7752</v>
      </c>
      <c r="C2894" t="s">
        <v>7753</v>
      </c>
      <c r="E2894">
        <v>138.04347826086956</v>
      </c>
      <c r="F2894" t="s">
        <v>13687</v>
      </c>
      <c r="G2894" t="s">
        <v>10996</v>
      </c>
    </row>
    <row r="2895" spans="1:7">
      <c r="A2895" s="306"/>
      <c r="B2895" t="s">
        <v>7754</v>
      </c>
      <c r="C2895" t="s">
        <v>7755</v>
      </c>
      <c r="E2895">
        <v>103.26086956521739</v>
      </c>
      <c r="F2895" t="s">
        <v>13687</v>
      </c>
      <c r="G2895" t="s">
        <v>10996</v>
      </c>
    </row>
    <row r="2896" spans="1:7">
      <c r="A2896" s="306"/>
      <c r="B2896" t="s">
        <v>8003</v>
      </c>
      <c r="C2896" t="s">
        <v>8004</v>
      </c>
      <c r="E2896">
        <v>43.478260869565219</v>
      </c>
      <c r="F2896" t="s">
        <v>12035</v>
      </c>
      <c r="G2896" t="s">
        <v>10999</v>
      </c>
    </row>
    <row r="2897" spans="1:7">
      <c r="A2897" s="306"/>
      <c r="B2897" t="s">
        <v>8005</v>
      </c>
      <c r="C2897" t="s">
        <v>8006</v>
      </c>
      <c r="E2897">
        <v>184.78260869565216</v>
      </c>
      <c r="F2897" t="s">
        <v>12035</v>
      </c>
      <c r="G2897" t="s">
        <v>10999</v>
      </c>
    </row>
    <row r="2898" spans="1:7">
      <c r="A2898" s="306"/>
      <c r="B2898" t="s">
        <v>7756</v>
      </c>
      <c r="C2898" t="s">
        <v>7757</v>
      </c>
      <c r="E2898">
        <v>1036.9565217391305</v>
      </c>
      <c r="F2898" t="s">
        <v>13688</v>
      </c>
      <c r="G2898" t="s">
        <v>10999</v>
      </c>
    </row>
    <row r="2899" spans="1:7">
      <c r="A2899" s="306"/>
      <c r="B2899" t="s">
        <v>7758</v>
      </c>
      <c r="C2899" t="s">
        <v>7759</v>
      </c>
      <c r="E2899">
        <v>1466.304347826087</v>
      </c>
      <c r="F2899" t="s">
        <v>13688</v>
      </c>
      <c r="G2899" t="s">
        <v>10999</v>
      </c>
    </row>
    <row r="2900" spans="1:7">
      <c r="A2900" s="306"/>
      <c r="B2900" t="s">
        <v>7760</v>
      </c>
      <c r="C2900" t="s">
        <v>7761</v>
      </c>
      <c r="E2900">
        <v>1982.6086956521738</v>
      </c>
      <c r="F2900" t="s">
        <v>13688</v>
      </c>
      <c r="G2900" t="s">
        <v>10999</v>
      </c>
    </row>
    <row r="2901" spans="1:7">
      <c r="A2901" s="306"/>
      <c r="B2901" t="s">
        <v>7762</v>
      </c>
      <c r="C2901" t="s">
        <v>7763</v>
      </c>
      <c r="E2901">
        <v>2478.2608695652175</v>
      </c>
      <c r="F2901" t="s">
        <v>13688</v>
      </c>
      <c r="G2901" t="s">
        <v>10999</v>
      </c>
    </row>
    <row r="2902" spans="1:7">
      <c r="A2902" s="306"/>
      <c r="B2902" t="s">
        <v>8007</v>
      </c>
      <c r="C2902" t="s">
        <v>8008</v>
      </c>
      <c r="E2902">
        <v>216.30434782608694</v>
      </c>
      <c r="F2902" t="s">
        <v>12035</v>
      </c>
      <c r="G2902" t="s">
        <v>10999</v>
      </c>
    </row>
    <row r="2903" spans="1:7">
      <c r="A2903" s="306"/>
      <c r="B2903" t="s">
        <v>8009</v>
      </c>
      <c r="C2903" t="s">
        <v>8010</v>
      </c>
      <c r="E2903">
        <v>52.173913043478258</v>
      </c>
      <c r="F2903" t="s">
        <v>12035</v>
      </c>
      <c r="G2903" t="s">
        <v>10999</v>
      </c>
    </row>
    <row r="2904" spans="1:7">
      <c r="A2904" s="306"/>
      <c r="B2904" t="s">
        <v>8011</v>
      </c>
      <c r="C2904" t="s">
        <v>8012</v>
      </c>
      <c r="E2904">
        <v>147.82608695652172</v>
      </c>
      <c r="F2904" t="s">
        <v>12035</v>
      </c>
      <c r="G2904" t="s">
        <v>10999</v>
      </c>
    </row>
    <row r="2905" spans="1:7">
      <c r="A2905" s="306"/>
      <c r="B2905" t="s">
        <v>8013</v>
      </c>
      <c r="C2905" t="s">
        <v>8014</v>
      </c>
      <c r="E2905">
        <v>253.26086956521738</v>
      </c>
      <c r="F2905" t="s">
        <v>12035</v>
      </c>
      <c r="G2905" t="s">
        <v>10999</v>
      </c>
    </row>
    <row r="2906" spans="1:7">
      <c r="A2906" s="306"/>
      <c r="B2906" t="s">
        <v>13802</v>
      </c>
      <c r="C2906" t="s">
        <v>13803</v>
      </c>
      <c r="E2906">
        <v>30.434782608695652</v>
      </c>
      <c r="F2906" t="s">
        <v>12035</v>
      </c>
    </row>
    <row r="2907" spans="1:7">
      <c r="A2907" s="306"/>
      <c r="B2907" t="s">
        <v>13804</v>
      </c>
      <c r="C2907" t="s">
        <v>13805</v>
      </c>
      <c r="E2907">
        <v>43.478260869565219</v>
      </c>
      <c r="F2907" t="s">
        <v>12035</v>
      </c>
    </row>
    <row r="2908" spans="1:7">
      <c r="A2908" s="306"/>
      <c r="B2908" t="s">
        <v>13806</v>
      </c>
      <c r="C2908" t="s">
        <v>13807</v>
      </c>
      <c r="E2908">
        <v>13.043478260869565</v>
      </c>
      <c r="F2908" t="s">
        <v>13693</v>
      </c>
    </row>
    <row r="2909" spans="1:7">
      <c r="A2909" s="306"/>
      <c r="B2909" t="s">
        <v>13808</v>
      </c>
      <c r="C2909" t="s">
        <v>13809</v>
      </c>
      <c r="E2909">
        <v>67.391304347826079</v>
      </c>
      <c r="F2909" t="s">
        <v>13693</v>
      </c>
    </row>
    <row r="2910" spans="1:7">
      <c r="A2910" s="306"/>
      <c r="B2910" t="s">
        <v>13810</v>
      </c>
      <c r="C2910" t="s">
        <v>13811</v>
      </c>
      <c r="E2910">
        <v>117.39130434782608</v>
      </c>
      <c r="F2910" t="s">
        <v>13693</v>
      </c>
    </row>
    <row r="2911" spans="1:7">
      <c r="A2911" s="306"/>
      <c r="B2911" t="s">
        <v>13812</v>
      </c>
      <c r="C2911" t="s">
        <v>13813</v>
      </c>
      <c r="E2911">
        <v>128.26086956521738</v>
      </c>
      <c r="F2911" t="s">
        <v>13693</v>
      </c>
    </row>
    <row r="2912" spans="1:7">
      <c r="A2912" s="306"/>
      <c r="B2912" t="s">
        <v>8531</v>
      </c>
      <c r="C2912" t="s">
        <v>8532</v>
      </c>
      <c r="E2912">
        <v>58.695652173913039</v>
      </c>
      <c r="F2912" t="s">
        <v>12035</v>
      </c>
    </row>
    <row r="2913" spans="1:7">
      <c r="A2913" s="306"/>
      <c r="B2913" t="s">
        <v>8533</v>
      </c>
      <c r="C2913" t="s">
        <v>8534</v>
      </c>
      <c r="E2913">
        <v>97.826086956521735</v>
      </c>
      <c r="F2913" t="s">
        <v>13693</v>
      </c>
    </row>
    <row r="2914" spans="1:7">
      <c r="A2914" s="306"/>
      <c r="B2914" t="s">
        <v>8535</v>
      </c>
      <c r="C2914" t="s">
        <v>8536</v>
      </c>
      <c r="E2914">
        <v>107.60869565217391</v>
      </c>
      <c r="F2914" t="s">
        <v>13693</v>
      </c>
    </row>
    <row r="2915" spans="1:7">
      <c r="A2915" s="306"/>
      <c r="B2915" t="s">
        <v>6640</v>
      </c>
    </row>
    <row r="2916" spans="1:7">
      <c r="A2916" s="306"/>
      <c r="B2916" t="s">
        <v>8015</v>
      </c>
      <c r="C2916" t="s">
        <v>8016</v>
      </c>
      <c r="E2916">
        <v>915.21739130434776</v>
      </c>
      <c r="F2916" t="s">
        <v>13687</v>
      </c>
      <c r="G2916" t="s">
        <v>11306</v>
      </c>
    </row>
    <row r="2917" spans="1:7">
      <c r="A2917" s="306"/>
      <c r="B2917" t="s">
        <v>8017</v>
      </c>
      <c r="C2917" t="s">
        <v>8018</v>
      </c>
      <c r="E2917">
        <v>9922.826086956522</v>
      </c>
      <c r="F2917" t="s">
        <v>13688</v>
      </c>
      <c r="G2917" t="s">
        <v>11306</v>
      </c>
    </row>
    <row r="2918" spans="1:7">
      <c r="A2918" s="306"/>
      <c r="B2918" t="s">
        <v>8019</v>
      </c>
      <c r="C2918" t="s">
        <v>8020</v>
      </c>
      <c r="E2918">
        <v>14385.86956521739</v>
      </c>
      <c r="F2918" t="s">
        <v>13688</v>
      </c>
    </row>
    <row r="2919" spans="1:7">
      <c r="A2919" s="306"/>
      <c r="B2919" t="s">
        <v>8021</v>
      </c>
      <c r="C2919" t="s">
        <v>8022</v>
      </c>
      <c r="E2919">
        <v>9920.652173913044</v>
      </c>
      <c r="F2919" t="s">
        <v>13688</v>
      </c>
      <c r="G2919" t="s">
        <v>10999</v>
      </c>
    </row>
    <row r="2920" spans="1:7">
      <c r="A2920" s="306"/>
      <c r="B2920" t="s">
        <v>8023</v>
      </c>
      <c r="C2920" t="s">
        <v>8024</v>
      </c>
      <c r="E2920">
        <v>14385.86956521739</v>
      </c>
      <c r="F2920" t="s">
        <v>13688</v>
      </c>
      <c r="G2920" t="s">
        <v>10999</v>
      </c>
    </row>
    <row r="2921" spans="1:7">
      <c r="A2921" s="306"/>
      <c r="B2921" t="s">
        <v>8025</v>
      </c>
      <c r="C2921" t="s">
        <v>8026</v>
      </c>
      <c r="E2921">
        <v>497.82608695652169</v>
      </c>
      <c r="F2921" t="s">
        <v>13687</v>
      </c>
      <c r="G2921" t="s">
        <v>10996</v>
      </c>
    </row>
    <row r="2922" spans="1:7">
      <c r="A2922" s="306"/>
      <c r="B2922" t="s">
        <v>8027</v>
      </c>
      <c r="C2922" t="s">
        <v>8028</v>
      </c>
      <c r="E2922">
        <v>696.73913043478262</v>
      </c>
      <c r="F2922" t="s">
        <v>13687</v>
      </c>
      <c r="G2922" t="s">
        <v>10996</v>
      </c>
    </row>
    <row r="2923" spans="1:7">
      <c r="A2923" s="306"/>
      <c r="B2923" t="s">
        <v>8029</v>
      </c>
      <c r="C2923" t="s">
        <v>8030</v>
      </c>
      <c r="E2923">
        <v>304.3478260869565</v>
      </c>
      <c r="F2923" t="s">
        <v>13687</v>
      </c>
      <c r="G2923" t="s">
        <v>10996</v>
      </c>
    </row>
    <row r="2924" spans="1:7">
      <c r="A2924" s="306"/>
      <c r="B2924" t="s">
        <v>8031</v>
      </c>
      <c r="C2924" t="s">
        <v>8022</v>
      </c>
      <c r="E2924">
        <v>9922.826086956522</v>
      </c>
      <c r="F2924" t="s">
        <v>13688</v>
      </c>
      <c r="G2924" t="s">
        <v>10999</v>
      </c>
    </row>
    <row r="2925" spans="1:7">
      <c r="A2925" s="306"/>
      <c r="B2925" t="s">
        <v>13814</v>
      </c>
    </row>
    <row r="2926" spans="1:7">
      <c r="A2926" s="306"/>
      <c r="B2926" t="s">
        <v>13815</v>
      </c>
      <c r="C2926" t="s">
        <v>13816</v>
      </c>
      <c r="E2926">
        <v>2626.086956521739</v>
      </c>
      <c r="F2926" t="s">
        <v>13693</v>
      </c>
    </row>
    <row r="2927" spans="1:7">
      <c r="A2927" s="306"/>
      <c r="B2927" t="s">
        <v>13817</v>
      </c>
      <c r="C2927" t="s">
        <v>13818</v>
      </c>
      <c r="E2927">
        <v>2756.5217391304345</v>
      </c>
      <c r="F2927" t="s">
        <v>13693</v>
      </c>
    </row>
    <row r="2928" spans="1:7">
      <c r="A2928" s="306"/>
      <c r="B2928" t="s">
        <v>13819</v>
      </c>
      <c r="C2928" t="s">
        <v>13820</v>
      </c>
      <c r="E2928">
        <v>1629.3478260869565</v>
      </c>
      <c r="F2928" t="s">
        <v>13693</v>
      </c>
    </row>
    <row r="2929" spans="1:7">
      <c r="A2929" s="306"/>
      <c r="B2929" t="s">
        <v>13821</v>
      </c>
      <c r="C2929" t="s">
        <v>13822</v>
      </c>
      <c r="E2929">
        <v>1718.4782608695652</v>
      </c>
      <c r="F2929" t="s">
        <v>13693</v>
      </c>
    </row>
    <row r="2930" spans="1:7">
      <c r="A2930" s="306"/>
      <c r="B2930" t="s">
        <v>6936</v>
      </c>
    </row>
    <row r="2931" spans="1:7">
      <c r="A2931" s="306"/>
      <c r="B2931" t="s">
        <v>8032</v>
      </c>
      <c r="C2931" t="s">
        <v>8033</v>
      </c>
      <c r="E2931">
        <v>578.26086956521738</v>
      </c>
      <c r="F2931" t="s">
        <v>12035</v>
      </c>
      <c r="G2931" t="s">
        <v>10999</v>
      </c>
    </row>
    <row r="2932" spans="1:7">
      <c r="A2932" s="306"/>
      <c r="B2932" t="s">
        <v>7053</v>
      </c>
    </row>
    <row r="2933" spans="1:7">
      <c r="A2933" s="306"/>
      <c r="B2933" t="s">
        <v>8034</v>
      </c>
      <c r="C2933" t="s">
        <v>8035</v>
      </c>
      <c r="E2933">
        <v>73.91304347826086</v>
      </c>
      <c r="F2933" t="s">
        <v>13690</v>
      </c>
      <c r="G2933" t="s">
        <v>10999</v>
      </c>
    </row>
    <row r="2934" spans="1:7">
      <c r="A2934" s="306"/>
      <c r="B2934" t="s">
        <v>7110</v>
      </c>
    </row>
    <row r="2935" spans="1:7">
      <c r="A2935" s="306"/>
      <c r="B2935" t="s">
        <v>8037</v>
      </c>
      <c r="C2935" t="s">
        <v>8038</v>
      </c>
      <c r="E2935">
        <v>4.3478260869565215</v>
      </c>
      <c r="F2935" t="s">
        <v>13687</v>
      </c>
      <c r="G2935" t="s">
        <v>10999</v>
      </c>
    </row>
    <row r="2936" spans="1:7">
      <c r="A2936" s="306"/>
      <c r="B2936" t="s">
        <v>8042</v>
      </c>
      <c r="C2936" t="s">
        <v>3145</v>
      </c>
      <c r="E2936">
        <v>1.0869565217391304</v>
      </c>
      <c r="F2936" t="s">
        <v>12035</v>
      </c>
      <c r="G2936" t="s">
        <v>10999</v>
      </c>
    </row>
    <row r="2937" spans="1:7">
      <c r="A2937" s="306"/>
      <c r="B2937" t="s">
        <v>8043</v>
      </c>
      <c r="C2937" t="s">
        <v>3145</v>
      </c>
      <c r="E2937">
        <v>72.826086956521735</v>
      </c>
      <c r="F2937" t="s">
        <v>13688</v>
      </c>
      <c r="G2937" t="s">
        <v>10999</v>
      </c>
    </row>
    <row r="2938" spans="1:7">
      <c r="A2938" s="306"/>
      <c r="B2938" t="s">
        <v>8036</v>
      </c>
      <c r="C2938" t="s">
        <v>7175</v>
      </c>
      <c r="E2938">
        <v>7.6086956521739131</v>
      </c>
      <c r="F2938" t="s">
        <v>13687</v>
      </c>
      <c r="G2938" t="s">
        <v>10999</v>
      </c>
    </row>
    <row r="2939" spans="1:7">
      <c r="A2939" s="306"/>
      <c r="B2939" t="s">
        <v>8039</v>
      </c>
      <c r="C2939" t="s">
        <v>7175</v>
      </c>
      <c r="E2939">
        <v>7.6086956521739131</v>
      </c>
      <c r="F2939" t="s">
        <v>12035</v>
      </c>
      <c r="G2939" t="s">
        <v>10999</v>
      </c>
    </row>
    <row r="2940" spans="1:7">
      <c r="A2940" s="306"/>
      <c r="B2940" t="s">
        <v>8040</v>
      </c>
      <c r="C2940" t="s">
        <v>8041</v>
      </c>
      <c r="E2940">
        <v>7.6086956521739131</v>
      </c>
      <c r="F2940" t="s">
        <v>12035</v>
      </c>
      <c r="G2940" t="s">
        <v>10999</v>
      </c>
    </row>
    <row r="2941" spans="1:7">
      <c r="A2941" s="306"/>
      <c r="B2941" t="s">
        <v>13823</v>
      </c>
      <c r="C2941" t="s">
        <v>13824</v>
      </c>
      <c r="E2941">
        <v>8.695652173913043</v>
      </c>
      <c r="F2941" t="s">
        <v>13687</v>
      </c>
    </row>
    <row r="2942" spans="1:7">
      <c r="A2942" s="306"/>
      <c r="B2942" t="s">
        <v>13825</v>
      </c>
      <c r="C2942" t="s">
        <v>13824</v>
      </c>
      <c r="E2942">
        <v>7.6086956521739131</v>
      </c>
      <c r="F2942" t="s">
        <v>12035</v>
      </c>
      <c r="G2942" t="s">
        <v>10999</v>
      </c>
    </row>
    <row r="2943" spans="1:7">
      <c r="A2943" s="306"/>
      <c r="B2943" t="s">
        <v>13826</v>
      </c>
      <c r="C2943" t="s">
        <v>13827</v>
      </c>
      <c r="E2943">
        <v>9.7826086956521738</v>
      </c>
      <c r="F2943" t="s">
        <v>13687</v>
      </c>
    </row>
    <row r="2944" spans="1:7">
      <c r="A2944" s="306"/>
      <c r="B2944" t="s">
        <v>13828</v>
      </c>
      <c r="C2944" t="s">
        <v>13827</v>
      </c>
      <c r="E2944">
        <v>7.6086956521739131</v>
      </c>
      <c r="F2944" t="s">
        <v>12035</v>
      </c>
      <c r="G2944" t="s">
        <v>10999</v>
      </c>
    </row>
    <row r="2945" spans="1:7">
      <c r="A2945" s="306"/>
      <c r="B2945" t="s">
        <v>13829</v>
      </c>
      <c r="C2945" t="s">
        <v>13830</v>
      </c>
      <c r="E2945">
        <v>8.695652173913043</v>
      </c>
      <c r="F2945" t="s">
        <v>12035</v>
      </c>
    </row>
    <row r="2946" spans="1:7">
      <c r="A2946" s="306"/>
      <c r="B2946" t="s">
        <v>13831</v>
      </c>
      <c r="C2946" t="s">
        <v>13830</v>
      </c>
      <c r="E2946">
        <v>7.6086956521739131</v>
      </c>
      <c r="F2946" t="s">
        <v>12035</v>
      </c>
    </row>
    <row r="2947" spans="1:7">
      <c r="A2947" s="306"/>
      <c r="B2947" t="s">
        <v>8044</v>
      </c>
      <c r="C2947" t="s">
        <v>8045</v>
      </c>
      <c r="E2947">
        <v>72.826086956521735</v>
      </c>
      <c r="F2947" t="s">
        <v>13688</v>
      </c>
      <c r="G2947" t="s">
        <v>10999</v>
      </c>
    </row>
    <row r="2948" spans="1:7">
      <c r="A2948" s="306"/>
      <c r="B2948" t="s">
        <v>13832</v>
      </c>
      <c r="C2948" t="s">
        <v>13833</v>
      </c>
      <c r="E2948">
        <v>13.043478260869565</v>
      </c>
      <c r="F2948" t="s">
        <v>12035</v>
      </c>
    </row>
    <row r="2949" spans="1:7">
      <c r="A2949" s="306"/>
      <c r="B2949" t="s">
        <v>8046</v>
      </c>
    </row>
    <row r="2950" spans="1:7">
      <c r="A2950" s="306"/>
      <c r="B2950" t="s">
        <v>8047</v>
      </c>
      <c r="C2950" t="s">
        <v>8048</v>
      </c>
      <c r="E2950">
        <v>9920.652173913044</v>
      </c>
      <c r="F2950" t="s">
        <v>13688</v>
      </c>
      <c r="G2950" t="s">
        <v>10999</v>
      </c>
    </row>
    <row r="2951" spans="1:7">
      <c r="A2951" s="306"/>
      <c r="B2951" t="s">
        <v>21</v>
      </c>
    </row>
    <row r="2952" spans="1:7">
      <c r="A2952" s="306"/>
      <c r="B2952" t="s">
        <v>8079</v>
      </c>
      <c r="C2952" t="s">
        <v>8080</v>
      </c>
      <c r="E2952">
        <v>13786.95652173913</v>
      </c>
      <c r="F2952" t="s">
        <v>13688</v>
      </c>
    </row>
    <row r="2953" spans="1:7">
      <c r="A2953" s="306"/>
      <c r="B2953" t="s">
        <v>8081</v>
      </c>
      <c r="C2953" t="s">
        <v>8082</v>
      </c>
      <c r="E2953">
        <v>5014.1304347826081</v>
      </c>
      <c r="F2953" t="s">
        <v>13688</v>
      </c>
    </row>
    <row r="2954" spans="1:7">
      <c r="A2954" s="306"/>
      <c r="B2954" t="s">
        <v>8083</v>
      </c>
      <c r="C2954" t="s">
        <v>8084</v>
      </c>
      <c r="E2954">
        <v>5014.1304347826081</v>
      </c>
      <c r="F2954" t="s">
        <v>13688</v>
      </c>
    </row>
    <row r="2955" spans="1:7">
      <c r="A2955" s="306"/>
      <c r="B2955" t="s">
        <v>8085</v>
      </c>
      <c r="C2955" t="s">
        <v>8086</v>
      </c>
      <c r="E2955">
        <v>5014.1304347826081</v>
      </c>
      <c r="F2955" t="s">
        <v>13688</v>
      </c>
    </row>
    <row r="2956" spans="1:7">
      <c r="A2956" s="306"/>
      <c r="B2956" t="s">
        <v>8087</v>
      </c>
      <c r="C2956" t="s">
        <v>8088</v>
      </c>
      <c r="E2956">
        <v>13786.95652173913</v>
      </c>
      <c r="F2956" t="s">
        <v>13688</v>
      </c>
    </row>
    <row r="2957" spans="1:7">
      <c r="A2957" s="306"/>
      <c r="B2957" t="s">
        <v>8089</v>
      </c>
      <c r="C2957" t="s">
        <v>8090</v>
      </c>
      <c r="E2957">
        <v>5014.1304347826081</v>
      </c>
      <c r="F2957" t="s">
        <v>13688</v>
      </c>
    </row>
    <row r="2958" spans="1:7">
      <c r="A2958" s="306"/>
      <c r="B2958" t="s">
        <v>8091</v>
      </c>
      <c r="C2958" t="s">
        <v>8092</v>
      </c>
      <c r="E2958">
        <v>5014.1304347826081</v>
      </c>
      <c r="F2958" t="s">
        <v>13688</v>
      </c>
    </row>
    <row r="2959" spans="1:7">
      <c r="A2959" s="306"/>
      <c r="B2959" t="s">
        <v>8093</v>
      </c>
      <c r="C2959" t="s">
        <v>8094</v>
      </c>
      <c r="E2959">
        <v>5014.1304347826081</v>
      </c>
      <c r="F2959" t="s">
        <v>13688</v>
      </c>
    </row>
    <row r="2960" spans="1:7">
      <c r="A2960" s="306"/>
      <c r="B2960" t="s">
        <v>8095</v>
      </c>
      <c r="C2960" t="s">
        <v>8096</v>
      </c>
      <c r="E2960">
        <v>13786.95652173913</v>
      </c>
      <c r="F2960" t="s">
        <v>13688</v>
      </c>
    </row>
    <row r="2961" spans="1:6">
      <c r="A2961" s="306"/>
      <c r="B2961" t="s">
        <v>8097</v>
      </c>
      <c r="C2961" t="s">
        <v>8098</v>
      </c>
      <c r="E2961">
        <v>5014.1304347826081</v>
      </c>
      <c r="F2961" t="s">
        <v>13688</v>
      </c>
    </row>
    <row r="2962" spans="1:6">
      <c r="A2962" s="306"/>
      <c r="B2962" t="s">
        <v>8099</v>
      </c>
      <c r="C2962" t="s">
        <v>8100</v>
      </c>
      <c r="E2962">
        <v>5014.1304347826081</v>
      </c>
      <c r="F2962" t="s">
        <v>13688</v>
      </c>
    </row>
    <row r="2963" spans="1:6">
      <c r="A2963" s="306"/>
      <c r="B2963" t="s">
        <v>8101</v>
      </c>
      <c r="C2963" t="s">
        <v>8102</v>
      </c>
      <c r="E2963">
        <v>5014.1304347826081</v>
      </c>
      <c r="F2963" t="s">
        <v>13688</v>
      </c>
    </row>
    <row r="2964" spans="1:6">
      <c r="A2964" s="306"/>
      <c r="B2964" t="s">
        <v>13834</v>
      </c>
      <c r="C2964" t="s">
        <v>13835</v>
      </c>
      <c r="E2964">
        <v>5343.478260869565</v>
      </c>
      <c r="F2964" t="s">
        <v>13688</v>
      </c>
    </row>
    <row r="2965" spans="1:6">
      <c r="A2965" s="306"/>
      <c r="B2965" t="s">
        <v>8049</v>
      </c>
      <c r="C2965" t="s">
        <v>8050</v>
      </c>
      <c r="E2965">
        <v>13786.95652173913</v>
      </c>
      <c r="F2965" t="s">
        <v>13688</v>
      </c>
    </row>
    <row r="2966" spans="1:6">
      <c r="A2966" s="306"/>
      <c r="B2966" t="s">
        <v>8051</v>
      </c>
      <c r="C2966" t="s">
        <v>8052</v>
      </c>
      <c r="E2966">
        <v>5014.1304347826081</v>
      </c>
      <c r="F2966" t="s">
        <v>13688</v>
      </c>
    </row>
    <row r="2967" spans="1:6">
      <c r="A2967" s="306"/>
      <c r="B2967" t="s">
        <v>8053</v>
      </c>
      <c r="C2967" t="s">
        <v>8054</v>
      </c>
      <c r="E2967">
        <v>5014.1304347826081</v>
      </c>
      <c r="F2967" t="s">
        <v>13688</v>
      </c>
    </row>
    <row r="2968" spans="1:6">
      <c r="A2968" s="306"/>
      <c r="B2968" t="s">
        <v>8055</v>
      </c>
      <c r="C2968" t="s">
        <v>8056</v>
      </c>
      <c r="E2968">
        <v>5014.1304347826081</v>
      </c>
      <c r="F2968" t="s">
        <v>13688</v>
      </c>
    </row>
    <row r="2969" spans="1:6">
      <c r="A2969" s="306"/>
      <c r="B2969" t="s">
        <v>8057</v>
      </c>
      <c r="C2969" t="s">
        <v>8058</v>
      </c>
      <c r="E2969">
        <v>5014.1304347826081</v>
      </c>
      <c r="F2969" t="s">
        <v>13688</v>
      </c>
    </row>
    <row r="2970" spans="1:6">
      <c r="A2970" s="306"/>
      <c r="B2970" t="s">
        <v>8059</v>
      </c>
      <c r="C2970" t="s">
        <v>8060</v>
      </c>
      <c r="E2970">
        <v>13786.95652173913</v>
      </c>
      <c r="F2970" t="s">
        <v>13688</v>
      </c>
    </row>
    <row r="2971" spans="1:6">
      <c r="A2971" s="306"/>
      <c r="B2971" t="s">
        <v>8061</v>
      </c>
      <c r="C2971" t="s">
        <v>8062</v>
      </c>
      <c r="E2971">
        <v>5014.1304347826081</v>
      </c>
      <c r="F2971" t="s">
        <v>13688</v>
      </c>
    </row>
    <row r="2972" spans="1:6">
      <c r="A2972" s="306"/>
      <c r="B2972" t="s">
        <v>8063</v>
      </c>
      <c r="C2972" t="s">
        <v>8064</v>
      </c>
      <c r="E2972">
        <v>5014.1304347826081</v>
      </c>
      <c r="F2972" t="s">
        <v>13688</v>
      </c>
    </row>
    <row r="2973" spans="1:6">
      <c r="A2973" s="306"/>
      <c r="B2973" t="s">
        <v>8065</v>
      </c>
      <c r="C2973" t="s">
        <v>8066</v>
      </c>
      <c r="E2973">
        <v>5014.1304347826081</v>
      </c>
      <c r="F2973" t="s">
        <v>13688</v>
      </c>
    </row>
    <row r="2974" spans="1:6">
      <c r="A2974" s="306"/>
      <c r="B2974" t="s">
        <v>8067</v>
      </c>
      <c r="C2974" t="s">
        <v>8068</v>
      </c>
      <c r="E2974">
        <v>5014.1304347826081</v>
      </c>
      <c r="F2974" t="s">
        <v>13688</v>
      </c>
    </row>
    <row r="2975" spans="1:6">
      <c r="A2975" s="306"/>
      <c r="B2975" t="s">
        <v>8069</v>
      </c>
      <c r="C2975" t="s">
        <v>8070</v>
      </c>
      <c r="E2975">
        <v>13786.95652173913</v>
      </c>
      <c r="F2975" t="s">
        <v>13688</v>
      </c>
    </row>
    <row r="2976" spans="1:6">
      <c r="A2976" s="306"/>
      <c r="B2976" t="s">
        <v>8071</v>
      </c>
      <c r="C2976" t="s">
        <v>8072</v>
      </c>
      <c r="E2976">
        <v>5014.1304347826081</v>
      </c>
      <c r="F2976" t="s">
        <v>13688</v>
      </c>
    </row>
    <row r="2977" spans="1:6">
      <c r="A2977" s="306"/>
      <c r="B2977" t="s">
        <v>8073</v>
      </c>
      <c r="C2977" t="s">
        <v>8074</v>
      </c>
      <c r="E2977">
        <v>5014.1304347826081</v>
      </c>
      <c r="F2977" t="s">
        <v>13688</v>
      </c>
    </row>
    <row r="2978" spans="1:6">
      <c r="A2978" s="306"/>
      <c r="B2978" t="s">
        <v>8075</v>
      </c>
      <c r="C2978" t="s">
        <v>8076</v>
      </c>
      <c r="E2978">
        <v>5014.1304347826081</v>
      </c>
      <c r="F2978" t="s">
        <v>13688</v>
      </c>
    </row>
    <row r="2979" spans="1:6">
      <c r="A2979" s="306"/>
      <c r="B2979" t="s">
        <v>8077</v>
      </c>
      <c r="C2979" t="s">
        <v>8078</v>
      </c>
      <c r="E2979">
        <v>5014.1304347826081</v>
      </c>
      <c r="F2979" t="s">
        <v>13688</v>
      </c>
    </row>
    <row r="2980" spans="1:6">
      <c r="A2980" s="306"/>
      <c r="B2980" t="s">
        <v>13836</v>
      </c>
    </row>
    <row r="2981" spans="1:6">
      <c r="A2981" s="306"/>
      <c r="B2981" t="s">
        <v>8537</v>
      </c>
      <c r="C2981" t="s">
        <v>8538</v>
      </c>
      <c r="E2981">
        <v>1415.2173913043478</v>
      </c>
      <c r="F2981" t="s">
        <v>13837</v>
      </c>
    </row>
    <row r="2982" spans="1:6">
      <c r="A2982" s="306"/>
      <c r="B2982" t="s">
        <v>13838</v>
      </c>
      <c r="C2982" t="s">
        <v>13839</v>
      </c>
      <c r="E2982">
        <v>166.30434782608694</v>
      </c>
      <c r="F2982" t="s">
        <v>13837</v>
      </c>
    </row>
    <row r="2983" spans="1:6">
      <c r="A2983" s="306"/>
      <c r="B2983" t="s">
        <v>13840</v>
      </c>
      <c r="C2983" t="s">
        <v>13841</v>
      </c>
      <c r="E2983">
        <v>331.52173913043475</v>
      </c>
      <c r="F2983" t="s">
        <v>13837</v>
      </c>
    </row>
    <row r="2984" spans="1:6">
      <c r="A2984" s="306"/>
      <c r="B2984" t="s">
        <v>8539</v>
      </c>
      <c r="C2984" t="s">
        <v>8540</v>
      </c>
      <c r="E2984">
        <v>2164.1304347826085</v>
      </c>
      <c r="F2984" t="s">
        <v>13837</v>
      </c>
    </row>
    <row r="2985" spans="1:6">
      <c r="A2985" s="306"/>
      <c r="B2985" t="s">
        <v>13842</v>
      </c>
      <c r="C2985" t="s">
        <v>13843</v>
      </c>
      <c r="E2985">
        <v>253.26086956521738</v>
      </c>
      <c r="F2985" t="s">
        <v>13837</v>
      </c>
    </row>
    <row r="2986" spans="1:6">
      <c r="A2986" s="306"/>
      <c r="B2986" t="s">
        <v>13844</v>
      </c>
      <c r="C2986" t="s">
        <v>13845</v>
      </c>
      <c r="E2986">
        <v>506.52173913043475</v>
      </c>
      <c r="F2986" t="s">
        <v>13837</v>
      </c>
    </row>
    <row r="2987" spans="1:6">
      <c r="A2987" s="306"/>
      <c r="B2987" t="s">
        <v>8541</v>
      </c>
      <c r="C2987" t="s">
        <v>8542</v>
      </c>
      <c r="E2987">
        <v>2996.7391304347825</v>
      </c>
      <c r="F2987" t="s">
        <v>13837</v>
      </c>
    </row>
    <row r="2988" spans="1:6">
      <c r="A2988" s="306"/>
      <c r="B2988" t="s">
        <v>13846</v>
      </c>
      <c r="C2988" t="s">
        <v>13847</v>
      </c>
      <c r="E2988">
        <v>350</v>
      </c>
      <c r="F2988" t="s">
        <v>13837</v>
      </c>
    </row>
    <row r="2989" spans="1:6">
      <c r="A2989" s="306"/>
      <c r="B2989" t="s">
        <v>13848</v>
      </c>
      <c r="C2989" t="s">
        <v>13849</v>
      </c>
      <c r="E2989">
        <v>700</v>
      </c>
      <c r="F2989" t="s">
        <v>13837</v>
      </c>
    </row>
    <row r="2990" spans="1:6">
      <c r="A2990" s="306"/>
      <c r="B2990" t="s">
        <v>13850</v>
      </c>
      <c r="C2990" t="s">
        <v>13851</v>
      </c>
      <c r="E2990">
        <v>2996.7391304347825</v>
      </c>
      <c r="F2990" t="s">
        <v>13837</v>
      </c>
    </row>
    <row r="2991" spans="1:6">
      <c r="A2991" s="306"/>
      <c r="B2991" t="s">
        <v>13852</v>
      </c>
      <c r="C2991" t="s">
        <v>13853</v>
      </c>
      <c r="E2991">
        <v>350</v>
      </c>
      <c r="F2991" t="s">
        <v>13837</v>
      </c>
    </row>
    <row r="2992" spans="1:6">
      <c r="A2992" s="306"/>
      <c r="B2992" t="s">
        <v>13854</v>
      </c>
      <c r="C2992" t="s">
        <v>13855</v>
      </c>
      <c r="E2992">
        <v>700</v>
      </c>
      <c r="F2992" t="s">
        <v>13837</v>
      </c>
    </row>
    <row r="2993" spans="1:6">
      <c r="A2993" s="306"/>
      <c r="B2993" t="s">
        <v>13856</v>
      </c>
      <c r="C2993" t="s">
        <v>13857</v>
      </c>
      <c r="E2993">
        <v>2994.565217391304</v>
      </c>
      <c r="F2993" t="s">
        <v>13837</v>
      </c>
    </row>
    <row r="2994" spans="1:6">
      <c r="A2994" s="306"/>
      <c r="B2994" t="s">
        <v>13858</v>
      </c>
      <c r="C2994" t="s">
        <v>13859</v>
      </c>
      <c r="E2994">
        <v>350</v>
      </c>
      <c r="F2994" t="s">
        <v>13837</v>
      </c>
    </row>
    <row r="2995" spans="1:6">
      <c r="A2995" s="306"/>
      <c r="B2995" t="s">
        <v>13860</v>
      </c>
      <c r="C2995" t="s">
        <v>13861</v>
      </c>
      <c r="E2995">
        <v>20.652173913043477</v>
      </c>
      <c r="F2995" t="s">
        <v>13837</v>
      </c>
    </row>
    <row r="2996" spans="1:6">
      <c r="A2996" s="306"/>
      <c r="B2996" t="s">
        <v>13862</v>
      </c>
      <c r="C2996" t="s">
        <v>13863</v>
      </c>
      <c r="E2996">
        <v>20.652173913043477</v>
      </c>
      <c r="F2996" t="s">
        <v>13837</v>
      </c>
    </row>
    <row r="2997" spans="1:6">
      <c r="A2997" s="306"/>
      <c r="B2997" t="s">
        <v>8103</v>
      </c>
    </row>
    <row r="2998" spans="1:6">
      <c r="A2998" s="306"/>
      <c r="B2998" t="s">
        <v>8104</v>
      </c>
      <c r="C2998" t="s">
        <v>8105</v>
      </c>
      <c r="E2998">
        <v>1756.5217391304348</v>
      </c>
      <c r="F2998" t="s">
        <v>13864</v>
      </c>
    </row>
    <row r="2999" spans="1:6">
      <c r="A2999" s="306"/>
      <c r="B2999" t="s">
        <v>8106</v>
      </c>
      <c r="C2999" t="s">
        <v>8107</v>
      </c>
      <c r="E2999">
        <v>3192.391304347826</v>
      </c>
      <c r="F2999" t="s">
        <v>13864</v>
      </c>
    </row>
    <row r="3000" spans="1:6">
      <c r="A3000" s="306"/>
      <c r="B3000" t="s">
        <v>8108</v>
      </c>
      <c r="C3000" t="s">
        <v>8109</v>
      </c>
      <c r="E3000">
        <v>6504.347826086956</v>
      </c>
      <c r="F3000" t="s">
        <v>13864</v>
      </c>
    </row>
    <row r="3001" spans="1:6">
      <c r="A3001" s="306"/>
      <c r="B3001" t="s">
        <v>8110</v>
      </c>
      <c r="C3001" t="s">
        <v>8111</v>
      </c>
      <c r="E3001">
        <v>12360.86956521739</v>
      </c>
      <c r="F3001" t="s">
        <v>13864</v>
      </c>
    </row>
    <row r="3002" spans="1:6">
      <c r="A3002" s="306"/>
      <c r="B3002" t="s">
        <v>8112</v>
      </c>
      <c r="C3002" t="s">
        <v>8113</v>
      </c>
      <c r="E3002">
        <v>3709.782608695652</v>
      </c>
      <c r="F3002" t="s">
        <v>13864</v>
      </c>
    </row>
    <row r="3003" spans="1:6">
      <c r="A3003" s="306"/>
      <c r="B3003" t="s">
        <v>8114</v>
      </c>
      <c r="C3003" t="s">
        <v>8115</v>
      </c>
      <c r="E3003">
        <v>5551.086956521739</v>
      </c>
      <c r="F3003" t="s">
        <v>13864</v>
      </c>
    </row>
    <row r="3004" spans="1:6">
      <c r="A3004" s="306"/>
      <c r="B3004" t="s">
        <v>8116</v>
      </c>
      <c r="C3004" t="s">
        <v>8117</v>
      </c>
      <c r="E3004">
        <v>4801.086956521739</v>
      </c>
      <c r="F3004" t="s">
        <v>13864</v>
      </c>
    </row>
    <row r="3005" spans="1:6">
      <c r="A3005" s="306"/>
      <c r="B3005" t="s">
        <v>8118</v>
      </c>
      <c r="C3005" t="s">
        <v>8119</v>
      </c>
      <c r="E3005">
        <v>10903.260869565216</v>
      </c>
      <c r="F3005" t="s">
        <v>13864</v>
      </c>
    </row>
    <row r="3006" spans="1:6">
      <c r="A3006" s="306"/>
      <c r="B3006" t="s">
        <v>8120</v>
      </c>
      <c r="C3006" t="s">
        <v>8121</v>
      </c>
      <c r="E3006">
        <v>3735.869565217391</v>
      </c>
      <c r="F3006" t="s">
        <v>13864</v>
      </c>
    </row>
    <row r="3007" spans="1:6">
      <c r="A3007" s="306"/>
      <c r="B3007" t="s">
        <v>8122</v>
      </c>
      <c r="C3007" t="s">
        <v>8123</v>
      </c>
      <c r="E3007">
        <v>4382.608695652174</v>
      </c>
      <c r="F3007" t="s">
        <v>13864</v>
      </c>
    </row>
    <row r="3008" spans="1:6">
      <c r="A3008" s="306"/>
      <c r="B3008" t="s">
        <v>8124</v>
      </c>
      <c r="C3008" t="s">
        <v>8125</v>
      </c>
      <c r="E3008">
        <v>4482.608695652174</v>
      </c>
      <c r="F3008" t="s">
        <v>13864</v>
      </c>
    </row>
    <row r="3009" spans="1:6">
      <c r="A3009" s="306"/>
      <c r="B3009" t="s">
        <v>8126</v>
      </c>
      <c r="C3009" t="s">
        <v>8127</v>
      </c>
      <c r="E3009">
        <v>6927.173913043478</v>
      </c>
      <c r="F3009" t="s">
        <v>13864</v>
      </c>
    </row>
    <row r="3010" spans="1:6">
      <c r="A3010" s="306"/>
      <c r="B3010" t="s">
        <v>8128</v>
      </c>
      <c r="C3010" t="s">
        <v>8129</v>
      </c>
      <c r="E3010">
        <v>1136.9565217391305</v>
      </c>
      <c r="F3010" t="s">
        <v>13864</v>
      </c>
    </row>
    <row r="3011" spans="1:6">
      <c r="A3011" s="306"/>
      <c r="B3011" t="s">
        <v>13865</v>
      </c>
    </row>
    <row r="3012" spans="1:6">
      <c r="A3012" s="306"/>
      <c r="B3012" t="s">
        <v>13866</v>
      </c>
      <c r="C3012" t="s">
        <v>13867</v>
      </c>
      <c r="E3012">
        <v>1483.695652173913</v>
      </c>
      <c r="F3012" t="s">
        <v>13868</v>
      </c>
    </row>
    <row r="3013" spans="1:6">
      <c r="A3013" s="306"/>
      <c r="B3013" t="s">
        <v>13869</v>
      </c>
      <c r="C3013" t="s">
        <v>13870</v>
      </c>
      <c r="E3013">
        <v>2415.2173913043475</v>
      </c>
      <c r="F3013" t="s">
        <v>13868</v>
      </c>
    </row>
    <row r="3014" spans="1:6">
      <c r="A3014" s="306"/>
      <c r="B3014" t="s">
        <v>13871</v>
      </c>
      <c r="C3014" t="s">
        <v>13872</v>
      </c>
      <c r="E3014">
        <v>6826.086956521739</v>
      </c>
      <c r="F3014" t="s">
        <v>13868</v>
      </c>
    </row>
    <row r="3015" spans="1:6">
      <c r="A3015" s="306"/>
      <c r="B3015" t="s">
        <v>13873</v>
      </c>
      <c r="C3015" t="s">
        <v>13874</v>
      </c>
      <c r="E3015">
        <v>5268.478260869565</v>
      </c>
      <c r="F3015" t="s">
        <v>13868</v>
      </c>
    </row>
    <row r="3016" spans="1:6">
      <c r="A3016" s="306"/>
      <c r="B3016" t="s">
        <v>13875</v>
      </c>
      <c r="C3016" t="s">
        <v>13876</v>
      </c>
      <c r="E3016">
        <v>5788.0434782608691</v>
      </c>
      <c r="F3016" t="s">
        <v>13868</v>
      </c>
    </row>
    <row r="3017" spans="1:6">
      <c r="A3017" s="306"/>
      <c r="B3017" t="s">
        <v>13877</v>
      </c>
      <c r="C3017" t="s">
        <v>13878</v>
      </c>
      <c r="E3017">
        <v>5759.782608695652</v>
      </c>
      <c r="F3017" t="s">
        <v>13868</v>
      </c>
    </row>
    <row r="3018" spans="1:6">
      <c r="A3018" s="306"/>
      <c r="B3018" t="s">
        <v>13879</v>
      </c>
      <c r="C3018" t="s">
        <v>13880</v>
      </c>
      <c r="E3018">
        <v>16593.478260869564</v>
      </c>
      <c r="F3018" t="s">
        <v>13868</v>
      </c>
    </row>
    <row r="3019" spans="1:6">
      <c r="A3019" s="306"/>
      <c r="B3019" t="s">
        <v>13881</v>
      </c>
      <c r="C3019" t="s">
        <v>13882</v>
      </c>
      <c r="E3019">
        <v>16261.95652173913</v>
      </c>
      <c r="F3019" t="s">
        <v>13868</v>
      </c>
    </row>
    <row r="3020" spans="1:6">
      <c r="A3020" s="306"/>
      <c r="B3020" t="s">
        <v>13883</v>
      </c>
      <c r="C3020" t="s">
        <v>13884</v>
      </c>
      <c r="E3020">
        <v>21900</v>
      </c>
      <c r="F3020" t="s">
        <v>13868</v>
      </c>
    </row>
    <row r="3021" spans="1:6">
      <c r="A3021" s="306"/>
      <c r="B3021" t="s">
        <v>13885</v>
      </c>
      <c r="C3021" t="s">
        <v>13886</v>
      </c>
      <c r="E3021">
        <v>22114.130434782608</v>
      </c>
      <c r="F3021" t="s">
        <v>13868</v>
      </c>
    </row>
    <row r="3022" spans="1:6">
      <c r="A3022" s="306"/>
      <c r="B3022" t="s">
        <v>13887</v>
      </c>
      <c r="C3022" t="s">
        <v>13888</v>
      </c>
      <c r="E3022">
        <v>10819.565217391304</v>
      </c>
      <c r="F3022" t="s">
        <v>13868</v>
      </c>
    </row>
    <row r="3023" spans="1:6">
      <c r="A3023" s="306"/>
      <c r="B3023" t="s">
        <v>13889</v>
      </c>
      <c r="C3023" t="s">
        <v>13890</v>
      </c>
      <c r="E3023">
        <v>10819.565217391304</v>
      </c>
      <c r="F3023" t="s">
        <v>13868</v>
      </c>
    </row>
    <row r="3024" spans="1:6">
      <c r="A3024" s="306"/>
      <c r="B3024" t="s">
        <v>13891</v>
      </c>
      <c r="C3024" t="s">
        <v>13892</v>
      </c>
      <c r="E3024">
        <v>18314.130434782608</v>
      </c>
      <c r="F3024" t="s">
        <v>13868</v>
      </c>
    </row>
    <row r="3025" spans="1:7">
      <c r="A3025" s="306"/>
      <c r="B3025" t="s">
        <v>13893</v>
      </c>
      <c r="C3025" t="s">
        <v>13894</v>
      </c>
      <c r="E3025">
        <v>18314.130434782608</v>
      </c>
      <c r="F3025" t="s">
        <v>13868</v>
      </c>
    </row>
    <row r="3026" spans="1:7">
      <c r="A3026" s="306"/>
      <c r="B3026" t="s">
        <v>13895</v>
      </c>
      <c r="C3026" t="s">
        <v>13896</v>
      </c>
      <c r="E3026">
        <v>16498.91304347826</v>
      </c>
      <c r="F3026" t="s">
        <v>13868</v>
      </c>
    </row>
    <row r="3027" spans="1:7">
      <c r="A3027" s="306"/>
      <c r="B3027" t="s">
        <v>13897</v>
      </c>
      <c r="C3027" t="s">
        <v>13898</v>
      </c>
      <c r="E3027">
        <v>16619.565217391304</v>
      </c>
      <c r="F3027" t="s">
        <v>13868</v>
      </c>
    </row>
    <row r="3028" spans="1:7">
      <c r="A3028" s="306"/>
      <c r="B3028" t="s">
        <v>6887</v>
      </c>
    </row>
    <row r="3029" spans="1:7">
      <c r="A3029" s="306"/>
      <c r="B3029" t="s">
        <v>8130</v>
      </c>
      <c r="C3029" t="s">
        <v>13899</v>
      </c>
      <c r="E3029">
        <v>581.52173913043475</v>
      </c>
      <c r="F3029" t="s">
        <v>11952</v>
      </c>
      <c r="G3029" t="s">
        <v>10999</v>
      </c>
    </row>
    <row r="3030" spans="1:7">
      <c r="A3030" s="306"/>
      <c r="B3030" t="s">
        <v>8131</v>
      </c>
      <c r="C3030" t="s">
        <v>13900</v>
      </c>
      <c r="E3030">
        <v>597.82608695652175</v>
      </c>
      <c r="F3030" t="s">
        <v>11952</v>
      </c>
      <c r="G3030" t="s">
        <v>10999</v>
      </c>
    </row>
    <row r="3031" spans="1:7">
      <c r="A3031" s="306"/>
      <c r="B3031" t="s">
        <v>8132</v>
      </c>
      <c r="C3031" t="s">
        <v>13901</v>
      </c>
      <c r="E3031">
        <v>129.3478260869565</v>
      </c>
      <c r="F3031" t="s">
        <v>11952</v>
      </c>
      <c r="G3031" t="s">
        <v>10999</v>
      </c>
    </row>
    <row r="3032" spans="1:7">
      <c r="A3032" s="306"/>
      <c r="B3032" t="s">
        <v>8133</v>
      </c>
      <c r="C3032" t="s">
        <v>13902</v>
      </c>
      <c r="E3032">
        <v>7410.869565217391</v>
      </c>
      <c r="F3032" t="s">
        <v>11952</v>
      </c>
      <c r="G3032" t="s">
        <v>10999</v>
      </c>
    </row>
    <row r="3033" spans="1:7">
      <c r="A3033" s="306"/>
      <c r="B3033" t="s">
        <v>8134</v>
      </c>
      <c r="C3033" t="s">
        <v>13903</v>
      </c>
      <c r="E3033">
        <v>55.434782608695649</v>
      </c>
      <c r="F3033" t="s">
        <v>11952</v>
      </c>
      <c r="G3033" t="s">
        <v>10999</v>
      </c>
    </row>
    <row r="3034" spans="1:7">
      <c r="A3034" s="306"/>
      <c r="B3034" t="s">
        <v>8135</v>
      </c>
      <c r="C3034" t="s">
        <v>13904</v>
      </c>
      <c r="E3034">
        <v>82.608695652173907</v>
      </c>
      <c r="F3034" t="s">
        <v>11952</v>
      </c>
      <c r="G3034" t="s">
        <v>10996</v>
      </c>
    </row>
    <row r="3035" spans="1:7">
      <c r="A3035" s="306"/>
      <c r="B3035" t="s">
        <v>8136</v>
      </c>
      <c r="C3035" t="s">
        <v>13905</v>
      </c>
      <c r="E3035">
        <v>250</v>
      </c>
      <c r="F3035" t="s">
        <v>11952</v>
      </c>
      <c r="G3035" t="s">
        <v>10996</v>
      </c>
    </row>
    <row r="3036" spans="1:7">
      <c r="A3036" s="306"/>
      <c r="B3036" t="s">
        <v>7962</v>
      </c>
      <c r="C3036" t="s">
        <v>7963</v>
      </c>
      <c r="E3036">
        <v>19.565217391304348</v>
      </c>
      <c r="F3036" t="s">
        <v>11952</v>
      </c>
      <c r="G3036" t="s">
        <v>10999</v>
      </c>
    </row>
    <row r="3037" spans="1:7">
      <c r="A3037" s="306"/>
      <c r="B3037" t="s">
        <v>7964</v>
      </c>
      <c r="C3037" t="s">
        <v>7965</v>
      </c>
      <c r="E3037">
        <v>20.652173913043477</v>
      </c>
      <c r="F3037" t="s">
        <v>11952</v>
      </c>
      <c r="G3037" t="s">
        <v>10996</v>
      </c>
    </row>
    <row r="3038" spans="1:7">
      <c r="A3038" s="306"/>
      <c r="B3038" t="s">
        <v>7966</v>
      </c>
      <c r="C3038" t="s">
        <v>7967</v>
      </c>
      <c r="E3038">
        <v>13.043478260869565</v>
      </c>
      <c r="F3038" t="s">
        <v>11952</v>
      </c>
      <c r="G3038" t="s">
        <v>10997</v>
      </c>
    </row>
    <row r="3039" spans="1:7">
      <c r="A3039" s="306"/>
      <c r="B3039" t="s">
        <v>7968</v>
      </c>
      <c r="C3039" t="s">
        <v>7969</v>
      </c>
      <c r="E3039">
        <v>14.130434782608695</v>
      </c>
      <c r="F3039" t="s">
        <v>11952</v>
      </c>
      <c r="G3039" t="s">
        <v>10997</v>
      </c>
    </row>
    <row r="3040" spans="1:7">
      <c r="A3040" s="306"/>
      <c r="B3040" t="s">
        <v>7970</v>
      </c>
      <c r="C3040" t="s">
        <v>7971</v>
      </c>
      <c r="E3040">
        <v>29.34782608695652</v>
      </c>
      <c r="F3040" t="s">
        <v>11952</v>
      </c>
      <c r="G3040" t="s">
        <v>10996</v>
      </c>
    </row>
    <row r="3041" spans="1:7">
      <c r="A3041" s="306"/>
      <c r="B3041" t="s">
        <v>7972</v>
      </c>
      <c r="C3041" t="s">
        <v>7973</v>
      </c>
      <c r="E3041">
        <v>33.695652173913039</v>
      </c>
      <c r="F3041" t="s">
        <v>11952</v>
      </c>
      <c r="G3041" t="s">
        <v>10996</v>
      </c>
    </row>
    <row r="3042" spans="1:7">
      <c r="A3042" s="306"/>
      <c r="B3042" t="s">
        <v>7974</v>
      </c>
      <c r="C3042" t="s">
        <v>7975</v>
      </c>
      <c r="E3042">
        <v>43.478260869565219</v>
      </c>
      <c r="F3042" t="s">
        <v>11952</v>
      </c>
      <c r="G3042" t="s">
        <v>10996</v>
      </c>
    </row>
    <row r="3043" spans="1:7">
      <c r="A3043" s="306"/>
      <c r="B3043" t="s">
        <v>7976</v>
      </c>
      <c r="C3043" t="s">
        <v>7977</v>
      </c>
      <c r="E3043">
        <v>47.826086956521735</v>
      </c>
      <c r="F3043" t="s">
        <v>11952</v>
      </c>
      <c r="G3043" t="s">
        <v>10996</v>
      </c>
    </row>
    <row r="3044" spans="1:7">
      <c r="A3044" s="306"/>
      <c r="B3044" t="s">
        <v>8137</v>
      </c>
      <c r="C3044" t="s">
        <v>13906</v>
      </c>
      <c r="E3044">
        <v>114.13043478260869</v>
      </c>
      <c r="F3044" t="s">
        <v>11952</v>
      </c>
      <c r="G3044" t="s">
        <v>10997</v>
      </c>
    </row>
    <row r="3045" spans="1:7">
      <c r="A3045" s="306"/>
      <c r="B3045" t="s">
        <v>8145</v>
      </c>
      <c r="C3045" t="s">
        <v>13907</v>
      </c>
      <c r="E3045">
        <v>7029.347826086956</v>
      </c>
      <c r="F3045" t="s">
        <v>11989</v>
      </c>
    </row>
    <row r="3046" spans="1:7">
      <c r="A3046" s="306"/>
      <c r="B3046" t="s">
        <v>8146</v>
      </c>
      <c r="C3046" t="s">
        <v>13908</v>
      </c>
      <c r="E3046">
        <v>4892.391304347826</v>
      </c>
      <c r="F3046" t="s">
        <v>11989</v>
      </c>
    </row>
    <row r="3047" spans="1:7">
      <c r="A3047" s="306"/>
      <c r="B3047" t="s">
        <v>8147</v>
      </c>
      <c r="C3047" t="s">
        <v>13909</v>
      </c>
      <c r="E3047">
        <v>9223.9130434782601</v>
      </c>
      <c r="F3047" t="s">
        <v>11989</v>
      </c>
    </row>
    <row r="3048" spans="1:7">
      <c r="A3048" s="306"/>
      <c r="B3048" t="s">
        <v>8148</v>
      </c>
      <c r="C3048" t="s">
        <v>13910</v>
      </c>
      <c r="E3048">
        <v>4340.217391304348</v>
      </c>
      <c r="F3048" t="s">
        <v>11989</v>
      </c>
    </row>
    <row r="3049" spans="1:7">
      <c r="A3049" s="306"/>
      <c r="B3049" t="s">
        <v>8149</v>
      </c>
      <c r="C3049" t="s">
        <v>13911</v>
      </c>
      <c r="E3049">
        <v>13495.652173913042</v>
      </c>
      <c r="F3049" t="s">
        <v>11989</v>
      </c>
    </row>
    <row r="3050" spans="1:7">
      <c r="A3050" s="306"/>
      <c r="B3050" t="s">
        <v>8150</v>
      </c>
      <c r="C3050" t="s">
        <v>13912</v>
      </c>
      <c r="E3050">
        <v>4293.478260869565</v>
      </c>
      <c r="F3050" t="s">
        <v>11989</v>
      </c>
    </row>
    <row r="3051" spans="1:7">
      <c r="A3051" s="306"/>
      <c r="B3051" t="s">
        <v>8151</v>
      </c>
      <c r="C3051" t="s">
        <v>13913</v>
      </c>
      <c r="E3051">
        <v>8619.565217391304</v>
      </c>
      <c r="F3051" t="s">
        <v>11989</v>
      </c>
    </row>
    <row r="3052" spans="1:7">
      <c r="A3052" s="306"/>
      <c r="B3052" t="s">
        <v>8152</v>
      </c>
      <c r="C3052" t="s">
        <v>13914</v>
      </c>
      <c r="E3052">
        <v>4293.478260869565</v>
      </c>
      <c r="F3052" t="s">
        <v>11989</v>
      </c>
    </row>
    <row r="3053" spans="1:7">
      <c r="A3053" s="306"/>
      <c r="B3053" t="s">
        <v>8138</v>
      </c>
      <c r="C3053" t="s">
        <v>13915</v>
      </c>
      <c r="E3053">
        <v>1702.1739130434783</v>
      </c>
      <c r="F3053" t="s">
        <v>11952</v>
      </c>
      <c r="G3053" t="s">
        <v>10999</v>
      </c>
    </row>
    <row r="3054" spans="1:7">
      <c r="A3054" s="306"/>
      <c r="B3054" t="s">
        <v>8139</v>
      </c>
      <c r="C3054" t="s">
        <v>13916</v>
      </c>
      <c r="E3054">
        <v>258.695652173913</v>
      </c>
      <c r="F3054" t="s">
        <v>11952</v>
      </c>
      <c r="G3054" t="s">
        <v>10996</v>
      </c>
    </row>
    <row r="3055" spans="1:7">
      <c r="A3055" s="306"/>
      <c r="B3055" t="s">
        <v>8140</v>
      </c>
      <c r="C3055" t="s">
        <v>13917</v>
      </c>
      <c r="E3055">
        <v>1278.2608695652173</v>
      </c>
      <c r="F3055" t="s">
        <v>11952</v>
      </c>
      <c r="G3055" t="s">
        <v>10999</v>
      </c>
    </row>
    <row r="3056" spans="1:7">
      <c r="A3056" s="306"/>
      <c r="B3056" t="s">
        <v>8141</v>
      </c>
      <c r="C3056" t="s">
        <v>13918</v>
      </c>
      <c r="E3056">
        <v>4752.173913043478</v>
      </c>
      <c r="F3056" t="s">
        <v>11952</v>
      </c>
      <c r="G3056" t="s">
        <v>10999</v>
      </c>
    </row>
    <row r="3057" spans="1:7">
      <c r="A3057" s="306"/>
      <c r="B3057" t="s">
        <v>8142</v>
      </c>
      <c r="C3057" t="s">
        <v>13919</v>
      </c>
      <c r="E3057">
        <v>57.608695652173914</v>
      </c>
      <c r="F3057" t="s">
        <v>11952</v>
      </c>
      <c r="G3057" t="s">
        <v>10997</v>
      </c>
    </row>
    <row r="3058" spans="1:7">
      <c r="A3058" s="306"/>
      <c r="B3058" t="s">
        <v>8143</v>
      </c>
      <c r="C3058" t="s">
        <v>13920</v>
      </c>
      <c r="E3058">
        <v>66.304347826086953</v>
      </c>
      <c r="F3058" t="s">
        <v>11952</v>
      </c>
      <c r="G3058" t="s">
        <v>10997</v>
      </c>
    </row>
    <row r="3059" spans="1:7">
      <c r="A3059" s="306"/>
      <c r="B3059" t="s">
        <v>8144</v>
      </c>
      <c r="C3059" t="s">
        <v>13921</v>
      </c>
      <c r="E3059">
        <v>110.8695652173913</v>
      </c>
      <c r="F3059" t="s">
        <v>11952</v>
      </c>
      <c r="G3059" t="s">
        <v>10996</v>
      </c>
    </row>
    <row r="3060" spans="1:7">
      <c r="A3060" s="306"/>
      <c r="B3060" t="s">
        <v>6915</v>
      </c>
    </row>
    <row r="3061" spans="1:7">
      <c r="A3061" s="306"/>
      <c r="B3061" t="s">
        <v>8153</v>
      </c>
      <c r="C3061" t="s">
        <v>13922</v>
      </c>
      <c r="E3061">
        <v>134.78260869565216</v>
      </c>
      <c r="F3061" t="s">
        <v>11952</v>
      </c>
      <c r="G3061" t="s">
        <v>10996</v>
      </c>
    </row>
    <row r="3062" spans="1:7">
      <c r="A3062" s="306"/>
      <c r="B3062" t="s">
        <v>8154</v>
      </c>
      <c r="C3062" t="s">
        <v>13923</v>
      </c>
      <c r="E3062">
        <v>142.39130434782609</v>
      </c>
      <c r="F3062" t="s">
        <v>11952</v>
      </c>
      <c r="G3062" t="s">
        <v>10999</v>
      </c>
    </row>
    <row r="3063" spans="1:7">
      <c r="A3063" s="306"/>
      <c r="B3063" t="s">
        <v>8155</v>
      </c>
      <c r="C3063" t="s">
        <v>13917</v>
      </c>
      <c r="E3063">
        <v>923.91304347826087</v>
      </c>
      <c r="F3063" t="s">
        <v>11952</v>
      </c>
      <c r="G3063" t="s">
        <v>10999</v>
      </c>
    </row>
    <row r="3064" spans="1:7">
      <c r="A3064" s="306"/>
      <c r="B3064" t="s">
        <v>8156</v>
      </c>
      <c r="C3064" t="s">
        <v>13924</v>
      </c>
      <c r="E3064">
        <v>306.52173913043475</v>
      </c>
      <c r="F3064" t="s">
        <v>11952</v>
      </c>
      <c r="G3064" t="s">
        <v>10996</v>
      </c>
    </row>
    <row r="3065" spans="1:7">
      <c r="A3065" s="306"/>
      <c r="B3065" t="s">
        <v>8157</v>
      </c>
      <c r="C3065" t="s">
        <v>13925</v>
      </c>
      <c r="E3065">
        <v>328.26086956521738</v>
      </c>
      <c r="F3065" t="s">
        <v>11952</v>
      </c>
      <c r="G3065" t="s">
        <v>10997</v>
      </c>
    </row>
    <row r="3066" spans="1:7">
      <c r="A3066" s="306"/>
      <c r="B3066" t="s">
        <v>8158</v>
      </c>
      <c r="C3066" t="s">
        <v>13926</v>
      </c>
      <c r="E3066">
        <v>326.08695652173913</v>
      </c>
      <c r="F3066" t="s">
        <v>11952</v>
      </c>
      <c r="G3066" t="s">
        <v>10999</v>
      </c>
    </row>
    <row r="3067" spans="1:7">
      <c r="A3067" s="306"/>
      <c r="B3067" t="s">
        <v>8159</v>
      </c>
      <c r="C3067" t="s">
        <v>13927</v>
      </c>
      <c r="E3067">
        <v>638.04347826086951</v>
      </c>
      <c r="F3067" t="s">
        <v>11952</v>
      </c>
      <c r="G3067" t="s">
        <v>10999</v>
      </c>
    </row>
    <row r="3068" spans="1:7">
      <c r="A3068" s="306"/>
      <c r="B3068" t="s">
        <v>8160</v>
      </c>
      <c r="C3068" t="s">
        <v>13928</v>
      </c>
      <c r="E3068">
        <v>829.3478260869565</v>
      </c>
      <c r="F3068" t="s">
        <v>11952</v>
      </c>
      <c r="G3068" t="s">
        <v>10999</v>
      </c>
    </row>
    <row r="3069" spans="1:7">
      <c r="A3069" s="306"/>
      <c r="B3069" t="s">
        <v>8161</v>
      </c>
      <c r="C3069" t="s">
        <v>13929</v>
      </c>
      <c r="E3069">
        <v>283.695652173913</v>
      </c>
      <c r="F3069" t="s">
        <v>11952</v>
      </c>
      <c r="G3069" t="s">
        <v>10999</v>
      </c>
    </row>
    <row r="3070" spans="1:7">
      <c r="A3070" s="306"/>
      <c r="B3070" t="s">
        <v>8162</v>
      </c>
      <c r="C3070" t="s">
        <v>13930</v>
      </c>
      <c r="E3070">
        <v>411.95652173913044</v>
      </c>
      <c r="F3070" t="s">
        <v>11952</v>
      </c>
      <c r="G3070" t="s">
        <v>10999</v>
      </c>
    </row>
    <row r="3071" spans="1:7">
      <c r="A3071" s="306"/>
      <c r="B3071" t="s">
        <v>8163</v>
      </c>
      <c r="C3071" t="s">
        <v>13931</v>
      </c>
      <c r="E3071">
        <v>364.13043478260869</v>
      </c>
      <c r="F3071" t="s">
        <v>11952</v>
      </c>
      <c r="G3071" t="s">
        <v>10999</v>
      </c>
    </row>
    <row r="3072" spans="1:7">
      <c r="A3072" s="306"/>
      <c r="B3072" t="s">
        <v>6936</v>
      </c>
    </row>
    <row r="3073" spans="1:7">
      <c r="A3073" s="306"/>
      <c r="B3073" t="s">
        <v>8164</v>
      </c>
      <c r="C3073" t="s">
        <v>13932</v>
      </c>
      <c r="E3073">
        <v>1075</v>
      </c>
      <c r="F3073" t="s">
        <v>11952</v>
      </c>
      <c r="G3073" t="s">
        <v>10999</v>
      </c>
    </row>
    <row r="3074" spans="1:7">
      <c r="A3074" s="306"/>
      <c r="B3074" t="s">
        <v>7037</v>
      </c>
    </row>
    <row r="3075" spans="1:7">
      <c r="A3075" s="306"/>
      <c r="B3075" t="s">
        <v>8165</v>
      </c>
      <c r="C3075" t="s">
        <v>8166</v>
      </c>
      <c r="E3075">
        <v>950</v>
      </c>
      <c r="F3075" t="s">
        <v>11952</v>
      </c>
      <c r="G3075" t="s">
        <v>10999</v>
      </c>
    </row>
    <row r="3076" spans="1:7">
      <c r="A3076" s="306"/>
      <c r="B3076" t="s">
        <v>8167</v>
      </c>
      <c r="C3076" t="s">
        <v>8168</v>
      </c>
      <c r="E3076">
        <v>950</v>
      </c>
      <c r="F3076" t="s">
        <v>11952</v>
      </c>
      <c r="G3076" t="s">
        <v>10999</v>
      </c>
    </row>
    <row r="3077" spans="1:7">
      <c r="A3077" s="306"/>
      <c r="B3077" t="s">
        <v>8169</v>
      </c>
      <c r="C3077" t="s">
        <v>8170</v>
      </c>
      <c r="E3077">
        <v>917.39130434782601</v>
      </c>
      <c r="F3077" t="s">
        <v>11952</v>
      </c>
      <c r="G3077" t="s">
        <v>10996</v>
      </c>
    </row>
    <row r="3078" spans="1:7">
      <c r="A3078" s="306"/>
      <c r="B3078" t="s">
        <v>13933</v>
      </c>
      <c r="C3078" t="s">
        <v>13934</v>
      </c>
      <c r="E3078">
        <v>369.56521739130432</v>
      </c>
      <c r="F3078" t="s">
        <v>11952</v>
      </c>
      <c r="G3078" t="s">
        <v>10996</v>
      </c>
    </row>
    <row r="3079" spans="1:7">
      <c r="A3079" s="306"/>
      <c r="B3079" t="s">
        <v>13935</v>
      </c>
      <c r="C3079" t="s">
        <v>13936</v>
      </c>
      <c r="E3079">
        <v>1026.086956521739</v>
      </c>
      <c r="F3079" t="s">
        <v>11952</v>
      </c>
    </row>
    <row r="3080" spans="1:7">
      <c r="A3080" s="306"/>
      <c r="B3080" t="s">
        <v>7038</v>
      </c>
    </row>
    <row r="3081" spans="1:7">
      <c r="A3081" s="306"/>
      <c r="B3081" t="s">
        <v>13937</v>
      </c>
      <c r="C3081" t="s">
        <v>13938</v>
      </c>
      <c r="E3081">
        <v>392.39130434782606</v>
      </c>
      <c r="F3081" t="s">
        <v>11952</v>
      </c>
    </row>
    <row r="3082" spans="1:7">
      <c r="A3082" s="306"/>
      <c r="B3082" t="s">
        <v>13939</v>
      </c>
      <c r="C3082" t="s">
        <v>13940</v>
      </c>
      <c r="E3082">
        <v>392.39130434782606</v>
      </c>
      <c r="F3082" t="s">
        <v>11952</v>
      </c>
    </row>
    <row r="3083" spans="1:7">
      <c r="A3083" s="306"/>
      <c r="B3083" t="s">
        <v>13941</v>
      </c>
      <c r="C3083" t="s">
        <v>13942</v>
      </c>
      <c r="E3083">
        <v>170.65217391304347</v>
      </c>
      <c r="F3083" t="s">
        <v>11952</v>
      </c>
      <c r="G3083" t="s">
        <v>10996</v>
      </c>
    </row>
    <row r="3084" spans="1:7">
      <c r="A3084" s="306"/>
      <c r="B3084" t="s">
        <v>13943</v>
      </c>
      <c r="C3084" t="s">
        <v>13944</v>
      </c>
      <c r="E3084">
        <v>170.65217391304347</v>
      </c>
      <c r="F3084" t="s">
        <v>11952</v>
      </c>
      <c r="G3084" t="s">
        <v>10996</v>
      </c>
    </row>
    <row r="3085" spans="1:7">
      <c r="A3085" s="306"/>
      <c r="B3085" t="s">
        <v>7053</v>
      </c>
    </row>
    <row r="3086" spans="1:7">
      <c r="A3086" s="306"/>
      <c r="B3086" t="s">
        <v>8177</v>
      </c>
      <c r="C3086" t="s">
        <v>13945</v>
      </c>
      <c r="E3086">
        <v>242.39130434782606</v>
      </c>
      <c r="F3086" t="s">
        <v>11952</v>
      </c>
      <c r="G3086" t="s">
        <v>10996</v>
      </c>
    </row>
    <row r="3087" spans="1:7">
      <c r="A3087" s="306"/>
      <c r="B3087" t="s">
        <v>8178</v>
      </c>
      <c r="C3087" t="s">
        <v>13946</v>
      </c>
      <c r="E3087">
        <v>119.56521739130434</v>
      </c>
      <c r="F3087" t="s">
        <v>11952</v>
      </c>
      <c r="G3087" t="s">
        <v>10996</v>
      </c>
    </row>
    <row r="3088" spans="1:7">
      <c r="A3088" s="306"/>
      <c r="B3088" t="s">
        <v>13947</v>
      </c>
      <c r="C3088" t="s">
        <v>13948</v>
      </c>
      <c r="E3088">
        <v>416.30434782608694</v>
      </c>
      <c r="F3088" t="s">
        <v>11952</v>
      </c>
    </row>
    <row r="3089" spans="1:7">
      <c r="A3089" s="306"/>
      <c r="B3089" t="s">
        <v>7110</v>
      </c>
    </row>
    <row r="3090" spans="1:7">
      <c r="A3090" s="306"/>
      <c r="B3090" t="s">
        <v>8179</v>
      </c>
      <c r="C3090" t="s">
        <v>13949</v>
      </c>
      <c r="E3090">
        <v>89.130434782608688</v>
      </c>
      <c r="F3090" t="s">
        <v>11952</v>
      </c>
      <c r="G3090" t="s">
        <v>10996</v>
      </c>
    </row>
    <row r="3091" spans="1:7">
      <c r="A3091" s="306"/>
      <c r="B3091" t="s">
        <v>8180</v>
      </c>
      <c r="C3091" t="s">
        <v>8181</v>
      </c>
      <c r="E3091">
        <v>36.95652173913043</v>
      </c>
      <c r="F3091" t="s">
        <v>11952</v>
      </c>
      <c r="G3091" t="s">
        <v>10999</v>
      </c>
    </row>
    <row r="3092" spans="1:7">
      <c r="A3092" s="306"/>
      <c r="B3092" t="s">
        <v>8182</v>
      </c>
    </row>
    <row r="3093" spans="1:7">
      <c r="A3093" s="306"/>
      <c r="B3093" t="s">
        <v>8183</v>
      </c>
      <c r="C3093" t="s">
        <v>8184</v>
      </c>
      <c r="E3093">
        <v>795.6521739130435</v>
      </c>
      <c r="F3093" t="s">
        <v>11952</v>
      </c>
    </row>
    <row r="3094" spans="1:7">
      <c r="A3094" s="306"/>
      <c r="B3094" t="s">
        <v>8185</v>
      </c>
      <c r="C3094" t="s">
        <v>8186</v>
      </c>
      <c r="E3094">
        <v>832.60869565217388</v>
      </c>
      <c r="F3094" t="s">
        <v>11952</v>
      </c>
      <c r="G3094" t="s">
        <v>10999</v>
      </c>
    </row>
    <row r="3095" spans="1:7">
      <c r="A3095" s="306"/>
      <c r="B3095" t="s">
        <v>13950</v>
      </c>
      <c r="C3095" t="s">
        <v>13951</v>
      </c>
      <c r="E3095">
        <v>560.86956521739125</v>
      </c>
      <c r="F3095" t="s">
        <v>11952</v>
      </c>
      <c r="G3095" t="s">
        <v>10996</v>
      </c>
    </row>
    <row r="3096" spans="1:7">
      <c r="A3096" s="306"/>
      <c r="B3096" t="s">
        <v>13952</v>
      </c>
      <c r="C3096" t="s">
        <v>13953</v>
      </c>
      <c r="E3096">
        <v>559.78260869565213</v>
      </c>
      <c r="F3096" t="s">
        <v>11952</v>
      </c>
      <c r="G3096" t="s">
        <v>10996</v>
      </c>
    </row>
    <row r="3097" spans="1:7">
      <c r="A3097" s="306"/>
      <c r="B3097" t="s">
        <v>13954</v>
      </c>
      <c r="C3097" t="s">
        <v>8184</v>
      </c>
      <c r="E3097">
        <v>181.52173913043478</v>
      </c>
      <c r="F3097" t="s">
        <v>11952</v>
      </c>
    </row>
    <row r="3098" spans="1:7">
      <c r="A3098" s="306"/>
      <c r="B3098" t="s">
        <v>8189</v>
      </c>
      <c r="C3098" t="s">
        <v>8190</v>
      </c>
      <c r="E3098">
        <v>1080.4347826086955</v>
      </c>
      <c r="F3098" t="s">
        <v>11952</v>
      </c>
      <c r="G3098" t="s">
        <v>10996</v>
      </c>
    </row>
    <row r="3099" spans="1:7">
      <c r="A3099" s="306"/>
      <c r="B3099" t="s">
        <v>8191</v>
      </c>
      <c r="C3099" t="s">
        <v>8192</v>
      </c>
      <c r="E3099">
        <v>859.78260869565213</v>
      </c>
      <c r="F3099" t="s">
        <v>11952</v>
      </c>
      <c r="G3099" t="s">
        <v>10996</v>
      </c>
    </row>
    <row r="3100" spans="1:7">
      <c r="A3100" s="306"/>
      <c r="B3100" t="s">
        <v>8193</v>
      </c>
      <c r="C3100" t="s">
        <v>8176</v>
      </c>
      <c r="E3100">
        <v>259.78260869565219</v>
      </c>
      <c r="F3100" t="s">
        <v>11952</v>
      </c>
      <c r="G3100" t="s">
        <v>10996</v>
      </c>
    </row>
    <row r="3101" spans="1:7">
      <c r="A3101" s="306"/>
    </row>
    <row r="3102" spans="1:7">
      <c r="A3102" s="306"/>
    </row>
    <row r="3103" spans="1:7">
      <c r="A3103" s="306"/>
    </row>
    <row r="3104" spans="1:7">
      <c r="A3104" s="306"/>
    </row>
    <row r="3105" spans="1:1">
      <c r="A3105" s="306"/>
    </row>
    <row r="3106" spans="1:1">
      <c r="A3106" s="306"/>
    </row>
    <row r="3107" spans="1:1">
      <c r="A3107" s="306"/>
    </row>
    <row r="3108" spans="1:1">
      <c r="A3108" s="306"/>
    </row>
    <row r="3109" spans="1:1">
      <c r="A3109" s="306"/>
    </row>
    <row r="3110" spans="1:1">
      <c r="A3110" s="306"/>
    </row>
    <row r="3111" spans="1:1">
      <c r="A3111" s="306"/>
    </row>
    <row r="3112" spans="1:1">
      <c r="A3112" s="306"/>
    </row>
    <row r="3113" spans="1:1">
      <c r="A3113" s="306"/>
    </row>
    <row r="3114" spans="1:1">
      <c r="A3114" s="306"/>
    </row>
    <row r="3115" spans="1:1">
      <c r="A3115" s="306"/>
    </row>
    <row r="3116" spans="1:1">
      <c r="A3116" s="306"/>
    </row>
    <row r="3117" spans="1:1">
      <c r="A3117" s="306"/>
    </row>
    <row r="3118" spans="1:1">
      <c r="A3118" s="306"/>
    </row>
    <row r="3119" spans="1:1">
      <c r="A3119" s="306"/>
    </row>
    <row r="3120" spans="1:1">
      <c r="A3120" s="306"/>
    </row>
    <row r="3121" spans="1:1">
      <c r="A3121" s="306"/>
    </row>
    <row r="3122" spans="1:1">
      <c r="A3122" s="306"/>
    </row>
    <row r="3123" spans="1:1">
      <c r="A3123" s="306"/>
    </row>
    <row r="3124" spans="1:1">
      <c r="A3124" s="306"/>
    </row>
    <row r="3125" spans="1:1">
      <c r="A3125" s="306"/>
    </row>
    <row r="3126" spans="1:1">
      <c r="A3126" s="306"/>
    </row>
    <row r="3127" spans="1:1">
      <c r="A3127" s="306"/>
    </row>
    <row r="3128" spans="1:1">
      <c r="A3128" s="306"/>
    </row>
    <row r="3129" spans="1:1">
      <c r="A3129" s="306"/>
    </row>
    <row r="3130" spans="1:1">
      <c r="A3130" s="306"/>
    </row>
    <row r="3131" spans="1:1">
      <c r="A3131" s="306"/>
    </row>
    <row r="3132" spans="1:1">
      <c r="A3132" s="306"/>
    </row>
    <row r="3133" spans="1:1">
      <c r="A3133" s="306"/>
    </row>
    <row r="3134" spans="1:1">
      <c r="A3134" s="306"/>
    </row>
    <row r="3135" spans="1:1">
      <c r="A3135" s="306"/>
    </row>
    <row r="3136" spans="1:1">
      <c r="A3136" s="306"/>
    </row>
    <row r="3137" spans="1:1">
      <c r="A3137" s="306"/>
    </row>
    <row r="3138" spans="1:1">
      <c r="A3138" s="306"/>
    </row>
    <row r="3139" spans="1:1">
      <c r="A3139" s="306"/>
    </row>
    <row r="3140" spans="1:1">
      <c r="A3140" s="306"/>
    </row>
    <row r="3141" spans="1:1">
      <c r="A3141" s="306"/>
    </row>
    <row r="3142" spans="1:1">
      <c r="A3142" s="306"/>
    </row>
    <row r="3143" spans="1:1">
      <c r="A3143" s="306"/>
    </row>
    <row r="3144" spans="1:1">
      <c r="A3144" s="306"/>
    </row>
    <row r="3145" spans="1:1">
      <c r="A3145" s="306"/>
    </row>
    <row r="3146" spans="1:1">
      <c r="A3146" s="306"/>
    </row>
    <row r="3147" spans="1:1">
      <c r="A3147" s="306"/>
    </row>
    <row r="3148" spans="1:1">
      <c r="A3148" s="306"/>
    </row>
    <row r="3149" spans="1:1">
      <c r="A3149" s="306"/>
    </row>
    <row r="3150" spans="1:1">
      <c r="A3150" s="306"/>
    </row>
    <row r="3151" spans="1:1">
      <c r="A3151" s="306"/>
    </row>
    <row r="3152" spans="1:1">
      <c r="A3152" s="306"/>
    </row>
    <row r="3153" spans="1:1">
      <c r="A3153" s="306"/>
    </row>
    <row r="3154" spans="1:1">
      <c r="A3154" s="306"/>
    </row>
    <row r="3155" spans="1:1">
      <c r="A3155" s="306"/>
    </row>
    <row r="3156" spans="1:1">
      <c r="A3156" s="306"/>
    </row>
    <row r="3157" spans="1:1">
      <c r="A3157" s="306"/>
    </row>
    <row r="3158" spans="1:1">
      <c r="A3158" s="306"/>
    </row>
    <row r="3159" spans="1:1">
      <c r="A3159" s="306"/>
    </row>
    <row r="3160" spans="1:1">
      <c r="A3160" s="306"/>
    </row>
    <row r="3161" spans="1:1">
      <c r="A3161" s="306"/>
    </row>
    <row r="3162" spans="1:1">
      <c r="A3162" s="306"/>
    </row>
    <row r="3163" spans="1:1">
      <c r="A3163" s="306"/>
    </row>
    <row r="3164" spans="1:1">
      <c r="A3164" s="306"/>
    </row>
    <row r="3165" spans="1:1">
      <c r="A3165" s="306"/>
    </row>
    <row r="3166" spans="1:1">
      <c r="A3166" s="306"/>
    </row>
    <row r="3167" spans="1:1">
      <c r="A3167" s="306"/>
    </row>
    <row r="3168" spans="1:1">
      <c r="A3168" s="306"/>
    </row>
    <row r="3169" spans="1:1">
      <c r="A3169" s="306"/>
    </row>
    <row r="3170" spans="1:1">
      <c r="A3170" s="306"/>
    </row>
    <row r="3171" spans="1:1">
      <c r="A3171" s="306"/>
    </row>
    <row r="3172" spans="1:1">
      <c r="A3172" s="306"/>
    </row>
    <row r="3173" spans="1:1">
      <c r="A3173" s="306"/>
    </row>
    <row r="3174" spans="1:1">
      <c r="A3174" s="306"/>
    </row>
    <row r="3175" spans="1:1">
      <c r="A3175" s="306"/>
    </row>
    <row r="3176" spans="1:1">
      <c r="A3176" s="306"/>
    </row>
    <row r="3177" spans="1:1">
      <c r="A3177" s="306"/>
    </row>
    <row r="3178" spans="1:1">
      <c r="A3178" s="306"/>
    </row>
    <row r="3179" spans="1:1">
      <c r="A3179" s="306"/>
    </row>
    <row r="3180" spans="1:1">
      <c r="A3180" s="306"/>
    </row>
    <row r="3181" spans="1:1">
      <c r="A3181" s="306"/>
    </row>
    <row r="3182" spans="1:1">
      <c r="A3182" s="306"/>
    </row>
    <row r="3183" spans="1:1">
      <c r="A3183" s="306"/>
    </row>
    <row r="3184" spans="1:1">
      <c r="A3184" s="306"/>
    </row>
    <row r="3185" spans="1:1">
      <c r="A3185" s="306"/>
    </row>
    <row r="3186" spans="1:1">
      <c r="A3186" s="306"/>
    </row>
    <row r="3187" spans="1:1">
      <c r="A3187" s="306"/>
    </row>
    <row r="3188" spans="1:1">
      <c r="A3188" s="306"/>
    </row>
    <row r="3189" spans="1:1">
      <c r="A3189" s="306"/>
    </row>
    <row r="3190" spans="1:1">
      <c r="A3190" s="306"/>
    </row>
    <row r="3191" spans="1:1">
      <c r="A3191" s="306"/>
    </row>
    <row r="3192" spans="1:1">
      <c r="A3192" s="306"/>
    </row>
    <row r="3193" spans="1:1">
      <c r="A3193" s="306"/>
    </row>
    <row r="3194" spans="1:1">
      <c r="A3194" s="306"/>
    </row>
    <row r="3195" spans="1:1">
      <c r="A3195" s="306"/>
    </row>
    <row r="3196" spans="1:1">
      <c r="A3196" s="306"/>
    </row>
    <row r="3197" spans="1:1">
      <c r="A3197" s="306"/>
    </row>
    <row r="3198" spans="1:1">
      <c r="A3198" s="306"/>
    </row>
    <row r="3199" spans="1:1">
      <c r="A3199" s="306"/>
    </row>
    <row r="3200" spans="1:1">
      <c r="A3200" s="306"/>
    </row>
    <row r="3201" spans="1:1">
      <c r="A3201" s="306"/>
    </row>
    <row r="3202" spans="1:1">
      <c r="A3202" s="306"/>
    </row>
    <row r="3203" spans="1:1">
      <c r="A3203" s="306"/>
    </row>
    <row r="3204" spans="1:1">
      <c r="A3204" s="306"/>
    </row>
    <row r="3205" spans="1:1">
      <c r="A3205" s="306"/>
    </row>
    <row r="3206" spans="1:1">
      <c r="A3206" s="306"/>
    </row>
    <row r="3207" spans="1:1">
      <c r="A3207" s="306"/>
    </row>
    <row r="3208" spans="1:1">
      <c r="A3208" s="306"/>
    </row>
    <row r="3209" spans="1:1">
      <c r="A3209" s="306"/>
    </row>
    <row r="3210" spans="1:1">
      <c r="A3210" s="306"/>
    </row>
    <row r="3211" spans="1:1">
      <c r="A3211" s="306"/>
    </row>
    <row r="3212" spans="1:1">
      <c r="A3212" s="306"/>
    </row>
    <row r="3213" spans="1:1">
      <c r="A3213" s="306"/>
    </row>
    <row r="3214" spans="1:1">
      <c r="A3214" s="306"/>
    </row>
    <row r="3215" spans="1:1">
      <c r="A3215" s="306"/>
    </row>
    <row r="3216" spans="1:1">
      <c r="A3216" s="306"/>
    </row>
    <row r="3217" spans="1:1">
      <c r="A3217" s="306"/>
    </row>
    <row r="3218" spans="1:1">
      <c r="A3218" s="306"/>
    </row>
    <row r="3219" spans="1:1">
      <c r="A3219" s="306"/>
    </row>
    <row r="3220" spans="1:1">
      <c r="A3220" s="306"/>
    </row>
    <row r="3221" spans="1:1">
      <c r="A3221" s="306"/>
    </row>
    <row r="3222" spans="1:1">
      <c r="A3222" s="306"/>
    </row>
    <row r="3223" spans="1:1">
      <c r="A3223" s="306"/>
    </row>
    <row r="3224" spans="1:1">
      <c r="A3224" s="306"/>
    </row>
    <row r="3225" spans="1:1">
      <c r="A3225" s="306"/>
    </row>
    <row r="3226" spans="1:1">
      <c r="A3226" s="306"/>
    </row>
    <row r="3227" spans="1:1">
      <c r="A3227" s="306"/>
    </row>
    <row r="3228" spans="1:1">
      <c r="A3228" s="306"/>
    </row>
    <row r="3229" spans="1:1">
      <c r="A3229" s="306"/>
    </row>
    <row r="3230" spans="1:1">
      <c r="A3230" s="306"/>
    </row>
    <row r="3231" spans="1:1">
      <c r="A3231" s="306"/>
    </row>
    <row r="3232" spans="1:1">
      <c r="A3232" s="306"/>
    </row>
    <row r="3233" spans="1:1">
      <c r="A3233" s="306"/>
    </row>
    <row r="3234" spans="1:1">
      <c r="A3234" s="306"/>
    </row>
    <row r="3235" spans="1:1">
      <c r="A3235" s="306"/>
    </row>
    <row r="3236" spans="1:1">
      <c r="A3236" s="306"/>
    </row>
    <row r="3237" spans="1:1">
      <c r="A3237" s="306"/>
    </row>
    <row r="3238" spans="1:1">
      <c r="A3238" s="306"/>
    </row>
    <row r="3239" spans="1:1">
      <c r="A3239" s="306"/>
    </row>
    <row r="3240" spans="1:1">
      <c r="A3240" s="306"/>
    </row>
    <row r="3241" spans="1:1">
      <c r="A3241" s="306"/>
    </row>
    <row r="3242" spans="1:1">
      <c r="A3242" s="306"/>
    </row>
    <row r="3243" spans="1:1">
      <c r="A3243" s="306"/>
    </row>
    <row r="3244" spans="1:1">
      <c r="A3244" s="306"/>
    </row>
    <row r="3245" spans="1:1">
      <c r="A3245" s="306"/>
    </row>
    <row r="3246" spans="1:1">
      <c r="A3246" s="306"/>
    </row>
    <row r="3247" spans="1:1">
      <c r="A3247" s="306"/>
    </row>
    <row r="3248" spans="1:1">
      <c r="A3248" s="306"/>
    </row>
    <row r="3249" spans="1:1">
      <c r="A3249" s="306"/>
    </row>
    <row r="3250" spans="1:1">
      <c r="A3250" s="306"/>
    </row>
    <row r="3251" spans="1:1">
      <c r="A3251" s="306"/>
    </row>
    <row r="3252" spans="1:1">
      <c r="A3252" s="306"/>
    </row>
    <row r="3253" spans="1:1">
      <c r="A3253" s="306"/>
    </row>
    <row r="3254" spans="1:1">
      <c r="A3254" s="306"/>
    </row>
    <row r="3255" spans="1:1">
      <c r="A3255" s="306"/>
    </row>
    <row r="3256" spans="1:1">
      <c r="A3256" s="306"/>
    </row>
    <row r="3257" spans="1:1">
      <c r="A3257" s="306"/>
    </row>
    <row r="3258" spans="1:1">
      <c r="A3258" s="306"/>
    </row>
    <row r="3259" spans="1:1">
      <c r="A3259" s="306"/>
    </row>
    <row r="3260" spans="1:1">
      <c r="A3260" s="306"/>
    </row>
    <row r="3261" spans="1:1">
      <c r="A3261" s="306"/>
    </row>
    <row r="3262" spans="1:1">
      <c r="A3262" s="306"/>
    </row>
    <row r="3263" spans="1:1">
      <c r="A3263" s="306"/>
    </row>
    <row r="3264" spans="1:1">
      <c r="A3264" s="306"/>
    </row>
    <row r="3265" spans="1:1">
      <c r="A3265" s="306"/>
    </row>
    <row r="3266" spans="1:1">
      <c r="A3266" s="306"/>
    </row>
    <row r="3267" spans="1:1">
      <c r="A3267" s="306"/>
    </row>
    <row r="3268" spans="1:1">
      <c r="A3268" s="306"/>
    </row>
    <row r="3269" spans="1:1">
      <c r="A3269" s="306"/>
    </row>
    <row r="3270" spans="1:1">
      <c r="A3270" s="306"/>
    </row>
    <row r="3271" spans="1:1">
      <c r="A3271" s="306"/>
    </row>
    <row r="3272" spans="1:1">
      <c r="A3272" s="306"/>
    </row>
    <row r="3273" spans="1:1">
      <c r="A3273" s="306"/>
    </row>
    <row r="3274" spans="1:1">
      <c r="A3274" s="306"/>
    </row>
    <row r="3275" spans="1:1">
      <c r="A3275" s="306"/>
    </row>
    <row r="3276" spans="1:1">
      <c r="A3276" s="306"/>
    </row>
    <row r="3277" spans="1:1">
      <c r="A3277" s="306"/>
    </row>
    <row r="3278" spans="1:1">
      <c r="A3278" s="306"/>
    </row>
    <row r="3279" spans="1:1">
      <c r="A3279" s="306"/>
    </row>
    <row r="3280" spans="1:1">
      <c r="A3280" s="306"/>
    </row>
    <row r="3281" spans="1:1">
      <c r="A3281" s="306"/>
    </row>
    <row r="3282" spans="1:1">
      <c r="A3282" s="306"/>
    </row>
    <row r="3283" spans="1:1">
      <c r="A3283" s="306"/>
    </row>
    <row r="3284" spans="1:1">
      <c r="A3284" s="306"/>
    </row>
    <row r="3285" spans="1:1">
      <c r="A3285" s="306"/>
    </row>
    <row r="3286" spans="1:1">
      <c r="A3286" s="306"/>
    </row>
    <row r="3287" spans="1:1">
      <c r="A3287" s="306"/>
    </row>
    <row r="3288" spans="1:1">
      <c r="A3288" s="306"/>
    </row>
    <row r="3289" spans="1:1">
      <c r="A3289" s="306"/>
    </row>
    <row r="3290" spans="1:1">
      <c r="A3290" s="306"/>
    </row>
    <row r="3291" spans="1:1">
      <c r="A3291" s="306"/>
    </row>
    <row r="3292" spans="1:1">
      <c r="A3292" s="306"/>
    </row>
    <row r="3293" spans="1:1">
      <c r="A3293" s="306"/>
    </row>
    <row r="3294" spans="1:1">
      <c r="A3294" s="306"/>
    </row>
    <row r="3295" spans="1:1">
      <c r="A3295" s="306"/>
    </row>
    <row r="3296" spans="1:1">
      <c r="A3296" s="306"/>
    </row>
    <row r="3297" spans="1:1">
      <c r="A3297" s="306"/>
    </row>
    <row r="3298" spans="1:1">
      <c r="A3298" s="306"/>
    </row>
    <row r="3299" spans="1:1">
      <c r="A3299" s="306"/>
    </row>
    <row r="3300" spans="1:1">
      <c r="A3300" s="306"/>
    </row>
    <row r="3301" spans="1:1">
      <c r="A3301" s="306"/>
    </row>
    <row r="3302" spans="1:1">
      <c r="A3302" s="306"/>
    </row>
    <row r="3303" spans="1:1">
      <c r="A3303" s="306"/>
    </row>
    <row r="3304" spans="1:1">
      <c r="A3304" s="306"/>
    </row>
    <row r="3305" spans="1:1">
      <c r="A3305" s="306"/>
    </row>
    <row r="3306" spans="1:1">
      <c r="A3306" s="306"/>
    </row>
    <row r="3307" spans="1:1">
      <c r="A3307" s="306"/>
    </row>
    <row r="3308" spans="1:1">
      <c r="A3308" s="306"/>
    </row>
    <row r="3309" spans="1:1">
      <c r="A3309" s="306"/>
    </row>
    <row r="3310" spans="1:1">
      <c r="A3310" s="306"/>
    </row>
    <row r="3311" spans="1:1">
      <c r="A3311" s="306"/>
    </row>
    <row r="3312" spans="1:1">
      <c r="A3312" s="306"/>
    </row>
    <row r="3313" spans="1:1">
      <c r="A3313" s="306"/>
    </row>
    <row r="3314" spans="1:1">
      <c r="A3314" s="306"/>
    </row>
    <row r="3315" spans="1:1">
      <c r="A3315" s="306"/>
    </row>
    <row r="3316" spans="1:1">
      <c r="A3316" s="306"/>
    </row>
    <row r="3317" spans="1:1">
      <c r="A3317" s="306"/>
    </row>
    <row r="3318" spans="1:1">
      <c r="A3318" s="306"/>
    </row>
    <row r="3319" spans="1:1">
      <c r="A3319" s="306"/>
    </row>
    <row r="3320" spans="1:1">
      <c r="A3320" s="306"/>
    </row>
    <row r="3321" spans="1:1">
      <c r="A3321" s="306"/>
    </row>
    <row r="3322" spans="1:1">
      <c r="A3322" s="306"/>
    </row>
    <row r="3323" spans="1:1">
      <c r="A3323" s="306"/>
    </row>
    <row r="3324" spans="1:1">
      <c r="A3324" s="306"/>
    </row>
    <row r="3325" spans="1:1">
      <c r="A3325" s="306"/>
    </row>
    <row r="3326" spans="1:1">
      <c r="A3326" s="306"/>
    </row>
    <row r="3327" spans="1:1">
      <c r="A3327" s="306"/>
    </row>
    <row r="3328" spans="1:1">
      <c r="A3328" s="306"/>
    </row>
    <row r="3329" spans="1:1">
      <c r="A3329" s="306"/>
    </row>
    <row r="3330" spans="1:1">
      <c r="A3330" s="306"/>
    </row>
    <row r="3331" spans="1:1">
      <c r="A3331" s="306"/>
    </row>
    <row r="3332" spans="1:1">
      <c r="A3332" s="306"/>
    </row>
    <row r="3333" spans="1:1">
      <c r="A3333" s="306"/>
    </row>
    <row r="3334" spans="1:1">
      <c r="A3334" s="306"/>
    </row>
    <row r="3335" spans="1:1">
      <c r="A3335" s="306"/>
    </row>
    <row r="3336" spans="1:1">
      <c r="A3336" s="306"/>
    </row>
    <row r="3337" spans="1:1">
      <c r="A3337" s="306"/>
    </row>
    <row r="3338" spans="1:1">
      <c r="A3338" s="306"/>
    </row>
    <row r="3339" spans="1:1">
      <c r="A3339" s="306"/>
    </row>
    <row r="3340" spans="1:1">
      <c r="A3340" s="306"/>
    </row>
    <row r="3341" spans="1:1">
      <c r="A3341" s="306"/>
    </row>
    <row r="3342" spans="1:1">
      <c r="A3342" s="306"/>
    </row>
    <row r="3343" spans="1:1">
      <c r="A3343" s="306"/>
    </row>
    <row r="3344" spans="1:1">
      <c r="A3344" s="306"/>
    </row>
    <row r="3345" spans="1:1">
      <c r="A3345" s="306"/>
    </row>
    <row r="3346" spans="1:1">
      <c r="A3346" s="306"/>
    </row>
    <row r="3347" spans="1:1">
      <c r="A3347" s="306"/>
    </row>
    <row r="3348" spans="1:1">
      <c r="A3348" s="306"/>
    </row>
    <row r="3349" spans="1:1">
      <c r="A3349" s="306"/>
    </row>
    <row r="3350" spans="1:1">
      <c r="A3350" s="306"/>
    </row>
    <row r="3351" spans="1:1">
      <c r="A3351" s="306"/>
    </row>
    <row r="3352" spans="1:1">
      <c r="A3352" s="306"/>
    </row>
    <row r="3353" spans="1:1">
      <c r="A3353" s="306"/>
    </row>
    <row r="3354" spans="1:1">
      <c r="A3354" s="306"/>
    </row>
    <row r="3355" spans="1:1">
      <c r="A3355" s="306"/>
    </row>
    <row r="3356" spans="1:1">
      <c r="A3356" s="306"/>
    </row>
    <row r="3357" spans="1:1">
      <c r="A3357" s="306"/>
    </row>
    <row r="3358" spans="1:1">
      <c r="A3358" s="306"/>
    </row>
    <row r="3359" spans="1:1">
      <c r="A3359" s="306"/>
    </row>
    <row r="3360" spans="1:1">
      <c r="A3360" s="306"/>
    </row>
    <row r="3361" spans="1:1">
      <c r="A3361" s="306"/>
    </row>
    <row r="3362" spans="1:1">
      <c r="A3362" s="306"/>
    </row>
    <row r="3363" spans="1:1">
      <c r="A3363" s="306"/>
    </row>
    <row r="3364" spans="1:1">
      <c r="A3364" s="306"/>
    </row>
    <row r="3365" spans="1:1">
      <c r="A3365" s="306"/>
    </row>
    <row r="3366" spans="1:1">
      <c r="A3366" s="306"/>
    </row>
    <row r="3367" spans="1:1">
      <c r="A3367" s="306"/>
    </row>
    <row r="3368" spans="1:1">
      <c r="A3368" s="306"/>
    </row>
    <row r="3369" spans="1:1">
      <c r="A3369" s="306"/>
    </row>
    <row r="3370" spans="1:1">
      <c r="A3370" s="306"/>
    </row>
    <row r="3371" spans="1:1">
      <c r="A3371" s="306"/>
    </row>
    <row r="3372" spans="1:1">
      <c r="A3372" s="306"/>
    </row>
    <row r="3373" spans="1:1">
      <c r="A3373" s="306"/>
    </row>
    <row r="3374" spans="1:1">
      <c r="A3374" s="306"/>
    </row>
    <row r="3375" spans="1:1">
      <c r="A3375" s="306"/>
    </row>
    <row r="3376" spans="1:1">
      <c r="A3376" s="306"/>
    </row>
    <row r="3377" spans="1:1">
      <c r="A3377" s="306"/>
    </row>
    <row r="3378" spans="1:1">
      <c r="A3378" s="306"/>
    </row>
    <row r="3379" spans="1:1">
      <c r="A3379" s="306"/>
    </row>
    <row r="3380" spans="1:1">
      <c r="A3380" s="306"/>
    </row>
    <row r="3381" spans="1:1">
      <c r="A3381" s="306"/>
    </row>
    <row r="3382" spans="1:1">
      <c r="A3382" s="306"/>
    </row>
    <row r="3383" spans="1:1">
      <c r="A3383" s="306"/>
    </row>
    <row r="3384" spans="1:1">
      <c r="A3384" s="306"/>
    </row>
    <row r="3385" spans="1:1">
      <c r="A3385" s="306"/>
    </row>
    <row r="3386" spans="1:1">
      <c r="A3386" s="306"/>
    </row>
    <row r="3387" spans="1:1">
      <c r="A3387" s="306"/>
    </row>
    <row r="3388" spans="1:1">
      <c r="A3388" s="306"/>
    </row>
    <row r="3389" spans="1:1">
      <c r="A3389" s="306"/>
    </row>
    <row r="3390" spans="1:1">
      <c r="A3390" s="306"/>
    </row>
    <row r="3391" spans="1:1">
      <c r="A3391" s="306"/>
    </row>
    <row r="3392" spans="1:1">
      <c r="A3392" s="306"/>
    </row>
    <row r="3393" spans="1:1">
      <c r="A3393" s="306"/>
    </row>
    <row r="3394" spans="1:1">
      <c r="A3394" s="306"/>
    </row>
    <row r="3395" spans="1:1">
      <c r="A3395" s="306"/>
    </row>
    <row r="3396" spans="1:1">
      <c r="A3396" s="306"/>
    </row>
    <row r="3397" spans="1:1">
      <c r="A3397" s="306"/>
    </row>
    <row r="3398" spans="1:1">
      <c r="A3398" s="306"/>
    </row>
    <row r="3399" spans="1:1">
      <c r="A3399" s="306"/>
    </row>
    <row r="3400" spans="1:1">
      <c r="A3400" s="306"/>
    </row>
    <row r="3401" spans="1:1">
      <c r="A3401" s="306"/>
    </row>
    <row r="3402" spans="1:1">
      <c r="A3402" s="306"/>
    </row>
    <row r="3403" spans="1:1">
      <c r="A3403" s="306"/>
    </row>
    <row r="3404" spans="1:1">
      <c r="A3404" s="306"/>
    </row>
    <row r="3405" spans="1:1">
      <c r="A3405" s="306"/>
    </row>
    <row r="3406" spans="1:1">
      <c r="A3406" s="306"/>
    </row>
    <row r="3407" spans="1:1">
      <c r="A3407" s="306"/>
    </row>
    <row r="3408" spans="1:1">
      <c r="A3408" s="306"/>
    </row>
    <row r="3409" spans="1:1">
      <c r="A3409" s="306"/>
    </row>
    <row r="3410" spans="1:1">
      <c r="A3410" s="306"/>
    </row>
    <row r="3411" spans="1:1">
      <c r="A3411" s="306"/>
    </row>
    <row r="3412" spans="1:1">
      <c r="A3412" s="306"/>
    </row>
    <row r="3413" spans="1:1">
      <c r="A3413" s="306"/>
    </row>
    <row r="3414" spans="1:1">
      <c r="A3414" s="306"/>
    </row>
    <row r="3415" spans="1:1">
      <c r="A3415" s="306"/>
    </row>
    <row r="3416" spans="1:1">
      <c r="A3416" s="306"/>
    </row>
    <row r="3417" spans="1:1">
      <c r="A3417" s="306"/>
    </row>
    <row r="3418" spans="1:1">
      <c r="A3418" s="306"/>
    </row>
    <row r="3419" spans="1:1">
      <c r="A3419" s="306"/>
    </row>
    <row r="3420" spans="1:1">
      <c r="A3420" s="306"/>
    </row>
    <row r="3421" spans="1:1">
      <c r="A3421" s="306"/>
    </row>
    <row r="3422" spans="1:1">
      <c r="A3422" s="306"/>
    </row>
    <row r="3423" spans="1:1">
      <c r="A3423" s="306"/>
    </row>
    <row r="3424" spans="1:1">
      <c r="A3424" s="306"/>
    </row>
    <row r="3425" spans="1:1">
      <c r="A3425" s="306"/>
    </row>
    <row r="3426" spans="1:1">
      <c r="A3426" s="306"/>
    </row>
    <row r="3427" spans="1:1">
      <c r="A3427" s="306"/>
    </row>
    <row r="3428" spans="1:1">
      <c r="A3428" s="306"/>
    </row>
    <row r="3429" spans="1:1">
      <c r="A3429" s="306"/>
    </row>
    <row r="3430" spans="1:1">
      <c r="A3430" s="306"/>
    </row>
    <row r="3431" spans="1:1">
      <c r="A3431" s="306"/>
    </row>
    <row r="3432" spans="1:1">
      <c r="A3432" s="306"/>
    </row>
    <row r="3433" spans="1:1">
      <c r="A3433" s="306"/>
    </row>
    <row r="3434" spans="1:1">
      <c r="A3434" s="306"/>
    </row>
    <row r="3435" spans="1:1">
      <c r="A3435" s="306"/>
    </row>
    <row r="3436" spans="1:1">
      <c r="A3436" s="306"/>
    </row>
    <row r="3437" spans="1:1">
      <c r="A3437" s="306"/>
    </row>
    <row r="3438" spans="1:1">
      <c r="A3438" s="306"/>
    </row>
    <row r="3439" spans="1:1">
      <c r="A3439" s="306"/>
    </row>
    <row r="3440" spans="1:1">
      <c r="A3440" s="306"/>
    </row>
    <row r="3441" spans="1:1">
      <c r="A3441" s="306"/>
    </row>
    <row r="3442" spans="1:1">
      <c r="A3442" s="306"/>
    </row>
    <row r="3443" spans="1:1">
      <c r="A3443" s="306"/>
    </row>
    <row r="3444" spans="1:1">
      <c r="A3444" s="306"/>
    </row>
    <row r="3445" spans="1:1">
      <c r="A3445" s="306"/>
    </row>
    <row r="3446" spans="1:1">
      <c r="A3446" s="306"/>
    </row>
    <row r="3447" spans="1:1">
      <c r="A3447" s="306"/>
    </row>
    <row r="3448" spans="1:1">
      <c r="A3448" s="306"/>
    </row>
    <row r="3449" spans="1:1">
      <c r="A3449" s="306"/>
    </row>
    <row r="3450" spans="1:1">
      <c r="A3450" s="306"/>
    </row>
    <row r="3451" spans="1:1">
      <c r="A3451" s="306"/>
    </row>
    <row r="3452" spans="1:1">
      <c r="A3452" s="306"/>
    </row>
    <row r="3453" spans="1:1">
      <c r="A3453" s="306"/>
    </row>
    <row r="3454" spans="1:1">
      <c r="A3454" s="306"/>
    </row>
    <row r="3455" spans="1:1">
      <c r="A3455" s="306"/>
    </row>
    <row r="3456" spans="1:1">
      <c r="A3456" s="306"/>
    </row>
    <row r="3457" spans="1:1">
      <c r="A3457" s="306"/>
    </row>
    <row r="3458" spans="1:1">
      <c r="A3458" s="306"/>
    </row>
    <row r="3459" spans="1:1">
      <c r="A3459" s="306"/>
    </row>
    <row r="3460" spans="1:1">
      <c r="A3460" s="306"/>
    </row>
    <row r="3461" spans="1:1">
      <c r="A3461" s="306"/>
    </row>
    <row r="3462" spans="1:1">
      <c r="A3462" s="306"/>
    </row>
    <row r="3463" spans="1:1">
      <c r="A3463" s="306"/>
    </row>
    <row r="3464" spans="1:1">
      <c r="A3464" s="306"/>
    </row>
    <row r="3465" spans="1:1">
      <c r="A3465" s="306"/>
    </row>
    <row r="3466" spans="1:1">
      <c r="A3466" s="306"/>
    </row>
    <row r="3467" spans="1:1">
      <c r="A3467" s="306"/>
    </row>
    <row r="3468" spans="1:1">
      <c r="A3468" s="306"/>
    </row>
    <row r="3469" spans="1:1">
      <c r="A3469" s="306"/>
    </row>
    <row r="3470" spans="1:1">
      <c r="A3470" s="306"/>
    </row>
    <row r="3471" spans="1:1">
      <c r="A3471" s="306"/>
    </row>
    <row r="3472" spans="1:1">
      <c r="A3472" s="306"/>
    </row>
    <row r="3473" spans="1:1">
      <c r="A3473" s="306"/>
    </row>
    <row r="3474" spans="1:1">
      <c r="A3474" s="306"/>
    </row>
    <row r="3475" spans="1:1">
      <c r="A3475" s="306"/>
    </row>
    <row r="3476" spans="1:1">
      <c r="A3476" s="306"/>
    </row>
    <row r="3477" spans="1:1">
      <c r="A3477" s="306"/>
    </row>
    <row r="3478" spans="1:1">
      <c r="A3478" s="306"/>
    </row>
    <row r="3479" spans="1:1">
      <c r="A3479" s="306"/>
    </row>
    <row r="3480" spans="1:1">
      <c r="A3480" s="306"/>
    </row>
    <row r="3481" spans="1:1">
      <c r="A3481" s="306"/>
    </row>
    <row r="3482" spans="1:1">
      <c r="A3482" s="306"/>
    </row>
    <row r="3483" spans="1:1">
      <c r="A3483" s="306"/>
    </row>
    <row r="3484" spans="1:1">
      <c r="A3484" s="306"/>
    </row>
    <row r="3485" spans="1:1">
      <c r="A3485" s="306"/>
    </row>
    <row r="3486" spans="1:1">
      <c r="A3486" s="306"/>
    </row>
    <row r="3487" spans="1:1">
      <c r="A3487" s="306"/>
    </row>
    <row r="3488" spans="1:1">
      <c r="A3488" s="306"/>
    </row>
    <row r="3489" spans="1:1">
      <c r="A3489" s="306"/>
    </row>
    <row r="3490" spans="1:1">
      <c r="A3490" s="306"/>
    </row>
    <row r="3491" spans="1:1">
      <c r="A3491" s="306"/>
    </row>
    <row r="3492" spans="1:1">
      <c r="A3492" s="306"/>
    </row>
    <row r="3493" spans="1:1">
      <c r="A3493" s="306"/>
    </row>
    <row r="3494" spans="1:1">
      <c r="A3494" s="306"/>
    </row>
    <row r="3495" spans="1:1">
      <c r="A3495" s="306"/>
    </row>
    <row r="3496" spans="1:1">
      <c r="A3496" s="306"/>
    </row>
    <row r="3497" spans="1:1">
      <c r="A3497" s="306"/>
    </row>
    <row r="3498" spans="1:1">
      <c r="A3498" s="306"/>
    </row>
    <row r="3499" spans="1:1">
      <c r="A3499" s="306"/>
    </row>
    <row r="3500" spans="1:1">
      <c r="A3500" s="306"/>
    </row>
    <row r="3501" spans="1:1">
      <c r="A3501" s="306"/>
    </row>
    <row r="3502" spans="1:1">
      <c r="A3502" s="306"/>
    </row>
    <row r="3503" spans="1:1">
      <c r="A3503" s="306"/>
    </row>
    <row r="3504" spans="1:1">
      <c r="A3504" s="306"/>
    </row>
    <row r="3505" spans="1:1">
      <c r="A3505" s="306"/>
    </row>
    <row r="3506" spans="1:1">
      <c r="A3506" s="306"/>
    </row>
    <row r="3507" spans="1:1">
      <c r="A3507" s="306"/>
    </row>
    <row r="3508" spans="1:1">
      <c r="A3508" s="306"/>
    </row>
    <row r="3509" spans="1:1">
      <c r="A3509" s="306"/>
    </row>
    <row r="3510" spans="1:1">
      <c r="A3510" s="306"/>
    </row>
    <row r="3511" spans="1:1">
      <c r="A3511" s="306"/>
    </row>
    <row r="3512" spans="1:1">
      <c r="A3512" s="306"/>
    </row>
    <row r="3513" spans="1:1">
      <c r="A3513" s="306"/>
    </row>
    <row r="3514" spans="1:1">
      <c r="A3514" s="306"/>
    </row>
    <row r="3515" spans="1:1">
      <c r="A3515" s="306"/>
    </row>
    <row r="3516" spans="1:1">
      <c r="A3516" s="306"/>
    </row>
    <row r="3517" spans="1:1">
      <c r="A3517" s="306"/>
    </row>
    <row r="3518" spans="1:1">
      <c r="A3518" s="306"/>
    </row>
    <row r="3519" spans="1:1">
      <c r="A3519" s="306"/>
    </row>
    <row r="3520" spans="1:1">
      <c r="A3520" s="306"/>
    </row>
    <row r="3521" spans="1:1">
      <c r="A3521" s="306"/>
    </row>
    <row r="3522" spans="1:1">
      <c r="A3522" s="306"/>
    </row>
    <row r="3523" spans="1:1">
      <c r="A3523" s="306"/>
    </row>
    <row r="3524" spans="1:1">
      <c r="A3524" s="306"/>
    </row>
    <row r="3525" spans="1:1">
      <c r="A3525" s="306"/>
    </row>
    <row r="3526" spans="1:1">
      <c r="A3526" s="306"/>
    </row>
    <row r="3527" spans="1:1">
      <c r="A3527" s="306"/>
    </row>
    <row r="3528" spans="1:1">
      <c r="A3528" s="306"/>
    </row>
    <row r="3529" spans="1:1">
      <c r="A3529" s="306"/>
    </row>
    <row r="3530" spans="1:1">
      <c r="A3530" s="306"/>
    </row>
    <row r="3531" spans="1:1">
      <c r="A3531" s="306"/>
    </row>
    <row r="3532" spans="1:1">
      <c r="A3532" s="306"/>
    </row>
    <row r="3533" spans="1:1">
      <c r="A3533" s="306"/>
    </row>
    <row r="3534" spans="1:1">
      <c r="A3534" s="306"/>
    </row>
    <row r="3535" spans="1:1">
      <c r="A3535" s="306"/>
    </row>
    <row r="3536" spans="1:1">
      <c r="A3536" s="306"/>
    </row>
    <row r="3537" spans="1:1">
      <c r="A3537" s="306"/>
    </row>
    <row r="3538" spans="1:1">
      <c r="A3538" s="306"/>
    </row>
    <row r="3539" spans="1:1">
      <c r="A3539" s="306"/>
    </row>
    <row r="3540" spans="1:1">
      <c r="A3540" s="306"/>
    </row>
    <row r="3541" spans="1:1">
      <c r="A3541" s="306"/>
    </row>
    <row r="3542" spans="1:1">
      <c r="A3542" s="306"/>
    </row>
    <row r="3543" spans="1:1">
      <c r="A3543" s="306"/>
    </row>
    <row r="3544" spans="1:1">
      <c r="A3544" s="306"/>
    </row>
    <row r="3545" spans="1:1">
      <c r="A3545" s="306"/>
    </row>
    <row r="3546" spans="1:1">
      <c r="A3546" s="306"/>
    </row>
    <row r="3547" spans="1:1">
      <c r="A3547" s="306"/>
    </row>
    <row r="3548" spans="1:1">
      <c r="A3548" s="306"/>
    </row>
    <row r="3549" spans="1:1">
      <c r="A3549" s="306"/>
    </row>
    <row r="3550" spans="1:1">
      <c r="A3550" s="306"/>
    </row>
    <row r="3551" spans="1:1">
      <c r="A3551" s="306"/>
    </row>
    <row r="3552" spans="1:1">
      <c r="A3552" s="306"/>
    </row>
    <row r="3553" spans="1:1">
      <c r="A3553" s="306"/>
    </row>
    <row r="3554" spans="1:1">
      <c r="A3554" s="306"/>
    </row>
    <row r="3555" spans="1:1">
      <c r="A3555" s="306"/>
    </row>
    <row r="3556" spans="1:1">
      <c r="A3556" s="306"/>
    </row>
    <row r="3557" spans="1:1">
      <c r="A3557" s="306"/>
    </row>
    <row r="3558" spans="1:1">
      <c r="A3558" s="306"/>
    </row>
    <row r="3559" spans="1:1">
      <c r="A3559" s="306"/>
    </row>
    <row r="3560" spans="1:1">
      <c r="A3560" s="306"/>
    </row>
    <row r="3561" spans="1:1">
      <c r="A3561" s="306"/>
    </row>
    <row r="3562" spans="1:1">
      <c r="A3562" s="306"/>
    </row>
    <row r="3563" spans="1:1">
      <c r="A3563" s="306"/>
    </row>
    <row r="3564" spans="1:1">
      <c r="A3564" s="306"/>
    </row>
    <row r="3565" spans="1:1">
      <c r="A3565" s="306"/>
    </row>
    <row r="3566" spans="1:1">
      <c r="A3566" s="306"/>
    </row>
    <row r="3567" spans="1:1">
      <c r="A3567" s="306"/>
    </row>
    <row r="3568" spans="1:1">
      <c r="A3568" s="306"/>
    </row>
    <row r="3569" spans="1:1">
      <c r="A3569" s="306"/>
    </row>
    <row r="3570" spans="1:1">
      <c r="A3570" s="306"/>
    </row>
    <row r="3571" spans="1:1">
      <c r="A3571" s="306"/>
    </row>
    <row r="3572" spans="1:1">
      <c r="A3572" s="306"/>
    </row>
    <row r="3573" spans="1:1">
      <c r="A3573" s="306"/>
    </row>
    <row r="3574" spans="1:1">
      <c r="A3574" s="306"/>
    </row>
    <row r="3575" spans="1:1">
      <c r="A3575" s="306"/>
    </row>
    <row r="3576" spans="1:1">
      <c r="A3576" s="306"/>
    </row>
    <row r="3577" spans="1:1">
      <c r="A3577" s="306"/>
    </row>
    <row r="3578" spans="1:1">
      <c r="A3578" s="306"/>
    </row>
    <row r="3579" spans="1:1">
      <c r="A3579" s="306"/>
    </row>
    <row r="3580" spans="1:1">
      <c r="A3580" s="306"/>
    </row>
    <row r="3581" spans="1:1">
      <c r="A3581" s="306"/>
    </row>
    <row r="3582" spans="1:1">
      <c r="A3582" s="306"/>
    </row>
    <row r="3583" spans="1:1">
      <c r="A3583" s="306"/>
    </row>
    <row r="3584" spans="1:1">
      <c r="A3584" s="306"/>
    </row>
    <row r="3585" spans="1:1">
      <c r="A3585" s="306"/>
    </row>
    <row r="3586" spans="1:1">
      <c r="A3586" s="306"/>
    </row>
    <row r="3587" spans="1:1">
      <c r="A3587" s="306"/>
    </row>
    <row r="3588" spans="1:1">
      <c r="A3588" s="306"/>
    </row>
    <row r="3589" spans="1:1">
      <c r="A3589" s="306"/>
    </row>
    <row r="3590" spans="1:1">
      <c r="A3590" s="306"/>
    </row>
    <row r="3591" spans="1:1">
      <c r="A3591" s="306"/>
    </row>
    <row r="3592" spans="1:1">
      <c r="A3592" s="306"/>
    </row>
    <row r="3593" spans="1:1">
      <c r="A3593" s="306"/>
    </row>
    <row r="3594" spans="1:1">
      <c r="A3594" s="306"/>
    </row>
    <row r="3595" spans="1:1">
      <c r="A3595" s="306"/>
    </row>
    <row r="3596" spans="1:1">
      <c r="A3596" s="306"/>
    </row>
    <row r="3597" spans="1:1">
      <c r="A3597" s="306"/>
    </row>
    <row r="3598" spans="1:1">
      <c r="A3598" s="306"/>
    </row>
    <row r="3599" spans="1:1">
      <c r="A3599" s="306"/>
    </row>
    <row r="3600" spans="1:1">
      <c r="A3600" s="306"/>
    </row>
    <row r="3601" spans="1:1">
      <c r="A3601" s="306"/>
    </row>
    <row r="3602" spans="1:1">
      <c r="A3602" s="306"/>
    </row>
    <row r="3603" spans="1:1">
      <c r="A3603" s="306"/>
    </row>
    <row r="3604" spans="1:1">
      <c r="A3604" s="306"/>
    </row>
    <row r="3605" spans="1:1">
      <c r="A3605" s="306"/>
    </row>
    <row r="3606" spans="1:1">
      <c r="A3606" s="306"/>
    </row>
    <row r="3607" spans="1:1">
      <c r="A3607" s="306"/>
    </row>
    <row r="3608" spans="1:1">
      <c r="A3608" s="306"/>
    </row>
    <row r="3609" spans="1:1">
      <c r="A3609" s="306"/>
    </row>
    <row r="3610" spans="1:1">
      <c r="A3610" s="306"/>
    </row>
    <row r="3611" spans="1:1">
      <c r="A3611" s="306"/>
    </row>
    <row r="3612" spans="1:1">
      <c r="A3612" s="306"/>
    </row>
    <row r="3613" spans="1:1">
      <c r="A3613" s="306"/>
    </row>
    <row r="3614" spans="1:1">
      <c r="A3614" s="306"/>
    </row>
    <row r="3615" spans="1:1">
      <c r="A3615" s="306"/>
    </row>
    <row r="3616" spans="1:1">
      <c r="A3616" s="306"/>
    </row>
    <row r="3617" spans="1:1">
      <c r="A3617" s="306"/>
    </row>
    <row r="3618" spans="1:1">
      <c r="A3618" s="306"/>
    </row>
    <row r="3619" spans="1:1">
      <c r="A3619" s="306"/>
    </row>
    <row r="3620" spans="1:1">
      <c r="A3620" s="306"/>
    </row>
    <row r="3621" spans="1:1">
      <c r="A3621" s="306"/>
    </row>
    <row r="3622" spans="1:1">
      <c r="A3622" s="306"/>
    </row>
    <row r="3623" spans="1:1">
      <c r="A3623" s="306"/>
    </row>
    <row r="3624" spans="1:1">
      <c r="A3624" s="306"/>
    </row>
    <row r="3625" spans="1:1">
      <c r="A3625" s="306"/>
    </row>
    <row r="3626" spans="1:1">
      <c r="A3626" s="306"/>
    </row>
    <row r="3627" spans="1:1">
      <c r="A3627" s="306"/>
    </row>
    <row r="3628" spans="1:1">
      <c r="A3628" s="306"/>
    </row>
    <row r="3629" spans="1:1">
      <c r="A3629" s="306"/>
    </row>
    <row r="3630" spans="1:1">
      <c r="A3630" s="306"/>
    </row>
    <row r="3631" spans="1:1">
      <c r="A3631" s="306"/>
    </row>
    <row r="3632" spans="1:1">
      <c r="A3632" s="306"/>
    </row>
    <row r="3633" spans="1:1">
      <c r="A3633" s="306"/>
    </row>
    <row r="3634" spans="1:1">
      <c r="A3634" s="306"/>
    </row>
    <row r="3635" spans="1:1">
      <c r="A3635" s="306"/>
    </row>
    <row r="3636" spans="1:1">
      <c r="A3636" s="306"/>
    </row>
    <row r="3637" spans="1:1">
      <c r="A3637" s="306"/>
    </row>
    <row r="3638" spans="1:1">
      <c r="A3638" s="306"/>
    </row>
    <row r="3639" spans="1:1">
      <c r="A3639" s="306"/>
    </row>
    <row r="3640" spans="1:1">
      <c r="A3640" s="306"/>
    </row>
    <row r="3641" spans="1:1">
      <c r="A3641" s="306"/>
    </row>
    <row r="3642" spans="1:1">
      <c r="A3642" s="306"/>
    </row>
    <row r="3643" spans="1:1">
      <c r="A3643" s="306"/>
    </row>
    <row r="3644" spans="1:1">
      <c r="A3644" s="306"/>
    </row>
    <row r="3645" spans="1:1">
      <c r="A3645" s="306"/>
    </row>
    <row r="3646" spans="1:1">
      <c r="A3646" s="306"/>
    </row>
    <row r="3647" spans="1:1">
      <c r="A3647" s="306"/>
    </row>
    <row r="3648" spans="1:1">
      <c r="A3648" s="306"/>
    </row>
    <row r="3649" spans="1:1">
      <c r="A3649" s="306"/>
    </row>
    <row r="3650" spans="1:1">
      <c r="A3650" s="306"/>
    </row>
    <row r="3651" spans="1:1">
      <c r="A3651" s="306"/>
    </row>
    <row r="3652" spans="1:1">
      <c r="A3652" s="306"/>
    </row>
    <row r="3653" spans="1:1">
      <c r="A3653" s="306"/>
    </row>
    <row r="3654" spans="1:1">
      <c r="A3654" s="306"/>
    </row>
    <row r="3655" spans="1:1">
      <c r="A3655" s="306"/>
    </row>
    <row r="3656" spans="1:1">
      <c r="A3656" s="306"/>
    </row>
    <row r="3657" spans="1:1">
      <c r="A3657" s="306"/>
    </row>
    <row r="3658" spans="1:1">
      <c r="A3658" s="306"/>
    </row>
    <row r="3659" spans="1:1">
      <c r="A3659" s="306"/>
    </row>
    <row r="3660" spans="1:1">
      <c r="A3660" s="306"/>
    </row>
    <row r="3661" spans="1:1">
      <c r="A3661" s="306"/>
    </row>
    <row r="3662" spans="1:1">
      <c r="A3662" s="306"/>
    </row>
    <row r="3663" spans="1:1">
      <c r="A3663" s="306"/>
    </row>
    <row r="3664" spans="1:1">
      <c r="A3664" s="306"/>
    </row>
    <row r="3665" spans="1:1">
      <c r="A3665" s="306"/>
    </row>
    <row r="3666" spans="1:1">
      <c r="A3666" s="306"/>
    </row>
    <row r="3667" spans="1:1">
      <c r="A3667" s="306"/>
    </row>
    <row r="3668" spans="1:1">
      <c r="A3668" s="306"/>
    </row>
    <row r="3669" spans="1:1">
      <c r="A3669" s="306"/>
    </row>
    <row r="3670" spans="1:1">
      <c r="A3670" s="306"/>
    </row>
    <row r="3671" spans="1:1">
      <c r="A3671" s="306"/>
    </row>
    <row r="3672" spans="1:1">
      <c r="A3672" s="306"/>
    </row>
    <row r="3673" spans="1:1">
      <c r="A3673" s="306"/>
    </row>
    <row r="3674" spans="1:1">
      <c r="A3674" s="306"/>
    </row>
    <row r="3675" spans="1:1">
      <c r="A3675" s="306"/>
    </row>
    <row r="3676" spans="1:1">
      <c r="A3676" s="306"/>
    </row>
    <row r="3677" spans="1:1">
      <c r="A3677" s="306"/>
    </row>
    <row r="3678" spans="1:1">
      <c r="A3678" s="306"/>
    </row>
    <row r="3679" spans="1:1">
      <c r="A3679" s="306"/>
    </row>
    <row r="3680" spans="1:1">
      <c r="A3680" s="306"/>
    </row>
    <row r="3681" spans="1:1">
      <c r="A3681" s="306"/>
    </row>
    <row r="3682" spans="1:1">
      <c r="A3682" s="306"/>
    </row>
    <row r="3683" spans="1:1">
      <c r="A3683" s="306"/>
    </row>
    <row r="3684" spans="1:1">
      <c r="A3684" s="306"/>
    </row>
    <row r="3685" spans="1:1">
      <c r="A3685" s="306"/>
    </row>
    <row r="3686" spans="1:1">
      <c r="A3686" s="306"/>
    </row>
    <row r="3687" spans="1:1">
      <c r="A3687" s="306"/>
    </row>
    <row r="3688" spans="1:1">
      <c r="A3688" s="306"/>
    </row>
    <row r="3689" spans="1:1">
      <c r="A3689" s="306"/>
    </row>
    <row r="3690" spans="1:1">
      <c r="A3690" s="306"/>
    </row>
    <row r="3691" spans="1:1">
      <c r="A3691" s="306"/>
    </row>
    <row r="3692" spans="1:1">
      <c r="A3692" s="306"/>
    </row>
    <row r="3693" spans="1:1">
      <c r="A3693" s="306"/>
    </row>
    <row r="3694" spans="1:1">
      <c r="A3694" s="306"/>
    </row>
    <row r="3695" spans="1:1">
      <c r="A3695" s="306"/>
    </row>
    <row r="3696" spans="1:1">
      <c r="A3696" s="306"/>
    </row>
    <row r="3697" spans="1:1">
      <c r="A3697" s="306"/>
    </row>
    <row r="3698" spans="1:1">
      <c r="A3698" s="306"/>
    </row>
    <row r="3699" spans="1:1">
      <c r="A3699" s="306"/>
    </row>
    <row r="3700" spans="1:1">
      <c r="A3700" s="306"/>
    </row>
    <row r="3701" spans="1:1">
      <c r="A3701" s="306"/>
    </row>
    <row r="3702" spans="1:1">
      <c r="A3702" s="306"/>
    </row>
    <row r="3703" spans="1:1">
      <c r="A3703" s="306"/>
    </row>
    <row r="3704" spans="1:1">
      <c r="A3704" s="306"/>
    </row>
    <row r="3705" spans="1:1">
      <c r="A3705" s="306"/>
    </row>
    <row r="3706" spans="1:1">
      <c r="A3706" s="306"/>
    </row>
    <row r="3707" spans="1:1">
      <c r="A3707" s="306"/>
    </row>
    <row r="3708" spans="1:1">
      <c r="A3708" s="306"/>
    </row>
    <row r="3709" spans="1:1">
      <c r="A3709" s="306"/>
    </row>
    <row r="3710" spans="1:1">
      <c r="A3710" s="306"/>
    </row>
    <row r="3711" spans="1:1">
      <c r="A3711" s="306"/>
    </row>
    <row r="3712" spans="1:1">
      <c r="A3712" s="306"/>
    </row>
    <row r="3713" spans="1:1">
      <c r="A3713" s="306"/>
    </row>
    <row r="3714" spans="1:1">
      <c r="A3714" s="306"/>
    </row>
    <row r="3715" spans="1:1">
      <c r="A3715" s="306"/>
    </row>
    <row r="3716" spans="1:1">
      <c r="A3716" s="306"/>
    </row>
    <row r="3717" spans="1:1">
      <c r="A3717" s="306"/>
    </row>
    <row r="3718" spans="1:1">
      <c r="A3718" s="306"/>
    </row>
    <row r="3719" spans="1:1">
      <c r="A3719" s="306"/>
    </row>
    <row r="3720" spans="1:1">
      <c r="A3720" s="306"/>
    </row>
    <row r="3721" spans="1:1">
      <c r="A3721" s="306"/>
    </row>
    <row r="3722" spans="1:1">
      <c r="A3722" s="306"/>
    </row>
    <row r="3723" spans="1:1">
      <c r="A3723" s="306"/>
    </row>
    <row r="3724" spans="1:1">
      <c r="A3724" s="306"/>
    </row>
    <row r="3725" spans="1:1">
      <c r="A3725" s="306"/>
    </row>
    <row r="3726" spans="1:1">
      <c r="A3726" s="306"/>
    </row>
    <row r="3727" spans="1:1">
      <c r="A3727" s="306"/>
    </row>
    <row r="3728" spans="1:1">
      <c r="A3728" s="306"/>
    </row>
    <row r="3729" spans="1:1">
      <c r="A3729" s="306"/>
    </row>
    <row r="3730" spans="1:1">
      <c r="A3730" s="306"/>
    </row>
    <row r="3731" spans="1:1">
      <c r="A3731" s="306"/>
    </row>
    <row r="3732" spans="1:1">
      <c r="A3732" s="306"/>
    </row>
    <row r="3733" spans="1:1">
      <c r="A3733" s="306"/>
    </row>
    <row r="3734" spans="1:1">
      <c r="A3734" s="306"/>
    </row>
    <row r="3735" spans="1:1">
      <c r="A3735" s="306"/>
    </row>
    <row r="3736" spans="1:1">
      <c r="A3736" s="306"/>
    </row>
    <row r="3737" spans="1:1">
      <c r="A3737" s="306"/>
    </row>
    <row r="3738" spans="1:1">
      <c r="A3738" s="306"/>
    </row>
    <row r="3739" spans="1:1">
      <c r="A3739" s="306"/>
    </row>
    <row r="3740" spans="1:1">
      <c r="A3740" s="306"/>
    </row>
    <row r="3741" spans="1:1">
      <c r="A3741" s="306"/>
    </row>
    <row r="3742" spans="1:1">
      <c r="A3742" s="306"/>
    </row>
    <row r="3743" spans="1:1">
      <c r="A3743" s="306"/>
    </row>
    <row r="3744" spans="1:1">
      <c r="A3744" s="306"/>
    </row>
    <row r="3745" spans="1:1">
      <c r="A3745" s="306"/>
    </row>
    <row r="3746" spans="1:1">
      <c r="A3746" s="306"/>
    </row>
    <row r="3747" spans="1:1">
      <c r="A3747" s="306"/>
    </row>
    <row r="3748" spans="1:1">
      <c r="A3748" s="306"/>
    </row>
    <row r="3749" spans="1:1">
      <c r="A3749" s="306"/>
    </row>
    <row r="3750" spans="1:1">
      <c r="A3750" s="306"/>
    </row>
    <row r="3751" spans="1:1">
      <c r="A3751" s="306"/>
    </row>
    <row r="3752" spans="1:1">
      <c r="A3752" s="306"/>
    </row>
    <row r="3753" spans="1:1">
      <c r="A3753" s="306"/>
    </row>
    <row r="3754" spans="1:1">
      <c r="A3754" s="306"/>
    </row>
    <row r="3755" spans="1:1">
      <c r="A3755" s="306"/>
    </row>
    <row r="3756" spans="1:1">
      <c r="A3756" s="306"/>
    </row>
    <row r="3757" spans="1:1">
      <c r="A3757" s="306"/>
    </row>
    <row r="3758" spans="1:1">
      <c r="A3758" s="306"/>
    </row>
    <row r="3759" spans="1:1">
      <c r="A3759" s="306"/>
    </row>
    <row r="3760" spans="1:1">
      <c r="A3760" s="306"/>
    </row>
    <row r="3761" spans="1:1">
      <c r="A3761" s="306"/>
    </row>
    <row r="3762" spans="1:1">
      <c r="A3762" s="306"/>
    </row>
    <row r="3763" spans="1:1">
      <c r="A3763" s="302"/>
    </row>
    <row r="3764" spans="1:1">
      <c r="A3764" s="303"/>
    </row>
    <row r="3765" spans="1:1">
      <c r="A3765" s="303"/>
    </row>
    <row r="3766" spans="1:1">
      <c r="A3766" s="303"/>
    </row>
    <row r="3767" spans="1:1">
      <c r="A3767" s="303"/>
    </row>
    <row r="3768" spans="1:1">
      <c r="A3768" s="303"/>
    </row>
    <row r="3769" spans="1:1">
      <c r="A3769" s="303"/>
    </row>
    <row r="3770" spans="1:1">
      <c r="A3770" s="303"/>
    </row>
    <row r="3771" spans="1:1">
      <c r="A3771" s="303"/>
    </row>
    <row r="3772" spans="1:1">
      <c r="A3772" s="303"/>
    </row>
    <row r="3773" spans="1:1">
      <c r="A3773" s="303"/>
    </row>
    <row r="3774" spans="1:1">
      <c r="A3774" s="303"/>
    </row>
    <row r="3775" spans="1:1">
      <c r="A3775" s="303"/>
    </row>
    <row r="3776" spans="1:1">
      <c r="A3776" s="303"/>
    </row>
    <row r="3777" spans="1:1">
      <c r="A3777" s="303"/>
    </row>
    <row r="3778" spans="1:1">
      <c r="A3778" s="303"/>
    </row>
    <row r="3779" spans="1:1">
      <c r="A3779" s="303"/>
    </row>
    <row r="3780" spans="1:1">
      <c r="A3780" s="303"/>
    </row>
    <row r="3781" spans="1:1">
      <c r="A3781" s="303"/>
    </row>
    <row r="3782" spans="1:1">
      <c r="A3782" s="303"/>
    </row>
    <row r="3783" spans="1:1">
      <c r="A3783" s="303"/>
    </row>
    <row r="3784" spans="1:1">
      <c r="A3784" s="303"/>
    </row>
    <row r="3785" spans="1:1">
      <c r="A3785" s="303"/>
    </row>
    <row r="3786" spans="1:1">
      <c r="A3786" s="303"/>
    </row>
    <row r="3787" spans="1:1">
      <c r="A3787" s="303"/>
    </row>
    <row r="3788" spans="1:1">
      <c r="A3788" s="303"/>
    </row>
    <row r="3789" spans="1:1">
      <c r="A3789" s="303"/>
    </row>
    <row r="3790" spans="1:1">
      <c r="A3790" s="303"/>
    </row>
    <row r="3791" spans="1:1">
      <c r="A3791" s="303"/>
    </row>
    <row r="3792" spans="1:1">
      <c r="A3792" s="303"/>
    </row>
    <row r="3793" spans="1:1">
      <c r="A3793" s="303"/>
    </row>
    <row r="3794" spans="1:1">
      <c r="A3794" s="303"/>
    </row>
    <row r="3795" spans="1:1">
      <c r="A3795" s="303"/>
    </row>
    <row r="3796" spans="1:1">
      <c r="A3796" s="303"/>
    </row>
    <row r="3797" spans="1:1">
      <c r="A3797" s="303"/>
    </row>
    <row r="3798" spans="1:1">
      <c r="A3798" s="303"/>
    </row>
    <row r="3799" spans="1:1">
      <c r="A3799" s="303"/>
    </row>
    <row r="3800" spans="1:1">
      <c r="A3800" s="303"/>
    </row>
    <row r="3801" spans="1:1">
      <c r="A3801" s="303"/>
    </row>
    <row r="3802" spans="1:1">
      <c r="A3802" s="303"/>
    </row>
    <row r="3803" spans="1:1">
      <c r="A3803" s="303"/>
    </row>
    <row r="3804" spans="1:1">
      <c r="A3804" s="303"/>
    </row>
    <row r="3805" spans="1:1">
      <c r="A3805" s="303"/>
    </row>
    <row r="3806" spans="1:1">
      <c r="A3806" s="289"/>
    </row>
    <row r="3807" spans="1:1">
      <c r="A3807" s="289"/>
    </row>
    <row r="3808" spans="1:1">
      <c r="A3808" s="289"/>
    </row>
    <row r="3809" spans="1:1">
      <c r="A3809" s="289"/>
    </row>
    <row r="3810" spans="1:1">
      <c r="A3810" s="289"/>
    </row>
    <row r="3811" spans="1:1">
      <c r="A3811" s="289"/>
    </row>
    <row r="3812" spans="1:1">
      <c r="A3812" s="289"/>
    </row>
    <row r="3813" spans="1:1">
      <c r="A3813" s="289"/>
    </row>
    <row r="3814" spans="1:1">
      <c r="A3814" s="289"/>
    </row>
    <row r="3815" spans="1:1">
      <c r="A3815" s="289"/>
    </row>
    <row r="3816" spans="1:1">
      <c r="A3816" s="289"/>
    </row>
    <row r="3817" spans="1:1">
      <c r="A3817" s="289"/>
    </row>
    <row r="3818" spans="1:1">
      <c r="A3818" s="289"/>
    </row>
    <row r="3819" spans="1:1">
      <c r="A3819" s="289"/>
    </row>
    <row r="3820" spans="1:1">
      <c r="A3820" s="289"/>
    </row>
    <row r="3821" spans="1:1">
      <c r="A3821" s="289"/>
    </row>
    <row r="3822" spans="1:1">
      <c r="A3822" s="289"/>
    </row>
    <row r="3823" spans="1:1">
      <c r="A3823" s="289"/>
    </row>
    <row r="3824" spans="1:1">
      <c r="A3824" s="289"/>
    </row>
    <row r="3825" spans="1:1">
      <c r="A3825" s="289"/>
    </row>
    <row r="3826" spans="1:1">
      <c r="A3826" s="289"/>
    </row>
    <row r="3827" spans="1:1">
      <c r="A3827" s="289"/>
    </row>
    <row r="3828" spans="1:1">
      <c r="A3828" s="289"/>
    </row>
    <row r="3829" spans="1:1">
      <c r="A3829" s="289"/>
    </row>
    <row r="3830" spans="1:1">
      <c r="A3830" s="289"/>
    </row>
    <row r="3831" spans="1:1">
      <c r="A3831" s="289"/>
    </row>
    <row r="3832" spans="1:1">
      <c r="A3832" s="289"/>
    </row>
    <row r="3833" spans="1:1">
      <c r="A3833" s="289"/>
    </row>
    <row r="3834" spans="1:1">
      <c r="A3834" s="289"/>
    </row>
    <row r="3835" spans="1:1">
      <c r="A3835" s="289"/>
    </row>
    <row r="3836" spans="1:1">
      <c r="A3836" s="289"/>
    </row>
    <row r="3837" spans="1:1">
      <c r="A3837" s="289"/>
    </row>
    <row r="3838" spans="1:1">
      <c r="A3838" s="289"/>
    </row>
    <row r="3839" spans="1:1">
      <c r="A3839" s="289"/>
    </row>
    <row r="3840" spans="1:1">
      <c r="A3840" s="289"/>
    </row>
    <row r="3841" spans="1:1">
      <c r="A3841" s="289"/>
    </row>
    <row r="3842" spans="1:1">
      <c r="A3842" s="289"/>
    </row>
    <row r="3843" spans="1:1">
      <c r="A3843" s="289"/>
    </row>
    <row r="3844" spans="1:1">
      <c r="A3844" s="289"/>
    </row>
    <row r="3845" spans="1:1">
      <c r="A3845" s="289"/>
    </row>
    <row r="3846" spans="1:1">
      <c r="A3846" s="289"/>
    </row>
    <row r="3847" spans="1:1">
      <c r="A3847" s="289"/>
    </row>
    <row r="3848" spans="1:1">
      <c r="A3848" s="289"/>
    </row>
    <row r="3849" spans="1:1">
      <c r="A3849" s="289"/>
    </row>
    <row r="3850" spans="1:1">
      <c r="A3850" s="289"/>
    </row>
    <row r="3851" spans="1:1">
      <c r="A3851" s="289"/>
    </row>
    <row r="3852" spans="1:1">
      <c r="A3852" s="289"/>
    </row>
    <row r="3853" spans="1:1">
      <c r="A3853" s="289"/>
    </row>
    <row r="3854" spans="1:1">
      <c r="A3854" s="289"/>
    </row>
    <row r="3855" spans="1:1">
      <c r="A3855" s="289"/>
    </row>
    <row r="3856" spans="1:1">
      <c r="A3856" s="289"/>
    </row>
    <row r="3857" spans="1:1">
      <c r="A3857" s="289"/>
    </row>
    <row r="3858" spans="1:1">
      <c r="A3858" s="289"/>
    </row>
    <row r="3859" spans="1:1">
      <c r="A3859" s="289"/>
    </row>
    <row r="3860" spans="1:1">
      <c r="A3860" s="289"/>
    </row>
    <row r="3861" spans="1:1">
      <c r="A3861" s="289"/>
    </row>
    <row r="3862" spans="1:1">
      <c r="A3862" s="289"/>
    </row>
    <row r="3863" spans="1:1">
      <c r="A3863" s="289"/>
    </row>
    <row r="3864" spans="1:1">
      <c r="A3864" s="289"/>
    </row>
    <row r="3865" spans="1:1">
      <c r="A3865" s="289"/>
    </row>
    <row r="3866" spans="1:1">
      <c r="A3866" s="289"/>
    </row>
    <row r="3867" spans="1:1">
      <c r="A3867" s="289"/>
    </row>
    <row r="3868" spans="1:1">
      <c r="A3868" s="289"/>
    </row>
    <row r="3869" spans="1:1">
      <c r="A3869" s="289"/>
    </row>
    <row r="3870" spans="1:1">
      <c r="A3870" s="289"/>
    </row>
    <row r="3871" spans="1:1">
      <c r="A3871" s="289"/>
    </row>
    <row r="3872" spans="1:1">
      <c r="A3872" s="289"/>
    </row>
    <row r="3873" spans="1:1">
      <c r="A3873" s="289"/>
    </row>
    <row r="3874" spans="1:1">
      <c r="A3874" s="289"/>
    </row>
    <row r="3875" spans="1:1">
      <c r="A3875" s="289"/>
    </row>
    <row r="3876" spans="1:1">
      <c r="A3876" s="289"/>
    </row>
    <row r="3877" spans="1:1">
      <c r="A3877" s="289"/>
    </row>
    <row r="3878" spans="1:1">
      <c r="A3878" s="289"/>
    </row>
    <row r="3879" spans="1:1">
      <c r="A3879" s="289"/>
    </row>
    <row r="3880" spans="1:1">
      <c r="A3880" s="289"/>
    </row>
    <row r="3881" spans="1:1">
      <c r="A3881" s="289"/>
    </row>
    <row r="3882" spans="1:1">
      <c r="A3882" s="289"/>
    </row>
    <row r="3883" spans="1:1">
      <c r="A3883" s="289"/>
    </row>
    <row r="3884" spans="1:1">
      <c r="A3884" s="289"/>
    </row>
    <row r="3885" spans="1:1">
      <c r="A3885" s="289"/>
    </row>
    <row r="3886" spans="1:1">
      <c r="A3886" s="289"/>
    </row>
    <row r="3887" spans="1:1">
      <c r="A3887" s="289"/>
    </row>
    <row r="3888" spans="1:1">
      <c r="A3888" s="289"/>
    </row>
    <row r="3889" spans="1:1">
      <c r="A3889" s="289"/>
    </row>
    <row r="3890" spans="1:1">
      <c r="A3890" s="289"/>
    </row>
    <row r="3891" spans="1:1">
      <c r="A3891" s="289"/>
    </row>
    <row r="3892" spans="1:1">
      <c r="A3892" s="289"/>
    </row>
    <row r="3893" spans="1:1">
      <c r="A3893" s="289"/>
    </row>
    <row r="3894" spans="1:1">
      <c r="A3894" s="289"/>
    </row>
    <row r="3895" spans="1:1">
      <c r="A3895" s="289"/>
    </row>
    <row r="3896" spans="1:1">
      <c r="A3896" s="289"/>
    </row>
    <row r="3897" spans="1:1">
      <c r="A3897" s="289"/>
    </row>
    <row r="3898" spans="1:1">
      <c r="A3898" s="289"/>
    </row>
    <row r="3899" spans="1:1">
      <c r="A3899" s="289"/>
    </row>
    <row r="3900" spans="1:1">
      <c r="A3900" s="289"/>
    </row>
    <row r="3901" spans="1:1">
      <c r="A3901" s="289"/>
    </row>
    <row r="3902" spans="1:1">
      <c r="A3902" s="289"/>
    </row>
    <row r="3903" spans="1:1">
      <c r="A3903" s="289"/>
    </row>
    <row r="3904" spans="1:1">
      <c r="A3904" s="289"/>
    </row>
    <row r="3905" spans="1:1">
      <c r="A3905" s="289"/>
    </row>
    <row r="3906" spans="1:1">
      <c r="A3906" s="289"/>
    </row>
    <row r="3907" spans="1:1">
      <c r="A3907" s="289"/>
    </row>
    <row r="3908" spans="1:1">
      <c r="A3908" s="289"/>
    </row>
    <row r="3909" spans="1:1">
      <c r="A3909" s="289"/>
    </row>
    <row r="3910" spans="1:1">
      <c r="A3910" s="289"/>
    </row>
    <row r="3911" spans="1:1">
      <c r="A3911" s="289"/>
    </row>
    <row r="3912" spans="1:1">
      <c r="A3912" s="289"/>
    </row>
    <row r="3913" spans="1:1">
      <c r="A3913" s="289"/>
    </row>
    <row r="3914" spans="1:1">
      <c r="A3914" s="289"/>
    </row>
    <row r="3915" spans="1:1">
      <c r="A3915" s="289"/>
    </row>
    <row r="3916" spans="1:1">
      <c r="A3916" s="289"/>
    </row>
    <row r="3917" spans="1:1">
      <c r="A3917" s="289"/>
    </row>
    <row r="3918" spans="1:1">
      <c r="A3918" s="289"/>
    </row>
    <row r="3919" spans="1:1">
      <c r="A3919" s="289"/>
    </row>
    <row r="3920" spans="1:1">
      <c r="A3920" s="289"/>
    </row>
    <row r="3921" spans="1:1">
      <c r="A3921" s="289"/>
    </row>
    <row r="3922" spans="1:1">
      <c r="A3922" s="289"/>
    </row>
    <row r="3923" spans="1:1">
      <c r="A3923" s="289"/>
    </row>
    <row r="3924" spans="1:1">
      <c r="A3924" s="289"/>
    </row>
    <row r="3925" spans="1:1">
      <c r="A3925" s="289"/>
    </row>
    <row r="3926" spans="1:1">
      <c r="A3926" s="289"/>
    </row>
    <row r="3927" spans="1:1">
      <c r="A3927" s="289"/>
    </row>
    <row r="3928" spans="1:1">
      <c r="A3928" s="289"/>
    </row>
    <row r="3929" spans="1:1">
      <c r="A3929" s="289"/>
    </row>
    <row r="3930" spans="1:1">
      <c r="A3930" s="289"/>
    </row>
    <row r="3931" spans="1:1">
      <c r="A3931" s="289"/>
    </row>
    <row r="3932" spans="1:1">
      <c r="A3932" s="289"/>
    </row>
    <row r="3933" spans="1:1">
      <c r="A3933" s="289"/>
    </row>
    <row r="3934" spans="1:1">
      <c r="A3934" s="289"/>
    </row>
    <row r="3935" spans="1:1">
      <c r="A3935" s="289"/>
    </row>
    <row r="3936" spans="1:1">
      <c r="A3936" s="289"/>
    </row>
    <row r="3937" spans="1:1">
      <c r="A3937" s="289"/>
    </row>
    <row r="3938" spans="1:1">
      <c r="A3938" s="289"/>
    </row>
    <row r="3939" spans="1:1">
      <c r="A3939" s="289"/>
    </row>
    <row r="3940" spans="1:1">
      <c r="A3940" s="289"/>
    </row>
    <row r="3941" spans="1:1">
      <c r="A3941" s="289"/>
    </row>
    <row r="3942" spans="1:1">
      <c r="A3942" s="289"/>
    </row>
    <row r="3943" spans="1:1">
      <c r="A3943" s="289"/>
    </row>
    <row r="3944" spans="1:1">
      <c r="A3944" s="289"/>
    </row>
    <row r="3945" spans="1:1">
      <c r="A3945" s="289"/>
    </row>
    <row r="3946" spans="1:1">
      <c r="A3946" s="289"/>
    </row>
    <row r="3947" spans="1:1">
      <c r="A3947" s="289"/>
    </row>
    <row r="3948" spans="1:1">
      <c r="A3948" s="289"/>
    </row>
    <row r="3949" spans="1:1">
      <c r="A3949" s="289"/>
    </row>
    <row r="3950" spans="1:1">
      <c r="A3950" s="289"/>
    </row>
    <row r="3951" spans="1:1">
      <c r="A3951" s="289"/>
    </row>
    <row r="3952" spans="1:1">
      <c r="A3952" s="289"/>
    </row>
    <row r="3953" spans="1:1">
      <c r="A3953" s="289"/>
    </row>
    <row r="3954" spans="1:1">
      <c r="A3954" s="289"/>
    </row>
    <row r="3955" spans="1:1">
      <c r="A3955" s="289"/>
    </row>
    <row r="3956" spans="1:1">
      <c r="A3956" s="289"/>
    </row>
    <row r="3957" spans="1:1">
      <c r="A3957" s="289"/>
    </row>
    <row r="3958" spans="1:1">
      <c r="A3958" s="289"/>
    </row>
    <row r="3959" spans="1:1">
      <c r="A3959" s="289"/>
    </row>
    <row r="3960" spans="1:1">
      <c r="A3960" s="289"/>
    </row>
    <row r="3961" spans="1:1">
      <c r="A3961" s="289"/>
    </row>
    <row r="3962" spans="1:1">
      <c r="A3962" s="289"/>
    </row>
    <row r="3963" spans="1:1">
      <c r="A3963" s="289"/>
    </row>
    <row r="3964" spans="1:1">
      <c r="A3964" s="289"/>
    </row>
    <row r="3965" spans="1:1">
      <c r="A3965" s="289"/>
    </row>
    <row r="3966" spans="1:1">
      <c r="A3966" s="289"/>
    </row>
    <row r="3967" spans="1:1">
      <c r="A3967" s="289"/>
    </row>
    <row r="3968" spans="1:1">
      <c r="A3968" s="289"/>
    </row>
    <row r="3969" spans="1:1">
      <c r="A3969" s="289"/>
    </row>
    <row r="3970" spans="1:1">
      <c r="A3970" s="289"/>
    </row>
    <row r="3971" spans="1:1">
      <c r="A3971" s="289"/>
    </row>
    <row r="3972" spans="1:1">
      <c r="A3972" s="289"/>
    </row>
    <row r="3973" spans="1:1">
      <c r="A3973" s="289"/>
    </row>
    <row r="3974" spans="1:1">
      <c r="A3974" s="289"/>
    </row>
    <row r="3975" spans="1:1">
      <c r="A3975" s="289"/>
    </row>
    <row r="3976" spans="1:1">
      <c r="A3976" s="289"/>
    </row>
    <row r="3977" spans="1:1">
      <c r="A3977" s="289"/>
    </row>
    <row r="3978" spans="1:1">
      <c r="A3978" s="289"/>
    </row>
    <row r="3979" spans="1:1">
      <c r="A3979" s="289"/>
    </row>
    <row r="3980" spans="1:1">
      <c r="A3980" s="289"/>
    </row>
    <row r="3981" spans="1:1">
      <c r="A3981" s="289"/>
    </row>
    <row r="3982" spans="1:1">
      <c r="A3982" s="289"/>
    </row>
    <row r="3983" spans="1:1">
      <c r="A3983" s="289"/>
    </row>
    <row r="3984" spans="1:1">
      <c r="A3984" s="289"/>
    </row>
    <row r="3985" spans="1:1">
      <c r="A3985" s="289"/>
    </row>
    <row r="3986" spans="1:1">
      <c r="A3986" s="289"/>
    </row>
    <row r="3987" spans="1:1">
      <c r="A3987" s="289"/>
    </row>
    <row r="3988" spans="1:1">
      <c r="A3988" s="289"/>
    </row>
    <row r="3989" spans="1:1">
      <c r="A3989" s="289"/>
    </row>
    <row r="3990" spans="1:1">
      <c r="A3990" s="289"/>
    </row>
    <row r="3991" spans="1:1">
      <c r="A3991" s="289"/>
    </row>
    <row r="3992" spans="1:1">
      <c r="A3992" s="289"/>
    </row>
    <row r="3993" spans="1:1">
      <c r="A3993" s="289"/>
    </row>
    <row r="3994" spans="1:1">
      <c r="A3994" s="289"/>
    </row>
    <row r="3995" spans="1:1">
      <c r="A3995" s="289"/>
    </row>
    <row r="3996" spans="1:1">
      <c r="A3996" s="289"/>
    </row>
    <row r="3997" spans="1:1">
      <c r="A3997" s="289"/>
    </row>
    <row r="3998" spans="1:1">
      <c r="A3998" s="289"/>
    </row>
    <row r="3999" spans="1:1">
      <c r="A3999" s="289"/>
    </row>
    <row r="4000" spans="1:1">
      <c r="A4000" s="289"/>
    </row>
    <row r="4001" spans="1:1">
      <c r="A4001" s="289"/>
    </row>
    <row r="4002" spans="1:1">
      <c r="A4002" s="289"/>
    </row>
    <row r="4003" spans="1:1">
      <c r="A4003" s="289"/>
    </row>
    <row r="4004" spans="1:1">
      <c r="A4004" s="289"/>
    </row>
    <row r="4005" spans="1:1">
      <c r="A4005" s="289"/>
    </row>
    <row r="4006" spans="1:1">
      <c r="A4006" s="289"/>
    </row>
    <row r="4007" spans="1:1">
      <c r="A4007" s="289"/>
    </row>
    <row r="4008" spans="1:1">
      <c r="A4008" s="289"/>
    </row>
    <row r="4009" spans="1:1">
      <c r="A4009" s="289"/>
    </row>
    <row r="4010" spans="1:1">
      <c r="A4010" s="289"/>
    </row>
    <row r="4011" spans="1:1">
      <c r="A4011" s="289"/>
    </row>
    <row r="4012" spans="1:1">
      <c r="A4012" s="289"/>
    </row>
    <row r="4013" spans="1:1">
      <c r="A4013" s="289"/>
    </row>
    <row r="4014" spans="1:1">
      <c r="A4014" s="289"/>
    </row>
    <row r="4015" spans="1:1">
      <c r="A4015" s="289"/>
    </row>
    <row r="4016" spans="1:1">
      <c r="A4016" s="289"/>
    </row>
    <row r="4017" spans="1:1">
      <c r="A4017" s="289"/>
    </row>
    <row r="4018" spans="1:1">
      <c r="A4018" s="289"/>
    </row>
    <row r="4019" spans="1:1">
      <c r="A4019" s="289"/>
    </row>
    <row r="4020" spans="1:1">
      <c r="A4020" s="289"/>
    </row>
    <row r="4021" spans="1:1">
      <c r="A4021" s="289"/>
    </row>
    <row r="4022" spans="1:1">
      <c r="A4022" s="289"/>
    </row>
    <row r="4023" spans="1:1">
      <c r="A4023" s="289"/>
    </row>
    <row r="4024" spans="1:1">
      <c r="A4024" s="289"/>
    </row>
    <row r="4025" spans="1:1">
      <c r="A4025" s="289"/>
    </row>
    <row r="4026" spans="1:1">
      <c r="A4026" s="289"/>
    </row>
    <row r="4027" spans="1:1">
      <c r="A4027" s="289"/>
    </row>
    <row r="4028" spans="1:1">
      <c r="A4028" s="289"/>
    </row>
    <row r="4029" spans="1:1">
      <c r="A4029" s="289"/>
    </row>
    <row r="4030" spans="1:1">
      <c r="A4030" s="289"/>
    </row>
    <row r="4031" spans="1:1">
      <c r="A4031" s="289"/>
    </row>
    <row r="4032" spans="1:1">
      <c r="A4032" s="289"/>
    </row>
    <row r="4033" spans="1:1">
      <c r="A4033" s="289"/>
    </row>
    <row r="4034" spans="1:1">
      <c r="A4034" s="289"/>
    </row>
    <row r="4035" spans="1:1">
      <c r="A4035" s="289"/>
    </row>
    <row r="4036" spans="1:1">
      <c r="A4036" s="289"/>
    </row>
    <row r="4037" spans="1:1">
      <c r="A4037" s="289"/>
    </row>
    <row r="4038" spans="1:1">
      <c r="A4038" s="289"/>
    </row>
    <row r="4039" spans="1:1">
      <c r="A4039" s="289"/>
    </row>
    <row r="4040" spans="1:1">
      <c r="A4040" s="289"/>
    </row>
    <row r="4041" spans="1:1">
      <c r="A4041" s="289"/>
    </row>
    <row r="4042" spans="1:1">
      <c r="A4042" s="289"/>
    </row>
    <row r="4043" spans="1:1">
      <c r="A4043" s="289"/>
    </row>
    <row r="4044" spans="1:1">
      <c r="A4044" s="289"/>
    </row>
    <row r="4045" spans="1:1">
      <c r="A4045" s="289"/>
    </row>
    <row r="4046" spans="1:1">
      <c r="A4046" s="289"/>
    </row>
    <row r="4047" spans="1:1">
      <c r="A4047" s="289"/>
    </row>
    <row r="4048" spans="1:1">
      <c r="A4048" s="289"/>
    </row>
    <row r="4049" spans="1:1">
      <c r="A4049" s="289"/>
    </row>
    <row r="4050" spans="1:1">
      <c r="A4050" s="289"/>
    </row>
    <row r="4051" spans="1:1">
      <c r="A4051" s="289"/>
    </row>
    <row r="4052" spans="1:1">
      <c r="A4052" s="289"/>
    </row>
    <row r="4053" spans="1:1">
      <c r="A4053" s="289"/>
    </row>
    <row r="4054" spans="1:1">
      <c r="A4054" s="289"/>
    </row>
    <row r="4055" spans="1:1">
      <c r="A4055" s="289"/>
    </row>
    <row r="4056" spans="1:1">
      <c r="A4056" s="289"/>
    </row>
    <row r="4057" spans="1:1">
      <c r="A4057" s="289"/>
    </row>
    <row r="4058" spans="1:1">
      <c r="A4058" s="289"/>
    </row>
    <row r="4059" spans="1:1">
      <c r="A4059" s="289"/>
    </row>
    <row r="4060" spans="1:1">
      <c r="A4060" s="289"/>
    </row>
    <row r="4061" spans="1:1">
      <c r="A4061" s="289"/>
    </row>
    <row r="4062" spans="1:1">
      <c r="A4062" s="289"/>
    </row>
    <row r="4063" spans="1:1">
      <c r="A4063" s="289"/>
    </row>
    <row r="4064" spans="1:1">
      <c r="A4064" s="289"/>
    </row>
    <row r="4065" spans="1:1">
      <c r="A4065" s="289"/>
    </row>
    <row r="4066" spans="1:1">
      <c r="A4066" s="289"/>
    </row>
    <row r="4067" spans="1:1">
      <c r="A4067" s="289"/>
    </row>
    <row r="4068" spans="1:1">
      <c r="A4068" s="289"/>
    </row>
    <row r="4069" spans="1:1">
      <c r="A4069" s="289"/>
    </row>
    <row r="4070" spans="1:1">
      <c r="A4070" s="289"/>
    </row>
    <row r="4071" spans="1:1">
      <c r="A4071" s="289"/>
    </row>
    <row r="4072" spans="1:1">
      <c r="A4072" s="289"/>
    </row>
    <row r="4073" spans="1:1">
      <c r="A4073" s="289"/>
    </row>
    <row r="4074" spans="1:1">
      <c r="A4074" s="289"/>
    </row>
    <row r="4075" spans="1:1">
      <c r="A4075" s="289"/>
    </row>
    <row r="4076" spans="1:1">
      <c r="A4076" s="289"/>
    </row>
    <row r="4077" spans="1:1">
      <c r="A4077" s="289"/>
    </row>
    <row r="4078" spans="1:1">
      <c r="A4078" s="289"/>
    </row>
    <row r="4079" spans="1:1">
      <c r="A4079" s="289"/>
    </row>
    <row r="4080" spans="1:1">
      <c r="A4080" s="289"/>
    </row>
    <row r="4081" spans="1:1">
      <c r="A4081" s="289"/>
    </row>
    <row r="4082" spans="1:1">
      <c r="A4082" s="289"/>
    </row>
    <row r="4083" spans="1:1">
      <c r="A4083" s="289"/>
    </row>
    <row r="4084" spans="1:1">
      <c r="A4084" s="289"/>
    </row>
    <row r="4085" spans="1:1">
      <c r="A4085" s="289"/>
    </row>
    <row r="4086" spans="1:1">
      <c r="A4086" s="289"/>
    </row>
    <row r="4087" spans="1:1">
      <c r="A4087" s="289"/>
    </row>
    <row r="4088" spans="1:1">
      <c r="A4088" s="289"/>
    </row>
    <row r="4089" spans="1:1">
      <c r="A4089" s="289"/>
    </row>
    <row r="4090" spans="1:1">
      <c r="A4090" s="289"/>
    </row>
    <row r="4091" spans="1:1">
      <c r="A4091" s="289"/>
    </row>
    <row r="4092" spans="1:1">
      <c r="A4092" s="289"/>
    </row>
    <row r="4093" spans="1:1">
      <c r="A4093" s="289"/>
    </row>
    <row r="4094" spans="1:1">
      <c r="A4094" s="289"/>
    </row>
    <row r="4095" spans="1:1">
      <c r="A4095" s="289"/>
    </row>
    <row r="4096" spans="1:1">
      <c r="A4096" s="289"/>
    </row>
    <row r="4097" spans="1:1">
      <c r="A4097" s="289"/>
    </row>
    <row r="4098" spans="1:1">
      <c r="A4098" s="289"/>
    </row>
    <row r="4099" spans="1:1">
      <c r="A4099" s="289"/>
    </row>
    <row r="4100" spans="1:1">
      <c r="A4100" s="289"/>
    </row>
    <row r="4101" spans="1:1">
      <c r="A4101" s="289"/>
    </row>
    <row r="4102" spans="1:1">
      <c r="A4102" s="289"/>
    </row>
    <row r="4103" spans="1:1">
      <c r="A4103" s="289"/>
    </row>
    <row r="4104" spans="1:1">
      <c r="A4104" s="289"/>
    </row>
    <row r="4105" spans="1:1">
      <c r="A4105" s="289"/>
    </row>
    <row r="4106" spans="1:1">
      <c r="A4106" s="289"/>
    </row>
    <row r="4107" spans="1:1">
      <c r="A4107" s="289"/>
    </row>
    <row r="4108" spans="1:1">
      <c r="A4108" s="289"/>
    </row>
    <row r="4109" spans="1:1">
      <c r="A4109" s="289"/>
    </row>
    <row r="4110" spans="1:1">
      <c r="A4110" s="289"/>
    </row>
    <row r="4111" spans="1:1">
      <c r="A4111" s="289"/>
    </row>
    <row r="4112" spans="1:1">
      <c r="A4112" s="289"/>
    </row>
    <row r="4113" spans="1:1">
      <c r="A4113" s="289"/>
    </row>
    <row r="4114" spans="1:1">
      <c r="A4114" s="289"/>
    </row>
    <row r="4115" spans="1:1">
      <c r="A4115" s="289"/>
    </row>
    <row r="4116" spans="1:1">
      <c r="A4116" s="289"/>
    </row>
    <row r="4117" spans="1:1">
      <c r="A4117" s="289"/>
    </row>
    <row r="4118" spans="1:1">
      <c r="A4118" s="289"/>
    </row>
    <row r="4119" spans="1:1">
      <c r="A4119" s="289"/>
    </row>
    <row r="4120" spans="1:1">
      <c r="A4120" s="289"/>
    </row>
    <row r="4121" spans="1:1">
      <c r="A4121" s="289"/>
    </row>
    <row r="4122" spans="1:1">
      <c r="A4122" s="289"/>
    </row>
    <row r="4123" spans="1:1">
      <c r="A4123" s="289"/>
    </row>
    <row r="4124" spans="1:1">
      <c r="A4124" s="289"/>
    </row>
    <row r="4125" spans="1:1">
      <c r="A4125" s="289"/>
    </row>
    <row r="4126" spans="1:1">
      <c r="A4126" s="289"/>
    </row>
    <row r="4127" spans="1:1">
      <c r="A4127" s="289"/>
    </row>
    <row r="4128" spans="1:1">
      <c r="A4128" s="289"/>
    </row>
    <row r="4129" spans="1:1">
      <c r="A4129" s="289"/>
    </row>
    <row r="4130" spans="1:1">
      <c r="A4130" s="289"/>
    </row>
    <row r="4131" spans="1:1">
      <c r="A4131" s="289"/>
    </row>
    <row r="4132" spans="1:1">
      <c r="A4132" s="289"/>
    </row>
    <row r="4133" spans="1:1">
      <c r="A4133" s="289"/>
    </row>
    <row r="4134" spans="1:1">
      <c r="A4134" s="289"/>
    </row>
    <row r="4135" spans="1:1">
      <c r="A4135" s="289"/>
    </row>
    <row r="4136" spans="1:1">
      <c r="A4136" s="289"/>
    </row>
    <row r="4137" spans="1:1">
      <c r="A4137" s="289"/>
    </row>
    <row r="4138" spans="1:1">
      <c r="A4138" s="289"/>
    </row>
    <row r="4139" spans="1:1">
      <c r="A4139" s="289"/>
    </row>
    <row r="4140" spans="1:1">
      <c r="A4140" s="289"/>
    </row>
    <row r="4141" spans="1:1">
      <c r="A4141" s="289"/>
    </row>
    <row r="4142" spans="1:1">
      <c r="A4142" s="289"/>
    </row>
    <row r="4143" spans="1:1">
      <c r="A4143" s="289"/>
    </row>
    <row r="4144" spans="1:1">
      <c r="A4144" s="289"/>
    </row>
    <row r="4145" spans="1:1">
      <c r="A4145" s="289"/>
    </row>
    <row r="4146" spans="1:1">
      <c r="A4146" s="289"/>
    </row>
    <row r="4147" spans="1:1">
      <c r="A4147" s="289"/>
    </row>
    <row r="4148" spans="1:1">
      <c r="A4148" s="289"/>
    </row>
    <row r="4149" spans="1:1">
      <c r="A4149" s="289"/>
    </row>
    <row r="4150" spans="1:1">
      <c r="A4150" s="289"/>
    </row>
    <row r="4151" spans="1:1">
      <c r="A4151" s="289"/>
    </row>
    <row r="4152" spans="1:1">
      <c r="A4152" s="289"/>
    </row>
    <row r="4153" spans="1:1">
      <c r="A4153" s="289"/>
    </row>
    <row r="4154" spans="1:1">
      <c r="A4154" s="289"/>
    </row>
    <row r="4155" spans="1:1">
      <c r="A4155" s="289"/>
    </row>
    <row r="4156" spans="1:1">
      <c r="A4156" s="289"/>
    </row>
    <row r="4157" spans="1:1">
      <c r="A4157" s="289"/>
    </row>
    <row r="4158" spans="1:1">
      <c r="A4158" s="289"/>
    </row>
    <row r="4159" spans="1:1">
      <c r="A4159" s="289"/>
    </row>
    <row r="4160" spans="1:1">
      <c r="A4160" s="289"/>
    </row>
    <row r="4161" spans="1:1">
      <c r="A4161" s="289"/>
    </row>
    <row r="4162" spans="1:1">
      <c r="A4162" s="289"/>
    </row>
    <row r="4163" spans="1:1">
      <c r="A4163" s="289"/>
    </row>
    <row r="4164" spans="1:1">
      <c r="A4164" s="289"/>
    </row>
    <row r="4165" spans="1:1">
      <c r="A4165" s="289"/>
    </row>
    <row r="4166" spans="1:1">
      <c r="A4166" s="289"/>
    </row>
    <row r="4167" spans="1:1">
      <c r="A4167" s="289"/>
    </row>
    <row r="4168" spans="1:1">
      <c r="A4168" s="289"/>
    </row>
    <row r="4169" spans="1:1">
      <c r="A4169" s="289"/>
    </row>
    <row r="4170" spans="1:1">
      <c r="A4170" s="289"/>
    </row>
    <row r="4171" spans="1:1">
      <c r="A4171" s="289"/>
    </row>
    <row r="4172" spans="1:1">
      <c r="A4172" s="289"/>
    </row>
    <row r="4173" spans="1:1">
      <c r="A4173" s="289"/>
    </row>
    <row r="4174" spans="1:1">
      <c r="A4174" s="289"/>
    </row>
    <row r="4175" spans="1:1">
      <c r="A4175" s="289"/>
    </row>
    <row r="4176" spans="1:1">
      <c r="A4176" s="289"/>
    </row>
    <row r="4177" spans="1:1">
      <c r="A4177" s="289"/>
    </row>
    <row r="4178" spans="1:1">
      <c r="A4178" s="289"/>
    </row>
    <row r="4179" spans="1:1">
      <c r="A4179" s="289"/>
    </row>
    <row r="4180" spans="1:1">
      <c r="A4180" s="289"/>
    </row>
    <row r="4181" spans="1:1">
      <c r="A4181" s="289"/>
    </row>
    <row r="4182" spans="1:1">
      <c r="A4182" s="289"/>
    </row>
    <row r="4183" spans="1:1">
      <c r="A4183" s="289"/>
    </row>
    <row r="4184" spans="1:1">
      <c r="A4184" s="289"/>
    </row>
    <row r="4185" spans="1:1">
      <c r="A4185" s="289"/>
    </row>
    <row r="4186" spans="1:1">
      <c r="A4186" s="289"/>
    </row>
    <row r="4187" spans="1:1">
      <c r="A4187" s="289"/>
    </row>
    <row r="4188" spans="1:1">
      <c r="A4188" s="289"/>
    </row>
    <row r="4189" spans="1:1">
      <c r="A4189" s="289"/>
    </row>
    <row r="4190" spans="1:1">
      <c r="A4190" s="289"/>
    </row>
    <row r="4191" spans="1:1">
      <c r="A4191" s="289"/>
    </row>
    <row r="4192" spans="1:1">
      <c r="A4192" s="289"/>
    </row>
    <row r="4193" spans="1:1">
      <c r="A4193" s="289"/>
    </row>
    <row r="4194" spans="1:1">
      <c r="A4194" s="28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08"/>
  <sheetViews>
    <sheetView workbookViewId="0"/>
  </sheetViews>
  <sheetFormatPr baseColWidth="10" defaultRowHeight="15"/>
  <sheetData>
    <row r="1" spans="1:13" ht="84">
      <c r="A1" s="165"/>
      <c r="B1" s="165"/>
      <c r="C1" s="165"/>
      <c r="D1" s="165"/>
      <c r="E1" s="165"/>
      <c r="F1" s="118"/>
      <c r="G1" s="366" t="s">
        <v>2031</v>
      </c>
      <c r="H1" s="366"/>
      <c r="I1" s="366"/>
      <c r="J1" s="366"/>
      <c r="K1" s="366"/>
      <c r="L1" s="366"/>
      <c r="M1" s="118"/>
    </row>
    <row r="2" spans="1:13" ht="72">
      <c r="A2" s="119" t="s">
        <v>26</v>
      </c>
      <c r="B2" s="119" t="s">
        <v>27</v>
      </c>
      <c r="C2" s="119" t="s">
        <v>23</v>
      </c>
      <c r="D2" s="119" t="s">
        <v>2458</v>
      </c>
      <c r="E2" s="119" t="s">
        <v>2357</v>
      </c>
      <c r="F2" s="118" t="s">
        <v>2360</v>
      </c>
      <c r="G2" s="119" t="s">
        <v>2465</v>
      </c>
      <c r="H2" s="119" t="s">
        <v>2463</v>
      </c>
      <c r="I2" s="119" t="s">
        <v>2466</v>
      </c>
      <c r="J2" s="119" t="s">
        <v>2467</v>
      </c>
      <c r="K2" s="119" t="s">
        <v>8488</v>
      </c>
      <c r="L2" s="118" t="s">
        <v>2468</v>
      </c>
      <c r="M2" s="118" t="s">
        <v>2459</v>
      </c>
    </row>
    <row r="3" spans="1:13">
      <c r="A3" s="177" t="s">
        <v>3148</v>
      </c>
      <c r="B3" s="120" t="s">
        <v>2814</v>
      </c>
      <c r="C3" s="177" t="s">
        <v>2813</v>
      </c>
      <c r="D3" s="120" t="s">
        <v>2439</v>
      </c>
      <c r="E3" s="120" t="s">
        <v>2461</v>
      </c>
      <c r="F3" s="121">
        <v>0.6</v>
      </c>
      <c r="G3" s="122"/>
      <c r="H3" s="122">
        <v>0.27500000000000002</v>
      </c>
      <c r="I3" s="122"/>
      <c r="J3" s="122"/>
      <c r="K3" s="122"/>
      <c r="L3" s="120"/>
      <c r="M3" s="120" t="s">
        <v>159</v>
      </c>
    </row>
    <row r="4" spans="1:13">
      <c r="A4" s="177" t="s">
        <v>3149</v>
      </c>
      <c r="B4" s="120" t="s">
        <v>2816</v>
      </c>
      <c r="C4" s="177" t="s">
        <v>2815</v>
      </c>
      <c r="D4" s="120" t="s">
        <v>3150</v>
      </c>
      <c r="E4" s="120" t="s">
        <v>2461</v>
      </c>
      <c r="F4" s="121">
        <v>0.6</v>
      </c>
      <c r="G4" s="122"/>
      <c r="H4" s="122">
        <v>0.27500000000000002</v>
      </c>
      <c r="I4" s="122"/>
      <c r="J4" s="122"/>
      <c r="K4" s="122"/>
      <c r="L4" s="120"/>
      <c r="M4" s="120" t="s">
        <v>159</v>
      </c>
    </row>
    <row r="5" spans="1:13">
      <c r="A5" s="177" t="s">
        <v>3151</v>
      </c>
      <c r="B5" s="120" t="s">
        <v>2178</v>
      </c>
      <c r="C5" s="177" t="s">
        <v>2177</v>
      </c>
      <c r="D5" s="120" t="s">
        <v>37</v>
      </c>
      <c r="E5" s="120" t="s">
        <v>2461</v>
      </c>
      <c r="F5" s="121">
        <v>0.8</v>
      </c>
      <c r="G5" s="122"/>
      <c r="H5" s="122">
        <v>0.28999999999999998</v>
      </c>
      <c r="I5" s="122"/>
      <c r="J5" s="122"/>
      <c r="K5" s="122"/>
      <c r="L5" s="120"/>
      <c r="M5" s="120" t="s">
        <v>159</v>
      </c>
    </row>
    <row r="6" spans="1:13">
      <c r="A6" s="120">
        <v>7014</v>
      </c>
      <c r="B6" s="120" t="s">
        <v>69</v>
      </c>
      <c r="C6" s="177" t="s">
        <v>68</v>
      </c>
      <c r="D6" s="120" t="s">
        <v>63</v>
      </c>
      <c r="E6" s="120" t="s">
        <v>2462</v>
      </c>
      <c r="F6" s="121">
        <v>0.6</v>
      </c>
      <c r="G6" s="122"/>
      <c r="H6" s="122"/>
      <c r="I6" s="122"/>
      <c r="J6" s="122">
        <v>0.27500000000000002</v>
      </c>
      <c r="K6" s="122"/>
      <c r="L6" s="120"/>
      <c r="M6" s="120" t="s">
        <v>2032</v>
      </c>
    </row>
    <row r="7" spans="1:13">
      <c r="A7" s="120">
        <v>7014</v>
      </c>
      <c r="B7" s="120" t="s">
        <v>65</v>
      </c>
      <c r="C7" s="177" t="s">
        <v>64</v>
      </c>
      <c r="D7" s="120" t="s">
        <v>63</v>
      </c>
      <c r="E7" s="120" t="s">
        <v>2462</v>
      </c>
      <c r="F7" s="121">
        <v>0.6</v>
      </c>
      <c r="G7" s="122"/>
      <c r="H7" s="122"/>
      <c r="I7" s="122"/>
      <c r="J7" s="122">
        <v>0.27500000000000002</v>
      </c>
      <c r="K7" s="122"/>
      <c r="L7" s="120"/>
      <c r="M7" s="120" t="s">
        <v>2032</v>
      </c>
    </row>
    <row r="8" spans="1:13">
      <c r="A8" s="120">
        <v>7014</v>
      </c>
      <c r="B8" s="120" t="s">
        <v>67</v>
      </c>
      <c r="C8" s="177" t="s">
        <v>66</v>
      </c>
      <c r="D8" s="120" t="s">
        <v>63</v>
      </c>
      <c r="E8" s="120" t="s">
        <v>2462</v>
      </c>
      <c r="F8" s="121">
        <v>0.6</v>
      </c>
      <c r="G8" s="122"/>
      <c r="H8" s="122"/>
      <c r="I8" s="122"/>
      <c r="J8" s="122">
        <v>0.27500000000000002</v>
      </c>
      <c r="K8" s="122"/>
      <c r="L8" s="120"/>
      <c r="M8" s="120" t="s">
        <v>2032</v>
      </c>
    </row>
    <row r="9" spans="1:13">
      <c r="A9" s="120">
        <v>9119</v>
      </c>
      <c r="B9" s="120" t="s">
        <v>173</v>
      </c>
      <c r="C9" s="120" t="s">
        <v>172</v>
      </c>
      <c r="D9" s="120" t="s">
        <v>174</v>
      </c>
      <c r="E9" s="120" t="s">
        <v>2462</v>
      </c>
      <c r="F9" s="121">
        <v>0.8</v>
      </c>
      <c r="G9" s="122"/>
      <c r="H9" s="122"/>
      <c r="I9" s="122"/>
      <c r="J9" s="122">
        <v>0.27500000000000002</v>
      </c>
      <c r="K9" s="122"/>
      <c r="L9" s="120"/>
      <c r="M9" s="120" t="s">
        <v>2032</v>
      </c>
    </row>
    <row r="10" spans="1:13">
      <c r="A10" s="120">
        <v>9179</v>
      </c>
      <c r="B10" s="120" t="s">
        <v>2180</v>
      </c>
      <c r="C10" s="120" t="s">
        <v>2179</v>
      </c>
      <c r="D10" s="120" t="s">
        <v>177</v>
      </c>
      <c r="E10" s="120" t="s">
        <v>2462</v>
      </c>
      <c r="F10" s="121">
        <v>0.8</v>
      </c>
      <c r="G10" s="122"/>
      <c r="H10" s="122"/>
      <c r="I10" s="122"/>
      <c r="J10" s="122">
        <v>0.27500000000000002</v>
      </c>
      <c r="K10" s="122"/>
      <c r="L10" s="120"/>
      <c r="M10" s="120" t="s">
        <v>2032</v>
      </c>
    </row>
    <row r="11" spans="1:13">
      <c r="A11" s="120" t="s">
        <v>2833</v>
      </c>
      <c r="B11" s="120" t="s">
        <v>2818</v>
      </c>
      <c r="C11" s="120" t="s">
        <v>2817</v>
      </c>
      <c r="D11" s="120" t="s">
        <v>5548</v>
      </c>
      <c r="E11" s="120" t="s">
        <v>2835</v>
      </c>
      <c r="F11" s="121">
        <v>0.55000000000000004</v>
      </c>
      <c r="G11" s="122"/>
      <c r="H11" s="122"/>
      <c r="I11" s="122"/>
      <c r="J11" s="122"/>
      <c r="K11" s="122">
        <v>0.12</v>
      </c>
      <c r="L11" s="122"/>
      <c r="M11" s="120" t="s">
        <v>2460</v>
      </c>
    </row>
    <row r="12" spans="1:13">
      <c r="A12" s="120" t="s">
        <v>2833</v>
      </c>
      <c r="B12" s="120" t="s">
        <v>2822</v>
      </c>
      <c r="C12" s="120" t="s">
        <v>2821</v>
      </c>
      <c r="D12" s="120" t="s">
        <v>2834</v>
      </c>
      <c r="E12" s="120" t="s">
        <v>2835</v>
      </c>
      <c r="F12" s="121">
        <v>0.55000000000000004</v>
      </c>
      <c r="G12" s="122"/>
      <c r="H12" s="122"/>
      <c r="I12" s="122"/>
      <c r="J12" s="122"/>
      <c r="K12" s="122">
        <v>0.12</v>
      </c>
      <c r="L12" s="122"/>
      <c r="M12" s="120" t="s">
        <v>2460</v>
      </c>
    </row>
    <row r="13" spans="1:13">
      <c r="A13" s="120" t="s">
        <v>2836</v>
      </c>
      <c r="B13" s="120" t="s">
        <v>2828</v>
      </c>
      <c r="C13" s="120" t="s">
        <v>2827</v>
      </c>
      <c r="D13" s="120" t="s">
        <v>2829</v>
      </c>
      <c r="E13" s="120" t="s">
        <v>2835</v>
      </c>
      <c r="F13" s="121">
        <v>0.55000000000000004</v>
      </c>
      <c r="G13" s="122"/>
      <c r="H13" s="122"/>
      <c r="I13" s="122"/>
      <c r="J13" s="122"/>
      <c r="K13" s="122">
        <v>0.12</v>
      </c>
      <c r="L13" s="122"/>
      <c r="M13" s="120" t="s">
        <v>2460</v>
      </c>
    </row>
    <row r="14" spans="1:13">
      <c r="A14" s="120" t="s">
        <v>2837</v>
      </c>
      <c r="B14" s="120" t="s">
        <v>2831</v>
      </c>
      <c r="C14" s="120" t="s">
        <v>2830</v>
      </c>
      <c r="D14" s="120" t="s">
        <v>2832</v>
      </c>
      <c r="E14" s="120" t="s">
        <v>2835</v>
      </c>
      <c r="F14" s="121">
        <v>0.55000000000000004</v>
      </c>
      <c r="G14" s="122"/>
      <c r="H14" s="122"/>
      <c r="I14" s="122"/>
      <c r="J14" s="122"/>
      <c r="K14" s="122">
        <v>0.12</v>
      </c>
      <c r="L14" s="122"/>
      <c r="M14" s="120" t="s">
        <v>2460</v>
      </c>
    </row>
    <row r="15" spans="1:13">
      <c r="A15" s="120" t="s">
        <v>2837</v>
      </c>
      <c r="B15" s="120" t="s">
        <v>2825</v>
      </c>
      <c r="C15" s="120" t="s">
        <v>2824</v>
      </c>
      <c r="D15" s="120" t="s">
        <v>2826</v>
      </c>
      <c r="E15" s="120" t="s">
        <v>2835</v>
      </c>
      <c r="F15" s="121">
        <v>0.55000000000000004</v>
      </c>
      <c r="G15" s="122"/>
      <c r="H15" s="122"/>
      <c r="I15" s="122"/>
      <c r="J15" s="122"/>
      <c r="K15" s="122">
        <v>0.12</v>
      </c>
      <c r="L15" s="122"/>
      <c r="M15" s="120" t="s">
        <v>2460</v>
      </c>
    </row>
    <row r="3569" spans="1:7">
      <c r="A3569" t="s">
        <v>3146</v>
      </c>
    </row>
    <row r="3570" spans="1:7">
      <c r="A3570" t="s">
        <v>3147</v>
      </c>
    </row>
    <row r="3575" spans="1:7">
      <c r="G3575" t="s">
        <v>179</v>
      </c>
    </row>
    <row r="3576" spans="1:7">
      <c r="G3576" t="s">
        <v>179</v>
      </c>
    </row>
    <row r="3577" spans="1:7">
      <c r="G3577" t="s">
        <v>2476</v>
      </c>
    </row>
    <row r="3578" spans="1:7">
      <c r="G3578">
        <v>478.23310630368417</v>
      </c>
    </row>
    <row r="3579" spans="1:7">
      <c r="G3579">
        <v>760.16636419424879</v>
      </c>
    </row>
    <row r="3580" spans="1:7">
      <c r="G3580">
        <v>282.27136038061138</v>
      </c>
    </row>
    <row r="3581" spans="1:7">
      <c r="G3581">
        <v>216.78133354537991</v>
      </c>
    </row>
    <row r="3582" spans="1:7">
      <c r="G3582">
        <v>956.46621260736833</v>
      </c>
    </row>
    <row r="3583" spans="1:7">
      <c r="G3583">
        <v>1520.3327283884976</v>
      </c>
    </row>
    <row r="3584" spans="1:7">
      <c r="G3584">
        <v>564.54272076122277</v>
      </c>
    </row>
    <row r="3585" spans="7:7">
      <c r="G3585">
        <v>433.56266709075982</v>
      </c>
    </row>
    <row r="3586" spans="7:7">
      <c r="G3586">
        <v>1434.6993189110526</v>
      </c>
    </row>
    <row r="3587" spans="7:7">
      <c r="G3587">
        <v>2280.499092582746</v>
      </c>
    </row>
    <row r="3588" spans="7:7">
      <c r="G3588">
        <v>846.81408114183409</v>
      </c>
    </row>
    <row r="3589" spans="7:7">
      <c r="G3589">
        <v>650.34400063613953</v>
      </c>
    </row>
    <row r="3590" spans="7:7">
      <c r="G3590">
        <v>503.69887804349258</v>
      </c>
    </row>
    <row r="3591" spans="7:7">
      <c r="G3591">
        <v>812.84111973030213</v>
      </c>
    </row>
    <row r="3592" spans="7:7">
      <c r="G3592">
        <v>289.64475892030401</v>
      </c>
    </row>
    <row r="3593" spans="7:7">
      <c r="G3593">
        <v>225.06377932734765</v>
      </c>
    </row>
    <row r="3594" spans="7:7">
      <c r="G3594">
        <v>1007.3977560869852</v>
      </c>
    </row>
    <row r="3595" spans="7:7">
      <c r="G3595">
        <v>1625.6822394606043</v>
      </c>
    </row>
    <row r="3596" spans="7:7">
      <c r="G3596">
        <v>579.28951784060803</v>
      </c>
    </row>
    <row r="3597" spans="7:7">
      <c r="G3597">
        <v>450.12755865469529</v>
      </c>
    </row>
    <row r="3598" spans="7:7">
      <c r="G3598">
        <v>1511.0966341304777</v>
      </c>
    </row>
    <row r="3599" spans="7:7">
      <c r="G3599">
        <v>2438.5233591909068</v>
      </c>
    </row>
    <row r="3600" spans="7:7">
      <c r="G3600">
        <v>868.9342767609121</v>
      </c>
    </row>
    <row r="3601" spans="7:7">
      <c r="G3601">
        <v>675.19133798204302</v>
      </c>
    </row>
    <row r="3603" spans="7:7">
      <c r="G3603" t="s">
        <v>179</v>
      </c>
    </row>
    <row r="3604" spans="7:7">
      <c r="G3604" t="s">
        <v>179</v>
      </c>
    </row>
    <row r="3605" spans="7:7">
      <c r="G3605" t="s">
        <v>2476</v>
      </c>
    </row>
    <row r="3606" spans="7:7">
      <c r="G3606">
        <v>138</v>
      </c>
    </row>
    <row r="3607" spans="7:7">
      <c r="G3607">
        <v>432</v>
      </c>
    </row>
    <row r="3608" spans="7:7">
      <c r="G3608">
        <v>123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136"/>
  <sheetViews>
    <sheetView workbookViewId="0"/>
  </sheetViews>
  <sheetFormatPr baseColWidth="10" defaultRowHeight="15"/>
  <sheetData>
    <row r="1" spans="1:6">
      <c r="A1" s="319" t="s">
        <v>1362</v>
      </c>
      <c r="B1" s="319" t="s">
        <v>26</v>
      </c>
      <c r="C1" s="319" t="s">
        <v>27</v>
      </c>
      <c r="D1" s="319" t="s">
        <v>9666</v>
      </c>
      <c r="E1" s="319" t="s">
        <v>129</v>
      </c>
      <c r="F1" s="319" t="s">
        <v>9667</v>
      </c>
    </row>
    <row r="2" spans="1:6">
      <c r="A2" t="s">
        <v>9731</v>
      </c>
      <c r="B2">
        <v>6411</v>
      </c>
      <c r="C2" t="s">
        <v>9728</v>
      </c>
      <c r="D2" t="s">
        <v>9730</v>
      </c>
      <c r="E2">
        <v>288</v>
      </c>
      <c r="F2" t="s">
        <v>9527</v>
      </c>
    </row>
    <row r="3" spans="1:6">
      <c r="A3" t="s">
        <v>9731</v>
      </c>
      <c r="B3">
        <v>6411</v>
      </c>
      <c r="C3" t="s">
        <v>9765</v>
      </c>
      <c r="D3" t="s">
        <v>9766</v>
      </c>
      <c r="E3">
        <v>336</v>
      </c>
      <c r="F3" t="s">
        <v>9527</v>
      </c>
    </row>
    <row r="4" spans="1:6">
      <c r="A4" t="s">
        <v>9731</v>
      </c>
      <c r="B4">
        <v>6411</v>
      </c>
      <c r="C4" t="s">
        <v>9728</v>
      </c>
      <c r="D4" t="s">
        <v>9730</v>
      </c>
      <c r="E4">
        <v>288</v>
      </c>
      <c r="F4" t="s">
        <v>9527</v>
      </c>
    </row>
    <row r="5" spans="1:6">
      <c r="A5" t="s">
        <v>9731</v>
      </c>
      <c r="B5">
        <v>6411</v>
      </c>
      <c r="C5" t="s">
        <v>9765</v>
      </c>
      <c r="D5" t="s">
        <v>9766</v>
      </c>
      <c r="E5">
        <v>336</v>
      </c>
      <c r="F5" t="s">
        <v>9527</v>
      </c>
    </row>
    <row r="6" spans="1:6">
      <c r="A6" t="s">
        <v>9733</v>
      </c>
      <c r="B6">
        <v>6411</v>
      </c>
      <c r="C6" t="s">
        <v>9728</v>
      </c>
      <c r="D6" t="s">
        <v>9732</v>
      </c>
      <c r="E6" t="s">
        <v>9878</v>
      </c>
      <c r="F6" t="s">
        <v>9527</v>
      </c>
    </row>
    <row r="7" spans="1:6">
      <c r="A7" t="s">
        <v>9733</v>
      </c>
      <c r="B7">
        <v>6411</v>
      </c>
      <c r="C7" t="s">
        <v>9765</v>
      </c>
      <c r="D7" t="s">
        <v>9767</v>
      </c>
      <c r="E7" t="s">
        <v>9883</v>
      </c>
      <c r="F7" t="s">
        <v>9527</v>
      </c>
    </row>
    <row r="8" spans="1:6">
      <c r="A8" t="s">
        <v>9733</v>
      </c>
      <c r="B8">
        <v>6411</v>
      </c>
      <c r="C8" t="s">
        <v>9728</v>
      </c>
      <c r="D8" t="s">
        <v>9732</v>
      </c>
      <c r="E8" t="s">
        <v>9878</v>
      </c>
      <c r="F8" t="s">
        <v>9527</v>
      </c>
    </row>
    <row r="9" spans="1:6">
      <c r="A9" t="s">
        <v>9733</v>
      </c>
      <c r="B9">
        <v>6411</v>
      </c>
      <c r="C9" t="s">
        <v>9765</v>
      </c>
      <c r="D9" t="s">
        <v>9767</v>
      </c>
      <c r="E9" t="s">
        <v>9883</v>
      </c>
      <c r="F9" t="s">
        <v>9527</v>
      </c>
    </row>
    <row r="10" spans="1:6">
      <c r="A10" t="s">
        <v>9729</v>
      </c>
      <c r="B10">
        <v>6411</v>
      </c>
      <c r="C10" t="s">
        <v>9728</v>
      </c>
      <c r="D10" t="s">
        <v>9727</v>
      </c>
      <c r="E10" t="s">
        <v>9877</v>
      </c>
      <c r="F10" t="s">
        <v>9527</v>
      </c>
    </row>
    <row r="11" spans="1:6">
      <c r="A11" t="s">
        <v>9729</v>
      </c>
      <c r="B11">
        <v>6411</v>
      </c>
      <c r="C11" t="s">
        <v>9765</v>
      </c>
      <c r="D11" t="s">
        <v>9764</v>
      </c>
      <c r="E11" t="s">
        <v>9882</v>
      </c>
      <c r="F11" t="s">
        <v>9527</v>
      </c>
    </row>
    <row r="12" spans="1:6">
      <c r="A12" t="s">
        <v>9729</v>
      </c>
      <c r="B12">
        <v>6411</v>
      </c>
      <c r="C12" t="s">
        <v>9728</v>
      </c>
      <c r="D12" t="s">
        <v>9727</v>
      </c>
      <c r="E12" t="s">
        <v>9877</v>
      </c>
      <c r="F12" t="s">
        <v>9527</v>
      </c>
    </row>
    <row r="13" spans="1:6">
      <c r="A13" t="s">
        <v>9729</v>
      </c>
      <c r="B13">
        <v>6411</v>
      </c>
      <c r="C13" t="s">
        <v>9765</v>
      </c>
      <c r="D13" t="s">
        <v>9764</v>
      </c>
      <c r="E13" t="s">
        <v>9882</v>
      </c>
      <c r="F13" t="s">
        <v>9527</v>
      </c>
    </row>
    <row r="14" spans="1:6">
      <c r="A14" t="s">
        <v>9737</v>
      </c>
      <c r="B14">
        <v>6411</v>
      </c>
      <c r="C14" t="s">
        <v>9728</v>
      </c>
      <c r="D14" t="s">
        <v>9736</v>
      </c>
      <c r="E14">
        <v>576</v>
      </c>
      <c r="F14" t="s">
        <v>9545</v>
      </c>
    </row>
    <row r="15" spans="1:6">
      <c r="A15" t="s">
        <v>9737</v>
      </c>
      <c r="B15">
        <v>6411</v>
      </c>
      <c r="C15" t="s">
        <v>9765</v>
      </c>
      <c r="D15" t="s">
        <v>9769</v>
      </c>
      <c r="E15">
        <v>672</v>
      </c>
      <c r="F15" t="s">
        <v>9545</v>
      </c>
    </row>
    <row r="16" spans="1:6">
      <c r="A16" t="s">
        <v>9737</v>
      </c>
      <c r="B16">
        <v>6411</v>
      </c>
      <c r="C16" t="s">
        <v>9728</v>
      </c>
      <c r="D16" t="s">
        <v>9736</v>
      </c>
      <c r="E16">
        <v>576</v>
      </c>
      <c r="F16" t="s">
        <v>9545</v>
      </c>
    </row>
    <row r="17" spans="1:6">
      <c r="A17" t="s">
        <v>9737</v>
      </c>
      <c r="B17">
        <v>6411</v>
      </c>
      <c r="C17" t="s">
        <v>9765</v>
      </c>
      <c r="D17" t="s">
        <v>9769</v>
      </c>
      <c r="E17">
        <v>672</v>
      </c>
      <c r="F17" t="s">
        <v>9545</v>
      </c>
    </row>
    <row r="18" spans="1:6">
      <c r="A18" t="s">
        <v>9739</v>
      </c>
      <c r="B18">
        <v>6411</v>
      </c>
      <c r="C18" t="s">
        <v>9728</v>
      </c>
      <c r="D18" t="s">
        <v>9738</v>
      </c>
      <c r="E18">
        <v>648</v>
      </c>
      <c r="F18" t="s">
        <v>9545</v>
      </c>
    </row>
    <row r="19" spans="1:6">
      <c r="A19" t="s">
        <v>9739</v>
      </c>
      <c r="B19">
        <v>6411</v>
      </c>
      <c r="C19" t="s">
        <v>9765</v>
      </c>
      <c r="D19" t="s">
        <v>9770</v>
      </c>
      <c r="E19" t="s">
        <v>9885</v>
      </c>
      <c r="F19" t="s">
        <v>9545</v>
      </c>
    </row>
    <row r="20" spans="1:6">
      <c r="A20" t="s">
        <v>9739</v>
      </c>
      <c r="B20">
        <v>6411</v>
      </c>
      <c r="C20" t="s">
        <v>9728</v>
      </c>
      <c r="D20" t="s">
        <v>9738</v>
      </c>
      <c r="E20">
        <v>648</v>
      </c>
      <c r="F20" t="s">
        <v>9545</v>
      </c>
    </row>
    <row r="21" spans="1:6">
      <c r="A21" t="s">
        <v>9739</v>
      </c>
      <c r="B21">
        <v>6411</v>
      </c>
      <c r="C21" t="s">
        <v>9765</v>
      </c>
      <c r="D21" t="s">
        <v>9770</v>
      </c>
      <c r="E21" t="s">
        <v>9885</v>
      </c>
      <c r="F21" t="s">
        <v>9545</v>
      </c>
    </row>
    <row r="22" spans="1:6">
      <c r="A22" t="s">
        <v>9735</v>
      </c>
      <c r="B22">
        <v>6411</v>
      </c>
      <c r="C22" t="s">
        <v>9728</v>
      </c>
      <c r="D22" t="s">
        <v>9734</v>
      </c>
      <c r="E22" t="s">
        <v>9879</v>
      </c>
      <c r="F22" t="s">
        <v>9545</v>
      </c>
    </row>
    <row r="23" spans="1:6">
      <c r="A23" t="s">
        <v>9735</v>
      </c>
      <c r="B23">
        <v>6411</v>
      </c>
      <c r="C23" t="s">
        <v>9765</v>
      </c>
      <c r="D23" t="s">
        <v>9768</v>
      </c>
      <c r="E23" t="s">
        <v>9884</v>
      </c>
      <c r="F23" t="s">
        <v>9545</v>
      </c>
    </row>
    <row r="24" spans="1:6">
      <c r="A24" t="s">
        <v>9735</v>
      </c>
      <c r="B24">
        <v>6411</v>
      </c>
      <c r="C24" t="s">
        <v>9728</v>
      </c>
      <c r="D24" t="s">
        <v>9734</v>
      </c>
      <c r="E24" t="s">
        <v>9879</v>
      </c>
      <c r="F24" t="s">
        <v>9545</v>
      </c>
    </row>
    <row r="25" spans="1:6">
      <c r="A25" t="s">
        <v>9735</v>
      </c>
      <c r="B25">
        <v>6411</v>
      </c>
      <c r="C25" t="s">
        <v>9765</v>
      </c>
      <c r="D25" t="s">
        <v>9768</v>
      </c>
      <c r="E25" t="s">
        <v>9884</v>
      </c>
      <c r="F25" t="s">
        <v>9545</v>
      </c>
    </row>
    <row r="26" spans="1:6">
      <c r="A26" t="s">
        <v>9716</v>
      </c>
      <c r="B26">
        <v>6194</v>
      </c>
      <c r="C26" t="s">
        <v>2470</v>
      </c>
      <c r="D26" t="s">
        <v>9714</v>
      </c>
      <c r="E26" t="s">
        <v>9869</v>
      </c>
      <c r="F26" t="s">
        <v>9527</v>
      </c>
    </row>
    <row r="27" spans="1:6">
      <c r="A27" t="s">
        <v>9716</v>
      </c>
      <c r="B27">
        <v>6194</v>
      </c>
      <c r="C27" t="s">
        <v>2576</v>
      </c>
      <c r="D27" t="s">
        <v>9714</v>
      </c>
      <c r="E27" t="s">
        <v>9869</v>
      </c>
      <c r="F27" t="s">
        <v>9527</v>
      </c>
    </row>
    <row r="28" spans="1:6">
      <c r="A28" t="s">
        <v>9716</v>
      </c>
      <c r="B28">
        <v>6194</v>
      </c>
      <c r="C28" t="s">
        <v>2471</v>
      </c>
      <c r="D28" t="s">
        <v>9714</v>
      </c>
      <c r="E28" t="s">
        <v>9869</v>
      </c>
      <c r="F28" t="s">
        <v>9527</v>
      </c>
    </row>
    <row r="29" spans="1:6">
      <c r="A29" t="s">
        <v>9716</v>
      </c>
      <c r="B29">
        <v>6194</v>
      </c>
      <c r="C29" t="s">
        <v>2202</v>
      </c>
      <c r="D29" t="s">
        <v>9714</v>
      </c>
      <c r="E29" t="s">
        <v>9869</v>
      </c>
      <c r="F29" t="s">
        <v>9527</v>
      </c>
    </row>
    <row r="30" spans="1:6">
      <c r="A30" t="s">
        <v>9716</v>
      </c>
      <c r="B30">
        <v>6194</v>
      </c>
      <c r="C30" t="s">
        <v>2470</v>
      </c>
      <c r="D30" t="s">
        <v>9714</v>
      </c>
      <c r="E30" t="s">
        <v>9869</v>
      </c>
      <c r="F30" t="s">
        <v>9527</v>
      </c>
    </row>
    <row r="31" spans="1:6">
      <c r="A31" t="s">
        <v>9716</v>
      </c>
      <c r="B31">
        <v>6194</v>
      </c>
      <c r="C31" t="s">
        <v>2576</v>
      </c>
      <c r="D31" t="s">
        <v>9714</v>
      </c>
      <c r="E31" t="s">
        <v>9869</v>
      </c>
      <c r="F31" t="s">
        <v>9527</v>
      </c>
    </row>
    <row r="32" spans="1:6">
      <c r="A32" t="s">
        <v>9716</v>
      </c>
      <c r="B32">
        <v>6194</v>
      </c>
      <c r="C32" t="s">
        <v>2471</v>
      </c>
      <c r="D32" t="s">
        <v>9714</v>
      </c>
      <c r="E32" t="s">
        <v>9869</v>
      </c>
      <c r="F32" t="s">
        <v>9527</v>
      </c>
    </row>
    <row r="33" spans="1:6">
      <c r="A33" t="s">
        <v>9716</v>
      </c>
      <c r="B33">
        <v>6194</v>
      </c>
      <c r="C33" t="s">
        <v>2202</v>
      </c>
      <c r="D33" t="s">
        <v>9714</v>
      </c>
      <c r="E33" t="s">
        <v>9869</v>
      </c>
      <c r="F33" t="s">
        <v>9527</v>
      </c>
    </row>
    <row r="34" spans="1:6">
      <c r="A34" t="s">
        <v>9718</v>
      </c>
      <c r="B34">
        <v>6194</v>
      </c>
      <c r="C34" t="s">
        <v>2470</v>
      </c>
      <c r="D34" t="s">
        <v>9717</v>
      </c>
      <c r="E34" t="s">
        <v>9870</v>
      </c>
      <c r="F34" t="s">
        <v>5606</v>
      </c>
    </row>
    <row r="35" spans="1:6">
      <c r="A35" t="s">
        <v>9718</v>
      </c>
      <c r="B35">
        <v>6194</v>
      </c>
      <c r="C35" t="s">
        <v>2576</v>
      </c>
      <c r="D35" t="s">
        <v>9717</v>
      </c>
      <c r="E35" t="s">
        <v>9870</v>
      </c>
      <c r="F35" t="s">
        <v>5606</v>
      </c>
    </row>
    <row r="36" spans="1:6">
      <c r="A36" t="s">
        <v>9718</v>
      </c>
      <c r="B36">
        <v>6194</v>
      </c>
      <c r="C36" t="s">
        <v>2471</v>
      </c>
      <c r="D36" t="s">
        <v>9717</v>
      </c>
      <c r="E36" t="s">
        <v>9870</v>
      </c>
      <c r="F36" t="s">
        <v>5606</v>
      </c>
    </row>
    <row r="37" spans="1:6">
      <c r="A37" t="s">
        <v>9718</v>
      </c>
      <c r="B37">
        <v>6194</v>
      </c>
      <c r="C37" t="s">
        <v>2202</v>
      </c>
      <c r="D37" t="s">
        <v>9717</v>
      </c>
      <c r="E37" t="s">
        <v>9870</v>
      </c>
      <c r="F37" t="s">
        <v>5606</v>
      </c>
    </row>
    <row r="38" spans="1:6">
      <c r="A38" t="s">
        <v>9718</v>
      </c>
      <c r="B38">
        <v>6194</v>
      </c>
      <c r="C38" t="s">
        <v>2470</v>
      </c>
      <c r="D38" t="s">
        <v>9717</v>
      </c>
      <c r="E38" t="s">
        <v>9870</v>
      </c>
      <c r="F38" t="s">
        <v>5606</v>
      </c>
    </row>
    <row r="39" spans="1:6">
      <c r="A39" t="s">
        <v>9718</v>
      </c>
      <c r="B39">
        <v>6194</v>
      </c>
      <c r="C39" t="s">
        <v>2576</v>
      </c>
      <c r="D39" t="s">
        <v>9717</v>
      </c>
      <c r="E39" t="s">
        <v>9870</v>
      </c>
      <c r="F39" t="s">
        <v>5606</v>
      </c>
    </row>
    <row r="40" spans="1:6">
      <c r="A40" t="s">
        <v>9718</v>
      </c>
      <c r="B40">
        <v>6194</v>
      </c>
      <c r="C40" t="s">
        <v>2471</v>
      </c>
      <c r="D40" t="s">
        <v>9717</v>
      </c>
      <c r="E40" t="s">
        <v>9870</v>
      </c>
      <c r="F40" t="s">
        <v>5606</v>
      </c>
    </row>
    <row r="41" spans="1:6">
      <c r="A41" t="s">
        <v>9718</v>
      </c>
      <c r="B41">
        <v>6194</v>
      </c>
      <c r="C41" t="s">
        <v>2202</v>
      </c>
      <c r="D41" t="s">
        <v>9717</v>
      </c>
      <c r="E41" t="s">
        <v>9870</v>
      </c>
      <c r="F41" t="s">
        <v>5606</v>
      </c>
    </row>
    <row r="42" spans="1:6">
      <c r="A42" t="s">
        <v>9720</v>
      </c>
      <c r="B42">
        <v>6194</v>
      </c>
      <c r="C42" t="s">
        <v>2470</v>
      </c>
      <c r="D42" t="s">
        <v>9719</v>
      </c>
      <c r="E42" t="s">
        <v>9871</v>
      </c>
      <c r="F42" t="s">
        <v>5601</v>
      </c>
    </row>
    <row r="43" spans="1:6">
      <c r="A43" t="s">
        <v>9720</v>
      </c>
      <c r="B43">
        <v>6194</v>
      </c>
      <c r="C43" t="s">
        <v>2576</v>
      </c>
      <c r="D43" t="s">
        <v>9719</v>
      </c>
      <c r="E43" t="s">
        <v>9871</v>
      </c>
      <c r="F43" t="s">
        <v>5601</v>
      </c>
    </row>
    <row r="44" spans="1:6">
      <c r="A44" t="s">
        <v>9720</v>
      </c>
      <c r="B44">
        <v>6194</v>
      </c>
      <c r="C44" t="s">
        <v>2471</v>
      </c>
      <c r="D44" t="s">
        <v>9719</v>
      </c>
      <c r="E44" t="s">
        <v>9871</v>
      </c>
      <c r="F44" t="s">
        <v>5601</v>
      </c>
    </row>
    <row r="45" spans="1:6">
      <c r="A45" t="s">
        <v>9720</v>
      </c>
      <c r="B45">
        <v>6194</v>
      </c>
      <c r="C45" t="s">
        <v>2202</v>
      </c>
      <c r="D45" t="s">
        <v>9719</v>
      </c>
      <c r="E45" t="s">
        <v>9871</v>
      </c>
      <c r="F45" t="s">
        <v>5601</v>
      </c>
    </row>
    <row r="46" spans="1:6">
      <c r="A46" t="s">
        <v>9720</v>
      </c>
      <c r="B46">
        <v>6194</v>
      </c>
      <c r="C46" t="s">
        <v>2470</v>
      </c>
      <c r="D46" t="s">
        <v>9719</v>
      </c>
      <c r="E46" t="s">
        <v>9871</v>
      </c>
      <c r="F46" t="s">
        <v>5601</v>
      </c>
    </row>
    <row r="47" spans="1:6">
      <c r="A47" t="s">
        <v>9720</v>
      </c>
      <c r="B47">
        <v>6194</v>
      </c>
      <c r="C47" t="s">
        <v>2576</v>
      </c>
      <c r="D47" t="s">
        <v>9719</v>
      </c>
      <c r="E47" t="s">
        <v>9871</v>
      </c>
      <c r="F47" t="s">
        <v>5601</v>
      </c>
    </row>
    <row r="48" spans="1:6">
      <c r="A48" t="s">
        <v>9720</v>
      </c>
      <c r="B48">
        <v>6194</v>
      </c>
      <c r="C48" t="s">
        <v>2471</v>
      </c>
      <c r="D48" t="s">
        <v>9719</v>
      </c>
      <c r="E48" t="s">
        <v>9871</v>
      </c>
      <c r="F48" t="s">
        <v>5601</v>
      </c>
    </row>
    <row r="49" spans="1:6">
      <c r="A49" t="s">
        <v>9720</v>
      </c>
      <c r="B49">
        <v>6194</v>
      </c>
      <c r="C49" t="s">
        <v>2202</v>
      </c>
      <c r="D49" t="s">
        <v>9719</v>
      </c>
      <c r="E49" t="s">
        <v>9871</v>
      </c>
      <c r="F49" t="s">
        <v>5601</v>
      </c>
    </row>
    <row r="50" spans="1:6">
      <c r="A50" t="s">
        <v>9722</v>
      </c>
      <c r="B50">
        <v>6194</v>
      </c>
      <c r="C50" t="s">
        <v>2470</v>
      </c>
      <c r="D50" t="s">
        <v>9721</v>
      </c>
      <c r="E50" t="s">
        <v>9872</v>
      </c>
      <c r="F50" t="s">
        <v>5595</v>
      </c>
    </row>
    <row r="51" spans="1:6">
      <c r="A51" t="s">
        <v>9722</v>
      </c>
      <c r="B51">
        <v>6194</v>
      </c>
      <c r="C51" t="s">
        <v>2576</v>
      </c>
      <c r="D51" t="s">
        <v>9721</v>
      </c>
      <c r="E51" t="s">
        <v>9872</v>
      </c>
      <c r="F51" t="s">
        <v>5595</v>
      </c>
    </row>
    <row r="52" spans="1:6">
      <c r="A52" t="s">
        <v>9722</v>
      </c>
      <c r="B52">
        <v>6194</v>
      </c>
      <c r="C52" t="s">
        <v>2471</v>
      </c>
      <c r="D52" t="s">
        <v>9721</v>
      </c>
      <c r="E52" t="s">
        <v>9872</v>
      </c>
      <c r="F52" t="s">
        <v>5595</v>
      </c>
    </row>
    <row r="53" spans="1:6">
      <c r="A53" t="s">
        <v>9722</v>
      </c>
      <c r="B53">
        <v>6194</v>
      </c>
      <c r="C53" t="s">
        <v>2202</v>
      </c>
      <c r="D53" t="s">
        <v>9721</v>
      </c>
      <c r="E53" t="s">
        <v>9872</v>
      </c>
      <c r="F53" t="s">
        <v>5595</v>
      </c>
    </row>
    <row r="54" spans="1:6">
      <c r="A54" t="s">
        <v>9722</v>
      </c>
      <c r="B54">
        <v>6194</v>
      </c>
      <c r="C54" t="s">
        <v>2470</v>
      </c>
      <c r="D54" t="s">
        <v>9721</v>
      </c>
      <c r="E54" t="s">
        <v>9872</v>
      </c>
      <c r="F54" t="s">
        <v>5595</v>
      </c>
    </row>
    <row r="55" spans="1:6">
      <c r="A55" t="s">
        <v>9722</v>
      </c>
      <c r="B55">
        <v>6194</v>
      </c>
      <c r="C55" t="s">
        <v>2576</v>
      </c>
      <c r="D55" t="s">
        <v>9721</v>
      </c>
      <c r="E55" t="s">
        <v>9872</v>
      </c>
      <c r="F55" t="s">
        <v>5595</v>
      </c>
    </row>
    <row r="56" spans="1:6">
      <c r="A56" t="s">
        <v>9722</v>
      </c>
      <c r="B56">
        <v>6194</v>
      </c>
      <c r="C56" t="s">
        <v>2471</v>
      </c>
      <c r="D56" t="s">
        <v>9721</v>
      </c>
      <c r="E56" t="s">
        <v>9872</v>
      </c>
      <c r="F56" t="s">
        <v>5595</v>
      </c>
    </row>
    <row r="57" spans="1:6">
      <c r="A57" t="s">
        <v>9722</v>
      </c>
      <c r="B57">
        <v>6194</v>
      </c>
      <c r="C57" t="s">
        <v>2202</v>
      </c>
      <c r="D57" t="s">
        <v>9721</v>
      </c>
      <c r="E57" t="s">
        <v>9872</v>
      </c>
      <c r="F57" t="s">
        <v>5595</v>
      </c>
    </row>
    <row r="58" spans="1:6">
      <c r="A58" t="s">
        <v>9741</v>
      </c>
      <c r="B58">
        <v>6411</v>
      </c>
      <c r="C58" t="s">
        <v>9728</v>
      </c>
      <c r="D58" t="s">
        <v>9740</v>
      </c>
      <c r="E58">
        <v>288</v>
      </c>
      <c r="F58" t="s">
        <v>5606</v>
      </c>
    </row>
    <row r="59" spans="1:6">
      <c r="A59" t="s">
        <v>9741</v>
      </c>
      <c r="B59">
        <v>6411</v>
      </c>
      <c r="C59" t="s">
        <v>9765</v>
      </c>
      <c r="D59" t="s">
        <v>9771</v>
      </c>
      <c r="E59">
        <v>336</v>
      </c>
      <c r="F59" t="s">
        <v>5606</v>
      </c>
    </row>
    <row r="60" spans="1:6">
      <c r="A60" t="s">
        <v>9741</v>
      </c>
      <c r="B60">
        <v>6411</v>
      </c>
      <c r="C60" t="s">
        <v>9728</v>
      </c>
      <c r="D60" t="s">
        <v>9740</v>
      </c>
      <c r="E60">
        <v>288</v>
      </c>
      <c r="F60" t="s">
        <v>5606</v>
      </c>
    </row>
    <row r="61" spans="1:6">
      <c r="A61" t="s">
        <v>9741</v>
      </c>
      <c r="B61">
        <v>6411</v>
      </c>
      <c r="C61" t="s">
        <v>9765</v>
      </c>
      <c r="D61" t="s">
        <v>9771</v>
      </c>
      <c r="E61">
        <v>336</v>
      </c>
      <c r="F61" t="s">
        <v>5606</v>
      </c>
    </row>
    <row r="62" spans="1:6">
      <c r="A62" t="s">
        <v>9743</v>
      </c>
      <c r="B62">
        <v>6411</v>
      </c>
      <c r="C62" t="s">
        <v>9728</v>
      </c>
      <c r="D62" t="s">
        <v>9742</v>
      </c>
      <c r="E62" t="s">
        <v>9878</v>
      </c>
      <c r="F62" t="s">
        <v>5606</v>
      </c>
    </row>
    <row r="63" spans="1:6">
      <c r="A63" t="s">
        <v>9743</v>
      </c>
      <c r="B63">
        <v>6411</v>
      </c>
      <c r="C63" t="s">
        <v>9765</v>
      </c>
      <c r="D63" t="s">
        <v>9772</v>
      </c>
      <c r="E63" t="s">
        <v>9883</v>
      </c>
      <c r="F63" t="s">
        <v>5606</v>
      </c>
    </row>
    <row r="64" spans="1:6">
      <c r="A64" t="s">
        <v>9743</v>
      </c>
      <c r="B64">
        <v>6411</v>
      </c>
      <c r="C64" t="s">
        <v>9728</v>
      </c>
      <c r="D64" t="s">
        <v>9742</v>
      </c>
      <c r="E64" t="s">
        <v>9878</v>
      </c>
      <c r="F64" t="s">
        <v>5606</v>
      </c>
    </row>
    <row r="65" spans="1:6">
      <c r="A65" t="s">
        <v>9743</v>
      </c>
      <c r="B65">
        <v>6411</v>
      </c>
      <c r="C65" t="s">
        <v>9765</v>
      </c>
      <c r="D65" t="s">
        <v>9772</v>
      </c>
      <c r="E65" t="s">
        <v>9883</v>
      </c>
      <c r="F65" t="s">
        <v>5606</v>
      </c>
    </row>
    <row r="66" spans="1:6">
      <c r="A66" t="s">
        <v>9749</v>
      </c>
      <c r="B66">
        <v>6411</v>
      </c>
      <c r="C66" t="s">
        <v>9728</v>
      </c>
      <c r="D66" t="s">
        <v>9748</v>
      </c>
      <c r="E66">
        <v>528</v>
      </c>
      <c r="F66" t="s">
        <v>5601</v>
      </c>
    </row>
    <row r="67" spans="1:6">
      <c r="A67" t="s">
        <v>9749</v>
      </c>
      <c r="B67">
        <v>6411</v>
      </c>
      <c r="C67" t="s">
        <v>9765</v>
      </c>
      <c r="D67" t="s">
        <v>9775</v>
      </c>
      <c r="E67">
        <v>624</v>
      </c>
      <c r="F67" t="s">
        <v>5601</v>
      </c>
    </row>
    <row r="68" spans="1:6">
      <c r="A68" t="s">
        <v>9749</v>
      </c>
      <c r="B68">
        <v>6411</v>
      </c>
      <c r="C68" t="s">
        <v>9728</v>
      </c>
      <c r="D68" t="s">
        <v>9748</v>
      </c>
      <c r="E68">
        <v>528</v>
      </c>
      <c r="F68" t="s">
        <v>5601</v>
      </c>
    </row>
    <row r="69" spans="1:6">
      <c r="A69" t="s">
        <v>9749</v>
      </c>
      <c r="B69">
        <v>6411</v>
      </c>
      <c r="C69" t="s">
        <v>9765</v>
      </c>
      <c r="D69" t="s">
        <v>9775</v>
      </c>
      <c r="E69">
        <v>624</v>
      </c>
      <c r="F69" t="s">
        <v>5601</v>
      </c>
    </row>
    <row r="70" spans="1:6">
      <c r="A70" t="s">
        <v>9751</v>
      </c>
      <c r="B70">
        <v>6411</v>
      </c>
      <c r="C70" t="s">
        <v>9728</v>
      </c>
      <c r="D70" t="s">
        <v>9750</v>
      </c>
      <c r="E70" t="s">
        <v>9881</v>
      </c>
      <c r="F70" t="s">
        <v>5601</v>
      </c>
    </row>
    <row r="71" spans="1:6">
      <c r="A71" t="s">
        <v>9751</v>
      </c>
      <c r="B71">
        <v>6411</v>
      </c>
      <c r="C71" t="s">
        <v>9765</v>
      </c>
      <c r="D71" t="s">
        <v>9776</v>
      </c>
      <c r="E71" t="s">
        <v>9887</v>
      </c>
      <c r="F71" t="s">
        <v>5601</v>
      </c>
    </row>
    <row r="72" spans="1:6">
      <c r="A72" t="s">
        <v>9751</v>
      </c>
      <c r="B72">
        <v>6411</v>
      </c>
      <c r="C72" t="s">
        <v>9728</v>
      </c>
      <c r="D72" t="s">
        <v>9750</v>
      </c>
      <c r="E72" t="s">
        <v>9881</v>
      </c>
      <c r="F72" t="s">
        <v>5601</v>
      </c>
    </row>
    <row r="73" spans="1:6">
      <c r="A73" t="s">
        <v>9751</v>
      </c>
      <c r="B73">
        <v>6411</v>
      </c>
      <c r="C73" t="s">
        <v>9765</v>
      </c>
      <c r="D73" t="s">
        <v>9776</v>
      </c>
      <c r="E73" t="s">
        <v>9887</v>
      </c>
      <c r="F73" t="s">
        <v>5601</v>
      </c>
    </row>
    <row r="74" spans="1:6">
      <c r="A74" t="s">
        <v>9759</v>
      </c>
      <c r="B74">
        <v>6411</v>
      </c>
      <c r="C74" t="s">
        <v>9728</v>
      </c>
      <c r="D74" t="s">
        <v>9758</v>
      </c>
      <c r="E74">
        <v>888</v>
      </c>
      <c r="F74" t="s">
        <v>5595</v>
      </c>
    </row>
    <row r="75" spans="1:6">
      <c r="A75" t="s">
        <v>9759</v>
      </c>
      <c r="B75">
        <v>6411</v>
      </c>
      <c r="C75" t="s">
        <v>9765</v>
      </c>
      <c r="D75" t="s">
        <v>9780</v>
      </c>
      <c r="E75">
        <v>1056</v>
      </c>
      <c r="F75" t="s">
        <v>5595</v>
      </c>
    </row>
    <row r="76" spans="1:6">
      <c r="A76" t="s">
        <v>9759</v>
      </c>
      <c r="B76">
        <v>6411</v>
      </c>
      <c r="C76" t="s">
        <v>9728</v>
      </c>
      <c r="D76" t="s">
        <v>9758</v>
      </c>
      <c r="E76">
        <v>888</v>
      </c>
      <c r="F76" t="s">
        <v>5595</v>
      </c>
    </row>
    <row r="77" spans="1:6">
      <c r="A77" t="s">
        <v>9759</v>
      </c>
      <c r="B77">
        <v>6411</v>
      </c>
      <c r="C77" t="s">
        <v>9765</v>
      </c>
      <c r="D77" t="s">
        <v>9780</v>
      </c>
      <c r="E77">
        <v>1056</v>
      </c>
      <c r="F77" t="s">
        <v>5595</v>
      </c>
    </row>
    <row r="78" spans="1:6">
      <c r="A78" t="s">
        <v>9757</v>
      </c>
      <c r="B78">
        <v>6411</v>
      </c>
      <c r="C78" t="s">
        <v>9728</v>
      </c>
      <c r="D78" t="s">
        <v>9756</v>
      </c>
      <c r="E78">
        <v>792</v>
      </c>
      <c r="F78" t="s">
        <v>5595</v>
      </c>
    </row>
    <row r="79" spans="1:6">
      <c r="A79" t="s">
        <v>9757</v>
      </c>
      <c r="B79">
        <v>6411</v>
      </c>
      <c r="C79" t="s">
        <v>9765</v>
      </c>
      <c r="D79" t="s">
        <v>9779</v>
      </c>
      <c r="E79" t="s">
        <v>9888</v>
      </c>
      <c r="F79" t="s">
        <v>5595</v>
      </c>
    </row>
    <row r="80" spans="1:6">
      <c r="A80" t="s">
        <v>9757</v>
      </c>
      <c r="B80">
        <v>6411</v>
      </c>
      <c r="C80" t="s">
        <v>9728</v>
      </c>
      <c r="D80" t="s">
        <v>9756</v>
      </c>
      <c r="E80">
        <v>792</v>
      </c>
      <c r="F80" t="s">
        <v>5595</v>
      </c>
    </row>
    <row r="81" spans="1:6">
      <c r="A81" t="s">
        <v>9757</v>
      </c>
      <c r="B81">
        <v>6411</v>
      </c>
      <c r="C81" t="s">
        <v>9765</v>
      </c>
      <c r="D81" t="s">
        <v>9779</v>
      </c>
      <c r="E81" t="s">
        <v>9888</v>
      </c>
      <c r="F81" t="s">
        <v>5595</v>
      </c>
    </row>
    <row r="82" spans="1:6">
      <c r="A82" t="s">
        <v>14025</v>
      </c>
      <c r="B82">
        <v>4348</v>
      </c>
      <c r="C82" t="s">
        <v>9674</v>
      </c>
      <c r="D82" t="s">
        <v>188</v>
      </c>
      <c r="E82" t="s">
        <v>9845</v>
      </c>
      <c r="F82" t="s">
        <v>5606</v>
      </c>
    </row>
    <row r="83" spans="1:6">
      <c r="A83" t="s">
        <v>14025</v>
      </c>
      <c r="B83">
        <v>4253</v>
      </c>
      <c r="C83" t="s">
        <v>9674</v>
      </c>
      <c r="D83" t="s">
        <v>188</v>
      </c>
      <c r="E83" t="s">
        <v>9845</v>
      </c>
      <c r="F83" t="s">
        <v>5606</v>
      </c>
    </row>
    <row r="84" spans="1:6">
      <c r="A84" t="s">
        <v>14025</v>
      </c>
      <c r="B84">
        <v>2582</v>
      </c>
      <c r="C84" t="s">
        <v>9674</v>
      </c>
      <c r="D84" t="s">
        <v>188</v>
      </c>
      <c r="E84" t="s">
        <v>9845</v>
      </c>
      <c r="F84" t="s">
        <v>5606</v>
      </c>
    </row>
    <row r="85" spans="1:6">
      <c r="A85" t="s">
        <v>14025</v>
      </c>
      <c r="B85">
        <v>5457</v>
      </c>
      <c r="C85" t="s">
        <v>9674</v>
      </c>
      <c r="D85" t="s">
        <v>188</v>
      </c>
      <c r="E85" t="s">
        <v>9845</v>
      </c>
      <c r="F85" t="s">
        <v>5606</v>
      </c>
    </row>
    <row r="86" spans="1:6">
      <c r="A86" t="s">
        <v>9680</v>
      </c>
      <c r="B86">
        <v>4348</v>
      </c>
      <c r="C86" t="s">
        <v>9674</v>
      </c>
      <c r="D86" t="s">
        <v>188</v>
      </c>
      <c r="E86" t="s">
        <v>9845</v>
      </c>
      <c r="F86" t="s">
        <v>5606</v>
      </c>
    </row>
    <row r="87" spans="1:6">
      <c r="A87" t="s">
        <v>9680</v>
      </c>
      <c r="B87">
        <v>4253</v>
      </c>
      <c r="C87" t="s">
        <v>9674</v>
      </c>
      <c r="D87" t="s">
        <v>188</v>
      </c>
      <c r="E87" t="s">
        <v>9845</v>
      </c>
      <c r="F87" t="s">
        <v>5606</v>
      </c>
    </row>
    <row r="88" spans="1:6">
      <c r="A88" t="s">
        <v>9680</v>
      </c>
      <c r="B88">
        <v>2582</v>
      </c>
      <c r="C88" t="s">
        <v>9674</v>
      </c>
      <c r="D88" t="s">
        <v>188</v>
      </c>
      <c r="E88" t="s">
        <v>9845</v>
      </c>
      <c r="F88" t="s">
        <v>5606</v>
      </c>
    </row>
    <row r="89" spans="1:6">
      <c r="A89" t="s">
        <v>9680</v>
      </c>
      <c r="B89">
        <v>5457</v>
      </c>
      <c r="C89" t="s">
        <v>9674</v>
      </c>
      <c r="D89" t="s">
        <v>188</v>
      </c>
      <c r="E89" t="s">
        <v>9845</v>
      </c>
      <c r="F89" t="s">
        <v>5606</v>
      </c>
    </row>
    <row r="90" spans="1:6">
      <c r="A90" t="s">
        <v>9678</v>
      </c>
      <c r="B90">
        <v>4348</v>
      </c>
      <c r="C90" t="s">
        <v>9674</v>
      </c>
      <c r="D90" t="s">
        <v>5605</v>
      </c>
      <c r="E90" t="s">
        <v>9822</v>
      </c>
      <c r="F90" t="s">
        <v>5601</v>
      </c>
    </row>
    <row r="91" spans="1:6">
      <c r="A91" t="s">
        <v>9678</v>
      </c>
      <c r="B91">
        <v>4253</v>
      </c>
      <c r="C91" t="s">
        <v>9674</v>
      </c>
      <c r="D91" t="s">
        <v>5605</v>
      </c>
      <c r="E91" t="s">
        <v>9822</v>
      </c>
      <c r="F91" t="s">
        <v>5601</v>
      </c>
    </row>
    <row r="92" spans="1:6">
      <c r="A92" t="s">
        <v>9678</v>
      </c>
      <c r="B92">
        <v>2582</v>
      </c>
      <c r="C92" t="s">
        <v>9674</v>
      </c>
      <c r="D92" t="s">
        <v>5605</v>
      </c>
      <c r="E92" t="s">
        <v>9822</v>
      </c>
      <c r="F92" t="s">
        <v>5601</v>
      </c>
    </row>
    <row r="93" spans="1:6">
      <c r="A93" t="s">
        <v>9678</v>
      </c>
      <c r="B93">
        <v>5457</v>
      </c>
      <c r="C93" t="s">
        <v>9674</v>
      </c>
      <c r="D93" t="s">
        <v>5605</v>
      </c>
      <c r="E93" t="s">
        <v>9822</v>
      </c>
      <c r="F93" t="s">
        <v>5601</v>
      </c>
    </row>
    <row r="94" spans="1:6">
      <c r="A94" t="s">
        <v>9676</v>
      </c>
      <c r="B94">
        <v>4348</v>
      </c>
      <c r="C94" t="s">
        <v>9674</v>
      </c>
      <c r="D94" t="s">
        <v>5599</v>
      </c>
      <c r="E94" t="s">
        <v>9817</v>
      </c>
      <c r="F94" t="s">
        <v>5595</v>
      </c>
    </row>
    <row r="95" spans="1:6">
      <c r="A95" t="s">
        <v>9676</v>
      </c>
      <c r="B95">
        <v>4253</v>
      </c>
      <c r="C95" t="s">
        <v>9674</v>
      </c>
      <c r="D95" t="s">
        <v>5599</v>
      </c>
      <c r="E95" t="s">
        <v>9817</v>
      </c>
      <c r="F95" t="s">
        <v>5595</v>
      </c>
    </row>
    <row r="96" spans="1:6">
      <c r="A96" t="s">
        <v>9676</v>
      </c>
      <c r="B96">
        <v>2582</v>
      </c>
      <c r="C96" t="s">
        <v>9674</v>
      </c>
      <c r="D96" t="s">
        <v>5599</v>
      </c>
      <c r="E96" t="s">
        <v>9817</v>
      </c>
      <c r="F96" t="s">
        <v>5595</v>
      </c>
    </row>
    <row r="97" spans="1:6">
      <c r="A97" t="s">
        <v>9676</v>
      </c>
      <c r="B97">
        <v>5457</v>
      </c>
      <c r="C97" t="s">
        <v>9674</v>
      </c>
      <c r="D97" t="s">
        <v>5599</v>
      </c>
      <c r="E97" t="s">
        <v>9817</v>
      </c>
      <c r="F97" t="s">
        <v>5595</v>
      </c>
    </row>
    <row r="98" spans="1:6">
      <c r="A98" t="s">
        <v>9676</v>
      </c>
      <c r="B98">
        <v>4348</v>
      </c>
      <c r="C98" t="s">
        <v>9674</v>
      </c>
      <c r="D98" t="s">
        <v>5599</v>
      </c>
      <c r="E98" t="s">
        <v>9817</v>
      </c>
      <c r="F98" t="s">
        <v>5595</v>
      </c>
    </row>
    <row r="99" spans="1:6">
      <c r="A99" t="s">
        <v>9676</v>
      </c>
      <c r="B99">
        <v>4253</v>
      </c>
      <c r="C99" t="s">
        <v>9674</v>
      </c>
      <c r="D99" t="s">
        <v>5599</v>
      </c>
      <c r="E99" t="s">
        <v>9817</v>
      </c>
      <c r="F99" t="s">
        <v>5595</v>
      </c>
    </row>
    <row r="100" spans="1:6">
      <c r="A100" t="s">
        <v>9676</v>
      </c>
      <c r="B100">
        <v>2582</v>
      </c>
      <c r="C100" t="s">
        <v>9674</v>
      </c>
      <c r="D100" t="s">
        <v>5599</v>
      </c>
      <c r="E100" t="s">
        <v>9817</v>
      </c>
      <c r="F100" t="s">
        <v>5595</v>
      </c>
    </row>
    <row r="101" spans="1:6">
      <c r="A101" t="s">
        <v>9676</v>
      </c>
      <c r="B101">
        <v>5457</v>
      </c>
      <c r="C101" t="s">
        <v>9674</v>
      </c>
      <c r="D101" t="s">
        <v>5599</v>
      </c>
      <c r="E101" t="s">
        <v>9817</v>
      </c>
      <c r="F101" t="s">
        <v>5595</v>
      </c>
    </row>
    <row r="102" spans="1:6">
      <c r="A102" t="s">
        <v>13964</v>
      </c>
      <c r="B102">
        <v>6100</v>
      </c>
      <c r="C102" t="s">
        <v>9850</v>
      </c>
      <c r="D102" t="s">
        <v>9691</v>
      </c>
      <c r="E102" t="s">
        <v>9851</v>
      </c>
      <c r="F102" t="s">
        <v>5606</v>
      </c>
    </row>
    <row r="103" spans="1:6">
      <c r="A103" t="s">
        <v>13964</v>
      </c>
      <c r="B103">
        <v>6100</v>
      </c>
      <c r="C103" t="s">
        <v>9894</v>
      </c>
      <c r="D103" t="s">
        <v>9691</v>
      </c>
      <c r="E103" t="s">
        <v>9851</v>
      </c>
      <c r="F103" t="s">
        <v>5606</v>
      </c>
    </row>
    <row r="104" spans="1:6">
      <c r="A104" t="s">
        <v>13964</v>
      </c>
      <c r="B104">
        <v>6160</v>
      </c>
      <c r="C104" t="s">
        <v>2948</v>
      </c>
      <c r="D104" t="s">
        <v>9697</v>
      </c>
      <c r="E104" t="s">
        <v>9856</v>
      </c>
      <c r="F104" t="s">
        <v>5606</v>
      </c>
    </row>
    <row r="105" spans="1:6">
      <c r="A105" t="s">
        <v>13964</v>
      </c>
      <c r="B105">
        <v>6160</v>
      </c>
      <c r="C105" t="s">
        <v>2950</v>
      </c>
      <c r="D105" t="s">
        <v>9697</v>
      </c>
      <c r="E105" t="s">
        <v>9856</v>
      </c>
      <c r="F105" t="s">
        <v>5606</v>
      </c>
    </row>
    <row r="106" spans="1:6">
      <c r="A106" t="s">
        <v>13964</v>
      </c>
      <c r="B106">
        <v>6160</v>
      </c>
      <c r="C106" t="s">
        <v>2218</v>
      </c>
      <c r="D106" t="s">
        <v>9697</v>
      </c>
      <c r="E106" t="s">
        <v>9856</v>
      </c>
      <c r="F106" t="s">
        <v>5606</v>
      </c>
    </row>
    <row r="107" spans="1:6">
      <c r="A107" t="s">
        <v>13964</v>
      </c>
      <c r="B107">
        <v>6160</v>
      </c>
      <c r="C107" t="s">
        <v>2219</v>
      </c>
      <c r="D107" t="s">
        <v>9697</v>
      </c>
      <c r="E107" t="s">
        <v>9856</v>
      </c>
      <c r="F107" t="s">
        <v>5606</v>
      </c>
    </row>
    <row r="108" spans="1:6">
      <c r="A108" t="s">
        <v>13964</v>
      </c>
      <c r="B108">
        <v>6173</v>
      </c>
      <c r="C108" t="s">
        <v>2211</v>
      </c>
      <c r="D108" t="s">
        <v>9707</v>
      </c>
      <c r="E108" t="s">
        <v>9862</v>
      </c>
      <c r="F108" t="s">
        <v>5606</v>
      </c>
    </row>
    <row r="109" spans="1:6">
      <c r="A109" t="s">
        <v>13964</v>
      </c>
      <c r="B109">
        <v>6173</v>
      </c>
      <c r="C109" t="s">
        <v>2212</v>
      </c>
      <c r="D109" t="s">
        <v>9707</v>
      </c>
      <c r="E109" t="s">
        <v>9862</v>
      </c>
      <c r="F109" t="s">
        <v>5606</v>
      </c>
    </row>
    <row r="110" spans="1:6">
      <c r="A110" t="s">
        <v>9679</v>
      </c>
      <c r="B110">
        <v>6099</v>
      </c>
      <c r="C110" t="s">
        <v>2470</v>
      </c>
      <c r="D110" t="s">
        <v>9681</v>
      </c>
      <c r="E110" t="s">
        <v>9846</v>
      </c>
      <c r="F110" t="s">
        <v>5606</v>
      </c>
    </row>
    <row r="111" spans="1:6">
      <c r="A111" t="s">
        <v>9679</v>
      </c>
      <c r="B111">
        <v>6099</v>
      </c>
      <c r="C111" t="s">
        <v>2470</v>
      </c>
      <c r="D111" t="s">
        <v>9681</v>
      </c>
      <c r="E111" t="s">
        <v>9846</v>
      </c>
      <c r="F111" t="s">
        <v>5606</v>
      </c>
    </row>
    <row r="112" spans="1:6">
      <c r="A112" t="s">
        <v>9679</v>
      </c>
      <c r="B112">
        <v>6099</v>
      </c>
      <c r="C112" t="s">
        <v>2576</v>
      </c>
      <c r="D112" t="s">
        <v>9681</v>
      </c>
      <c r="E112" t="s">
        <v>9846</v>
      </c>
      <c r="F112" t="s">
        <v>5606</v>
      </c>
    </row>
    <row r="113" spans="1:6">
      <c r="A113" t="s">
        <v>9679</v>
      </c>
      <c r="B113">
        <v>6099</v>
      </c>
      <c r="C113" t="s">
        <v>2471</v>
      </c>
      <c r="D113" t="s">
        <v>9681</v>
      </c>
      <c r="E113" t="s">
        <v>9846</v>
      </c>
      <c r="F113" t="s">
        <v>5606</v>
      </c>
    </row>
    <row r="114" spans="1:6">
      <c r="A114" t="s">
        <v>9679</v>
      </c>
      <c r="B114">
        <v>6099</v>
      </c>
      <c r="C114" t="s">
        <v>2202</v>
      </c>
      <c r="D114" t="s">
        <v>9681</v>
      </c>
      <c r="E114" t="s">
        <v>9846</v>
      </c>
      <c r="F114" t="s">
        <v>5606</v>
      </c>
    </row>
    <row r="115" spans="1:6">
      <c r="A115" t="s">
        <v>9679</v>
      </c>
      <c r="B115">
        <v>6099</v>
      </c>
      <c r="C115" t="s">
        <v>3124</v>
      </c>
      <c r="D115" t="s">
        <v>9681</v>
      </c>
      <c r="E115" t="s">
        <v>9846</v>
      </c>
      <c r="F115" t="s">
        <v>5606</v>
      </c>
    </row>
    <row r="116" spans="1:6">
      <c r="A116" t="s">
        <v>9679</v>
      </c>
      <c r="B116">
        <v>6099</v>
      </c>
      <c r="C116" t="s">
        <v>3125</v>
      </c>
      <c r="D116" t="s">
        <v>9681</v>
      </c>
      <c r="E116" t="s">
        <v>9846</v>
      </c>
      <c r="F116" t="s">
        <v>5606</v>
      </c>
    </row>
    <row r="117" spans="1:6">
      <c r="A117" t="s">
        <v>9679</v>
      </c>
      <c r="B117">
        <v>6100</v>
      </c>
      <c r="C117" t="s">
        <v>9850</v>
      </c>
      <c r="D117" t="s">
        <v>9691</v>
      </c>
      <c r="E117" t="s">
        <v>9851</v>
      </c>
      <c r="F117" t="s">
        <v>5606</v>
      </c>
    </row>
    <row r="118" spans="1:6">
      <c r="A118" t="s">
        <v>9679</v>
      </c>
      <c r="B118">
        <v>6100</v>
      </c>
      <c r="C118" t="s">
        <v>9894</v>
      </c>
      <c r="D118" t="s">
        <v>9691</v>
      </c>
      <c r="E118" t="s">
        <v>9851</v>
      </c>
      <c r="F118" t="s">
        <v>5606</v>
      </c>
    </row>
    <row r="119" spans="1:6">
      <c r="A119" t="s">
        <v>9679</v>
      </c>
      <c r="B119">
        <v>6160</v>
      </c>
      <c r="C119" t="s">
        <v>2948</v>
      </c>
      <c r="D119" t="s">
        <v>9697</v>
      </c>
      <c r="E119" t="s">
        <v>9856</v>
      </c>
      <c r="F119" t="s">
        <v>5606</v>
      </c>
    </row>
    <row r="120" spans="1:6">
      <c r="A120" t="s">
        <v>9679</v>
      </c>
      <c r="B120">
        <v>6160</v>
      </c>
      <c r="C120" t="s">
        <v>2950</v>
      </c>
      <c r="D120" t="s">
        <v>9697</v>
      </c>
      <c r="E120" t="s">
        <v>9856</v>
      </c>
      <c r="F120" t="s">
        <v>5606</v>
      </c>
    </row>
    <row r="121" spans="1:6">
      <c r="A121" t="s">
        <v>9679</v>
      </c>
      <c r="B121">
        <v>6160</v>
      </c>
      <c r="C121" t="s">
        <v>2218</v>
      </c>
      <c r="D121" t="s">
        <v>9697</v>
      </c>
      <c r="E121" t="s">
        <v>9856</v>
      </c>
      <c r="F121" t="s">
        <v>5606</v>
      </c>
    </row>
    <row r="122" spans="1:6">
      <c r="A122" t="s">
        <v>9679</v>
      </c>
      <c r="B122">
        <v>6160</v>
      </c>
      <c r="C122" t="s">
        <v>2219</v>
      </c>
      <c r="D122" t="s">
        <v>9697</v>
      </c>
      <c r="E122" t="s">
        <v>9856</v>
      </c>
      <c r="F122" t="s">
        <v>5606</v>
      </c>
    </row>
    <row r="123" spans="1:6">
      <c r="A123" t="s">
        <v>9679</v>
      </c>
      <c r="B123">
        <v>6173</v>
      </c>
      <c r="C123" t="s">
        <v>2211</v>
      </c>
      <c r="D123" t="s">
        <v>9707</v>
      </c>
      <c r="E123" t="s">
        <v>9862</v>
      </c>
      <c r="F123" t="s">
        <v>5606</v>
      </c>
    </row>
    <row r="124" spans="1:6">
      <c r="A124" t="s">
        <v>9679</v>
      </c>
      <c r="B124">
        <v>6173</v>
      </c>
      <c r="C124" t="s">
        <v>2212</v>
      </c>
      <c r="D124" t="s">
        <v>9707</v>
      </c>
      <c r="E124" t="s">
        <v>9862</v>
      </c>
      <c r="F124" t="s">
        <v>5606</v>
      </c>
    </row>
    <row r="125" spans="1:6">
      <c r="A125" t="s">
        <v>9679</v>
      </c>
      <c r="B125">
        <v>1911</v>
      </c>
      <c r="C125" t="s">
        <v>9674</v>
      </c>
      <c r="D125" t="s">
        <v>185</v>
      </c>
      <c r="E125">
        <v>100</v>
      </c>
      <c r="F125" t="s">
        <v>5606</v>
      </c>
    </row>
    <row r="126" spans="1:6">
      <c r="A126" t="s">
        <v>9679</v>
      </c>
      <c r="B126">
        <v>7809</v>
      </c>
      <c r="C126" t="s">
        <v>9674</v>
      </c>
      <c r="D126" t="s">
        <v>185</v>
      </c>
      <c r="E126">
        <v>100</v>
      </c>
      <c r="F126" t="s">
        <v>5606</v>
      </c>
    </row>
    <row r="127" spans="1:6">
      <c r="A127" t="s">
        <v>9679</v>
      </c>
      <c r="B127">
        <v>7870</v>
      </c>
      <c r="C127" t="s">
        <v>9674</v>
      </c>
      <c r="D127" t="s">
        <v>185</v>
      </c>
      <c r="E127">
        <v>100</v>
      </c>
      <c r="F127" t="s">
        <v>5606</v>
      </c>
    </row>
    <row r="128" spans="1:6">
      <c r="A128" t="s">
        <v>9679</v>
      </c>
      <c r="B128">
        <v>7871</v>
      </c>
      <c r="C128" t="s">
        <v>9674</v>
      </c>
      <c r="D128" t="s">
        <v>185</v>
      </c>
      <c r="E128">
        <v>100</v>
      </c>
      <c r="F128" t="s">
        <v>5606</v>
      </c>
    </row>
    <row r="129" spans="1:6">
      <c r="A129" t="s">
        <v>9679</v>
      </c>
      <c r="B129">
        <v>7872</v>
      </c>
      <c r="C129" t="s">
        <v>9674</v>
      </c>
      <c r="D129" t="s">
        <v>185</v>
      </c>
      <c r="E129">
        <v>100</v>
      </c>
      <c r="F129" t="s">
        <v>5606</v>
      </c>
    </row>
    <row r="130" spans="1:6">
      <c r="A130" t="s">
        <v>9679</v>
      </c>
      <c r="B130">
        <v>7873</v>
      </c>
      <c r="C130" t="s">
        <v>9674</v>
      </c>
      <c r="D130" t="s">
        <v>185</v>
      </c>
      <c r="E130">
        <v>100</v>
      </c>
      <c r="F130" t="s">
        <v>5606</v>
      </c>
    </row>
    <row r="131" spans="1:6">
      <c r="A131" t="s">
        <v>9679</v>
      </c>
      <c r="B131">
        <v>7875</v>
      </c>
      <c r="C131" t="s">
        <v>9674</v>
      </c>
      <c r="D131" t="s">
        <v>185</v>
      </c>
      <c r="E131">
        <v>100</v>
      </c>
      <c r="F131" t="s">
        <v>5606</v>
      </c>
    </row>
    <row r="132" spans="1:6">
      <c r="A132" t="s">
        <v>9679</v>
      </c>
      <c r="B132">
        <v>7901</v>
      </c>
      <c r="C132" t="s">
        <v>9674</v>
      </c>
      <c r="D132" t="s">
        <v>185</v>
      </c>
      <c r="E132">
        <v>100</v>
      </c>
      <c r="F132" t="s">
        <v>5606</v>
      </c>
    </row>
    <row r="133" spans="1:6">
      <c r="A133" t="s">
        <v>9679</v>
      </c>
      <c r="B133">
        <v>7902</v>
      </c>
      <c r="C133" t="s">
        <v>9674</v>
      </c>
      <c r="D133" t="s">
        <v>185</v>
      </c>
      <c r="E133">
        <v>100</v>
      </c>
      <c r="F133" t="s">
        <v>5606</v>
      </c>
    </row>
    <row r="134" spans="1:6">
      <c r="A134" t="s">
        <v>9679</v>
      </c>
      <c r="B134">
        <v>7967</v>
      </c>
      <c r="C134" t="s">
        <v>9674</v>
      </c>
      <c r="D134" t="s">
        <v>185</v>
      </c>
      <c r="E134">
        <v>100</v>
      </c>
      <c r="F134" t="s">
        <v>5606</v>
      </c>
    </row>
    <row r="135" spans="1:6">
      <c r="A135" t="s">
        <v>9679</v>
      </c>
      <c r="B135">
        <v>7971</v>
      </c>
      <c r="C135" t="s">
        <v>9674</v>
      </c>
      <c r="D135" t="s">
        <v>185</v>
      </c>
      <c r="E135">
        <v>100</v>
      </c>
      <c r="F135" t="s">
        <v>5606</v>
      </c>
    </row>
    <row r="136" spans="1:6">
      <c r="A136" t="s">
        <v>9679</v>
      </c>
      <c r="B136">
        <v>7972</v>
      </c>
      <c r="C136" t="s">
        <v>9674</v>
      </c>
      <c r="D136" t="s">
        <v>185</v>
      </c>
      <c r="E136">
        <v>100</v>
      </c>
      <c r="F136" t="s">
        <v>5606</v>
      </c>
    </row>
    <row r="137" spans="1:6">
      <c r="A137" t="s">
        <v>9679</v>
      </c>
      <c r="B137">
        <v>7981</v>
      </c>
      <c r="C137" t="s">
        <v>9674</v>
      </c>
      <c r="D137" t="s">
        <v>185</v>
      </c>
      <c r="E137">
        <v>100</v>
      </c>
      <c r="F137" t="s">
        <v>5606</v>
      </c>
    </row>
    <row r="138" spans="1:6">
      <c r="A138" t="s">
        <v>9679</v>
      </c>
      <c r="B138">
        <v>7995</v>
      </c>
      <c r="C138" t="s">
        <v>9674</v>
      </c>
      <c r="D138" t="s">
        <v>185</v>
      </c>
      <c r="E138">
        <v>100</v>
      </c>
      <c r="F138" t="s">
        <v>5606</v>
      </c>
    </row>
    <row r="139" spans="1:6">
      <c r="A139" t="s">
        <v>9679</v>
      </c>
      <c r="B139">
        <v>7996</v>
      </c>
      <c r="C139" t="s">
        <v>9674</v>
      </c>
      <c r="D139" t="s">
        <v>185</v>
      </c>
      <c r="E139">
        <v>100</v>
      </c>
      <c r="F139" t="s">
        <v>5606</v>
      </c>
    </row>
    <row r="140" spans="1:6">
      <c r="A140" t="s">
        <v>9679</v>
      </c>
      <c r="B140">
        <v>8014</v>
      </c>
      <c r="C140" t="s">
        <v>9674</v>
      </c>
      <c r="D140" t="s">
        <v>185</v>
      </c>
      <c r="E140">
        <v>100</v>
      </c>
      <c r="F140" t="s">
        <v>5606</v>
      </c>
    </row>
    <row r="141" spans="1:6">
      <c r="A141" t="s">
        <v>9679</v>
      </c>
      <c r="B141">
        <v>8028</v>
      </c>
      <c r="C141" t="s">
        <v>9674</v>
      </c>
      <c r="D141" t="s">
        <v>185</v>
      </c>
      <c r="E141">
        <v>100</v>
      </c>
      <c r="F141" t="s">
        <v>5606</v>
      </c>
    </row>
    <row r="142" spans="1:6">
      <c r="A142" t="s">
        <v>9679</v>
      </c>
      <c r="B142">
        <v>8038</v>
      </c>
      <c r="C142" t="s">
        <v>9674</v>
      </c>
      <c r="D142" t="s">
        <v>185</v>
      </c>
      <c r="E142">
        <v>100</v>
      </c>
      <c r="F142" t="s">
        <v>5606</v>
      </c>
    </row>
    <row r="143" spans="1:6">
      <c r="A143" t="s">
        <v>9679</v>
      </c>
      <c r="B143">
        <v>8667</v>
      </c>
      <c r="C143" t="s">
        <v>9674</v>
      </c>
      <c r="D143" t="s">
        <v>185</v>
      </c>
      <c r="E143">
        <v>100</v>
      </c>
      <c r="F143" t="s">
        <v>5606</v>
      </c>
    </row>
    <row r="144" spans="1:6">
      <c r="A144" t="s">
        <v>9679</v>
      </c>
      <c r="B144">
        <v>8677</v>
      </c>
      <c r="C144" t="s">
        <v>9674</v>
      </c>
      <c r="D144" t="s">
        <v>185</v>
      </c>
      <c r="E144">
        <v>100</v>
      </c>
      <c r="F144" t="s">
        <v>5606</v>
      </c>
    </row>
    <row r="145" spans="1:6">
      <c r="A145" t="s">
        <v>9679</v>
      </c>
      <c r="B145">
        <v>8678</v>
      </c>
      <c r="C145" t="s">
        <v>9674</v>
      </c>
      <c r="D145" t="s">
        <v>185</v>
      </c>
      <c r="E145">
        <v>100</v>
      </c>
      <c r="F145" t="s">
        <v>5606</v>
      </c>
    </row>
    <row r="146" spans="1:6">
      <c r="A146" t="s">
        <v>9679</v>
      </c>
      <c r="B146">
        <v>8720</v>
      </c>
      <c r="C146" t="s">
        <v>9674</v>
      </c>
      <c r="D146" t="s">
        <v>185</v>
      </c>
      <c r="E146">
        <v>100</v>
      </c>
      <c r="F146" t="s">
        <v>5606</v>
      </c>
    </row>
    <row r="147" spans="1:6">
      <c r="A147" t="s">
        <v>9679</v>
      </c>
      <c r="B147">
        <v>8730</v>
      </c>
      <c r="C147" t="s">
        <v>9674</v>
      </c>
      <c r="D147" t="s">
        <v>185</v>
      </c>
      <c r="E147">
        <v>100</v>
      </c>
      <c r="F147" t="s">
        <v>5606</v>
      </c>
    </row>
    <row r="148" spans="1:6">
      <c r="A148" t="s">
        <v>9679</v>
      </c>
      <c r="B148">
        <v>8740</v>
      </c>
      <c r="C148" t="s">
        <v>9674</v>
      </c>
      <c r="D148" t="s">
        <v>185</v>
      </c>
      <c r="E148">
        <v>100</v>
      </c>
      <c r="F148" t="s">
        <v>5606</v>
      </c>
    </row>
    <row r="149" spans="1:6">
      <c r="A149" t="s">
        <v>9679</v>
      </c>
      <c r="B149">
        <v>8750</v>
      </c>
      <c r="C149" t="s">
        <v>9674</v>
      </c>
      <c r="D149" t="s">
        <v>185</v>
      </c>
      <c r="E149">
        <v>100</v>
      </c>
      <c r="F149" t="s">
        <v>5606</v>
      </c>
    </row>
    <row r="150" spans="1:6">
      <c r="A150" t="s">
        <v>9679</v>
      </c>
      <c r="B150">
        <v>8832</v>
      </c>
      <c r="C150" t="s">
        <v>9674</v>
      </c>
      <c r="D150" t="s">
        <v>185</v>
      </c>
      <c r="E150">
        <v>100</v>
      </c>
      <c r="F150" t="s">
        <v>5606</v>
      </c>
    </row>
    <row r="151" spans="1:6">
      <c r="A151" t="s">
        <v>9679</v>
      </c>
      <c r="B151">
        <v>8839</v>
      </c>
      <c r="C151" t="s">
        <v>9674</v>
      </c>
      <c r="D151" t="s">
        <v>185</v>
      </c>
      <c r="E151">
        <v>100</v>
      </c>
      <c r="F151" t="s">
        <v>5606</v>
      </c>
    </row>
    <row r="152" spans="1:6">
      <c r="A152" t="s">
        <v>9679</v>
      </c>
      <c r="B152">
        <v>8843</v>
      </c>
      <c r="C152" t="s">
        <v>9674</v>
      </c>
      <c r="D152" t="s">
        <v>185</v>
      </c>
      <c r="E152">
        <v>100</v>
      </c>
      <c r="F152" t="s">
        <v>5606</v>
      </c>
    </row>
    <row r="153" spans="1:6">
      <c r="A153" t="s">
        <v>9679</v>
      </c>
      <c r="B153">
        <v>8850</v>
      </c>
      <c r="C153" t="s">
        <v>9674</v>
      </c>
      <c r="D153" t="s">
        <v>185</v>
      </c>
      <c r="E153">
        <v>100</v>
      </c>
      <c r="F153" t="s">
        <v>5606</v>
      </c>
    </row>
    <row r="154" spans="1:6">
      <c r="A154" t="s">
        <v>9679</v>
      </c>
      <c r="B154">
        <v>8852</v>
      </c>
      <c r="C154" t="s">
        <v>9674</v>
      </c>
      <c r="D154" t="s">
        <v>185</v>
      </c>
      <c r="E154">
        <v>100</v>
      </c>
      <c r="F154" t="s">
        <v>5606</v>
      </c>
    </row>
    <row r="155" spans="1:6">
      <c r="A155" t="s">
        <v>9679</v>
      </c>
      <c r="B155">
        <v>8853</v>
      </c>
      <c r="C155" t="s">
        <v>9674</v>
      </c>
      <c r="D155" t="s">
        <v>185</v>
      </c>
      <c r="E155">
        <v>100</v>
      </c>
      <c r="F155" t="s">
        <v>5606</v>
      </c>
    </row>
    <row r="156" spans="1:6">
      <c r="A156" t="s">
        <v>9679</v>
      </c>
      <c r="B156">
        <v>8886</v>
      </c>
      <c r="C156" t="s">
        <v>9674</v>
      </c>
      <c r="D156" t="s">
        <v>185</v>
      </c>
      <c r="E156">
        <v>100</v>
      </c>
      <c r="F156" t="s">
        <v>5606</v>
      </c>
    </row>
    <row r="157" spans="1:6">
      <c r="A157" t="s">
        <v>9679</v>
      </c>
      <c r="B157">
        <v>8721</v>
      </c>
      <c r="C157" t="s">
        <v>9674</v>
      </c>
      <c r="D157" t="s">
        <v>186</v>
      </c>
      <c r="E157">
        <v>205</v>
      </c>
      <c r="F157" t="s">
        <v>5606</v>
      </c>
    </row>
    <row r="158" spans="1:6">
      <c r="A158" t="s">
        <v>9679</v>
      </c>
      <c r="B158">
        <v>8731</v>
      </c>
      <c r="C158" t="s">
        <v>9674</v>
      </c>
      <c r="D158" t="s">
        <v>186</v>
      </c>
      <c r="E158">
        <v>205</v>
      </c>
      <c r="F158" t="s">
        <v>5606</v>
      </c>
    </row>
    <row r="159" spans="1:6">
      <c r="A159" t="s">
        <v>9679</v>
      </c>
      <c r="B159">
        <v>7906</v>
      </c>
      <c r="C159" t="s">
        <v>9674</v>
      </c>
      <c r="D159" t="s">
        <v>186</v>
      </c>
      <c r="E159">
        <v>205</v>
      </c>
      <c r="F159" t="s">
        <v>5606</v>
      </c>
    </row>
    <row r="160" spans="1:6">
      <c r="A160" t="s">
        <v>9679</v>
      </c>
      <c r="B160">
        <v>7916</v>
      </c>
      <c r="C160" t="s">
        <v>9674</v>
      </c>
      <c r="D160" t="s">
        <v>186</v>
      </c>
      <c r="E160">
        <v>205</v>
      </c>
      <c r="F160" t="s">
        <v>5606</v>
      </c>
    </row>
    <row r="161" spans="1:6">
      <c r="A161" t="s">
        <v>9679</v>
      </c>
      <c r="B161">
        <v>8737</v>
      </c>
      <c r="C161" t="s">
        <v>9674</v>
      </c>
      <c r="D161" t="s">
        <v>186</v>
      </c>
      <c r="E161">
        <v>205</v>
      </c>
      <c r="F161" t="s">
        <v>5606</v>
      </c>
    </row>
    <row r="162" spans="1:6">
      <c r="A162" t="s">
        <v>9679</v>
      </c>
      <c r="B162">
        <v>7917</v>
      </c>
      <c r="C162" t="s">
        <v>9674</v>
      </c>
      <c r="D162" t="s">
        <v>186</v>
      </c>
      <c r="E162">
        <v>205</v>
      </c>
      <c r="F162" t="s">
        <v>5606</v>
      </c>
    </row>
    <row r="163" spans="1:6">
      <c r="A163" t="s">
        <v>9679</v>
      </c>
      <c r="B163">
        <v>7903</v>
      </c>
      <c r="C163" t="s">
        <v>9674</v>
      </c>
      <c r="D163" t="s">
        <v>186</v>
      </c>
      <c r="E163">
        <v>205</v>
      </c>
      <c r="F163" t="s">
        <v>5606</v>
      </c>
    </row>
    <row r="164" spans="1:6">
      <c r="A164" t="s">
        <v>9679</v>
      </c>
      <c r="B164">
        <v>5455</v>
      </c>
      <c r="C164" t="s">
        <v>9674</v>
      </c>
      <c r="D164" t="s">
        <v>186</v>
      </c>
      <c r="E164">
        <v>205</v>
      </c>
      <c r="F164" t="s">
        <v>5606</v>
      </c>
    </row>
    <row r="165" spans="1:6">
      <c r="A165" t="s">
        <v>9679</v>
      </c>
      <c r="B165">
        <v>5456</v>
      </c>
      <c r="C165" t="s">
        <v>9674</v>
      </c>
      <c r="D165" t="s">
        <v>186</v>
      </c>
      <c r="E165">
        <v>205</v>
      </c>
      <c r="F165" t="s">
        <v>5606</v>
      </c>
    </row>
    <row r="166" spans="1:6">
      <c r="A166" t="s">
        <v>9679</v>
      </c>
      <c r="B166">
        <v>6391</v>
      </c>
      <c r="C166" t="s">
        <v>9674</v>
      </c>
      <c r="D166" t="s">
        <v>186</v>
      </c>
      <c r="E166">
        <v>205</v>
      </c>
      <c r="F166" t="s">
        <v>5606</v>
      </c>
    </row>
    <row r="167" spans="1:6">
      <c r="A167" t="s">
        <v>9679</v>
      </c>
      <c r="B167">
        <v>7912</v>
      </c>
      <c r="C167" t="s">
        <v>9674</v>
      </c>
      <c r="D167" t="s">
        <v>186</v>
      </c>
      <c r="E167">
        <v>205</v>
      </c>
      <c r="F167" t="s">
        <v>5606</v>
      </c>
    </row>
    <row r="168" spans="1:6">
      <c r="A168" t="s">
        <v>9679</v>
      </c>
      <c r="B168">
        <v>7913</v>
      </c>
      <c r="C168" t="s">
        <v>9674</v>
      </c>
      <c r="D168" t="s">
        <v>186</v>
      </c>
      <c r="E168">
        <v>205</v>
      </c>
      <c r="F168" t="s">
        <v>5606</v>
      </c>
    </row>
    <row r="169" spans="1:6">
      <c r="A169" t="s">
        <v>9679</v>
      </c>
      <c r="B169">
        <v>7918</v>
      </c>
      <c r="C169" t="s">
        <v>9674</v>
      </c>
      <c r="D169" t="s">
        <v>186</v>
      </c>
      <c r="E169">
        <v>205</v>
      </c>
      <c r="F169" t="s">
        <v>5606</v>
      </c>
    </row>
    <row r="170" spans="1:6">
      <c r="A170" t="s">
        <v>9679</v>
      </c>
      <c r="B170">
        <v>7919</v>
      </c>
      <c r="C170" t="s">
        <v>9674</v>
      </c>
      <c r="D170" t="s">
        <v>186</v>
      </c>
      <c r="E170">
        <v>205</v>
      </c>
      <c r="F170" t="s">
        <v>5606</v>
      </c>
    </row>
    <row r="171" spans="1:6">
      <c r="A171" t="s">
        <v>9679</v>
      </c>
      <c r="B171">
        <v>8685</v>
      </c>
      <c r="C171" t="s">
        <v>9674</v>
      </c>
      <c r="D171" t="s">
        <v>186</v>
      </c>
      <c r="E171">
        <v>205</v>
      </c>
      <c r="F171" t="s">
        <v>5606</v>
      </c>
    </row>
    <row r="172" spans="1:6">
      <c r="A172" t="s">
        <v>9679</v>
      </c>
      <c r="B172">
        <v>8686</v>
      </c>
      <c r="C172" t="s">
        <v>9674</v>
      </c>
      <c r="D172" t="s">
        <v>186</v>
      </c>
      <c r="E172">
        <v>205</v>
      </c>
      <c r="F172" t="s">
        <v>5606</v>
      </c>
    </row>
    <row r="173" spans="1:6">
      <c r="A173" t="s">
        <v>9679</v>
      </c>
      <c r="B173">
        <v>8861</v>
      </c>
      <c r="C173" t="s">
        <v>9674</v>
      </c>
      <c r="D173" t="s">
        <v>186</v>
      </c>
      <c r="E173">
        <v>205</v>
      </c>
      <c r="F173" t="s">
        <v>5606</v>
      </c>
    </row>
    <row r="174" spans="1:6">
      <c r="A174" t="s">
        <v>9679</v>
      </c>
      <c r="B174">
        <v>8862</v>
      </c>
      <c r="C174" t="s">
        <v>9674</v>
      </c>
      <c r="D174" t="s">
        <v>186</v>
      </c>
      <c r="E174">
        <v>205</v>
      </c>
      <c r="F174" t="s">
        <v>5606</v>
      </c>
    </row>
    <row r="175" spans="1:6">
      <c r="A175" t="s">
        <v>9679</v>
      </c>
      <c r="B175">
        <v>8863</v>
      </c>
      <c r="C175" t="s">
        <v>9674</v>
      </c>
      <c r="D175" t="s">
        <v>186</v>
      </c>
      <c r="E175">
        <v>205</v>
      </c>
      <c r="F175" t="s">
        <v>5606</v>
      </c>
    </row>
    <row r="176" spans="1:6">
      <c r="A176" t="s">
        <v>9679</v>
      </c>
      <c r="B176">
        <v>8683</v>
      </c>
      <c r="C176" t="s">
        <v>9674</v>
      </c>
      <c r="D176" t="s">
        <v>186</v>
      </c>
      <c r="E176">
        <v>205</v>
      </c>
      <c r="F176" t="s">
        <v>5606</v>
      </c>
    </row>
    <row r="177" spans="1:6">
      <c r="A177" t="s">
        <v>9679</v>
      </c>
      <c r="B177">
        <v>8687</v>
      </c>
      <c r="C177" t="s">
        <v>9674</v>
      </c>
      <c r="D177" t="s">
        <v>186</v>
      </c>
      <c r="E177">
        <v>205</v>
      </c>
      <c r="F177" t="s">
        <v>5606</v>
      </c>
    </row>
    <row r="178" spans="1:6">
      <c r="A178" t="s">
        <v>9679</v>
      </c>
      <c r="B178">
        <v>8870</v>
      </c>
      <c r="C178" t="s">
        <v>9674</v>
      </c>
      <c r="D178" t="s">
        <v>186</v>
      </c>
      <c r="E178">
        <v>205</v>
      </c>
      <c r="F178" t="s">
        <v>5606</v>
      </c>
    </row>
    <row r="179" spans="1:6">
      <c r="A179" t="s">
        <v>9679</v>
      </c>
      <c r="B179">
        <v>8688</v>
      </c>
      <c r="C179" t="s">
        <v>9674</v>
      </c>
      <c r="D179" t="s">
        <v>186</v>
      </c>
      <c r="E179">
        <v>205</v>
      </c>
      <c r="F179" t="s">
        <v>5606</v>
      </c>
    </row>
    <row r="180" spans="1:6">
      <c r="A180" t="s">
        <v>9679</v>
      </c>
      <c r="B180">
        <v>8855</v>
      </c>
      <c r="C180" t="s">
        <v>9674</v>
      </c>
      <c r="D180" t="s">
        <v>186</v>
      </c>
      <c r="E180">
        <v>205</v>
      </c>
      <c r="F180" t="s">
        <v>5606</v>
      </c>
    </row>
    <row r="181" spans="1:6">
      <c r="A181" t="s">
        <v>9679</v>
      </c>
      <c r="B181">
        <v>8872</v>
      </c>
      <c r="C181" t="s">
        <v>9674</v>
      </c>
      <c r="D181" t="s">
        <v>186</v>
      </c>
      <c r="E181">
        <v>205</v>
      </c>
      <c r="F181" t="s">
        <v>5606</v>
      </c>
    </row>
    <row r="182" spans="1:6">
      <c r="A182" t="s">
        <v>9679</v>
      </c>
      <c r="B182">
        <v>8874</v>
      </c>
      <c r="C182" t="s">
        <v>9674</v>
      </c>
      <c r="D182" t="s">
        <v>186</v>
      </c>
      <c r="E182">
        <v>205</v>
      </c>
      <c r="F182" t="s">
        <v>5606</v>
      </c>
    </row>
    <row r="183" spans="1:6">
      <c r="A183" t="s">
        <v>9679</v>
      </c>
      <c r="B183">
        <v>6385</v>
      </c>
      <c r="C183" t="s">
        <v>9674</v>
      </c>
      <c r="D183" t="s">
        <v>186</v>
      </c>
      <c r="E183">
        <v>205</v>
      </c>
      <c r="F183" t="s">
        <v>5606</v>
      </c>
    </row>
    <row r="184" spans="1:6">
      <c r="A184" t="s">
        <v>9679</v>
      </c>
      <c r="B184">
        <v>6386</v>
      </c>
      <c r="C184" t="s">
        <v>9674</v>
      </c>
      <c r="D184" t="s">
        <v>186</v>
      </c>
      <c r="E184">
        <v>205</v>
      </c>
      <c r="F184" t="s">
        <v>5606</v>
      </c>
    </row>
    <row r="185" spans="1:6">
      <c r="A185" t="s">
        <v>9679</v>
      </c>
      <c r="B185">
        <v>6388</v>
      </c>
      <c r="C185" t="s">
        <v>9674</v>
      </c>
      <c r="D185" t="s">
        <v>186</v>
      </c>
      <c r="E185">
        <v>205</v>
      </c>
      <c r="F185" t="s">
        <v>5606</v>
      </c>
    </row>
    <row r="186" spans="1:6">
      <c r="A186" t="s">
        <v>9679</v>
      </c>
      <c r="B186">
        <v>6389</v>
      </c>
      <c r="C186" t="s">
        <v>9674</v>
      </c>
      <c r="D186" t="s">
        <v>186</v>
      </c>
      <c r="E186">
        <v>205</v>
      </c>
      <c r="F186" t="s">
        <v>5606</v>
      </c>
    </row>
    <row r="187" spans="1:6">
      <c r="A187" t="s">
        <v>9679</v>
      </c>
      <c r="B187">
        <v>6390</v>
      </c>
      <c r="C187" t="s">
        <v>9674</v>
      </c>
      <c r="D187" t="s">
        <v>186</v>
      </c>
      <c r="E187">
        <v>205</v>
      </c>
      <c r="F187" t="s">
        <v>5606</v>
      </c>
    </row>
    <row r="188" spans="1:6">
      <c r="A188" t="s">
        <v>9679</v>
      </c>
      <c r="B188">
        <v>7321</v>
      </c>
      <c r="C188" t="s">
        <v>9674</v>
      </c>
      <c r="D188" t="s">
        <v>186</v>
      </c>
      <c r="E188">
        <v>205</v>
      </c>
      <c r="F188" t="s">
        <v>5606</v>
      </c>
    </row>
    <row r="189" spans="1:6">
      <c r="A189" t="s">
        <v>9679</v>
      </c>
      <c r="B189">
        <v>7831</v>
      </c>
      <c r="C189" t="s">
        <v>9674</v>
      </c>
      <c r="D189" t="s">
        <v>186</v>
      </c>
      <c r="E189">
        <v>205</v>
      </c>
      <c r="F189" t="s">
        <v>5606</v>
      </c>
    </row>
    <row r="190" spans="1:6">
      <c r="A190" t="s">
        <v>9679</v>
      </c>
      <c r="B190">
        <v>7832</v>
      </c>
      <c r="C190" t="s">
        <v>9674</v>
      </c>
      <c r="D190" t="s">
        <v>186</v>
      </c>
      <c r="E190">
        <v>205</v>
      </c>
      <c r="F190" t="s">
        <v>5606</v>
      </c>
    </row>
    <row r="191" spans="1:6">
      <c r="A191" t="s">
        <v>9679</v>
      </c>
      <c r="B191">
        <v>7833</v>
      </c>
      <c r="C191" t="s">
        <v>9674</v>
      </c>
      <c r="D191" t="s">
        <v>186</v>
      </c>
      <c r="E191">
        <v>205</v>
      </c>
      <c r="F191" t="s">
        <v>5606</v>
      </c>
    </row>
    <row r="192" spans="1:6">
      <c r="A192" t="s">
        <v>9679</v>
      </c>
      <c r="B192">
        <v>7834</v>
      </c>
      <c r="C192" t="s">
        <v>9674</v>
      </c>
      <c r="D192" t="s">
        <v>186</v>
      </c>
      <c r="E192">
        <v>205</v>
      </c>
      <c r="F192" t="s">
        <v>5606</v>
      </c>
    </row>
    <row r="193" spans="1:6">
      <c r="A193" t="s">
        <v>9679</v>
      </c>
      <c r="B193">
        <v>8722</v>
      </c>
      <c r="C193" t="s">
        <v>9674</v>
      </c>
      <c r="D193" t="s">
        <v>186</v>
      </c>
      <c r="E193">
        <v>205</v>
      </c>
      <c r="F193" t="s">
        <v>5606</v>
      </c>
    </row>
    <row r="194" spans="1:6">
      <c r="A194" t="s">
        <v>9679</v>
      </c>
      <c r="B194">
        <v>8733</v>
      </c>
      <c r="C194" t="s">
        <v>9674</v>
      </c>
      <c r="D194" t="s">
        <v>186</v>
      </c>
      <c r="E194">
        <v>205</v>
      </c>
      <c r="F194" t="s">
        <v>5606</v>
      </c>
    </row>
    <row r="195" spans="1:6">
      <c r="A195" t="s">
        <v>9679</v>
      </c>
      <c r="B195">
        <v>8752</v>
      </c>
      <c r="C195" t="s">
        <v>9674</v>
      </c>
      <c r="D195" t="s">
        <v>186</v>
      </c>
      <c r="E195">
        <v>205</v>
      </c>
      <c r="F195" t="s">
        <v>5606</v>
      </c>
    </row>
    <row r="196" spans="1:6">
      <c r="A196" t="s">
        <v>9679</v>
      </c>
      <c r="B196">
        <v>6205</v>
      </c>
      <c r="C196" t="s">
        <v>9674</v>
      </c>
      <c r="D196" t="s">
        <v>186</v>
      </c>
      <c r="E196">
        <v>205</v>
      </c>
      <c r="F196" t="s">
        <v>5606</v>
      </c>
    </row>
    <row r="197" spans="1:6">
      <c r="A197" t="s">
        <v>9679</v>
      </c>
      <c r="B197">
        <v>7163</v>
      </c>
      <c r="C197" t="s">
        <v>9674</v>
      </c>
      <c r="D197" t="s">
        <v>186</v>
      </c>
      <c r="E197">
        <v>205</v>
      </c>
      <c r="F197" t="s">
        <v>5606</v>
      </c>
    </row>
    <row r="198" spans="1:6">
      <c r="A198" t="s">
        <v>9679</v>
      </c>
      <c r="B198">
        <v>8877</v>
      </c>
      <c r="C198" t="s">
        <v>9674</v>
      </c>
      <c r="D198" t="s">
        <v>186</v>
      </c>
      <c r="E198">
        <v>205</v>
      </c>
      <c r="F198" t="s">
        <v>5606</v>
      </c>
    </row>
    <row r="199" spans="1:6">
      <c r="A199" t="s">
        <v>9679</v>
      </c>
      <c r="B199">
        <v>7164</v>
      </c>
      <c r="C199" t="s">
        <v>9674</v>
      </c>
      <c r="D199" t="s">
        <v>186</v>
      </c>
      <c r="E199">
        <v>205</v>
      </c>
      <c r="F199" t="s">
        <v>5606</v>
      </c>
    </row>
    <row r="200" spans="1:6">
      <c r="A200" t="s">
        <v>9679</v>
      </c>
      <c r="B200">
        <v>8865</v>
      </c>
      <c r="C200" t="s">
        <v>9674</v>
      </c>
      <c r="D200" t="s">
        <v>186</v>
      </c>
      <c r="E200">
        <v>205</v>
      </c>
      <c r="F200" t="s">
        <v>5606</v>
      </c>
    </row>
    <row r="201" spans="1:6">
      <c r="A201" t="s">
        <v>9679</v>
      </c>
      <c r="B201">
        <v>8866</v>
      </c>
      <c r="C201" t="s">
        <v>9674</v>
      </c>
      <c r="D201" t="s">
        <v>186</v>
      </c>
      <c r="E201">
        <v>205</v>
      </c>
      <c r="F201" t="s">
        <v>5606</v>
      </c>
    </row>
    <row r="202" spans="1:6">
      <c r="A202" t="s">
        <v>9679</v>
      </c>
      <c r="B202">
        <v>8864</v>
      </c>
      <c r="C202" t="s">
        <v>9674</v>
      </c>
      <c r="D202" t="s">
        <v>186</v>
      </c>
      <c r="E202">
        <v>205</v>
      </c>
      <c r="F202" t="s">
        <v>5606</v>
      </c>
    </row>
    <row r="203" spans="1:6">
      <c r="A203" t="s">
        <v>9679</v>
      </c>
      <c r="B203">
        <v>7141</v>
      </c>
      <c r="C203" t="s">
        <v>9674</v>
      </c>
      <c r="D203" t="s">
        <v>186</v>
      </c>
      <c r="E203">
        <v>205</v>
      </c>
      <c r="F203" t="s">
        <v>5606</v>
      </c>
    </row>
    <row r="204" spans="1:6">
      <c r="A204" t="s">
        <v>9679</v>
      </c>
      <c r="B204">
        <v>7143</v>
      </c>
      <c r="C204" t="s">
        <v>9674</v>
      </c>
      <c r="D204" t="s">
        <v>186</v>
      </c>
      <c r="E204">
        <v>205</v>
      </c>
      <c r="F204" t="s">
        <v>5606</v>
      </c>
    </row>
    <row r="205" spans="1:6">
      <c r="A205" t="s">
        <v>9679</v>
      </c>
      <c r="B205">
        <v>7145</v>
      </c>
      <c r="C205" t="s">
        <v>9674</v>
      </c>
      <c r="D205" t="s">
        <v>186</v>
      </c>
      <c r="E205">
        <v>205</v>
      </c>
      <c r="F205" t="s">
        <v>5606</v>
      </c>
    </row>
    <row r="206" spans="1:6">
      <c r="A206" t="s">
        <v>9679</v>
      </c>
      <c r="B206">
        <v>7147</v>
      </c>
      <c r="C206" t="s">
        <v>9674</v>
      </c>
      <c r="D206" t="s">
        <v>186</v>
      </c>
      <c r="E206">
        <v>205</v>
      </c>
      <c r="F206" t="s">
        <v>5606</v>
      </c>
    </row>
    <row r="207" spans="1:6">
      <c r="A207" t="s">
        <v>9679</v>
      </c>
      <c r="B207">
        <v>3837</v>
      </c>
      <c r="C207" t="s">
        <v>9674</v>
      </c>
      <c r="D207" t="s">
        <v>186</v>
      </c>
      <c r="E207">
        <v>205</v>
      </c>
      <c r="F207" t="s">
        <v>5606</v>
      </c>
    </row>
    <row r="208" spans="1:6">
      <c r="A208" t="s">
        <v>9679</v>
      </c>
      <c r="B208">
        <v>8878</v>
      </c>
      <c r="C208" t="s">
        <v>9674</v>
      </c>
      <c r="D208" t="s">
        <v>186</v>
      </c>
      <c r="E208">
        <v>205</v>
      </c>
      <c r="F208" t="s">
        <v>5606</v>
      </c>
    </row>
    <row r="209" spans="1:6">
      <c r="A209" t="s">
        <v>9679</v>
      </c>
      <c r="B209">
        <v>8879</v>
      </c>
      <c r="C209" t="s">
        <v>9674</v>
      </c>
      <c r="D209" t="s">
        <v>186</v>
      </c>
      <c r="E209">
        <v>205</v>
      </c>
      <c r="F209" t="s">
        <v>5606</v>
      </c>
    </row>
    <row r="210" spans="1:6">
      <c r="A210" t="s">
        <v>9679</v>
      </c>
      <c r="B210">
        <v>5464</v>
      </c>
      <c r="C210" t="s">
        <v>9674</v>
      </c>
      <c r="D210" t="s">
        <v>186</v>
      </c>
      <c r="E210">
        <v>205</v>
      </c>
      <c r="F210" t="s">
        <v>5606</v>
      </c>
    </row>
    <row r="211" spans="1:6">
      <c r="A211" t="s">
        <v>9679</v>
      </c>
      <c r="B211">
        <v>9532</v>
      </c>
      <c r="C211" t="s">
        <v>9674</v>
      </c>
      <c r="D211" t="s">
        <v>186</v>
      </c>
      <c r="E211">
        <v>205</v>
      </c>
      <c r="F211" t="s">
        <v>5606</v>
      </c>
    </row>
    <row r="212" spans="1:6">
      <c r="A212" t="s">
        <v>9679</v>
      </c>
      <c r="B212">
        <v>5465</v>
      </c>
      <c r="C212" t="s">
        <v>9674</v>
      </c>
      <c r="D212" t="s">
        <v>186</v>
      </c>
      <c r="E212">
        <v>205</v>
      </c>
      <c r="F212" t="s">
        <v>5606</v>
      </c>
    </row>
    <row r="213" spans="1:6">
      <c r="A213" t="s">
        <v>9679</v>
      </c>
      <c r="B213">
        <v>5456</v>
      </c>
      <c r="C213" t="s">
        <v>9674</v>
      </c>
      <c r="D213" t="s">
        <v>186</v>
      </c>
      <c r="E213">
        <v>205</v>
      </c>
      <c r="F213" t="s">
        <v>5606</v>
      </c>
    </row>
    <row r="214" spans="1:6">
      <c r="A214" t="s">
        <v>9679</v>
      </c>
      <c r="B214">
        <v>7148</v>
      </c>
      <c r="C214" t="s">
        <v>9674</v>
      </c>
      <c r="D214" t="s">
        <v>186</v>
      </c>
      <c r="E214">
        <v>205</v>
      </c>
      <c r="F214" t="s">
        <v>5606</v>
      </c>
    </row>
    <row r="215" spans="1:6">
      <c r="A215" t="s">
        <v>9679</v>
      </c>
      <c r="B215">
        <v>7385</v>
      </c>
      <c r="C215" t="s">
        <v>9674</v>
      </c>
      <c r="D215" t="s">
        <v>186</v>
      </c>
      <c r="E215">
        <v>205</v>
      </c>
      <c r="F215" t="s">
        <v>5606</v>
      </c>
    </row>
    <row r="216" spans="1:6">
      <c r="A216" t="s">
        <v>9679</v>
      </c>
      <c r="B216">
        <v>7162</v>
      </c>
      <c r="C216" t="s">
        <v>9674</v>
      </c>
      <c r="D216" t="s">
        <v>186</v>
      </c>
      <c r="E216">
        <v>205</v>
      </c>
      <c r="F216" t="s">
        <v>5606</v>
      </c>
    </row>
    <row r="217" spans="1:6">
      <c r="A217" t="s">
        <v>9679</v>
      </c>
      <c r="B217">
        <v>6241</v>
      </c>
      <c r="C217" t="s">
        <v>9674</v>
      </c>
      <c r="D217" t="s">
        <v>186</v>
      </c>
      <c r="E217">
        <v>205</v>
      </c>
      <c r="F217" t="s">
        <v>5606</v>
      </c>
    </row>
    <row r="218" spans="1:6">
      <c r="A218" t="s">
        <v>9679</v>
      </c>
      <c r="B218">
        <v>8835</v>
      </c>
      <c r="C218" t="s">
        <v>9674</v>
      </c>
      <c r="D218" t="s">
        <v>187</v>
      </c>
      <c r="E218" t="s">
        <v>9823</v>
      </c>
      <c r="F218" t="s">
        <v>5606</v>
      </c>
    </row>
    <row r="219" spans="1:6">
      <c r="A219" t="s">
        <v>9679</v>
      </c>
      <c r="B219">
        <v>8848</v>
      </c>
      <c r="C219" t="s">
        <v>9674</v>
      </c>
      <c r="D219" t="s">
        <v>187</v>
      </c>
      <c r="E219" t="s">
        <v>9823</v>
      </c>
      <c r="F219" t="s">
        <v>5606</v>
      </c>
    </row>
    <row r="220" spans="1:6">
      <c r="A220" t="s">
        <v>9679</v>
      </c>
      <c r="B220">
        <v>7992</v>
      </c>
      <c r="C220" t="s">
        <v>9674</v>
      </c>
      <c r="D220" t="s">
        <v>187</v>
      </c>
      <c r="E220" t="s">
        <v>9823</v>
      </c>
      <c r="F220" t="s">
        <v>5606</v>
      </c>
    </row>
    <row r="221" spans="1:6">
      <c r="A221" t="s">
        <v>9679</v>
      </c>
      <c r="B221">
        <v>8674</v>
      </c>
      <c r="C221" t="s">
        <v>9674</v>
      </c>
      <c r="D221" t="s">
        <v>187</v>
      </c>
      <c r="E221" t="s">
        <v>9823</v>
      </c>
      <c r="F221" t="s">
        <v>5606</v>
      </c>
    </row>
    <row r="222" spans="1:6">
      <c r="A222" t="s">
        <v>9679</v>
      </c>
      <c r="B222">
        <v>8676</v>
      </c>
      <c r="C222" t="s">
        <v>9674</v>
      </c>
      <c r="D222" t="s">
        <v>187</v>
      </c>
      <c r="E222" t="s">
        <v>9823</v>
      </c>
      <c r="F222" t="s">
        <v>5606</v>
      </c>
    </row>
    <row r="223" spans="1:6">
      <c r="A223" t="s">
        <v>9679</v>
      </c>
      <c r="B223">
        <v>8830</v>
      </c>
      <c r="C223" t="s">
        <v>9674</v>
      </c>
      <c r="D223" t="s">
        <v>187</v>
      </c>
      <c r="E223" t="s">
        <v>9823</v>
      </c>
      <c r="F223" t="s">
        <v>5606</v>
      </c>
    </row>
    <row r="224" spans="1:6">
      <c r="A224" t="s">
        <v>9679</v>
      </c>
      <c r="B224">
        <v>8837</v>
      </c>
      <c r="C224" t="s">
        <v>9674</v>
      </c>
      <c r="D224" t="s">
        <v>187</v>
      </c>
      <c r="E224" t="s">
        <v>9823</v>
      </c>
      <c r="F224" t="s">
        <v>5606</v>
      </c>
    </row>
    <row r="225" spans="1:6">
      <c r="A225" t="s">
        <v>9679</v>
      </c>
      <c r="B225">
        <v>8827</v>
      </c>
      <c r="C225" t="s">
        <v>9674</v>
      </c>
      <c r="D225" t="s">
        <v>187</v>
      </c>
      <c r="E225" t="s">
        <v>9823</v>
      </c>
      <c r="F225" t="s">
        <v>5606</v>
      </c>
    </row>
    <row r="226" spans="1:6">
      <c r="A226" t="s">
        <v>9679</v>
      </c>
      <c r="B226">
        <v>8670</v>
      </c>
      <c r="C226" t="s">
        <v>9674</v>
      </c>
      <c r="D226" t="s">
        <v>187</v>
      </c>
      <c r="E226" t="s">
        <v>9823</v>
      </c>
      <c r="F226" t="s">
        <v>5606</v>
      </c>
    </row>
    <row r="227" spans="1:6">
      <c r="A227" t="s">
        <v>9679</v>
      </c>
      <c r="B227">
        <v>7977</v>
      </c>
      <c r="C227" t="s">
        <v>9674</v>
      </c>
      <c r="D227" t="s">
        <v>187</v>
      </c>
      <c r="E227" t="s">
        <v>9823</v>
      </c>
      <c r="F227" t="s">
        <v>5606</v>
      </c>
    </row>
    <row r="228" spans="1:6">
      <c r="A228" t="s">
        <v>9679</v>
      </c>
      <c r="B228">
        <v>7839</v>
      </c>
      <c r="C228" t="s">
        <v>9674</v>
      </c>
      <c r="D228" t="s">
        <v>187</v>
      </c>
      <c r="E228" t="s">
        <v>9823</v>
      </c>
      <c r="F228" t="s">
        <v>5606</v>
      </c>
    </row>
    <row r="229" spans="1:6">
      <c r="A229" t="s">
        <v>9679</v>
      </c>
      <c r="B229">
        <v>7380</v>
      </c>
      <c r="C229" t="s">
        <v>9674</v>
      </c>
      <c r="D229" t="s">
        <v>187</v>
      </c>
      <c r="E229" t="s">
        <v>9823</v>
      </c>
      <c r="F229" t="s">
        <v>5606</v>
      </c>
    </row>
    <row r="230" spans="1:6">
      <c r="A230" t="s">
        <v>9679</v>
      </c>
      <c r="B230">
        <v>7383</v>
      </c>
      <c r="C230" t="s">
        <v>9674</v>
      </c>
      <c r="D230" t="s">
        <v>187</v>
      </c>
      <c r="E230" t="s">
        <v>9823</v>
      </c>
      <c r="F230" t="s">
        <v>5606</v>
      </c>
    </row>
    <row r="231" spans="1:6">
      <c r="A231" t="s">
        <v>9679</v>
      </c>
      <c r="B231">
        <v>7160</v>
      </c>
      <c r="C231" t="s">
        <v>9674</v>
      </c>
      <c r="D231" t="s">
        <v>187</v>
      </c>
      <c r="E231" t="s">
        <v>9823</v>
      </c>
      <c r="F231" t="s">
        <v>5606</v>
      </c>
    </row>
    <row r="232" spans="1:6">
      <c r="A232" t="s">
        <v>9679</v>
      </c>
      <c r="B232">
        <v>7946</v>
      </c>
      <c r="C232" t="s">
        <v>9674</v>
      </c>
      <c r="D232" t="s">
        <v>187</v>
      </c>
      <c r="E232" t="s">
        <v>9823</v>
      </c>
      <c r="F232" t="s">
        <v>5606</v>
      </c>
    </row>
    <row r="233" spans="1:6">
      <c r="A233" t="s">
        <v>9679</v>
      </c>
      <c r="B233">
        <v>7978</v>
      </c>
      <c r="C233" t="s">
        <v>9674</v>
      </c>
      <c r="D233" t="s">
        <v>187</v>
      </c>
      <c r="E233" t="s">
        <v>9823</v>
      </c>
      <c r="F233" t="s">
        <v>5606</v>
      </c>
    </row>
    <row r="234" spans="1:6">
      <c r="A234" t="s">
        <v>9679</v>
      </c>
      <c r="B234">
        <v>7944</v>
      </c>
      <c r="C234" t="s">
        <v>9674</v>
      </c>
      <c r="D234" t="s">
        <v>187</v>
      </c>
      <c r="E234" t="s">
        <v>9823</v>
      </c>
      <c r="F234" t="s">
        <v>5606</v>
      </c>
    </row>
    <row r="235" spans="1:6">
      <c r="A235" t="s">
        <v>9679</v>
      </c>
      <c r="B235">
        <v>7914</v>
      </c>
      <c r="C235" t="s">
        <v>9674</v>
      </c>
      <c r="D235" t="s">
        <v>187</v>
      </c>
      <c r="E235" t="s">
        <v>9823</v>
      </c>
      <c r="F235" t="s">
        <v>5606</v>
      </c>
    </row>
    <row r="236" spans="1:6">
      <c r="A236" t="s">
        <v>9679</v>
      </c>
      <c r="B236">
        <v>7942</v>
      </c>
      <c r="C236" t="s">
        <v>9674</v>
      </c>
      <c r="D236" t="s">
        <v>187</v>
      </c>
      <c r="E236" t="s">
        <v>9823</v>
      </c>
      <c r="F236" t="s">
        <v>5606</v>
      </c>
    </row>
    <row r="237" spans="1:6">
      <c r="A237" t="s">
        <v>9679</v>
      </c>
      <c r="B237">
        <v>7376</v>
      </c>
      <c r="C237" t="s">
        <v>9674</v>
      </c>
      <c r="D237" t="s">
        <v>187</v>
      </c>
      <c r="E237" t="s">
        <v>9823</v>
      </c>
      <c r="F237" t="s">
        <v>5606</v>
      </c>
    </row>
    <row r="238" spans="1:6">
      <c r="A238" t="s">
        <v>9679</v>
      </c>
      <c r="B238">
        <v>7377</v>
      </c>
      <c r="C238" t="s">
        <v>9674</v>
      </c>
      <c r="D238" t="s">
        <v>187</v>
      </c>
      <c r="E238" t="s">
        <v>9823</v>
      </c>
      <c r="F238" t="s">
        <v>5606</v>
      </c>
    </row>
    <row r="239" spans="1:6">
      <c r="A239" t="s">
        <v>9679</v>
      </c>
      <c r="B239">
        <v>7158</v>
      </c>
      <c r="C239" t="s">
        <v>9674</v>
      </c>
      <c r="D239" t="s">
        <v>187</v>
      </c>
      <c r="E239" t="s">
        <v>9823</v>
      </c>
      <c r="F239" t="s">
        <v>5606</v>
      </c>
    </row>
    <row r="240" spans="1:6">
      <c r="A240" t="s">
        <v>9679</v>
      </c>
      <c r="B240">
        <v>7979</v>
      </c>
      <c r="C240" t="s">
        <v>9674</v>
      </c>
      <c r="D240" t="s">
        <v>187</v>
      </c>
      <c r="E240" t="s">
        <v>9823</v>
      </c>
      <c r="F240" t="s">
        <v>5606</v>
      </c>
    </row>
    <row r="241" spans="1:6">
      <c r="A241" t="s">
        <v>9679</v>
      </c>
      <c r="B241">
        <v>7947</v>
      </c>
      <c r="C241" t="s">
        <v>9674</v>
      </c>
      <c r="D241" t="s">
        <v>187</v>
      </c>
      <c r="E241" t="s">
        <v>9823</v>
      </c>
      <c r="F241" t="s">
        <v>5606</v>
      </c>
    </row>
    <row r="242" spans="1:6">
      <c r="A242" t="s">
        <v>9679</v>
      </c>
      <c r="B242">
        <v>5454</v>
      </c>
      <c r="C242" t="s">
        <v>9674</v>
      </c>
      <c r="D242" t="s">
        <v>187</v>
      </c>
      <c r="E242" t="s">
        <v>9823</v>
      </c>
      <c r="F242" t="s">
        <v>5606</v>
      </c>
    </row>
    <row r="243" spans="1:6">
      <c r="A243" t="s">
        <v>9679</v>
      </c>
      <c r="B243">
        <v>7945</v>
      </c>
      <c r="C243" t="s">
        <v>9674</v>
      </c>
      <c r="D243" t="s">
        <v>187</v>
      </c>
      <c r="E243" t="s">
        <v>9823</v>
      </c>
      <c r="F243" t="s">
        <v>5606</v>
      </c>
    </row>
    <row r="244" spans="1:6">
      <c r="A244" t="s">
        <v>9679</v>
      </c>
      <c r="B244">
        <v>7949</v>
      </c>
      <c r="C244" t="s">
        <v>9674</v>
      </c>
      <c r="D244" t="s">
        <v>187</v>
      </c>
      <c r="E244" t="s">
        <v>9823</v>
      </c>
      <c r="F244" t="s">
        <v>5606</v>
      </c>
    </row>
    <row r="245" spans="1:6">
      <c r="A245" t="s">
        <v>9679</v>
      </c>
      <c r="B245">
        <v>5460</v>
      </c>
      <c r="C245" t="s">
        <v>9674</v>
      </c>
      <c r="D245" t="s">
        <v>187</v>
      </c>
      <c r="E245" t="s">
        <v>9823</v>
      </c>
      <c r="F245" t="s">
        <v>5606</v>
      </c>
    </row>
    <row r="246" spans="1:6">
      <c r="A246" t="s">
        <v>9679</v>
      </c>
      <c r="B246">
        <v>5466</v>
      </c>
      <c r="C246" t="s">
        <v>9674</v>
      </c>
      <c r="D246" t="s">
        <v>187</v>
      </c>
      <c r="E246" t="s">
        <v>9823</v>
      </c>
      <c r="F246" t="s">
        <v>5606</v>
      </c>
    </row>
    <row r="247" spans="1:6">
      <c r="A247" t="s">
        <v>9679</v>
      </c>
      <c r="B247">
        <v>7915</v>
      </c>
      <c r="C247" t="s">
        <v>9674</v>
      </c>
      <c r="D247" t="s">
        <v>187</v>
      </c>
      <c r="E247" t="s">
        <v>9823</v>
      </c>
      <c r="F247" t="s">
        <v>5606</v>
      </c>
    </row>
    <row r="248" spans="1:6">
      <c r="A248" t="s">
        <v>9679</v>
      </c>
      <c r="B248">
        <v>7980</v>
      </c>
      <c r="C248" t="s">
        <v>9674</v>
      </c>
      <c r="D248" t="s">
        <v>187</v>
      </c>
      <c r="E248" t="s">
        <v>9823</v>
      </c>
      <c r="F248" t="s">
        <v>5606</v>
      </c>
    </row>
    <row r="249" spans="1:6">
      <c r="A249" t="s">
        <v>9679</v>
      </c>
      <c r="B249">
        <v>6630</v>
      </c>
      <c r="C249" t="s">
        <v>9674</v>
      </c>
      <c r="D249" t="s">
        <v>187</v>
      </c>
      <c r="E249" t="s">
        <v>9823</v>
      </c>
      <c r="F249" t="s">
        <v>5606</v>
      </c>
    </row>
    <row r="250" spans="1:6">
      <c r="A250" t="s">
        <v>9679</v>
      </c>
      <c r="B250">
        <v>7943</v>
      </c>
      <c r="C250" t="s">
        <v>9674</v>
      </c>
      <c r="D250" t="s">
        <v>187</v>
      </c>
      <c r="E250" t="s">
        <v>9823</v>
      </c>
      <c r="F250" t="s">
        <v>5606</v>
      </c>
    </row>
    <row r="251" spans="1:6">
      <c r="A251" t="s">
        <v>9679</v>
      </c>
      <c r="B251">
        <v>7985</v>
      </c>
      <c r="C251" t="s">
        <v>9674</v>
      </c>
      <c r="D251" t="s">
        <v>187</v>
      </c>
      <c r="E251" t="s">
        <v>9823</v>
      </c>
      <c r="F251" t="s">
        <v>5606</v>
      </c>
    </row>
    <row r="252" spans="1:6">
      <c r="A252" t="s">
        <v>9679</v>
      </c>
      <c r="B252">
        <v>5462</v>
      </c>
      <c r="C252" t="s">
        <v>9674</v>
      </c>
      <c r="D252" t="s">
        <v>187</v>
      </c>
      <c r="E252" t="s">
        <v>9823</v>
      </c>
      <c r="F252" t="s">
        <v>5606</v>
      </c>
    </row>
    <row r="253" spans="1:6">
      <c r="A253" t="s">
        <v>9679</v>
      </c>
      <c r="B253">
        <v>5463</v>
      </c>
      <c r="C253" t="s">
        <v>9674</v>
      </c>
      <c r="D253" t="s">
        <v>187</v>
      </c>
      <c r="E253" t="s">
        <v>9823</v>
      </c>
      <c r="F253" t="s">
        <v>5606</v>
      </c>
    </row>
    <row r="254" spans="1:6">
      <c r="A254" t="s">
        <v>9679</v>
      </c>
      <c r="B254">
        <v>5495</v>
      </c>
      <c r="C254" t="s">
        <v>9674</v>
      </c>
      <c r="D254" t="s">
        <v>187</v>
      </c>
      <c r="E254" t="s">
        <v>9823</v>
      </c>
      <c r="F254" t="s">
        <v>5606</v>
      </c>
    </row>
    <row r="255" spans="1:6">
      <c r="A255" t="s">
        <v>9679</v>
      </c>
      <c r="B255">
        <v>8655</v>
      </c>
      <c r="C255" t="s">
        <v>9674</v>
      </c>
      <c r="D255" t="s">
        <v>189</v>
      </c>
      <c r="E255" t="s">
        <v>9824</v>
      </c>
      <c r="F255" t="s">
        <v>5606</v>
      </c>
    </row>
    <row r="256" spans="1:6">
      <c r="A256" t="s">
        <v>9679</v>
      </c>
      <c r="B256">
        <v>8836</v>
      </c>
      <c r="C256" t="s">
        <v>9674</v>
      </c>
      <c r="D256" t="s">
        <v>189</v>
      </c>
      <c r="E256" t="s">
        <v>9824</v>
      </c>
      <c r="F256" t="s">
        <v>5606</v>
      </c>
    </row>
    <row r="257" spans="1:6">
      <c r="A257" t="s">
        <v>9679</v>
      </c>
      <c r="B257">
        <v>8486</v>
      </c>
      <c r="C257" t="s">
        <v>9674</v>
      </c>
      <c r="D257" t="s">
        <v>189</v>
      </c>
      <c r="E257" t="s">
        <v>9824</v>
      </c>
      <c r="F257" t="s">
        <v>5606</v>
      </c>
    </row>
    <row r="258" spans="1:6">
      <c r="A258" t="s">
        <v>9679</v>
      </c>
      <c r="B258">
        <v>8478</v>
      </c>
      <c r="C258" t="s">
        <v>9674</v>
      </c>
      <c r="D258" t="s">
        <v>189</v>
      </c>
      <c r="E258" t="s">
        <v>9824</v>
      </c>
      <c r="F258" t="s">
        <v>5606</v>
      </c>
    </row>
    <row r="259" spans="1:6">
      <c r="A259" t="s">
        <v>9679</v>
      </c>
      <c r="B259">
        <v>8479</v>
      </c>
      <c r="C259" t="s">
        <v>9674</v>
      </c>
      <c r="D259" t="s">
        <v>189</v>
      </c>
      <c r="E259" t="s">
        <v>9824</v>
      </c>
      <c r="F259" t="s">
        <v>5606</v>
      </c>
    </row>
    <row r="260" spans="1:6">
      <c r="A260" t="s">
        <v>9679</v>
      </c>
      <c r="B260">
        <v>8480</v>
      </c>
      <c r="C260" t="s">
        <v>9674</v>
      </c>
      <c r="D260" t="s">
        <v>189</v>
      </c>
      <c r="E260" t="s">
        <v>9824</v>
      </c>
      <c r="F260" t="s">
        <v>5606</v>
      </c>
    </row>
    <row r="261" spans="1:6">
      <c r="A261" t="s">
        <v>9679</v>
      </c>
      <c r="B261">
        <v>8482</v>
      </c>
      <c r="C261" t="s">
        <v>9674</v>
      </c>
      <c r="D261" t="s">
        <v>189</v>
      </c>
      <c r="E261" t="s">
        <v>9824</v>
      </c>
      <c r="F261" t="s">
        <v>5606</v>
      </c>
    </row>
    <row r="262" spans="1:6">
      <c r="A262" t="s">
        <v>9679</v>
      </c>
      <c r="B262">
        <v>8487</v>
      </c>
      <c r="C262" t="s">
        <v>9674</v>
      </c>
      <c r="D262" t="s">
        <v>189</v>
      </c>
      <c r="E262" t="s">
        <v>9824</v>
      </c>
      <c r="F262" t="s">
        <v>5606</v>
      </c>
    </row>
    <row r="263" spans="1:6">
      <c r="A263" t="s">
        <v>9679</v>
      </c>
      <c r="B263">
        <v>8485</v>
      </c>
      <c r="C263" t="s">
        <v>9674</v>
      </c>
      <c r="D263" t="s">
        <v>189</v>
      </c>
      <c r="E263" t="s">
        <v>9824</v>
      </c>
      <c r="F263" t="s">
        <v>5606</v>
      </c>
    </row>
    <row r="264" spans="1:6">
      <c r="A264" t="s">
        <v>9679</v>
      </c>
      <c r="B264">
        <v>8490</v>
      </c>
      <c r="C264" t="s">
        <v>9674</v>
      </c>
      <c r="D264" t="s">
        <v>189</v>
      </c>
      <c r="E264" t="s">
        <v>9824</v>
      </c>
      <c r="F264" t="s">
        <v>5606</v>
      </c>
    </row>
    <row r="265" spans="1:6">
      <c r="A265" t="s">
        <v>9679</v>
      </c>
      <c r="B265">
        <v>8645</v>
      </c>
      <c r="C265" t="s">
        <v>9674</v>
      </c>
      <c r="D265" t="s">
        <v>189</v>
      </c>
      <c r="E265" t="s">
        <v>9824</v>
      </c>
      <c r="F265" t="s">
        <v>5606</v>
      </c>
    </row>
    <row r="266" spans="1:6">
      <c r="A266" t="s">
        <v>9679</v>
      </c>
      <c r="B266">
        <v>8646</v>
      </c>
      <c r="C266" t="s">
        <v>9674</v>
      </c>
      <c r="D266" t="s">
        <v>189</v>
      </c>
      <c r="E266" t="s">
        <v>9824</v>
      </c>
      <c r="F266" t="s">
        <v>5606</v>
      </c>
    </row>
    <row r="267" spans="1:6">
      <c r="A267" t="s">
        <v>9679</v>
      </c>
      <c r="B267">
        <v>8647</v>
      </c>
      <c r="C267" t="s">
        <v>9674</v>
      </c>
      <c r="D267" t="s">
        <v>189</v>
      </c>
      <c r="E267" t="s">
        <v>9824</v>
      </c>
      <c r="F267" t="s">
        <v>5606</v>
      </c>
    </row>
    <row r="268" spans="1:6">
      <c r="A268" t="s">
        <v>9679</v>
      </c>
      <c r="B268">
        <v>8649</v>
      </c>
      <c r="C268" t="s">
        <v>9674</v>
      </c>
      <c r="D268" t="s">
        <v>189</v>
      </c>
      <c r="E268" t="s">
        <v>9824</v>
      </c>
      <c r="F268" t="s">
        <v>5606</v>
      </c>
    </row>
    <row r="269" spans="1:6">
      <c r="A269" t="s">
        <v>9679</v>
      </c>
      <c r="B269">
        <v>8488</v>
      </c>
      <c r="C269" t="s">
        <v>9674</v>
      </c>
      <c r="D269" t="s">
        <v>189</v>
      </c>
      <c r="E269" t="s">
        <v>9824</v>
      </c>
      <c r="F269" t="s">
        <v>5606</v>
      </c>
    </row>
    <row r="270" spans="1:6">
      <c r="A270" t="s">
        <v>9679</v>
      </c>
      <c r="B270">
        <v>8648</v>
      </c>
      <c r="C270" t="s">
        <v>9674</v>
      </c>
      <c r="D270" t="s">
        <v>189</v>
      </c>
      <c r="E270" t="s">
        <v>9824</v>
      </c>
      <c r="F270" t="s">
        <v>5606</v>
      </c>
    </row>
    <row r="271" spans="1:6">
      <c r="A271" t="s">
        <v>9679</v>
      </c>
      <c r="B271">
        <v>8671</v>
      </c>
      <c r="C271" t="s">
        <v>9674</v>
      </c>
      <c r="D271" t="s">
        <v>189</v>
      </c>
      <c r="E271" t="s">
        <v>9824</v>
      </c>
      <c r="F271" t="s">
        <v>5606</v>
      </c>
    </row>
    <row r="272" spans="1:6">
      <c r="A272" t="s">
        <v>9679</v>
      </c>
      <c r="B272">
        <v>8841</v>
      </c>
      <c r="C272" t="s">
        <v>9674</v>
      </c>
      <c r="D272" t="s">
        <v>189</v>
      </c>
      <c r="E272" t="s">
        <v>9824</v>
      </c>
      <c r="F272" t="s">
        <v>5606</v>
      </c>
    </row>
    <row r="273" spans="1:6">
      <c r="A273" t="s">
        <v>9679</v>
      </c>
      <c r="B273">
        <v>8672</v>
      </c>
      <c r="C273" t="s">
        <v>9674</v>
      </c>
      <c r="D273" t="s">
        <v>189</v>
      </c>
      <c r="E273" t="s">
        <v>9824</v>
      </c>
      <c r="F273" t="s">
        <v>5606</v>
      </c>
    </row>
    <row r="274" spans="1:6">
      <c r="A274" t="s">
        <v>9679</v>
      </c>
      <c r="B274">
        <v>8673</v>
      </c>
      <c r="C274" t="s">
        <v>9674</v>
      </c>
      <c r="D274" t="s">
        <v>189</v>
      </c>
      <c r="E274" t="s">
        <v>9824</v>
      </c>
      <c r="F274" t="s">
        <v>5606</v>
      </c>
    </row>
    <row r="275" spans="1:6">
      <c r="A275" t="s">
        <v>9679</v>
      </c>
      <c r="B275">
        <v>8489</v>
      </c>
      <c r="C275" t="s">
        <v>9674</v>
      </c>
      <c r="D275" t="s">
        <v>189</v>
      </c>
      <c r="E275" t="s">
        <v>9824</v>
      </c>
      <c r="F275" t="s">
        <v>5606</v>
      </c>
    </row>
    <row r="276" spans="1:6">
      <c r="A276" t="s">
        <v>9679</v>
      </c>
      <c r="B276">
        <v>8491</v>
      </c>
      <c r="C276" t="s">
        <v>9674</v>
      </c>
      <c r="D276" t="s">
        <v>189</v>
      </c>
      <c r="E276" t="s">
        <v>9824</v>
      </c>
      <c r="F276" t="s">
        <v>5606</v>
      </c>
    </row>
    <row r="277" spans="1:6">
      <c r="A277" t="s">
        <v>9679</v>
      </c>
      <c r="B277">
        <v>8849</v>
      </c>
      <c r="C277" t="s">
        <v>9674</v>
      </c>
      <c r="D277" t="s">
        <v>189</v>
      </c>
      <c r="E277" t="s">
        <v>9824</v>
      </c>
      <c r="F277" t="s">
        <v>5606</v>
      </c>
    </row>
    <row r="278" spans="1:6">
      <c r="A278" t="s">
        <v>9679</v>
      </c>
      <c r="B278">
        <v>7969</v>
      </c>
      <c r="C278" t="s">
        <v>9674</v>
      </c>
      <c r="D278" t="s">
        <v>189</v>
      </c>
      <c r="E278" t="s">
        <v>9824</v>
      </c>
      <c r="F278" t="s">
        <v>5606</v>
      </c>
    </row>
    <row r="279" spans="1:6">
      <c r="A279" t="s">
        <v>9679</v>
      </c>
      <c r="B279">
        <v>8654</v>
      </c>
      <c r="C279" t="s">
        <v>9674</v>
      </c>
      <c r="D279" t="s">
        <v>189</v>
      </c>
      <c r="E279" t="s">
        <v>9824</v>
      </c>
      <c r="F279" t="s">
        <v>5606</v>
      </c>
    </row>
    <row r="280" spans="1:6">
      <c r="A280" t="s">
        <v>9679</v>
      </c>
      <c r="B280">
        <v>8675</v>
      </c>
      <c r="C280" t="s">
        <v>9674</v>
      </c>
      <c r="D280" t="s">
        <v>189</v>
      </c>
      <c r="E280" t="s">
        <v>9824</v>
      </c>
      <c r="F280" t="s">
        <v>5606</v>
      </c>
    </row>
    <row r="281" spans="1:6">
      <c r="A281" t="s">
        <v>9679</v>
      </c>
      <c r="B281">
        <v>8847</v>
      </c>
      <c r="C281" t="s">
        <v>9674</v>
      </c>
      <c r="D281" t="s">
        <v>189</v>
      </c>
      <c r="E281" t="s">
        <v>9824</v>
      </c>
      <c r="F281" t="s">
        <v>5606</v>
      </c>
    </row>
    <row r="282" spans="1:6">
      <c r="A282" t="s">
        <v>9679</v>
      </c>
      <c r="B282">
        <v>8840</v>
      </c>
      <c r="C282" t="s">
        <v>9674</v>
      </c>
      <c r="D282" t="s">
        <v>189</v>
      </c>
      <c r="E282" t="s">
        <v>9824</v>
      </c>
      <c r="F282" t="s">
        <v>5606</v>
      </c>
    </row>
    <row r="283" spans="1:6">
      <c r="A283" t="s">
        <v>9679</v>
      </c>
      <c r="B283">
        <v>8834</v>
      </c>
      <c r="C283" t="s">
        <v>9674</v>
      </c>
      <c r="D283" t="s">
        <v>189</v>
      </c>
      <c r="E283" t="s">
        <v>9824</v>
      </c>
      <c r="F283" t="s">
        <v>5606</v>
      </c>
    </row>
    <row r="284" spans="1:6">
      <c r="A284" t="s">
        <v>9679</v>
      </c>
      <c r="B284">
        <v>4347</v>
      </c>
      <c r="C284" t="s">
        <v>9674</v>
      </c>
      <c r="D284" t="s">
        <v>189</v>
      </c>
      <c r="E284" t="s">
        <v>9824</v>
      </c>
      <c r="F284" t="s">
        <v>5606</v>
      </c>
    </row>
    <row r="285" spans="1:6">
      <c r="A285" t="s">
        <v>9679</v>
      </c>
      <c r="B285">
        <v>4362</v>
      </c>
      <c r="C285" t="s">
        <v>9674</v>
      </c>
      <c r="D285" t="s">
        <v>189</v>
      </c>
      <c r="E285" t="s">
        <v>9824</v>
      </c>
      <c r="F285" t="s">
        <v>5606</v>
      </c>
    </row>
    <row r="286" spans="1:6">
      <c r="A286" t="s">
        <v>9679</v>
      </c>
      <c r="B286">
        <v>4363</v>
      </c>
      <c r="C286" t="s">
        <v>9674</v>
      </c>
      <c r="D286" t="s">
        <v>189</v>
      </c>
      <c r="E286" t="s">
        <v>9824</v>
      </c>
      <c r="F286" t="s">
        <v>5606</v>
      </c>
    </row>
    <row r="287" spans="1:6">
      <c r="A287" t="s">
        <v>9679</v>
      </c>
      <c r="B287">
        <v>4367</v>
      </c>
      <c r="C287" t="s">
        <v>9674</v>
      </c>
      <c r="D287" t="s">
        <v>189</v>
      </c>
      <c r="E287" t="s">
        <v>9824</v>
      </c>
      <c r="F287" t="s">
        <v>5606</v>
      </c>
    </row>
    <row r="288" spans="1:6">
      <c r="A288" t="s">
        <v>9679</v>
      </c>
      <c r="B288">
        <v>4368</v>
      </c>
      <c r="C288" t="s">
        <v>9674</v>
      </c>
      <c r="D288" t="s">
        <v>189</v>
      </c>
      <c r="E288" t="s">
        <v>9824</v>
      </c>
      <c r="F288" t="s">
        <v>5606</v>
      </c>
    </row>
    <row r="289" spans="1:6">
      <c r="A289" t="s">
        <v>9679</v>
      </c>
      <c r="B289">
        <v>7327</v>
      </c>
      <c r="C289" t="s">
        <v>9674</v>
      </c>
      <c r="D289" t="s">
        <v>189</v>
      </c>
      <c r="E289" t="s">
        <v>9824</v>
      </c>
      <c r="F289" t="s">
        <v>5606</v>
      </c>
    </row>
    <row r="290" spans="1:6">
      <c r="A290" t="s">
        <v>9679</v>
      </c>
      <c r="B290">
        <v>7328</v>
      </c>
      <c r="C290" t="s">
        <v>9674</v>
      </c>
      <c r="D290" t="s">
        <v>189</v>
      </c>
      <c r="E290" t="s">
        <v>9824</v>
      </c>
      <c r="F290" t="s">
        <v>5606</v>
      </c>
    </row>
    <row r="291" spans="1:6">
      <c r="A291" t="s">
        <v>9679</v>
      </c>
      <c r="B291">
        <v>4365</v>
      </c>
      <c r="C291" t="s">
        <v>9674</v>
      </c>
      <c r="D291" t="s">
        <v>189</v>
      </c>
      <c r="E291" t="s">
        <v>9824</v>
      </c>
      <c r="F291" t="s">
        <v>5606</v>
      </c>
    </row>
    <row r="292" spans="1:6">
      <c r="A292" t="s">
        <v>9679</v>
      </c>
      <c r="B292">
        <v>4364</v>
      </c>
      <c r="C292" t="s">
        <v>9674</v>
      </c>
      <c r="D292" t="s">
        <v>189</v>
      </c>
      <c r="E292" t="s">
        <v>9824</v>
      </c>
      <c r="F292" t="s">
        <v>5606</v>
      </c>
    </row>
    <row r="293" spans="1:6">
      <c r="A293" t="s">
        <v>9679</v>
      </c>
      <c r="B293">
        <v>4194</v>
      </c>
      <c r="C293" t="s">
        <v>9674</v>
      </c>
      <c r="D293" t="s">
        <v>189</v>
      </c>
      <c r="E293" t="s">
        <v>9824</v>
      </c>
      <c r="F293" t="s">
        <v>5606</v>
      </c>
    </row>
    <row r="294" spans="1:6">
      <c r="A294" t="s">
        <v>9679</v>
      </c>
      <c r="B294">
        <v>4190</v>
      </c>
      <c r="C294" t="s">
        <v>9674</v>
      </c>
      <c r="D294" t="s">
        <v>189</v>
      </c>
      <c r="E294" t="s">
        <v>9824</v>
      </c>
      <c r="F294" t="s">
        <v>5606</v>
      </c>
    </row>
    <row r="295" spans="1:6">
      <c r="A295" t="s">
        <v>9679</v>
      </c>
      <c r="B295">
        <v>4251</v>
      </c>
      <c r="C295" t="s">
        <v>9674</v>
      </c>
      <c r="D295" t="s">
        <v>189</v>
      </c>
      <c r="E295" t="s">
        <v>9824</v>
      </c>
      <c r="F295" t="s">
        <v>5606</v>
      </c>
    </row>
    <row r="296" spans="1:6">
      <c r="A296" t="s">
        <v>9679</v>
      </c>
      <c r="B296">
        <v>4252</v>
      </c>
      <c r="C296" t="s">
        <v>9674</v>
      </c>
      <c r="D296" t="s">
        <v>189</v>
      </c>
      <c r="E296" t="s">
        <v>9824</v>
      </c>
      <c r="F296" t="s">
        <v>5606</v>
      </c>
    </row>
    <row r="297" spans="1:6">
      <c r="A297" t="s">
        <v>9679</v>
      </c>
      <c r="B297">
        <v>2583</v>
      </c>
      <c r="C297" t="s">
        <v>9674</v>
      </c>
      <c r="D297" t="s">
        <v>189</v>
      </c>
      <c r="E297" t="s">
        <v>9824</v>
      </c>
      <c r="F297" t="s">
        <v>5606</v>
      </c>
    </row>
    <row r="298" spans="1:6">
      <c r="A298" t="s">
        <v>9679</v>
      </c>
      <c r="B298">
        <v>5458</v>
      </c>
      <c r="C298" t="s">
        <v>9674</v>
      </c>
      <c r="D298" t="s">
        <v>189</v>
      </c>
      <c r="E298" t="s">
        <v>9824</v>
      </c>
      <c r="F298" t="s">
        <v>5606</v>
      </c>
    </row>
    <row r="299" spans="1:6">
      <c r="A299" t="s">
        <v>9679</v>
      </c>
      <c r="B299">
        <v>7382</v>
      </c>
      <c r="C299" t="s">
        <v>9674</v>
      </c>
      <c r="D299" t="s">
        <v>189</v>
      </c>
      <c r="E299" t="s">
        <v>9824</v>
      </c>
      <c r="F299" t="s">
        <v>5606</v>
      </c>
    </row>
    <row r="300" spans="1:6">
      <c r="A300" t="s">
        <v>9679</v>
      </c>
      <c r="B300">
        <v>4192</v>
      </c>
      <c r="C300" t="s">
        <v>9674</v>
      </c>
      <c r="D300" t="s">
        <v>189</v>
      </c>
      <c r="E300" t="s">
        <v>9824</v>
      </c>
      <c r="F300" t="s">
        <v>5606</v>
      </c>
    </row>
    <row r="301" spans="1:6">
      <c r="A301" t="s">
        <v>9679</v>
      </c>
      <c r="B301">
        <v>4193</v>
      </c>
      <c r="C301" t="s">
        <v>9674</v>
      </c>
      <c r="D301" t="s">
        <v>189</v>
      </c>
      <c r="E301" t="s">
        <v>9824</v>
      </c>
      <c r="F301" t="s">
        <v>5606</v>
      </c>
    </row>
    <row r="302" spans="1:6">
      <c r="A302" t="s">
        <v>9679</v>
      </c>
      <c r="B302">
        <v>7973</v>
      </c>
      <c r="C302" t="s">
        <v>9674</v>
      </c>
      <c r="D302" t="s">
        <v>189</v>
      </c>
      <c r="E302" t="s">
        <v>9824</v>
      </c>
      <c r="F302" t="s">
        <v>5606</v>
      </c>
    </row>
    <row r="303" spans="1:6">
      <c r="A303" t="s">
        <v>9679</v>
      </c>
      <c r="B303">
        <v>7975</v>
      </c>
      <c r="C303" t="s">
        <v>9674</v>
      </c>
      <c r="D303" t="s">
        <v>189</v>
      </c>
      <c r="E303" t="s">
        <v>9824</v>
      </c>
      <c r="F303" t="s">
        <v>5606</v>
      </c>
    </row>
    <row r="304" spans="1:6">
      <c r="A304" t="s">
        <v>9679</v>
      </c>
      <c r="B304">
        <v>7974</v>
      </c>
      <c r="C304" t="s">
        <v>9674</v>
      </c>
      <c r="D304" t="s">
        <v>189</v>
      </c>
      <c r="E304" t="s">
        <v>9824</v>
      </c>
      <c r="F304" t="s">
        <v>5606</v>
      </c>
    </row>
    <row r="305" spans="1:6">
      <c r="A305" t="s">
        <v>9679</v>
      </c>
      <c r="B305">
        <v>7976</v>
      </c>
      <c r="C305" t="s">
        <v>9674</v>
      </c>
      <c r="D305" t="s">
        <v>189</v>
      </c>
      <c r="E305" t="s">
        <v>9824</v>
      </c>
      <c r="F305" t="s">
        <v>5606</v>
      </c>
    </row>
    <row r="306" spans="1:6">
      <c r="A306" t="s">
        <v>9679</v>
      </c>
      <c r="B306">
        <v>7836</v>
      </c>
      <c r="C306" t="s">
        <v>9674</v>
      </c>
      <c r="D306" t="s">
        <v>189</v>
      </c>
      <c r="E306" t="s">
        <v>9824</v>
      </c>
      <c r="F306" t="s">
        <v>5606</v>
      </c>
    </row>
    <row r="307" spans="1:6">
      <c r="A307" t="s">
        <v>9679</v>
      </c>
      <c r="B307">
        <v>7837</v>
      </c>
      <c r="C307" t="s">
        <v>9674</v>
      </c>
      <c r="D307" t="s">
        <v>189</v>
      </c>
      <c r="E307" t="s">
        <v>9824</v>
      </c>
      <c r="F307" t="s">
        <v>5606</v>
      </c>
    </row>
    <row r="308" spans="1:6">
      <c r="A308" t="s">
        <v>9679</v>
      </c>
      <c r="B308">
        <v>7379</v>
      </c>
      <c r="C308" t="s">
        <v>9674</v>
      </c>
      <c r="D308" t="s">
        <v>189</v>
      </c>
      <c r="E308" t="s">
        <v>9824</v>
      </c>
      <c r="F308" t="s">
        <v>5606</v>
      </c>
    </row>
    <row r="309" spans="1:6">
      <c r="A309" t="s">
        <v>9679</v>
      </c>
      <c r="B309">
        <v>7378</v>
      </c>
      <c r="C309" t="s">
        <v>9674</v>
      </c>
      <c r="D309" t="s">
        <v>189</v>
      </c>
      <c r="E309" t="s">
        <v>9824</v>
      </c>
      <c r="F309" t="s">
        <v>5606</v>
      </c>
    </row>
    <row r="310" spans="1:6">
      <c r="A310" t="s">
        <v>9679</v>
      </c>
      <c r="B310">
        <v>7948</v>
      </c>
      <c r="C310" t="s">
        <v>9674</v>
      </c>
      <c r="D310" t="s">
        <v>189</v>
      </c>
      <c r="E310" t="s">
        <v>9824</v>
      </c>
      <c r="F310" t="s">
        <v>5606</v>
      </c>
    </row>
    <row r="311" spans="1:6">
      <c r="A311" t="s">
        <v>9679</v>
      </c>
      <c r="B311">
        <v>7940</v>
      </c>
      <c r="C311" t="s">
        <v>9674</v>
      </c>
      <c r="D311" t="s">
        <v>189</v>
      </c>
      <c r="E311" t="s">
        <v>9824</v>
      </c>
      <c r="F311" t="s">
        <v>5606</v>
      </c>
    </row>
    <row r="312" spans="1:6">
      <c r="A312" t="s">
        <v>9679</v>
      </c>
      <c r="B312">
        <v>7941</v>
      </c>
      <c r="C312" t="s">
        <v>9674</v>
      </c>
      <c r="D312" t="s">
        <v>189</v>
      </c>
      <c r="E312" t="s">
        <v>9824</v>
      </c>
      <c r="F312" t="s">
        <v>5606</v>
      </c>
    </row>
    <row r="313" spans="1:6">
      <c r="A313" t="s">
        <v>9679</v>
      </c>
      <c r="B313">
        <v>7984</v>
      </c>
      <c r="C313" t="s">
        <v>9674</v>
      </c>
      <c r="D313" t="s">
        <v>189</v>
      </c>
      <c r="E313" t="s">
        <v>9824</v>
      </c>
      <c r="F313" t="s">
        <v>5606</v>
      </c>
    </row>
    <row r="314" spans="1:6">
      <c r="A314" t="s">
        <v>9679</v>
      </c>
      <c r="B314">
        <v>7158</v>
      </c>
      <c r="C314" t="s">
        <v>9674</v>
      </c>
      <c r="D314" t="s">
        <v>189</v>
      </c>
      <c r="E314" t="s">
        <v>9824</v>
      </c>
      <c r="F314" t="s">
        <v>5606</v>
      </c>
    </row>
    <row r="315" spans="1:6">
      <c r="A315" t="s">
        <v>9679</v>
      </c>
      <c r="B315">
        <v>7914</v>
      </c>
      <c r="C315" t="s">
        <v>9674</v>
      </c>
      <c r="D315" t="s">
        <v>189</v>
      </c>
      <c r="E315" t="s">
        <v>9824</v>
      </c>
      <c r="F315" t="s">
        <v>5606</v>
      </c>
    </row>
    <row r="316" spans="1:6">
      <c r="A316" t="s">
        <v>9679</v>
      </c>
      <c r="B316">
        <v>1911</v>
      </c>
      <c r="C316" t="s">
        <v>9674</v>
      </c>
      <c r="D316" t="s">
        <v>185</v>
      </c>
      <c r="E316">
        <v>100</v>
      </c>
      <c r="F316" t="s">
        <v>5606</v>
      </c>
    </row>
    <row r="317" spans="1:6">
      <c r="A317" t="s">
        <v>9679</v>
      </c>
      <c r="B317">
        <v>7809</v>
      </c>
      <c r="C317" t="s">
        <v>9674</v>
      </c>
      <c r="D317" t="s">
        <v>185</v>
      </c>
      <c r="E317">
        <v>100</v>
      </c>
      <c r="F317" t="s">
        <v>5606</v>
      </c>
    </row>
    <row r="318" spans="1:6">
      <c r="A318" t="s">
        <v>9679</v>
      </c>
      <c r="B318">
        <v>7870</v>
      </c>
      <c r="C318" t="s">
        <v>9674</v>
      </c>
      <c r="D318" t="s">
        <v>185</v>
      </c>
      <c r="E318">
        <v>100</v>
      </c>
      <c r="F318" t="s">
        <v>5606</v>
      </c>
    </row>
    <row r="319" spans="1:6">
      <c r="A319" t="s">
        <v>9679</v>
      </c>
      <c r="B319">
        <v>7871</v>
      </c>
      <c r="C319" t="s">
        <v>9674</v>
      </c>
      <c r="D319" t="s">
        <v>185</v>
      </c>
      <c r="E319">
        <v>100</v>
      </c>
      <c r="F319" t="s">
        <v>5606</v>
      </c>
    </row>
    <row r="320" spans="1:6">
      <c r="A320" t="s">
        <v>9679</v>
      </c>
      <c r="B320">
        <v>7872</v>
      </c>
      <c r="C320" t="s">
        <v>9674</v>
      </c>
      <c r="D320" t="s">
        <v>185</v>
      </c>
      <c r="E320">
        <v>100</v>
      </c>
      <c r="F320" t="s">
        <v>5606</v>
      </c>
    </row>
    <row r="321" spans="1:6">
      <c r="A321" t="s">
        <v>9679</v>
      </c>
      <c r="B321">
        <v>7873</v>
      </c>
      <c r="C321" t="s">
        <v>9674</v>
      </c>
      <c r="D321" t="s">
        <v>185</v>
      </c>
      <c r="E321">
        <v>100</v>
      </c>
      <c r="F321" t="s">
        <v>5606</v>
      </c>
    </row>
    <row r="322" spans="1:6">
      <c r="A322" t="s">
        <v>9679</v>
      </c>
      <c r="B322">
        <v>7875</v>
      </c>
      <c r="C322" t="s">
        <v>9674</v>
      </c>
      <c r="D322" t="s">
        <v>185</v>
      </c>
      <c r="E322">
        <v>100</v>
      </c>
      <c r="F322" t="s">
        <v>5606</v>
      </c>
    </row>
    <row r="323" spans="1:6">
      <c r="A323" t="s">
        <v>9679</v>
      </c>
      <c r="B323">
        <v>7901</v>
      </c>
      <c r="C323" t="s">
        <v>9674</v>
      </c>
      <c r="D323" t="s">
        <v>185</v>
      </c>
      <c r="E323">
        <v>100</v>
      </c>
      <c r="F323" t="s">
        <v>5606</v>
      </c>
    </row>
    <row r="324" spans="1:6">
      <c r="A324" t="s">
        <v>9679</v>
      </c>
      <c r="B324">
        <v>7902</v>
      </c>
      <c r="C324" t="s">
        <v>9674</v>
      </c>
      <c r="D324" t="s">
        <v>185</v>
      </c>
      <c r="E324">
        <v>100</v>
      </c>
      <c r="F324" t="s">
        <v>5606</v>
      </c>
    </row>
    <row r="325" spans="1:6">
      <c r="A325" t="s">
        <v>9679</v>
      </c>
      <c r="B325">
        <v>7967</v>
      </c>
      <c r="C325" t="s">
        <v>9674</v>
      </c>
      <c r="D325" t="s">
        <v>185</v>
      </c>
      <c r="E325">
        <v>100</v>
      </c>
      <c r="F325" t="s">
        <v>5606</v>
      </c>
    </row>
    <row r="326" spans="1:6">
      <c r="A326" t="s">
        <v>9679</v>
      </c>
      <c r="B326">
        <v>7971</v>
      </c>
      <c r="C326" t="s">
        <v>9674</v>
      </c>
      <c r="D326" t="s">
        <v>185</v>
      </c>
      <c r="E326">
        <v>100</v>
      </c>
      <c r="F326" t="s">
        <v>5606</v>
      </c>
    </row>
    <row r="327" spans="1:6">
      <c r="A327" t="s">
        <v>9679</v>
      </c>
      <c r="B327">
        <v>7972</v>
      </c>
      <c r="C327" t="s">
        <v>9674</v>
      </c>
      <c r="D327" t="s">
        <v>185</v>
      </c>
      <c r="E327">
        <v>100</v>
      </c>
      <c r="F327" t="s">
        <v>5606</v>
      </c>
    </row>
    <row r="328" spans="1:6">
      <c r="A328" t="s">
        <v>9679</v>
      </c>
      <c r="B328">
        <v>7981</v>
      </c>
      <c r="C328" t="s">
        <v>9674</v>
      </c>
      <c r="D328" t="s">
        <v>185</v>
      </c>
      <c r="E328">
        <v>100</v>
      </c>
      <c r="F328" t="s">
        <v>5606</v>
      </c>
    </row>
    <row r="329" spans="1:6">
      <c r="A329" t="s">
        <v>9679</v>
      </c>
      <c r="B329">
        <v>7995</v>
      </c>
      <c r="C329" t="s">
        <v>9674</v>
      </c>
      <c r="D329" t="s">
        <v>185</v>
      </c>
      <c r="E329">
        <v>100</v>
      </c>
      <c r="F329" t="s">
        <v>5606</v>
      </c>
    </row>
    <row r="330" spans="1:6">
      <c r="A330" t="s">
        <v>9679</v>
      </c>
      <c r="B330">
        <v>7996</v>
      </c>
      <c r="C330" t="s">
        <v>9674</v>
      </c>
      <c r="D330" t="s">
        <v>185</v>
      </c>
      <c r="E330">
        <v>100</v>
      </c>
      <c r="F330" t="s">
        <v>5606</v>
      </c>
    </row>
    <row r="331" spans="1:6">
      <c r="A331" t="s">
        <v>9679</v>
      </c>
      <c r="B331">
        <v>8014</v>
      </c>
      <c r="C331" t="s">
        <v>9674</v>
      </c>
      <c r="D331" t="s">
        <v>185</v>
      </c>
      <c r="E331">
        <v>100</v>
      </c>
      <c r="F331" t="s">
        <v>5606</v>
      </c>
    </row>
    <row r="332" spans="1:6">
      <c r="A332" t="s">
        <v>9679</v>
      </c>
      <c r="B332">
        <v>8028</v>
      </c>
      <c r="C332" t="s">
        <v>9674</v>
      </c>
      <c r="D332" t="s">
        <v>185</v>
      </c>
      <c r="E332">
        <v>100</v>
      </c>
      <c r="F332" t="s">
        <v>5606</v>
      </c>
    </row>
    <row r="333" spans="1:6">
      <c r="A333" t="s">
        <v>9679</v>
      </c>
      <c r="B333">
        <v>8038</v>
      </c>
      <c r="C333" t="s">
        <v>9674</v>
      </c>
      <c r="D333" t="s">
        <v>185</v>
      </c>
      <c r="E333">
        <v>100</v>
      </c>
      <c r="F333" t="s">
        <v>5606</v>
      </c>
    </row>
    <row r="334" spans="1:6">
      <c r="A334" t="s">
        <v>9679</v>
      </c>
      <c r="B334">
        <v>8667</v>
      </c>
      <c r="C334" t="s">
        <v>9674</v>
      </c>
      <c r="D334" t="s">
        <v>185</v>
      </c>
      <c r="E334">
        <v>100</v>
      </c>
      <c r="F334" t="s">
        <v>5606</v>
      </c>
    </row>
    <row r="335" spans="1:6">
      <c r="A335" t="s">
        <v>9679</v>
      </c>
      <c r="B335">
        <v>8677</v>
      </c>
      <c r="C335" t="s">
        <v>9674</v>
      </c>
      <c r="D335" t="s">
        <v>185</v>
      </c>
      <c r="E335">
        <v>100</v>
      </c>
      <c r="F335" t="s">
        <v>5606</v>
      </c>
    </row>
    <row r="336" spans="1:6">
      <c r="A336" t="s">
        <v>9679</v>
      </c>
      <c r="B336">
        <v>8678</v>
      </c>
      <c r="C336" t="s">
        <v>9674</v>
      </c>
      <c r="D336" t="s">
        <v>185</v>
      </c>
      <c r="E336">
        <v>100</v>
      </c>
      <c r="F336" t="s">
        <v>5606</v>
      </c>
    </row>
    <row r="337" spans="1:6">
      <c r="A337" t="s">
        <v>9679</v>
      </c>
      <c r="B337">
        <v>8720</v>
      </c>
      <c r="C337" t="s">
        <v>9674</v>
      </c>
      <c r="D337" t="s">
        <v>185</v>
      </c>
      <c r="E337">
        <v>100</v>
      </c>
      <c r="F337" t="s">
        <v>5606</v>
      </c>
    </row>
    <row r="338" spans="1:6">
      <c r="A338" t="s">
        <v>9679</v>
      </c>
      <c r="B338">
        <v>8730</v>
      </c>
      <c r="C338" t="s">
        <v>9674</v>
      </c>
      <c r="D338" t="s">
        <v>185</v>
      </c>
      <c r="E338">
        <v>100</v>
      </c>
      <c r="F338" t="s">
        <v>5606</v>
      </c>
    </row>
    <row r="339" spans="1:6">
      <c r="A339" t="s">
        <v>9679</v>
      </c>
      <c r="B339">
        <v>8740</v>
      </c>
      <c r="C339" t="s">
        <v>9674</v>
      </c>
      <c r="D339" t="s">
        <v>185</v>
      </c>
      <c r="E339">
        <v>100</v>
      </c>
      <c r="F339" t="s">
        <v>5606</v>
      </c>
    </row>
    <row r="340" spans="1:6">
      <c r="A340" t="s">
        <v>9679</v>
      </c>
      <c r="B340">
        <v>8750</v>
      </c>
      <c r="C340" t="s">
        <v>9674</v>
      </c>
      <c r="D340" t="s">
        <v>185</v>
      </c>
      <c r="E340">
        <v>100</v>
      </c>
      <c r="F340" t="s">
        <v>5606</v>
      </c>
    </row>
    <row r="341" spans="1:6">
      <c r="A341" t="s">
        <v>9679</v>
      </c>
      <c r="B341">
        <v>8832</v>
      </c>
      <c r="C341" t="s">
        <v>9674</v>
      </c>
      <c r="D341" t="s">
        <v>185</v>
      </c>
      <c r="E341">
        <v>100</v>
      </c>
      <c r="F341" t="s">
        <v>5606</v>
      </c>
    </row>
    <row r="342" spans="1:6">
      <c r="A342" t="s">
        <v>9679</v>
      </c>
      <c r="B342">
        <v>8839</v>
      </c>
      <c r="C342" t="s">
        <v>9674</v>
      </c>
      <c r="D342" t="s">
        <v>185</v>
      </c>
      <c r="E342">
        <v>100</v>
      </c>
      <c r="F342" t="s">
        <v>5606</v>
      </c>
    </row>
    <row r="343" spans="1:6">
      <c r="A343" t="s">
        <v>9679</v>
      </c>
      <c r="B343">
        <v>8843</v>
      </c>
      <c r="C343" t="s">
        <v>9674</v>
      </c>
      <c r="D343" t="s">
        <v>185</v>
      </c>
      <c r="E343">
        <v>100</v>
      </c>
      <c r="F343" t="s">
        <v>5606</v>
      </c>
    </row>
    <row r="344" spans="1:6">
      <c r="A344" t="s">
        <v>9679</v>
      </c>
      <c r="B344">
        <v>8850</v>
      </c>
      <c r="C344" t="s">
        <v>9674</v>
      </c>
      <c r="D344" t="s">
        <v>185</v>
      </c>
      <c r="E344">
        <v>100</v>
      </c>
      <c r="F344" t="s">
        <v>5606</v>
      </c>
    </row>
    <row r="345" spans="1:6">
      <c r="A345" t="s">
        <v>9679</v>
      </c>
      <c r="B345">
        <v>8852</v>
      </c>
      <c r="C345" t="s">
        <v>9674</v>
      </c>
      <c r="D345" t="s">
        <v>185</v>
      </c>
      <c r="E345">
        <v>100</v>
      </c>
      <c r="F345" t="s">
        <v>5606</v>
      </c>
    </row>
    <row r="346" spans="1:6">
      <c r="A346" t="s">
        <v>9679</v>
      </c>
      <c r="B346">
        <v>8853</v>
      </c>
      <c r="C346" t="s">
        <v>9674</v>
      </c>
      <c r="D346" t="s">
        <v>185</v>
      </c>
      <c r="E346">
        <v>100</v>
      </c>
      <c r="F346" t="s">
        <v>5606</v>
      </c>
    </row>
    <row r="347" spans="1:6">
      <c r="A347" t="s">
        <v>9679</v>
      </c>
      <c r="B347">
        <v>8886</v>
      </c>
      <c r="C347" t="s">
        <v>9674</v>
      </c>
      <c r="D347" t="s">
        <v>185</v>
      </c>
      <c r="E347">
        <v>100</v>
      </c>
      <c r="F347" t="s">
        <v>5606</v>
      </c>
    </row>
    <row r="348" spans="1:6">
      <c r="A348" t="s">
        <v>9679</v>
      </c>
      <c r="B348">
        <v>8721</v>
      </c>
      <c r="C348" t="s">
        <v>9674</v>
      </c>
      <c r="D348" t="s">
        <v>186</v>
      </c>
      <c r="E348">
        <v>205</v>
      </c>
      <c r="F348" t="s">
        <v>5606</v>
      </c>
    </row>
    <row r="349" spans="1:6">
      <c r="A349" t="s">
        <v>9679</v>
      </c>
      <c r="B349">
        <v>8731</v>
      </c>
      <c r="C349" t="s">
        <v>9674</v>
      </c>
      <c r="D349" t="s">
        <v>186</v>
      </c>
      <c r="E349">
        <v>205</v>
      </c>
      <c r="F349" t="s">
        <v>5606</v>
      </c>
    </row>
    <row r="350" spans="1:6">
      <c r="A350" t="s">
        <v>9679</v>
      </c>
      <c r="B350">
        <v>7906</v>
      </c>
      <c r="C350" t="s">
        <v>9674</v>
      </c>
      <c r="D350" t="s">
        <v>186</v>
      </c>
      <c r="E350">
        <v>205</v>
      </c>
      <c r="F350" t="s">
        <v>5606</v>
      </c>
    </row>
    <row r="351" spans="1:6">
      <c r="A351" t="s">
        <v>9679</v>
      </c>
      <c r="B351">
        <v>7916</v>
      </c>
      <c r="C351" t="s">
        <v>9674</v>
      </c>
      <c r="D351" t="s">
        <v>186</v>
      </c>
      <c r="E351">
        <v>205</v>
      </c>
      <c r="F351" t="s">
        <v>5606</v>
      </c>
    </row>
    <row r="352" spans="1:6">
      <c r="A352" t="s">
        <v>9679</v>
      </c>
      <c r="B352">
        <v>8737</v>
      </c>
      <c r="C352" t="s">
        <v>9674</v>
      </c>
      <c r="D352" t="s">
        <v>186</v>
      </c>
      <c r="E352">
        <v>205</v>
      </c>
      <c r="F352" t="s">
        <v>5606</v>
      </c>
    </row>
    <row r="353" spans="1:6">
      <c r="A353" t="s">
        <v>9679</v>
      </c>
      <c r="B353">
        <v>7917</v>
      </c>
      <c r="C353" t="s">
        <v>9674</v>
      </c>
      <c r="D353" t="s">
        <v>186</v>
      </c>
      <c r="E353">
        <v>205</v>
      </c>
      <c r="F353" t="s">
        <v>5606</v>
      </c>
    </row>
    <row r="354" spans="1:6">
      <c r="A354" t="s">
        <v>9679</v>
      </c>
      <c r="B354">
        <v>7903</v>
      </c>
      <c r="C354" t="s">
        <v>9674</v>
      </c>
      <c r="D354" t="s">
        <v>186</v>
      </c>
      <c r="E354">
        <v>205</v>
      </c>
      <c r="F354" t="s">
        <v>5606</v>
      </c>
    </row>
    <row r="355" spans="1:6">
      <c r="A355" t="s">
        <v>9679</v>
      </c>
      <c r="B355">
        <v>5455</v>
      </c>
      <c r="C355" t="s">
        <v>9674</v>
      </c>
      <c r="D355" t="s">
        <v>186</v>
      </c>
      <c r="E355">
        <v>205</v>
      </c>
      <c r="F355" t="s">
        <v>5606</v>
      </c>
    </row>
    <row r="356" spans="1:6">
      <c r="A356" t="s">
        <v>9679</v>
      </c>
      <c r="B356">
        <v>5456</v>
      </c>
      <c r="C356" t="s">
        <v>9674</v>
      </c>
      <c r="D356" t="s">
        <v>186</v>
      </c>
      <c r="E356">
        <v>205</v>
      </c>
      <c r="F356" t="s">
        <v>5606</v>
      </c>
    </row>
    <row r="357" spans="1:6">
      <c r="A357" t="s">
        <v>9679</v>
      </c>
      <c r="B357">
        <v>6391</v>
      </c>
      <c r="C357" t="s">
        <v>9674</v>
      </c>
      <c r="D357" t="s">
        <v>186</v>
      </c>
      <c r="E357">
        <v>205</v>
      </c>
      <c r="F357" t="s">
        <v>5606</v>
      </c>
    </row>
    <row r="358" spans="1:6">
      <c r="A358" t="s">
        <v>9679</v>
      </c>
      <c r="B358">
        <v>7912</v>
      </c>
      <c r="C358" t="s">
        <v>9674</v>
      </c>
      <c r="D358" t="s">
        <v>186</v>
      </c>
      <c r="E358">
        <v>205</v>
      </c>
      <c r="F358" t="s">
        <v>5606</v>
      </c>
    </row>
    <row r="359" spans="1:6">
      <c r="A359" t="s">
        <v>9679</v>
      </c>
      <c r="B359">
        <v>7913</v>
      </c>
      <c r="C359" t="s">
        <v>9674</v>
      </c>
      <c r="D359" t="s">
        <v>186</v>
      </c>
      <c r="E359">
        <v>205</v>
      </c>
      <c r="F359" t="s">
        <v>5606</v>
      </c>
    </row>
    <row r="360" spans="1:6">
      <c r="A360" t="s">
        <v>9679</v>
      </c>
      <c r="B360">
        <v>7918</v>
      </c>
      <c r="C360" t="s">
        <v>9674</v>
      </c>
      <c r="D360" t="s">
        <v>186</v>
      </c>
      <c r="E360">
        <v>205</v>
      </c>
      <c r="F360" t="s">
        <v>5606</v>
      </c>
    </row>
    <row r="361" spans="1:6">
      <c r="A361" t="s">
        <v>9679</v>
      </c>
      <c r="B361">
        <v>7919</v>
      </c>
      <c r="C361" t="s">
        <v>9674</v>
      </c>
      <c r="D361" t="s">
        <v>186</v>
      </c>
      <c r="E361">
        <v>205</v>
      </c>
      <c r="F361" t="s">
        <v>5606</v>
      </c>
    </row>
    <row r="362" spans="1:6">
      <c r="A362" t="s">
        <v>9679</v>
      </c>
      <c r="B362">
        <v>8685</v>
      </c>
      <c r="C362" t="s">
        <v>9674</v>
      </c>
      <c r="D362" t="s">
        <v>186</v>
      </c>
      <c r="E362">
        <v>205</v>
      </c>
      <c r="F362" t="s">
        <v>5606</v>
      </c>
    </row>
    <row r="363" spans="1:6">
      <c r="A363" t="s">
        <v>9679</v>
      </c>
      <c r="B363">
        <v>8686</v>
      </c>
      <c r="C363" t="s">
        <v>9674</v>
      </c>
      <c r="D363" t="s">
        <v>186</v>
      </c>
      <c r="E363">
        <v>205</v>
      </c>
      <c r="F363" t="s">
        <v>5606</v>
      </c>
    </row>
    <row r="364" spans="1:6">
      <c r="A364" t="s">
        <v>9679</v>
      </c>
      <c r="B364">
        <v>8861</v>
      </c>
      <c r="C364" t="s">
        <v>9674</v>
      </c>
      <c r="D364" t="s">
        <v>186</v>
      </c>
      <c r="E364">
        <v>205</v>
      </c>
      <c r="F364" t="s">
        <v>5606</v>
      </c>
    </row>
    <row r="365" spans="1:6">
      <c r="A365" t="s">
        <v>9679</v>
      </c>
      <c r="B365">
        <v>8862</v>
      </c>
      <c r="C365" t="s">
        <v>9674</v>
      </c>
      <c r="D365" t="s">
        <v>186</v>
      </c>
      <c r="E365">
        <v>205</v>
      </c>
      <c r="F365" t="s">
        <v>5606</v>
      </c>
    </row>
    <row r="366" spans="1:6">
      <c r="A366" t="s">
        <v>9679</v>
      </c>
      <c r="B366">
        <v>8863</v>
      </c>
      <c r="C366" t="s">
        <v>9674</v>
      </c>
      <c r="D366" t="s">
        <v>186</v>
      </c>
      <c r="E366">
        <v>205</v>
      </c>
      <c r="F366" t="s">
        <v>5606</v>
      </c>
    </row>
    <row r="367" spans="1:6">
      <c r="A367" t="s">
        <v>9679</v>
      </c>
      <c r="B367">
        <v>8683</v>
      </c>
      <c r="C367" t="s">
        <v>9674</v>
      </c>
      <c r="D367" t="s">
        <v>186</v>
      </c>
      <c r="E367">
        <v>205</v>
      </c>
      <c r="F367" t="s">
        <v>5606</v>
      </c>
    </row>
    <row r="368" spans="1:6">
      <c r="A368" t="s">
        <v>9679</v>
      </c>
      <c r="B368">
        <v>8687</v>
      </c>
      <c r="C368" t="s">
        <v>9674</v>
      </c>
      <c r="D368" t="s">
        <v>186</v>
      </c>
      <c r="E368">
        <v>205</v>
      </c>
      <c r="F368" t="s">
        <v>5606</v>
      </c>
    </row>
    <row r="369" spans="1:6">
      <c r="A369" t="s">
        <v>9679</v>
      </c>
      <c r="B369">
        <v>8870</v>
      </c>
      <c r="C369" t="s">
        <v>9674</v>
      </c>
      <c r="D369" t="s">
        <v>186</v>
      </c>
      <c r="E369">
        <v>205</v>
      </c>
      <c r="F369" t="s">
        <v>5606</v>
      </c>
    </row>
    <row r="370" spans="1:6">
      <c r="A370" t="s">
        <v>9679</v>
      </c>
      <c r="B370">
        <v>8688</v>
      </c>
      <c r="C370" t="s">
        <v>9674</v>
      </c>
      <c r="D370" t="s">
        <v>186</v>
      </c>
      <c r="E370">
        <v>205</v>
      </c>
      <c r="F370" t="s">
        <v>5606</v>
      </c>
    </row>
    <row r="371" spans="1:6">
      <c r="A371" t="s">
        <v>9679</v>
      </c>
      <c r="B371">
        <v>8855</v>
      </c>
      <c r="C371" t="s">
        <v>9674</v>
      </c>
      <c r="D371" t="s">
        <v>186</v>
      </c>
      <c r="E371">
        <v>205</v>
      </c>
      <c r="F371" t="s">
        <v>5606</v>
      </c>
    </row>
    <row r="372" spans="1:6">
      <c r="A372" t="s">
        <v>9679</v>
      </c>
      <c r="B372">
        <v>8872</v>
      </c>
      <c r="C372" t="s">
        <v>9674</v>
      </c>
      <c r="D372" t="s">
        <v>186</v>
      </c>
      <c r="E372">
        <v>205</v>
      </c>
      <c r="F372" t="s">
        <v>5606</v>
      </c>
    </row>
    <row r="373" spans="1:6">
      <c r="A373" t="s">
        <v>9679</v>
      </c>
      <c r="B373">
        <v>8874</v>
      </c>
      <c r="C373" t="s">
        <v>9674</v>
      </c>
      <c r="D373" t="s">
        <v>186</v>
      </c>
      <c r="E373">
        <v>205</v>
      </c>
      <c r="F373" t="s">
        <v>5606</v>
      </c>
    </row>
    <row r="374" spans="1:6">
      <c r="A374" t="s">
        <v>9679</v>
      </c>
      <c r="B374">
        <v>6385</v>
      </c>
      <c r="C374" t="s">
        <v>9674</v>
      </c>
      <c r="D374" t="s">
        <v>186</v>
      </c>
      <c r="E374">
        <v>205</v>
      </c>
      <c r="F374" t="s">
        <v>5606</v>
      </c>
    </row>
    <row r="375" spans="1:6">
      <c r="A375" t="s">
        <v>9679</v>
      </c>
      <c r="B375">
        <v>6386</v>
      </c>
      <c r="C375" t="s">
        <v>9674</v>
      </c>
      <c r="D375" t="s">
        <v>186</v>
      </c>
      <c r="E375">
        <v>205</v>
      </c>
      <c r="F375" t="s">
        <v>5606</v>
      </c>
    </row>
    <row r="376" spans="1:6">
      <c r="A376" t="s">
        <v>9679</v>
      </c>
      <c r="B376">
        <v>6388</v>
      </c>
      <c r="C376" t="s">
        <v>9674</v>
      </c>
      <c r="D376" t="s">
        <v>186</v>
      </c>
      <c r="E376">
        <v>205</v>
      </c>
      <c r="F376" t="s">
        <v>5606</v>
      </c>
    </row>
    <row r="377" spans="1:6">
      <c r="A377" t="s">
        <v>9679</v>
      </c>
      <c r="B377">
        <v>6389</v>
      </c>
      <c r="C377" t="s">
        <v>9674</v>
      </c>
      <c r="D377" t="s">
        <v>186</v>
      </c>
      <c r="E377">
        <v>205</v>
      </c>
      <c r="F377" t="s">
        <v>5606</v>
      </c>
    </row>
    <row r="378" spans="1:6">
      <c r="A378" t="s">
        <v>9679</v>
      </c>
      <c r="B378">
        <v>6390</v>
      </c>
      <c r="C378" t="s">
        <v>9674</v>
      </c>
      <c r="D378" t="s">
        <v>186</v>
      </c>
      <c r="E378">
        <v>205</v>
      </c>
      <c r="F378" t="s">
        <v>5606</v>
      </c>
    </row>
    <row r="379" spans="1:6">
      <c r="A379" t="s">
        <v>9679</v>
      </c>
      <c r="B379">
        <v>7321</v>
      </c>
      <c r="C379" t="s">
        <v>9674</v>
      </c>
      <c r="D379" t="s">
        <v>186</v>
      </c>
      <c r="E379">
        <v>205</v>
      </c>
      <c r="F379" t="s">
        <v>5606</v>
      </c>
    </row>
    <row r="380" spans="1:6">
      <c r="A380" t="s">
        <v>9679</v>
      </c>
      <c r="B380">
        <v>7831</v>
      </c>
      <c r="C380" t="s">
        <v>9674</v>
      </c>
      <c r="D380" t="s">
        <v>186</v>
      </c>
      <c r="E380">
        <v>205</v>
      </c>
      <c r="F380" t="s">
        <v>5606</v>
      </c>
    </row>
    <row r="381" spans="1:6">
      <c r="A381" t="s">
        <v>9679</v>
      </c>
      <c r="B381">
        <v>7832</v>
      </c>
      <c r="C381" t="s">
        <v>9674</v>
      </c>
      <c r="D381" t="s">
        <v>186</v>
      </c>
      <c r="E381">
        <v>205</v>
      </c>
      <c r="F381" t="s">
        <v>5606</v>
      </c>
    </row>
    <row r="382" spans="1:6">
      <c r="A382" t="s">
        <v>9679</v>
      </c>
      <c r="B382">
        <v>7833</v>
      </c>
      <c r="C382" t="s">
        <v>9674</v>
      </c>
      <c r="D382" t="s">
        <v>186</v>
      </c>
      <c r="E382">
        <v>205</v>
      </c>
      <c r="F382" t="s">
        <v>5606</v>
      </c>
    </row>
    <row r="383" spans="1:6">
      <c r="A383" t="s">
        <v>9679</v>
      </c>
      <c r="B383">
        <v>7834</v>
      </c>
      <c r="C383" t="s">
        <v>9674</v>
      </c>
      <c r="D383" t="s">
        <v>186</v>
      </c>
      <c r="E383">
        <v>205</v>
      </c>
      <c r="F383" t="s">
        <v>5606</v>
      </c>
    </row>
    <row r="384" spans="1:6">
      <c r="A384" t="s">
        <v>9679</v>
      </c>
      <c r="B384">
        <v>8722</v>
      </c>
      <c r="C384" t="s">
        <v>9674</v>
      </c>
      <c r="D384" t="s">
        <v>186</v>
      </c>
      <c r="E384">
        <v>205</v>
      </c>
      <c r="F384" t="s">
        <v>5606</v>
      </c>
    </row>
    <row r="385" spans="1:6">
      <c r="A385" t="s">
        <v>9679</v>
      </c>
      <c r="B385">
        <v>8733</v>
      </c>
      <c r="C385" t="s">
        <v>9674</v>
      </c>
      <c r="D385" t="s">
        <v>186</v>
      </c>
      <c r="E385">
        <v>205</v>
      </c>
      <c r="F385" t="s">
        <v>5606</v>
      </c>
    </row>
    <row r="386" spans="1:6">
      <c r="A386" t="s">
        <v>9679</v>
      </c>
      <c r="B386">
        <v>8752</v>
      </c>
      <c r="C386" t="s">
        <v>9674</v>
      </c>
      <c r="D386" t="s">
        <v>186</v>
      </c>
      <c r="E386">
        <v>205</v>
      </c>
      <c r="F386" t="s">
        <v>5606</v>
      </c>
    </row>
    <row r="387" spans="1:6">
      <c r="A387" t="s">
        <v>9679</v>
      </c>
      <c r="B387">
        <v>6205</v>
      </c>
      <c r="C387" t="s">
        <v>9674</v>
      </c>
      <c r="D387" t="s">
        <v>186</v>
      </c>
      <c r="E387">
        <v>205</v>
      </c>
      <c r="F387" t="s">
        <v>5606</v>
      </c>
    </row>
    <row r="388" spans="1:6">
      <c r="A388" t="s">
        <v>9679</v>
      </c>
      <c r="B388">
        <v>7163</v>
      </c>
      <c r="C388" t="s">
        <v>9674</v>
      </c>
      <c r="D388" t="s">
        <v>186</v>
      </c>
      <c r="E388">
        <v>205</v>
      </c>
      <c r="F388" t="s">
        <v>5606</v>
      </c>
    </row>
    <row r="389" spans="1:6">
      <c r="A389" t="s">
        <v>9679</v>
      </c>
      <c r="B389">
        <v>8877</v>
      </c>
      <c r="C389" t="s">
        <v>9674</v>
      </c>
      <c r="D389" t="s">
        <v>186</v>
      </c>
      <c r="E389">
        <v>205</v>
      </c>
      <c r="F389" t="s">
        <v>5606</v>
      </c>
    </row>
    <row r="390" spans="1:6">
      <c r="A390" t="s">
        <v>9679</v>
      </c>
      <c r="B390">
        <v>7164</v>
      </c>
      <c r="C390" t="s">
        <v>9674</v>
      </c>
      <c r="D390" t="s">
        <v>186</v>
      </c>
      <c r="E390">
        <v>205</v>
      </c>
      <c r="F390" t="s">
        <v>5606</v>
      </c>
    </row>
    <row r="391" spans="1:6">
      <c r="A391" t="s">
        <v>9679</v>
      </c>
      <c r="B391">
        <v>8865</v>
      </c>
      <c r="C391" t="s">
        <v>9674</v>
      </c>
      <c r="D391" t="s">
        <v>186</v>
      </c>
      <c r="E391">
        <v>205</v>
      </c>
      <c r="F391" t="s">
        <v>5606</v>
      </c>
    </row>
    <row r="392" spans="1:6">
      <c r="A392" t="s">
        <v>9679</v>
      </c>
      <c r="B392">
        <v>8866</v>
      </c>
      <c r="C392" t="s">
        <v>9674</v>
      </c>
      <c r="D392" t="s">
        <v>186</v>
      </c>
      <c r="E392">
        <v>205</v>
      </c>
      <c r="F392" t="s">
        <v>5606</v>
      </c>
    </row>
    <row r="393" spans="1:6">
      <c r="A393" t="s">
        <v>9679</v>
      </c>
      <c r="B393">
        <v>8864</v>
      </c>
      <c r="C393" t="s">
        <v>9674</v>
      </c>
      <c r="D393" t="s">
        <v>186</v>
      </c>
      <c r="E393">
        <v>205</v>
      </c>
      <c r="F393" t="s">
        <v>5606</v>
      </c>
    </row>
    <row r="394" spans="1:6">
      <c r="A394" t="s">
        <v>9679</v>
      </c>
      <c r="B394">
        <v>7141</v>
      </c>
      <c r="C394" t="s">
        <v>9674</v>
      </c>
      <c r="D394" t="s">
        <v>186</v>
      </c>
      <c r="E394">
        <v>205</v>
      </c>
      <c r="F394" t="s">
        <v>5606</v>
      </c>
    </row>
    <row r="395" spans="1:6">
      <c r="A395" t="s">
        <v>9679</v>
      </c>
      <c r="B395">
        <v>7143</v>
      </c>
      <c r="C395" t="s">
        <v>9674</v>
      </c>
      <c r="D395" t="s">
        <v>186</v>
      </c>
      <c r="E395">
        <v>205</v>
      </c>
      <c r="F395" t="s">
        <v>5606</v>
      </c>
    </row>
    <row r="396" spans="1:6">
      <c r="A396" t="s">
        <v>9679</v>
      </c>
      <c r="B396">
        <v>7145</v>
      </c>
      <c r="C396" t="s">
        <v>9674</v>
      </c>
      <c r="D396" t="s">
        <v>186</v>
      </c>
      <c r="E396">
        <v>205</v>
      </c>
      <c r="F396" t="s">
        <v>5606</v>
      </c>
    </row>
    <row r="397" spans="1:6">
      <c r="A397" t="s">
        <v>9679</v>
      </c>
      <c r="B397">
        <v>7147</v>
      </c>
      <c r="C397" t="s">
        <v>9674</v>
      </c>
      <c r="D397" t="s">
        <v>186</v>
      </c>
      <c r="E397">
        <v>205</v>
      </c>
      <c r="F397" t="s">
        <v>5606</v>
      </c>
    </row>
    <row r="398" spans="1:6">
      <c r="A398" t="s">
        <v>9679</v>
      </c>
      <c r="B398">
        <v>3837</v>
      </c>
      <c r="C398" t="s">
        <v>9674</v>
      </c>
      <c r="D398" t="s">
        <v>186</v>
      </c>
      <c r="E398">
        <v>205</v>
      </c>
      <c r="F398" t="s">
        <v>5606</v>
      </c>
    </row>
    <row r="399" spans="1:6">
      <c r="A399" t="s">
        <v>9679</v>
      </c>
      <c r="B399">
        <v>8878</v>
      </c>
      <c r="C399" t="s">
        <v>9674</v>
      </c>
      <c r="D399" t="s">
        <v>186</v>
      </c>
      <c r="E399">
        <v>205</v>
      </c>
      <c r="F399" t="s">
        <v>5606</v>
      </c>
    </row>
    <row r="400" spans="1:6">
      <c r="A400" t="s">
        <v>9679</v>
      </c>
      <c r="B400">
        <v>8879</v>
      </c>
      <c r="C400" t="s">
        <v>9674</v>
      </c>
      <c r="D400" t="s">
        <v>186</v>
      </c>
      <c r="E400">
        <v>205</v>
      </c>
      <c r="F400" t="s">
        <v>5606</v>
      </c>
    </row>
    <row r="401" spans="1:6">
      <c r="A401" t="s">
        <v>9679</v>
      </c>
      <c r="B401">
        <v>5464</v>
      </c>
      <c r="C401" t="s">
        <v>9674</v>
      </c>
      <c r="D401" t="s">
        <v>186</v>
      </c>
      <c r="E401">
        <v>205</v>
      </c>
      <c r="F401" t="s">
        <v>5606</v>
      </c>
    </row>
    <row r="402" spans="1:6">
      <c r="A402" t="s">
        <v>9679</v>
      </c>
      <c r="B402">
        <v>9532</v>
      </c>
      <c r="C402" t="s">
        <v>9674</v>
      </c>
      <c r="D402" t="s">
        <v>186</v>
      </c>
      <c r="E402">
        <v>205</v>
      </c>
      <c r="F402" t="s">
        <v>5606</v>
      </c>
    </row>
    <row r="403" spans="1:6">
      <c r="A403" t="s">
        <v>9679</v>
      </c>
      <c r="B403">
        <v>5465</v>
      </c>
      <c r="C403" t="s">
        <v>9674</v>
      </c>
      <c r="D403" t="s">
        <v>186</v>
      </c>
      <c r="E403">
        <v>205</v>
      </c>
      <c r="F403" t="s">
        <v>5606</v>
      </c>
    </row>
    <row r="404" spans="1:6">
      <c r="A404" t="s">
        <v>9679</v>
      </c>
      <c r="B404">
        <v>5456</v>
      </c>
      <c r="C404" t="s">
        <v>9674</v>
      </c>
      <c r="D404" t="s">
        <v>186</v>
      </c>
      <c r="E404">
        <v>205</v>
      </c>
      <c r="F404" t="s">
        <v>5606</v>
      </c>
    </row>
    <row r="405" spans="1:6">
      <c r="A405" t="s">
        <v>9679</v>
      </c>
      <c r="B405">
        <v>7148</v>
      </c>
      <c r="C405" t="s">
        <v>9674</v>
      </c>
      <c r="D405" t="s">
        <v>186</v>
      </c>
      <c r="E405">
        <v>205</v>
      </c>
      <c r="F405" t="s">
        <v>5606</v>
      </c>
    </row>
    <row r="406" spans="1:6">
      <c r="A406" t="s">
        <v>9679</v>
      </c>
      <c r="B406">
        <v>7385</v>
      </c>
      <c r="C406" t="s">
        <v>9674</v>
      </c>
      <c r="D406" t="s">
        <v>186</v>
      </c>
      <c r="E406">
        <v>205</v>
      </c>
      <c r="F406" t="s">
        <v>5606</v>
      </c>
    </row>
    <row r="407" spans="1:6">
      <c r="A407" t="s">
        <v>9679</v>
      </c>
      <c r="B407">
        <v>7162</v>
      </c>
      <c r="C407" t="s">
        <v>9674</v>
      </c>
      <c r="D407" t="s">
        <v>186</v>
      </c>
      <c r="E407">
        <v>205</v>
      </c>
      <c r="F407" t="s">
        <v>5606</v>
      </c>
    </row>
    <row r="408" spans="1:6">
      <c r="A408" t="s">
        <v>9679</v>
      </c>
      <c r="B408">
        <v>6241</v>
      </c>
      <c r="C408" t="s">
        <v>9674</v>
      </c>
      <c r="D408" t="s">
        <v>186</v>
      </c>
      <c r="E408">
        <v>205</v>
      </c>
      <c r="F408" t="s">
        <v>5606</v>
      </c>
    </row>
    <row r="409" spans="1:6">
      <c r="A409" t="s">
        <v>9679</v>
      </c>
      <c r="B409">
        <v>8835</v>
      </c>
      <c r="C409" t="s">
        <v>9674</v>
      </c>
      <c r="D409" t="s">
        <v>187</v>
      </c>
      <c r="E409" t="s">
        <v>9823</v>
      </c>
      <c r="F409" t="s">
        <v>5606</v>
      </c>
    </row>
    <row r="410" spans="1:6">
      <c r="A410" t="s">
        <v>9679</v>
      </c>
      <c r="B410">
        <v>8848</v>
      </c>
      <c r="C410" t="s">
        <v>9674</v>
      </c>
      <c r="D410" t="s">
        <v>187</v>
      </c>
      <c r="E410" t="s">
        <v>9823</v>
      </c>
      <c r="F410" t="s">
        <v>5606</v>
      </c>
    </row>
    <row r="411" spans="1:6">
      <c r="A411" t="s">
        <v>9679</v>
      </c>
      <c r="B411">
        <v>7992</v>
      </c>
      <c r="C411" t="s">
        <v>9674</v>
      </c>
      <c r="D411" t="s">
        <v>187</v>
      </c>
      <c r="E411" t="s">
        <v>9823</v>
      </c>
      <c r="F411" t="s">
        <v>5606</v>
      </c>
    </row>
    <row r="412" spans="1:6">
      <c r="A412" t="s">
        <v>9679</v>
      </c>
      <c r="B412">
        <v>8674</v>
      </c>
      <c r="C412" t="s">
        <v>9674</v>
      </c>
      <c r="D412" t="s">
        <v>187</v>
      </c>
      <c r="E412" t="s">
        <v>9823</v>
      </c>
      <c r="F412" t="s">
        <v>5606</v>
      </c>
    </row>
    <row r="413" spans="1:6">
      <c r="A413" t="s">
        <v>9679</v>
      </c>
      <c r="B413">
        <v>8676</v>
      </c>
      <c r="C413" t="s">
        <v>9674</v>
      </c>
      <c r="D413" t="s">
        <v>187</v>
      </c>
      <c r="E413" t="s">
        <v>9823</v>
      </c>
      <c r="F413" t="s">
        <v>5606</v>
      </c>
    </row>
    <row r="414" spans="1:6">
      <c r="A414" t="s">
        <v>9679</v>
      </c>
      <c r="B414">
        <v>8830</v>
      </c>
      <c r="C414" t="s">
        <v>9674</v>
      </c>
      <c r="D414" t="s">
        <v>187</v>
      </c>
      <c r="E414" t="s">
        <v>9823</v>
      </c>
      <c r="F414" t="s">
        <v>5606</v>
      </c>
    </row>
    <row r="415" spans="1:6">
      <c r="A415" t="s">
        <v>9679</v>
      </c>
      <c r="B415">
        <v>8837</v>
      </c>
      <c r="C415" t="s">
        <v>9674</v>
      </c>
      <c r="D415" t="s">
        <v>187</v>
      </c>
      <c r="E415" t="s">
        <v>9823</v>
      </c>
      <c r="F415" t="s">
        <v>5606</v>
      </c>
    </row>
    <row r="416" spans="1:6">
      <c r="A416" t="s">
        <v>9679</v>
      </c>
      <c r="B416">
        <v>8827</v>
      </c>
      <c r="C416" t="s">
        <v>9674</v>
      </c>
      <c r="D416" t="s">
        <v>187</v>
      </c>
      <c r="E416" t="s">
        <v>9823</v>
      </c>
      <c r="F416" t="s">
        <v>5606</v>
      </c>
    </row>
    <row r="417" spans="1:6">
      <c r="A417" t="s">
        <v>9679</v>
      </c>
      <c r="B417">
        <v>8670</v>
      </c>
      <c r="C417" t="s">
        <v>9674</v>
      </c>
      <c r="D417" t="s">
        <v>187</v>
      </c>
      <c r="E417" t="s">
        <v>9823</v>
      </c>
      <c r="F417" t="s">
        <v>5606</v>
      </c>
    </row>
    <row r="418" spans="1:6">
      <c r="A418" t="s">
        <v>9679</v>
      </c>
      <c r="B418">
        <v>7977</v>
      </c>
      <c r="C418" t="s">
        <v>9674</v>
      </c>
      <c r="D418" t="s">
        <v>187</v>
      </c>
      <c r="E418" t="s">
        <v>9823</v>
      </c>
      <c r="F418" t="s">
        <v>5606</v>
      </c>
    </row>
    <row r="419" spans="1:6">
      <c r="A419" t="s">
        <v>9679</v>
      </c>
      <c r="B419">
        <v>7839</v>
      </c>
      <c r="C419" t="s">
        <v>9674</v>
      </c>
      <c r="D419" t="s">
        <v>187</v>
      </c>
      <c r="E419" t="s">
        <v>9823</v>
      </c>
      <c r="F419" t="s">
        <v>5606</v>
      </c>
    </row>
    <row r="420" spans="1:6">
      <c r="A420" t="s">
        <v>9679</v>
      </c>
      <c r="B420">
        <v>7380</v>
      </c>
      <c r="C420" t="s">
        <v>9674</v>
      </c>
      <c r="D420" t="s">
        <v>187</v>
      </c>
      <c r="E420" t="s">
        <v>9823</v>
      </c>
      <c r="F420" t="s">
        <v>5606</v>
      </c>
    </row>
    <row r="421" spans="1:6">
      <c r="A421" t="s">
        <v>9679</v>
      </c>
      <c r="B421">
        <v>7383</v>
      </c>
      <c r="C421" t="s">
        <v>9674</v>
      </c>
      <c r="D421" t="s">
        <v>187</v>
      </c>
      <c r="E421" t="s">
        <v>9823</v>
      </c>
      <c r="F421" t="s">
        <v>5606</v>
      </c>
    </row>
    <row r="422" spans="1:6">
      <c r="A422" t="s">
        <v>9679</v>
      </c>
      <c r="B422">
        <v>7160</v>
      </c>
      <c r="C422" t="s">
        <v>9674</v>
      </c>
      <c r="D422" t="s">
        <v>187</v>
      </c>
      <c r="E422" t="s">
        <v>9823</v>
      </c>
      <c r="F422" t="s">
        <v>5606</v>
      </c>
    </row>
    <row r="423" spans="1:6">
      <c r="A423" t="s">
        <v>9679</v>
      </c>
      <c r="B423">
        <v>7946</v>
      </c>
      <c r="C423" t="s">
        <v>9674</v>
      </c>
      <c r="D423" t="s">
        <v>187</v>
      </c>
      <c r="E423" t="s">
        <v>9823</v>
      </c>
      <c r="F423" t="s">
        <v>5606</v>
      </c>
    </row>
    <row r="424" spans="1:6">
      <c r="A424" t="s">
        <v>9679</v>
      </c>
      <c r="B424">
        <v>7978</v>
      </c>
      <c r="C424" t="s">
        <v>9674</v>
      </c>
      <c r="D424" t="s">
        <v>187</v>
      </c>
      <c r="E424" t="s">
        <v>9823</v>
      </c>
      <c r="F424" t="s">
        <v>5606</v>
      </c>
    </row>
    <row r="425" spans="1:6">
      <c r="A425" t="s">
        <v>9679</v>
      </c>
      <c r="B425">
        <v>7944</v>
      </c>
      <c r="C425" t="s">
        <v>9674</v>
      </c>
      <c r="D425" t="s">
        <v>187</v>
      </c>
      <c r="E425" t="s">
        <v>9823</v>
      </c>
      <c r="F425" t="s">
        <v>5606</v>
      </c>
    </row>
    <row r="426" spans="1:6">
      <c r="A426" t="s">
        <v>9679</v>
      </c>
      <c r="B426">
        <v>7914</v>
      </c>
      <c r="C426" t="s">
        <v>9674</v>
      </c>
      <c r="D426" t="s">
        <v>187</v>
      </c>
      <c r="E426" t="s">
        <v>9823</v>
      </c>
      <c r="F426" t="s">
        <v>5606</v>
      </c>
    </row>
    <row r="427" spans="1:6">
      <c r="A427" t="s">
        <v>9679</v>
      </c>
      <c r="B427">
        <v>7942</v>
      </c>
      <c r="C427" t="s">
        <v>9674</v>
      </c>
      <c r="D427" t="s">
        <v>187</v>
      </c>
      <c r="E427" t="s">
        <v>9823</v>
      </c>
      <c r="F427" t="s">
        <v>5606</v>
      </c>
    </row>
    <row r="428" spans="1:6">
      <c r="A428" t="s">
        <v>9679</v>
      </c>
      <c r="B428">
        <v>7376</v>
      </c>
      <c r="C428" t="s">
        <v>9674</v>
      </c>
      <c r="D428" t="s">
        <v>187</v>
      </c>
      <c r="E428" t="s">
        <v>9823</v>
      </c>
      <c r="F428" t="s">
        <v>5606</v>
      </c>
    </row>
    <row r="429" spans="1:6">
      <c r="A429" t="s">
        <v>9679</v>
      </c>
      <c r="B429">
        <v>7377</v>
      </c>
      <c r="C429" t="s">
        <v>9674</v>
      </c>
      <c r="D429" t="s">
        <v>187</v>
      </c>
      <c r="E429" t="s">
        <v>9823</v>
      </c>
      <c r="F429" t="s">
        <v>5606</v>
      </c>
    </row>
    <row r="430" spans="1:6">
      <c r="A430" t="s">
        <v>9679</v>
      </c>
      <c r="B430">
        <v>7158</v>
      </c>
      <c r="C430" t="s">
        <v>9674</v>
      </c>
      <c r="D430" t="s">
        <v>187</v>
      </c>
      <c r="E430" t="s">
        <v>9823</v>
      </c>
      <c r="F430" t="s">
        <v>5606</v>
      </c>
    </row>
    <row r="431" spans="1:6">
      <c r="A431" t="s">
        <v>9679</v>
      </c>
      <c r="B431">
        <v>7979</v>
      </c>
      <c r="C431" t="s">
        <v>9674</v>
      </c>
      <c r="D431" t="s">
        <v>187</v>
      </c>
      <c r="E431" t="s">
        <v>9823</v>
      </c>
      <c r="F431" t="s">
        <v>5606</v>
      </c>
    </row>
    <row r="432" spans="1:6">
      <c r="A432" t="s">
        <v>9679</v>
      </c>
      <c r="B432">
        <v>7947</v>
      </c>
      <c r="C432" t="s">
        <v>9674</v>
      </c>
      <c r="D432" t="s">
        <v>187</v>
      </c>
      <c r="E432" t="s">
        <v>9823</v>
      </c>
      <c r="F432" t="s">
        <v>5606</v>
      </c>
    </row>
    <row r="433" spans="1:6">
      <c r="A433" t="s">
        <v>9679</v>
      </c>
      <c r="B433">
        <v>5454</v>
      </c>
      <c r="C433" t="s">
        <v>9674</v>
      </c>
      <c r="D433" t="s">
        <v>187</v>
      </c>
      <c r="E433" t="s">
        <v>9823</v>
      </c>
      <c r="F433" t="s">
        <v>5606</v>
      </c>
    </row>
    <row r="434" spans="1:6">
      <c r="A434" t="s">
        <v>9679</v>
      </c>
      <c r="B434">
        <v>7945</v>
      </c>
      <c r="C434" t="s">
        <v>9674</v>
      </c>
      <c r="D434" t="s">
        <v>187</v>
      </c>
      <c r="E434" t="s">
        <v>9823</v>
      </c>
      <c r="F434" t="s">
        <v>5606</v>
      </c>
    </row>
    <row r="435" spans="1:6">
      <c r="A435" t="s">
        <v>9679</v>
      </c>
      <c r="B435">
        <v>7949</v>
      </c>
      <c r="C435" t="s">
        <v>9674</v>
      </c>
      <c r="D435" t="s">
        <v>187</v>
      </c>
      <c r="E435" t="s">
        <v>9823</v>
      </c>
      <c r="F435" t="s">
        <v>5606</v>
      </c>
    </row>
    <row r="436" spans="1:6">
      <c r="A436" t="s">
        <v>9679</v>
      </c>
      <c r="B436">
        <v>5460</v>
      </c>
      <c r="C436" t="s">
        <v>9674</v>
      </c>
      <c r="D436" t="s">
        <v>187</v>
      </c>
      <c r="E436" t="s">
        <v>9823</v>
      </c>
      <c r="F436" t="s">
        <v>5606</v>
      </c>
    </row>
    <row r="437" spans="1:6">
      <c r="A437" t="s">
        <v>9679</v>
      </c>
      <c r="B437">
        <v>5466</v>
      </c>
      <c r="C437" t="s">
        <v>9674</v>
      </c>
      <c r="D437" t="s">
        <v>187</v>
      </c>
      <c r="E437" t="s">
        <v>9823</v>
      </c>
      <c r="F437" t="s">
        <v>5606</v>
      </c>
    </row>
    <row r="438" spans="1:6">
      <c r="A438" t="s">
        <v>9679</v>
      </c>
      <c r="B438">
        <v>7915</v>
      </c>
      <c r="C438" t="s">
        <v>9674</v>
      </c>
      <c r="D438" t="s">
        <v>187</v>
      </c>
      <c r="E438" t="s">
        <v>9823</v>
      </c>
      <c r="F438" t="s">
        <v>5606</v>
      </c>
    </row>
    <row r="439" spans="1:6">
      <c r="A439" t="s">
        <v>9679</v>
      </c>
      <c r="B439">
        <v>7980</v>
      </c>
      <c r="C439" t="s">
        <v>9674</v>
      </c>
      <c r="D439" t="s">
        <v>187</v>
      </c>
      <c r="E439" t="s">
        <v>9823</v>
      </c>
      <c r="F439" t="s">
        <v>5606</v>
      </c>
    </row>
    <row r="440" spans="1:6">
      <c r="A440" t="s">
        <v>9679</v>
      </c>
      <c r="B440">
        <v>6630</v>
      </c>
      <c r="C440" t="s">
        <v>9674</v>
      </c>
      <c r="D440" t="s">
        <v>187</v>
      </c>
      <c r="E440" t="s">
        <v>9823</v>
      </c>
      <c r="F440" t="s">
        <v>5606</v>
      </c>
    </row>
    <row r="441" spans="1:6">
      <c r="A441" t="s">
        <v>9679</v>
      </c>
      <c r="B441">
        <v>7943</v>
      </c>
      <c r="C441" t="s">
        <v>9674</v>
      </c>
      <c r="D441" t="s">
        <v>187</v>
      </c>
      <c r="E441" t="s">
        <v>9823</v>
      </c>
      <c r="F441" t="s">
        <v>5606</v>
      </c>
    </row>
    <row r="442" spans="1:6">
      <c r="A442" t="s">
        <v>9679</v>
      </c>
      <c r="B442">
        <v>7985</v>
      </c>
      <c r="C442" t="s">
        <v>9674</v>
      </c>
      <c r="D442" t="s">
        <v>187</v>
      </c>
      <c r="E442" t="s">
        <v>9823</v>
      </c>
      <c r="F442" t="s">
        <v>5606</v>
      </c>
    </row>
    <row r="443" spans="1:6">
      <c r="A443" t="s">
        <v>9679</v>
      </c>
      <c r="B443">
        <v>5462</v>
      </c>
      <c r="C443" t="s">
        <v>9674</v>
      </c>
      <c r="D443" t="s">
        <v>187</v>
      </c>
      <c r="E443" t="s">
        <v>9823</v>
      </c>
      <c r="F443" t="s">
        <v>5606</v>
      </c>
    </row>
    <row r="444" spans="1:6">
      <c r="A444" t="s">
        <v>9679</v>
      </c>
      <c r="B444">
        <v>5463</v>
      </c>
      <c r="C444" t="s">
        <v>9674</v>
      </c>
      <c r="D444" t="s">
        <v>187</v>
      </c>
      <c r="E444" t="s">
        <v>9823</v>
      </c>
      <c r="F444" t="s">
        <v>5606</v>
      </c>
    </row>
    <row r="445" spans="1:6">
      <c r="A445" t="s">
        <v>9679</v>
      </c>
      <c r="B445">
        <v>5495</v>
      </c>
      <c r="C445" t="s">
        <v>9674</v>
      </c>
      <c r="D445" t="s">
        <v>187</v>
      </c>
      <c r="E445" t="s">
        <v>9823</v>
      </c>
      <c r="F445" t="s">
        <v>5606</v>
      </c>
    </row>
    <row r="446" spans="1:6">
      <c r="A446" t="s">
        <v>9679</v>
      </c>
      <c r="B446">
        <v>8655</v>
      </c>
      <c r="C446" t="s">
        <v>9674</v>
      </c>
      <c r="D446" t="s">
        <v>189</v>
      </c>
      <c r="E446" t="s">
        <v>9824</v>
      </c>
      <c r="F446" t="s">
        <v>5606</v>
      </c>
    </row>
    <row r="447" spans="1:6">
      <c r="A447" t="s">
        <v>9679</v>
      </c>
      <c r="B447">
        <v>8836</v>
      </c>
      <c r="C447" t="s">
        <v>9674</v>
      </c>
      <c r="D447" t="s">
        <v>189</v>
      </c>
      <c r="E447" t="s">
        <v>9824</v>
      </c>
      <c r="F447" t="s">
        <v>5606</v>
      </c>
    </row>
    <row r="448" spans="1:6">
      <c r="A448" t="s">
        <v>9679</v>
      </c>
      <c r="B448">
        <v>8486</v>
      </c>
      <c r="C448" t="s">
        <v>9674</v>
      </c>
      <c r="D448" t="s">
        <v>189</v>
      </c>
      <c r="E448" t="s">
        <v>9824</v>
      </c>
      <c r="F448" t="s">
        <v>5606</v>
      </c>
    </row>
    <row r="449" spans="1:6">
      <c r="A449" t="s">
        <v>9679</v>
      </c>
      <c r="B449">
        <v>8478</v>
      </c>
      <c r="C449" t="s">
        <v>9674</v>
      </c>
      <c r="D449" t="s">
        <v>189</v>
      </c>
      <c r="E449" t="s">
        <v>9824</v>
      </c>
      <c r="F449" t="s">
        <v>5606</v>
      </c>
    </row>
    <row r="450" spans="1:6">
      <c r="A450" t="s">
        <v>9679</v>
      </c>
      <c r="B450">
        <v>8479</v>
      </c>
      <c r="C450" t="s">
        <v>9674</v>
      </c>
      <c r="D450" t="s">
        <v>189</v>
      </c>
      <c r="E450" t="s">
        <v>9824</v>
      </c>
      <c r="F450" t="s">
        <v>5606</v>
      </c>
    </row>
    <row r="451" spans="1:6">
      <c r="A451" t="s">
        <v>9679</v>
      </c>
      <c r="B451">
        <v>8480</v>
      </c>
      <c r="C451" t="s">
        <v>9674</v>
      </c>
      <c r="D451" t="s">
        <v>189</v>
      </c>
      <c r="E451" t="s">
        <v>9824</v>
      </c>
      <c r="F451" t="s">
        <v>5606</v>
      </c>
    </row>
    <row r="452" spans="1:6">
      <c r="A452" t="s">
        <v>9679</v>
      </c>
      <c r="B452">
        <v>8482</v>
      </c>
      <c r="C452" t="s">
        <v>9674</v>
      </c>
      <c r="D452" t="s">
        <v>189</v>
      </c>
      <c r="E452" t="s">
        <v>9824</v>
      </c>
      <c r="F452" t="s">
        <v>5606</v>
      </c>
    </row>
    <row r="453" spans="1:6">
      <c r="A453" t="s">
        <v>9679</v>
      </c>
      <c r="B453">
        <v>8487</v>
      </c>
      <c r="C453" t="s">
        <v>9674</v>
      </c>
      <c r="D453" t="s">
        <v>189</v>
      </c>
      <c r="E453" t="s">
        <v>9824</v>
      </c>
      <c r="F453" t="s">
        <v>5606</v>
      </c>
    </row>
    <row r="454" spans="1:6">
      <c r="A454" t="s">
        <v>9679</v>
      </c>
      <c r="B454">
        <v>8485</v>
      </c>
      <c r="C454" t="s">
        <v>9674</v>
      </c>
      <c r="D454" t="s">
        <v>189</v>
      </c>
      <c r="E454" t="s">
        <v>9824</v>
      </c>
      <c r="F454" t="s">
        <v>5606</v>
      </c>
    </row>
    <row r="455" spans="1:6">
      <c r="A455" t="s">
        <v>9679</v>
      </c>
      <c r="B455">
        <v>8490</v>
      </c>
      <c r="C455" t="s">
        <v>9674</v>
      </c>
      <c r="D455" t="s">
        <v>189</v>
      </c>
      <c r="E455" t="s">
        <v>9824</v>
      </c>
      <c r="F455" t="s">
        <v>5606</v>
      </c>
    </row>
    <row r="456" spans="1:6">
      <c r="A456" t="s">
        <v>9679</v>
      </c>
      <c r="B456">
        <v>8645</v>
      </c>
      <c r="C456" t="s">
        <v>9674</v>
      </c>
      <c r="D456" t="s">
        <v>189</v>
      </c>
      <c r="E456" t="s">
        <v>9824</v>
      </c>
      <c r="F456" t="s">
        <v>5606</v>
      </c>
    </row>
    <row r="457" spans="1:6">
      <c r="A457" t="s">
        <v>9679</v>
      </c>
      <c r="B457">
        <v>8646</v>
      </c>
      <c r="C457" t="s">
        <v>9674</v>
      </c>
      <c r="D457" t="s">
        <v>189</v>
      </c>
      <c r="E457" t="s">
        <v>9824</v>
      </c>
      <c r="F457" t="s">
        <v>5606</v>
      </c>
    </row>
    <row r="458" spans="1:6">
      <c r="A458" t="s">
        <v>9679</v>
      </c>
      <c r="B458">
        <v>8647</v>
      </c>
      <c r="C458" t="s">
        <v>9674</v>
      </c>
      <c r="D458" t="s">
        <v>189</v>
      </c>
      <c r="E458" t="s">
        <v>9824</v>
      </c>
      <c r="F458" t="s">
        <v>5606</v>
      </c>
    </row>
    <row r="459" spans="1:6">
      <c r="A459" t="s">
        <v>9679</v>
      </c>
      <c r="B459">
        <v>8649</v>
      </c>
      <c r="C459" t="s">
        <v>9674</v>
      </c>
      <c r="D459" t="s">
        <v>189</v>
      </c>
      <c r="E459" t="s">
        <v>9824</v>
      </c>
      <c r="F459" t="s">
        <v>5606</v>
      </c>
    </row>
    <row r="460" spans="1:6">
      <c r="A460" t="s">
        <v>9679</v>
      </c>
      <c r="B460">
        <v>8488</v>
      </c>
      <c r="C460" t="s">
        <v>9674</v>
      </c>
      <c r="D460" t="s">
        <v>189</v>
      </c>
      <c r="E460" t="s">
        <v>9824</v>
      </c>
      <c r="F460" t="s">
        <v>5606</v>
      </c>
    </row>
    <row r="461" spans="1:6">
      <c r="A461" t="s">
        <v>9679</v>
      </c>
      <c r="B461">
        <v>8648</v>
      </c>
      <c r="C461" t="s">
        <v>9674</v>
      </c>
      <c r="D461" t="s">
        <v>189</v>
      </c>
      <c r="E461" t="s">
        <v>9824</v>
      </c>
      <c r="F461" t="s">
        <v>5606</v>
      </c>
    </row>
    <row r="462" spans="1:6">
      <c r="A462" t="s">
        <v>9679</v>
      </c>
      <c r="B462">
        <v>8671</v>
      </c>
      <c r="C462" t="s">
        <v>9674</v>
      </c>
      <c r="D462" t="s">
        <v>189</v>
      </c>
      <c r="E462" t="s">
        <v>9824</v>
      </c>
      <c r="F462" t="s">
        <v>5606</v>
      </c>
    </row>
    <row r="463" spans="1:6">
      <c r="A463" t="s">
        <v>9679</v>
      </c>
      <c r="B463">
        <v>8841</v>
      </c>
      <c r="C463" t="s">
        <v>9674</v>
      </c>
      <c r="D463" t="s">
        <v>189</v>
      </c>
      <c r="E463" t="s">
        <v>9824</v>
      </c>
      <c r="F463" t="s">
        <v>5606</v>
      </c>
    </row>
    <row r="464" spans="1:6">
      <c r="A464" t="s">
        <v>9679</v>
      </c>
      <c r="B464">
        <v>8672</v>
      </c>
      <c r="C464" t="s">
        <v>9674</v>
      </c>
      <c r="D464" t="s">
        <v>189</v>
      </c>
      <c r="E464" t="s">
        <v>9824</v>
      </c>
      <c r="F464" t="s">
        <v>5606</v>
      </c>
    </row>
    <row r="465" spans="1:6">
      <c r="A465" t="s">
        <v>9679</v>
      </c>
      <c r="B465">
        <v>8673</v>
      </c>
      <c r="C465" t="s">
        <v>9674</v>
      </c>
      <c r="D465" t="s">
        <v>189</v>
      </c>
      <c r="E465" t="s">
        <v>9824</v>
      </c>
      <c r="F465" t="s">
        <v>5606</v>
      </c>
    </row>
    <row r="466" spans="1:6">
      <c r="A466" t="s">
        <v>9679</v>
      </c>
      <c r="B466">
        <v>8489</v>
      </c>
      <c r="C466" t="s">
        <v>9674</v>
      </c>
      <c r="D466" t="s">
        <v>189</v>
      </c>
      <c r="E466" t="s">
        <v>9824</v>
      </c>
      <c r="F466" t="s">
        <v>5606</v>
      </c>
    </row>
    <row r="467" spans="1:6">
      <c r="A467" t="s">
        <v>9679</v>
      </c>
      <c r="B467">
        <v>8491</v>
      </c>
      <c r="C467" t="s">
        <v>9674</v>
      </c>
      <c r="D467" t="s">
        <v>189</v>
      </c>
      <c r="E467" t="s">
        <v>9824</v>
      </c>
      <c r="F467" t="s">
        <v>5606</v>
      </c>
    </row>
    <row r="468" spans="1:6">
      <c r="A468" t="s">
        <v>9679</v>
      </c>
      <c r="B468">
        <v>8849</v>
      </c>
      <c r="C468" t="s">
        <v>9674</v>
      </c>
      <c r="D468" t="s">
        <v>189</v>
      </c>
      <c r="E468" t="s">
        <v>9824</v>
      </c>
      <c r="F468" t="s">
        <v>5606</v>
      </c>
    </row>
    <row r="469" spans="1:6">
      <c r="A469" t="s">
        <v>9679</v>
      </c>
      <c r="B469">
        <v>7969</v>
      </c>
      <c r="C469" t="s">
        <v>9674</v>
      </c>
      <c r="D469" t="s">
        <v>189</v>
      </c>
      <c r="E469" t="s">
        <v>9824</v>
      </c>
      <c r="F469" t="s">
        <v>5606</v>
      </c>
    </row>
    <row r="470" spans="1:6">
      <c r="A470" t="s">
        <v>9679</v>
      </c>
      <c r="B470">
        <v>8654</v>
      </c>
      <c r="C470" t="s">
        <v>9674</v>
      </c>
      <c r="D470" t="s">
        <v>189</v>
      </c>
      <c r="E470" t="s">
        <v>9824</v>
      </c>
      <c r="F470" t="s">
        <v>5606</v>
      </c>
    </row>
    <row r="471" spans="1:6">
      <c r="A471" t="s">
        <v>9679</v>
      </c>
      <c r="B471">
        <v>8675</v>
      </c>
      <c r="C471" t="s">
        <v>9674</v>
      </c>
      <c r="D471" t="s">
        <v>189</v>
      </c>
      <c r="E471" t="s">
        <v>9824</v>
      </c>
      <c r="F471" t="s">
        <v>5606</v>
      </c>
    </row>
    <row r="472" spans="1:6">
      <c r="A472" t="s">
        <v>9679</v>
      </c>
      <c r="B472">
        <v>8847</v>
      </c>
      <c r="C472" t="s">
        <v>9674</v>
      </c>
      <c r="D472" t="s">
        <v>189</v>
      </c>
      <c r="E472" t="s">
        <v>9824</v>
      </c>
      <c r="F472" t="s">
        <v>5606</v>
      </c>
    </row>
    <row r="473" spans="1:6">
      <c r="A473" t="s">
        <v>9679</v>
      </c>
      <c r="B473">
        <v>8840</v>
      </c>
      <c r="C473" t="s">
        <v>9674</v>
      </c>
      <c r="D473" t="s">
        <v>189</v>
      </c>
      <c r="E473" t="s">
        <v>9824</v>
      </c>
      <c r="F473" t="s">
        <v>5606</v>
      </c>
    </row>
    <row r="474" spans="1:6">
      <c r="A474" t="s">
        <v>9679</v>
      </c>
      <c r="B474">
        <v>8834</v>
      </c>
      <c r="C474" t="s">
        <v>9674</v>
      </c>
      <c r="D474" t="s">
        <v>189</v>
      </c>
      <c r="E474" t="s">
        <v>9824</v>
      </c>
      <c r="F474" t="s">
        <v>5606</v>
      </c>
    </row>
    <row r="475" spans="1:6">
      <c r="A475" t="s">
        <v>9679</v>
      </c>
      <c r="B475">
        <v>4347</v>
      </c>
      <c r="C475" t="s">
        <v>9674</v>
      </c>
      <c r="D475" t="s">
        <v>189</v>
      </c>
      <c r="E475" t="s">
        <v>9824</v>
      </c>
      <c r="F475" t="s">
        <v>5606</v>
      </c>
    </row>
    <row r="476" spans="1:6">
      <c r="A476" t="s">
        <v>9679</v>
      </c>
      <c r="B476">
        <v>4362</v>
      </c>
      <c r="C476" t="s">
        <v>9674</v>
      </c>
      <c r="D476" t="s">
        <v>189</v>
      </c>
      <c r="E476" t="s">
        <v>9824</v>
      </c>
      <c r="F476" t="s">
        <v>5606</v>
      </c>
    </row>
    <row r="477" spans="1:6">
      <c r="A477" t="s">
        <v>9679</v>
      </c>
      <c r="B477">
        <v>4363</v>
      </c>
      <c r="C477" t="s">
        <v>9674</v>
      </c>
      <c r="D477" t="s">
        <v>189</v>
      </c>
      <c r="E477" t="s">
        <v>9824</v>
      </c>
      <c r="F477" t="s">
        <v>5606</v>
      </c>
    </row>
    <row r="478" spans="1:6">
      <c r="A478" t="s">
        <v>9679</v>
      </c>
      <c r="B478">
        <v>4367</v>
      </c>
      <c r="C478" t="s">
        <v>9674</v>
      </c>
      <c r="D478" t="s">
        <v>189</v>
      </c>
      <c r="E478" t="s">
        <v>9824</v>
      </c>
      <c r="F478" t="s">
        <v>5606</v>
      </c>
    </row>
    <row r="479" spans="1:6">
      <c r="A479" t="s">
        <v>9679</v>
      </c>
      <c r="B479">
        <v>4368</v>
      </c>
      <c r="C479" t="s">
        <v>9674</v>
      </c>
      <c r="D479" t="s">
        <v>189</v>
      </c>
      <c r="E479" t="s">
        <v>9824</v>
      </c>
      <c r="F479" t="s">
        <v>5606</v>
      </c>
    </row>
    <row r="480" spans="1:6">
      <c r="A480" t="s">
        <v>9679</v>
      </c>
      <c r="B480">
        <v>7327</v>
      </c>
      <c r="C480" t="s">
        <v>9674</v>
      </c>
      <c r="D480" t="s">
        <v>189</v>
      </c>
      <c r="E480" t="s">
        <v>9824</v>
      </c>
      <c r="F480" t="s">
        <v>5606</v>
      </c>
    </row>
    <row r="481" spans="1:6">
      <c r="A481" t="s">
        <v>9679</v>
      </c>
      <c r="B481">
        <v>7328</v>
      </c>
      <c r="C481" t="s">
        <v>9674</v>
      </c>
      <c r="D481" t="s">
        <v>189</v>
      </c>
      <c r="E481" t="s">
        <v>9824</v>
      </c>
      <c r="F481" t="s">
        <v>5606</v>
      </c>
    </row>
    <row r="482" spans="1:6">
      <c r="A482" t="s">
        <v>9679</v>
      </c>
      <c r="B482">
        <v>4365</v>
      </c>
      <c r="C482" t="s">
        <v>9674</v>
      </c>
      <c r="D482" t="s">
        <v>189</v>
      </c>
      <c r="E482" t="s">
        <v>9824</v>
      </c>
      <c r="F482" t="s">
        <v>5606</v>
      </c>
    </row>
    <row r="483" spans="1:6">
      <c r="A483" t="s">
        <v>9679</v>
      </c>
      <c r="B483">
        <v>4364</v>
      </c>
      <c r="C483" t="s">
        <v>9674</v>
      </c>
      <c r="D483" t="s">
        <v>189</v>
      </c>
      <c r="E483" t="s">
        <v>9824</v>
      </c>
      <c r="F483" t="s">
        <v>5606</v>
      </c>
    </row>
    <row r="484" spans="1:6">
      <c r="A484" t="s">
        <v>9679</v>
      </c>
      <c r="B484">
        <v>4194</v>
      </c>
      <c r="C484" t="s">
        <v>9674</v>
      </c>
      <c r="D484" t="s">
        <v>189</v>
      </c>
      <c r="E484" t="s">
        <v>9824</v>
      </c>
      <c r="F484" t="s">
        <v>5606</v>
      </c>
    </row>
    <row r="485" spans="1:6">
      <c r="A485" t="s">
        <v>9679</v>
      </c>
      <c r="B485">
        <v>4190</v>
      </c>
      <c r="C485" t="s">
        <v>9674</v>
      </c>
      <c r="D485" t="s">
        <v>189</v>
      </c>
      <c r="E485" t="s">
        <v>9824</v>
      </c>
      <c r="F485" t="s">
        <v>5606</v>
      </c>
    </row>
    <row r="486" spans="1:6">
      <c r="A486" t="s">
        <v>9679</v>
      </c>
      <c r="B486">
        <v>4251</v>
      </c>
      <c r="C486" t="s">
        <v>9674</v>
      </c>
      <c r="D486" t="s">
        <v>189</v>
      </c>
      <c r="E486" t="s">
        <v>9824</v>
      </c>
      <c r="F486" t="s">
        <v>5606</v>
      </c>
    </row>
    <row r="487" spans="1:6">
      <c r="A487" t="s">
        <v>9679</v>
      </c>
      <c r="B487">
        <v>4252</v>
      </c>
      <c r="C487" t="s">
        <v>9674</v>
      </c>
      <c r="D487" t="s">
        <v>189</v>
      </c>
      <c r="E487" t="s">
        <v>9824</v>
      </c>
      <c r="F487" t="s">
        <v>5606</v>
      </c>
    </row>
    <row r="488" spans="1:6">
      <c r="A488" t="s">
        <v>9679</v>
      </c>
      <c r="B488">
        <v>2583</v>
      </c>
      <c r="C488" t="s">
        <v>9674</v>
      </c>
      <c r="D488" t="s">
        <v>189</v>
      </c>
      <c r="E488" t="s">
        <v>9824</v>
      </c>
      <c r="F488" t="s">
        <v>5606</v>
      </c>
    </row>
    <row r="489" spans="1:6">
      <c r="A489" t="s">
        <v>9679</v>
      </c>
      <c r="B489">
        <v>5458</v>
      </c>
      <c r="C489" t="s">
        <v>9674</v>
      </c>
      <c r="D489" t="s">
        <v>189</v>
      </c>
      <c r="E489" t="s">
        <v>9824</v>
      </c>
      <c r="F489" t="s">
        <v>5606</v>
      </c>
    </row>
    <row r="490" spans="1:6">
      <c r="A490" t="s">
        <v>9679</v>
      </c>
      <c r="B490">
        <v>7382</v>
      </c>
      <c r="C490" t="s">
        <v>9674</v>
      </c>
      <c r="D490" t="s">
        <v>189</v>
      </c>
      <c r="E490" t="s">
        <v>9824</v>
      </c>
      <c r="F490" t="s">
        <v>5606</v>
      </c>
    </row>
    <row r="491" spans="1:6">
      <c r="A491" t="s">
        <v>9679</v>
      </c>
      <c r="B491">
        <v>4192</v>
      </c>
      <c r="C491" t="s">
        <v>9674</v>
      </c>
      <c r="D491" t="s">
        <v>189</v>
      </c>
      <c r="E491" t="s">
        <v>9824</v>
      </c>
      <c r="F491" t="s">
        <v>5606</v>
      </c>
    </row>
    <row r="492" spans="1:6">
      <c r="A492" t="s">
        <v>9679</v>
      </c>
      <c r="B492">
        <v>4193</v>
      </c>
      <c r="C492" t="s">
        <v>9674</v>
      </c>
      <c r="D492" t="s">
        <v>189</v>
      </c>
      <c r="E492" t="s">
        <v>9824</v>
      </c>
      <c r="F492" t="s">
        <v>5606</v>
      </c>
    </row>
    <row r="493" spans="1:6">
      <c r="A493" t="s">
        <v>9679</v>
      </c>
      <c r="B493">
        <v>7973</v>
      </c>
      <c r="C493" t="s">
        <v>9674</v>
      </c>
      <c r="D493" t="s">
        <v>189</v>
      </c>
      <c r="E493" t="s">
        <v>9824</v>
      </c>
      <c r="F493" t="s">
        <v>5606</v>
      </c>
    </row>
    <row r="494" spans="1:6">
      <c r="A494" t="s">
        <v>9679</v>
      </c>
      <c r="B494">
        <v>7975</v>
      </c>
      <c r="C494" t="s">
        <v>9674</v>
      </c>
      <c r="D494" t="s">
        <v>189</v>
      </c>
      <c r="E494" t="s">
        <v>9824</v>
      </c>
      <c r="F494" t="s">
        <v>5606</v>
      </c>
    </row>
    <row r="495" spans="1:6">
      <c r="A495" t="s">
        <v>9679</v>
      </c>
      <c r="B495">
        <v>7974</v>
      </c>
      <c r="C495" t="s">
        <v>9674</v>
      </c>
      <c r="D495" t="s">
        <v>189</v>
      </c>
      <c r="E495" t="s">
        <v>9824</v>
      </c>
      <c r="F495" t="s">
        <v>5606</v>
      </c>
    </row>
    <row r="496" spans="1:6">
      <c r="A496" t="s">
        <v>9679</v>
      </c>
      <c r="B496">
        <v>7976</v>
      </c>
      <c r="C496" t="s">
        <v>9674</v>
      </c>
      <c r="D496" t="s">
        <v>189</v>
      </c>
      <c r="E496" t="s">
        <v>9824</v>
      </c>
      <c r="F496" t="s">
        <v>5606</v>
      </c>
    </row>
    <row r="497" spans="1:6">
      <c r="A497" t="s">
        <v>9679</v>
      </c>
      <c r="B497">
        <v>7836</v>
      </c>
      <c r="C497" t="s">
        <v>9674</v>
      </c>
      <c r="D497" t="s">
        <v>189</v>
      </c>
      <c r="E497" t="s">
        <v>9824</v>
      </c>
      <c r="F497" t="s">
        <v>5606</v>
      </c>
    </row>
    <row r="498" spans="1:6">
      <c r="A498" t="s">
        <v>9679</v>
      </c>
      <c r="B498">
        <v>7837</v>
      </c>
      <c r="C498" t="s">
        <v>9674</v>
      </c>
      <c r="D498" t="s">
        <v>189</v>
      </c>
      <c r="E498" t="s">
        <v>9824</v>
      </c>
      <c r="F498" t="s">
        <v>5606</v>
      </c>
    </row>
    <row r="499" spans="1:6">
      <c r="A499" t="s">
        <v>9679</v>
      </c>
      <c r="B499">
        <v>7379</v>
      </c>
      <c r="C499" t="s">
        <v>9674</v>
      </c>
      <c r="D499" t="s">
        <v>189</v>
      </c>
      <c r="E499" t="s">
        <v>9824</v>
      </c>
      <c r="F499" t="s">
        <v>5606</v>
      </c>
    </row>
    <row r="500" spans="1:6">
      <c r="A500" t="s">
        <v>9679</v>
      </c>
      <c r="B500">
        <v>7378</v>
      </c>
      <c r="C500" t="s">
        <v>9674</v>
      </c>
      <c r="D500" t="s">
        <v>189</v>
      </c>
      <c r="E500" t="s">
        <v>9824</v>
      </c>
      <c r="F500" t="s">
        <v>5606</v>
      </c>
    </row>
    <row r="501" spans="1:6">
      <c r="A501" t="s">
        <v>9679</v>
      </c>
      <c r="B501">
        <v>7948</v>
      </c>
      <c r="C501" t="s">
        <v>9674</v>
      </c>
      <c r="D501" t="s">
        <v>189</v>
      </c>
      <c r="E501" t="s">
        <v>9824</v>
      </c>
      <c r="F501" t="s">
        <v>5606</v>
      </c>
    </row>
    <row r="502" spans="1:6">
      <c r="A502" t="s">
        <v>9679</v>
      </c>
      <c r="B502">
        <v>7940</v>
      </c>
      <c r="C502" t="s">
        <v>9674</v>
      </c>
      <c r="D502" t="s">
        <v>189</v>
      </c>
      <c r="E502" t="s">
        <v>9824</v>
      </c>
      <c r="F502" t="s">
        <v>5606</v>
      </c>
    </row>
    <row r="503" spans="1:6">
      <c r="A503" t="s">
        <v>9679</v>
      </c>
      <c r="B503">
        <v>7941</v>
      </c>
      <c r="C503" t="s">
        <v>9674</v>
      </c>
      <c r="D503" t="s">
        <v>189</v>
      </c>
      <c r="E503" t="s">
        <v>9824</v>
      </c>
      <c r="F503" t="s">
        <v>5606</v>
      </c>
    </row>
    <row r="504" spans="1:6">
      <c r="A504" t="s">
        <v>9679</v>
      </c>
      <c r="B504">
        <v>7984</v>
      </c>
      <c r="C504" t="s">
        <v>9674</v>
      </c>
      <c r="D504" t="s">
        <v>189</v>
      </c>
      <c r="E504" t="s">
        <v>9824</v>
      </c>
      <c r="F504" t="s">
        <v>5606</v>
      </c>
    </row>
    <row r="505" spans="1:6">
      <c r="A505" t="s">
        <v>9679</v>
      </c>
      <c r="B505">
        <v>7158</v>
      </c>
      <c r="C505" t="s">
        <v>9674</v>
      </c>
      <c r="D505" t="s">
        <v>189</v>
      </c>
      <c r="E505" t="s">
        <v>9824</v>
      </c>
      <c r="F505" t="s">
        <v>5606</v>
      </c>
    </row>
    <row r="506" spans="1:6">
      <c r="A506" t="s">
        <v>9679</v>
      </c>
      <c r="B506">
        <v>7914</v>
      </c>
      <c r="C506" t="s">
        <v>9674</v>
      </c>
      <c r="D506" t="s">
        <v>189</v>
      </c>
      <c r="E506" t="s">
        <v>9824</v>
      </c>
      <c r="F506" t="s">
        <v>5606</v>
      </c>
    </row>
    <row r="507" spans="1:6">
      <c r="A507" t="s">
        <v>9677</v>
      </c>
      <c r="B507">
        <v>1911</v>
      </c>
      <c r="C507" t="s">
        <v>9674</v>
      </c>
      <c r="D507" t="s">
        <v>5600</v>
      </c>
      <c r="E507" t="s">
        <v>9818</v>
      </c>
      <c r="F507" t="s">
        <v>5601</v>
      </c>
    </row>
    <row r="508" spans="1:6">
      <c r="A508" t="s">
        <v>9677</v>
      </c>
      <c r="B508">
        <v>7809</v>
      </c>
      <c r="C508" t="s">
        <v>9674</v>
      </c>
      <c r="D508" t="s">
        <v>5600</v>
      </c>
      <c r="E508" t="s">
        <v>9818</v>
      </c>
      <c r="F508" t="s">
        <v>5601</v>
      </c>
    </row>
    <row r="509" spans="1:6">
      <c r="A509" t="s">
        <v>9677</v>
      </c>
      <c r="B509">
        <v>7870</v>
      </c>
      <c r="C509" t="s">
        <v>9674</v>
      </c>
      <c r="D509" t="s">
        <v>5600</v>
      </c>
      <c r="E509" t="s">
        <v>9818</v>
      </c>
      <c r="F509" t="s">
        <v>5601</v>
      </c>
    </row>
    <row r="510" spans="1:6">
      <c r="A510" t="s">
        <v>9677</v>
      </c>
      <c r="B510">
        <v>7871</v>
      </c>
      <c r="C510" t="s">
        <v>9674</v>
      </c>
      <c r="D510" t="s">
        <v>5600</v>
      </c>
      <c r="E510" t="s">
        <v>9818</v>
      </c>
      <c r="F510" t="s">
        <v>5601</v>
      </c>
    </row>
    <row r="511" spans="1:6">
      <c r="A511" t="s">
        <v>9677</v>
      </c>
      <c r="B511">
        <v>7872</v>
      </c>
      <c r="C511" t="s">
        <v>9674</v>
      </c>
      <c r="D511" t="s">
        <v>5600</v>
      </c>
      <c r="E511" t="s">
        <v>9818</v>
      </c>
      <c r="F511" t="s">
        <v>5601</v>
      </c>
    </row>
    <row r="512" spans="1:6">
      <c r="A512" t="s">
        <v>9677</v>
      </c>
      <c r="B512">
        <v>7873</v>
      </c>
      <c r="C512" t="s">
        <v>9674</v>
      </c>
      <c r="D512" t="s">
        <v>5600</v>
      </c>
      <c r="E512" t="s">
        <v>9818</v>
      </c>
      <c r="F512" t="s">
        <v>5601</v>
      </c>
    </row>
    <row r="513" spans="1:6">
      <c r="A513" t="s">
        <v>9677</v>
      </c>
      <c r="B513">
        <v>7875</v>
      </c>
      <c r="C513" t="s">
        <v>9674</v>
      </c>
      <c r="D513" t="s">
        <v>5600</v>
      </c>
      <c r="E513" t="s">
        <v>9818</v>
      </c>
      <c r="F513" t="s">
        <v>5601</v>
      </c>
    </row>
    <row r="514" spans="1:6">
      <c r="A514" t="s">
        <v>9677</v>
      </c>
      <c r="B514">
        <v>7901</v>
      </c>
      <c r="C514" t="s">
        <v>9674</v>
      </c>
      <c r="D514" t="s">
        <v>5600</v>
      </c>
      <c r="E514" t="s">
        <v>9818</v>
      </c>
      <c r="F514" t="s">
        <v>5601</v>
      </c>
    </row>
    <row r="515" spans="1:6">
      <c r="A515" t="s">
        <v>9677</v>
      </c>
      <c r="B515">
        <v>7902</v>
      </c>
      <c r="C515" t="s">
        <v>9674</v>
      </c>
      <c r="D515" t="s">
        <v>5600</v>
      </c>
      <c r="E515" t="s">
        <v>9818</v>
      </c>
      <c r="F515" t="s">
        <v>5601</v>
      </c>
    </row>
    <row r="516" spans="1:6">
      <c r="A516" t="s">
        <v>9677</v>
      </c>
      <c r="B516">
        <v>7967</v>
      </c>
      <c r="C516" t="s">
        <v>9674</v>
      </c>
      <c r="D516" t="s">
        <v>5600</v>
      </c>
      <c r="E516" t="s">
        <v>9818</v>
      </c>
      <c r="F516" t="s">
        <v>5601</v>
      </c>
    </row>
    <row r="517" spans="1:6">
      <c r="A517" t="s">
        <v>9677</v>
      </c>
      <c r="B517">
        <v>7971</v>
      </c>
      <c r="C517" t="s">
        <v>9674</v>
      </c>
      <c r="D517" t="s">
        <v>5600</v>
      </c>
      <c r="E517" t="s">
        <v>9818</v>
      </c>
      <c r="F517" t="s">
        <v>5601</v>
      </c>
    </row>
    <row r="518" spans="1:6">
      <c r="A518" t="s">
        <v>9677</v>
      </c>
      <c r="B518">
        <v>7972</v>
      </c>
      <c r="C518" t="s">
        <v>9674</v>
      </c>
      <c r="D518" t="s">
        <v>5600</v>
      </c>
      <c r="E518" t="s">
        <v>9818</v>
      </c>
      <c r="F518" t="s">
        <v>5601</v>
      </c>
    </row>
    <row r="519" spans="1:6">
      <c r="A519" t="s">
        <v>9677</v>
      </c>
      <c r="B519">
        <v>7981</v>
      </c>
      <c r="C519" t="s">
        <v>9674</v>
      </c>
      <c r="D519" t="s">
        <v>5600</v>
      </c>
      <c r="E519" t="s">
        <v>9818</v>
      </c>
      <c r="F519" t="s">
        <v>5601</v>
      </c>
    </row>
    <row r="520" spans="1:6">
      <c r="A520" t="s">
        <v>9677</v>
      </c>
      <c r="B520">
        <v>7995</v>
      </c>
      <c r="C520" t="s">
        <v>9674</v>
      </c>
      <c r="D520" t="s">
        <v>5600</v>
      </c>
      <c r="E520" t="s">
        <v>9818</v>
      </c>
      <c r="F520" t="s">
        <v>5601</v>
      </c>
    </row>
    <row r="521" spans="1:6">
      <c r="A521" t="s">
        <v>9677</v>
      </c>
      <c r="B521">
        <v>7996</v>
      </c>
      <c r="C521" t="s">
        <v>9674</v>
      </c>
      <c r="D521" t="s">
        <v>5600</v>
      </c>
      <c r="E521" t="s">
        <v>9818</v>
      </c>
      <c r="F521" t="s">
        <v>5601</v>
      </c>
    </row>
    <row r="522" spans="1:6">
      <c r="A522" t="s">
        <v>9677</v>
      </c>
      <c r="B522">
        <v>8014</v>
      </c>
      <c r="C522" t="s">
        <v>9674</v>
      </c>
      <c r="D522" t="s">
        <v>5600</v>
      </c>
      <c r="E522" t="s">
        <v>9818</v>
      </c>
      <c r="F522" t="s">
        <v>5601</v>
      </c>
    </row>
    <row r="523" spans="1:6">
      <c r="A523" t="s">
        <v>9677</v>
      </c>
      <c r="B523">
        <v>8028</v>
      </c>
      <c r="C523" t="s">
        <v>9674</v>
      </c>
      <c r="D523" t="s">
        <v>5600</v>
      </c>
      <c r="E523" t="s">
        <v>9818</v>
      </c>
      <c r="F523" t="s">
        <v>5601</v>
      </c>
    </row>
    <row r="524" spans="1:6">
      <c r="A524" t="s">
        <v>9677</v>
      </c>
      <c r="B524">
        <v>8038</v>
      </c>
      <c r="C524" t="s">
        <v>9674</v>
      </c>
      <c r="D524" t="s">
        <v>5600</v>
      </c>
      <c r="E524" t="s">
        <v>9818</v>
      </c>
      <c r="F524" t="s">
        <v>5601</v>
      </c>
    </row>
    <row r="525" spans="1:6">
      <c r="A525" t="s">
        <v>9677</v>
      </c>
      <c r="B525">
        <v>8667</v>
      </c>
      <c r="C525" t="s">
        <v>9674</v>
      </c>
      <c r="D525" t="s">
        <v>5600</v>
      </c>
      <c r="E525" t="s">
        <v>9818</v>
      </c>
      <c r="F525" t="s">
        <v>5601</v>
      </c>
    </row>
    <row r="526" spans="1:6">
      <c r="A526" t="s">
        <v>9677</v>
      </c>
      <c r="B526">
        <v>8677</v>
      </c>
      <c r="C526" t="s">
        <v>9674</v>
      </c>
      <c r="D526" t="s">
        <v>5600</v>
      </c>
      <c r="E526" t="s">
        <v>9818</v>
      </c>
      <c r="F526" t="s">
        <v>5601</v>
      </c>
    </row>
    <row r="527" spans="1:6">
      <c r="A527" t="s">
        <v>9677</v>
      </c>
      <c r="B527">
        <v>8678</v>
      </c>
      <c r="C527" t="s">
        <v>9674</v>
      </c>
      <c r="D527" t="s">
        <v>5600</v>
      </c>
      <c r="E527" t="s">
        <v>9818</v>
      </c>
      <c r="F527" t="s">
        <v>5601</v>
      </c>
    </row>
    <row r="528" spans="1:6">
      <c r="A528" t="s">
        <v>9677</v>
      </c>
      <c r="B528">
        <v>8720</v>
      </c>
      <c r="C528" t="s">
        <v>9674</v>
      </c>
      <c r="D528" t="s">
        <v>5600</v>
      </c>
      <c r="E528" t="s">
        <v>9818</v>
      </c>
      <c r="F528" t="s">
        <v>5601</v>
      </c>
    </row>
    <row r="529" spans="1:6">
      <c r="A529" t="s">
        <v>9677</v>
      </c>
      <c r="B529">
        <v>8730</v>
      </c>
      <c r="C529" t="s">
        <v>9674</v>
      </c>
      <c r="D529" t="s">
        <v>5600</v>
      </c>
      <c r="E529" t="s">
        <v>9818</v>
      </c>
      <c r="F529" t="s">
        <v>5601</v>
      </c>
    </row>
    <row r="530" spans="1:6">
      <c r="A530" t="s">
        <v>9677</v>
      </c>
      <c r="B530">
        <v>8740</v>
      </c>
      <c r="C530" t="s">
        <v>9674</v>
      </c>
      <c r="D530" t="s">
        <v>5600</v>
      </c>
      <c r="E530" t="s">
        <v>9818</v>
      </c>
      <c r="F530" t="s">
        <v>5601</v>
      </c>
    </row>
    <row r="531" spans="1:6">
      <c r="A531" t="s">
        <v>9677</v>
      </c>
      <c r="B531">
        <v>8750</v>
      </c>
      <c r="C531" t="s">
        <v>9674</v>
      </c>
      <c r="D531" t="s">
        <v>5600</v>
      </c>
      <c r="E531" t="s">
        <v>9818</v>
      </c>
      <c r="F531" t="s">
        <v>5601</v>
      </c>
    </row>
    <row r="532" spans="1:6">
      <c r="A532" t="s">
        <v>9677</v>
      </c>
      <c r="B532">
        <v>8832</v>
      </c>
      <c r="C532" t="s">
        <v>9674</v>
      </c>
      <c r="D532" t="s">
        <v>5600</v>
      </c>
      <c r="E532" t="s">
        <v>9818</v>
      </c>
      <c r="F532" t="s">
        <v>5601</v>
      </c>
    </row>
    <row r="533" spans="1:6">
      <c r="A533" t="s">
        <v>9677</v>
      </c>
      <c r="B533">
        <v>8839</v>
      </c>
      <c r="C533" t="s">
        <v>9674</v>
      </c>
      <c r="D533" t="s">
        <v>5600</v>
      </c>
      <c r="E533" t="s">
        <v>9818</v>
      </c>
      <c r="F533" t="s">
        <v>5601</v>
      </c>
    </row>
    <row r="534" spans="1:6">
      <c r="A534" t="s">
        <v>9677</v>
      </c>
      <c r="B534">
        <v>8843</v>
      </c>
      <c r="C534" t="s">
        <v>9674</v>
      </c>
      <c r="D534" t="s">
        <v>5600</v>
      </c>
      <c r="E534" t="s">
        <v>9818</v>
      </c>
      <c r="F534" t="s">
        <v>5601</v>
      </c>
    </row>
    <row r="535" spans="1:6">
      <c r="A535" t="s">
        <v>9677</v>
      </c>
      <c r="B535">
        <v>8850</v>
      </c>
      <c r="C535" t="s">
        <v>9674</v>
      </c>
      <c r="D535" t="s">
        <v>5600</v>
      </c>
      <c r="E535" t="s">
        <v>9818</v>
      </c>
      <c r="F535" t="s">
        <v>5601</v>
      </c>
    </row>
    <row r="536" spans="1:6">
      <c r="A536" t="s">
        <v>9677</v>
      </c>
      <c r="B536">
        <v>8852</v>
      </c>
      <c r="C536" t="s">
        <v>9674</v>
      </c>
      <c r="D536" t="s">
        <v>5600</v>
      </c>
      <c r="E536" t="s">
        <v>9818</v>
      </c>
      <c r="F536" t="s">
        <v>5601</v>
      </c>
    </row>
    <row r="537" spans="1:6">
      <c r="A537" t="s">
        <v>9677</v>
      </c>
      <c r="B537">
        <v>8853</v>
      </c>
      <c r="C537" t="s">
        <v>9674</v>
      </c>
      <c r="D537" t="s">
        <v>5600</v>
      </c>
      <c r="E537" t="s">
        <v>9818</v>
      </c>
      <c r="F537" t="s">
        <v>5601</v>
      </c>
    </row>
    <row r="538" spans="1:6">
      <c r="A538" t="s">
        <v>9677</v>
      </c>
      <c r="B538">
        <v>8886</v>
      </c>
      <c r="C538" t="s">
        <v>9674</v>
      </c>
      <c r="D538" t="s">
        <v>5600</v>
      </c>
      <c r="E538" t="s">
        <v>9818</v>
      </c>
      <c r="F538" t="s">
        <v>5601</v>
      </c>
    </row>
    <row r="539" spans="1:6">
      <c r="A539" t="s">
        <v>9677</v>
      </c>
      <c r="B539">
        <v>8721</v>
      </c>
      <c r="C539" t="s">
        <v>9674</v>
      </c>
      <c r="D539" t="s">
        <v>5602</v>
      </c>
      <c r="E539" t="s">
        <v>9819</v>
      </c>
      <c r="F539" t="s">
        <v>5601</v>
      </c>
    </row>
    <row r="540" spans="1:6">
      <c r="A540" t="s">
        <v>9677</v>
      </c>
      <c r="B540">
        <v>8731</v>
      </c>
      <c r="C540" t="s">
        <v>9674</v>
      </c>
      <c r="D540" t="s">
        <v>5602</v>
      </c>
      <c r="E540" t="s">
        <v>9819</v>
      </c>
      <c r="F540" t="s">
        <v>5601</v>
      </c>
    </row>
    <row r="541" spans="1:6">
      <c r="A541" t="s">
        <v>9677</v>
      </c>
      <c r="B541">
        <v>7906</v>
      </c>
      <c r="C541" t="s">
        <v>9674</v>
      </c>
      <c r="D541" t="s">
        <v>5602</v>
      </c>
      <c r="E541" t="s">
        <v>9819</v>
      </c>
      <c r="F541" t="s">
        <v>5601</v>
      </c>
    </row>
    <row r="542" spans="1:6">
      <c r="A542" t="s">
        <v>9677</v>
      </c>
      <c r="B542">
        <v>7916</v>
      </c>
      <c r="C542" t="s">
        <v>9674</v>
      </c>
      <c r="D542" t="s">
        <v>5602</v>
      </c>
      <c r="E542" t="s">
        <v>9819</v>
      </c>
      <c r="F542" t="s">
        <v>5601</v>
      </c>
    </row>
    <row r="543" spans="1:6">
      <c r="A543" t="s">
        <v>9677</v>
      </c>
      <c r="B543">
        <v>8737</v>
      </c>
      <c r="C543" t="s">
        <v>9674</v>
      </c>
      <c r="D543" t="s">
        <v>5602</v>
      </c>
      <c r="E543" t="s">
        <v>9819</v>
      </c>
      <c r="F543" t="s">
        <v>5601</v>
      </c>
    </row>
    <row r="544" spans="1:6">
      <c r="A544" t="s">
        <v>9677</v>
      </c>
      <c r="B544">
        <v>7917</v>
      </c>
      <c r="C544" t="s">
        <v>9674</v>
      </c>
      <c r="D544" t="s">
        <v>5602</v>
      </c>
      <c r="E544" t="s">
        <v>9819</v>
      </c>
      <c r="F544" t="s">
        <v>5601</v>
      </c>
    </row>
    <row r="545" spans="1:6">
      <c r="A545" t="s">
        <v>9677</v>
      </c>
      <c r="B545">
        <v>7903</v>
      </c>
      <c r="C545" t="s">
        <v>9674</v>
      </c>
      <c r="D545" t="s">
        <v>5602</v>
      </c>
      <c r="E545" t="s">
        <v>9819</v>
      </c>
      <c r="F545" t="s">
        <v>5601</v>
      </c>
    </row>
    <row r="546" spans="1:6">
      <c r="A546" t="s">
        <v>9677</v>
      </c>
      <c r="B546">
        <v>5455</v>
      </c>
      <c r="C546" t="s">
        <v>9674</v>
      </c>
      <c r="D546" t="s">
        <v>5602</v>
      </c>
      <c r="E546" t="s">
        <v>9819</v>
      </c>
      <c r="F546" t="s">
        <v>5601</v>
      </c>
    </row>
    <row r="547" spans="1:6">
      <c r="A547" t="s">
        <v>9677</v>
      </c>
      <c r="B547">
        <v>5456</v>
      </c>
      <c r="C547" t="s">
        <v>9674</v>
      </c>
      <c r="D547" t="s">
        <v>5602</v>
      </c>
      <c r="E547" t="s">
        <v>9819</v>
      </c>
      <c r="F547" t="s">
        <v>5601</v>
      </c>
    </row>
    <row r="548" spans="1:6">
      <c r="A548" t="s">
        <v>9677</v>
      </c>
      <c r="B548">
        <v>6391</v>
      </c>
      <c r="C548" t="s">
        <v>9674</v>
      </c>
      <c r="D548" t="s">
        <v>5602</v>
      </c>
      <c r="E548" t="s">
        <v>9819</v>
      </c>
      <c r="F548" t="s">
        <v>5601</v>
      </c>
    </row>
    <row r="549" spans="1:6">
      <c r="A549" t="s">
        <v>9677</v>
      </c>
      <c r="B549">
        <v>7912</v>
      </c>
      <c r="C549" t="s">
        <v>9674</v>
      </c>
      <c r="D549" t="s">
        <v>5602</v>
      </c>
      <c r="E549" t="s">
        <v>9819</v>
      </c>
      <c r="F549" t="s">
        <v>5601</v>
      </c>
    </row>
    <row r="550" spans="1:6">
      <c r="A550" t="s">
        <v>9677</v>
      </c>
      <c r="B550">
        <v>7913</v>
      </c>
      <c r="C550" t="s">
        <v>9674</v>
      </c>
      <c r="D550" t="s">
        <v>5602</v>
      </c>
      <c r="E550" t="s">
        <v>9819</v>
      </c>
      <c r="F550" t="s">
        <v>5601</v>
      </c>
    </row>
    <row r="551" spans="1:6">
      <c r="A551" t="s">
        <v>9677</v>
      </c>
      <c r="B551">
        <v>7918</v>
      </c>
      <c r="C551" t="s">
        <v>9674</v>
      </c>
      <c r="D551" t="s">
        <v>5602</v>
      </c>
      <c r="E551" t="s">
        <v>9819</v>
      </c>
      <c r="F551" t="s">
        <v>5601</v>
      </c>
    </row>
    <row r="552" spans="1:6">
      <c r="A552" t="s">
        <v>9677</v>
      </c>
      <c r="B552">
        <v>7919</v>
      </c>
      <c r="C552" t="s">
        <v>9674</v>
      </c>
      <c r="D552" t="s">
        <v>5602</v>
      </c>
      <c r="E552" t="s">
        <v>9819</v>
      </c>
      <c r="F552" t="s">
        <v>5601</v>
      </c>
    </row>
    <row r="553" spans="1:6">
      <c r="A553" t="s">
        <v>9677</v>
      </c>
      <c r="B553">
        <v>8685</v>
      </c>
      <c r="C553" t="s">
        <v>9674</v>
      </c>
      <c r="D553" t="s">
        <v>5602</v>
      </c>
      <c r="E553" t="s">
        <v>9819</v>
      </c>
      <c r="F553" t="s">
        <v>5601</v>
      </c>
    </row>
    <row r="554" spans="1:6">
      <c r="A554" t="s">
        <v>9677</v>
      </c>
      <c r="B554">
        <v>8686</v>
      </c>
      <c r="C554" t="s">
        <v>9674</v>
      </c>
      <c r="D554" t="s">
        <v>5602</v>
      </c>
      <c r="E554" t="s">
        <v>9819</v>
      </c>
      <c r="F554" t="s">
        <v>5601</v>
      </c>
    </row>
    <row r="555" spans="1:6">
      <c r="A555" t="s">
        <v>9677</v>
      </c>
      <c r="B555">
        <v>8861</v>
      </c>
      <c r="C555" t="s">
        <v>9674</v>
      </c>
      <c r="D555" t="s">
        <v>5602</v>
      </c>
      <c r="E555" t="s">
        <v>9819</v>
      </c>
      <c r="F555" t="s">
        <v>5601</v>
      </c>
    </row>
    <row r="556" spans="1:6">
      <c r="A556" t="s">
        <v>9677</v>
      </c>
      <c r="B556">
        <v>8862</v>
      </c>
      <c r="C556" t="s">
        <v>9674</v>
      </c>
      <c r="D556" t="s">
        <v>5602</v>
      </c>
      <c r="E556" t="s">
        <v>9819</v>
      </c>
      <c r="F556" t="s">
        <v>5601</v>
      </c>
    </row>
    <row r="557" spans="1:6">
      <c r="A557" t="s">
        <v>9677</v>
      </c>
      <c r="B557">
        <v>8863</v>
      </c>
      <c r="C557" t="s">
        <v>9674</v>
      </c>
      <c r="D557" t="s">
        <v>5602</v>
      </c>
      <c r="E557" t="s">
        <v>9819</v>
      </c>
      <c r="F557" t="s">
        <v>5601</v>
      </c>
    </row>
    <row r="558" spans="1:6">
      <c r="A558" t="s">
        <v>9677</v>
      </c>
      <c r="B558">
        <v>8683</v>
      </c>
      <c r="C558" t="s">
        <v>9674</v>
      </c>
      <c r="D558" t="s">
        <v>5602</v>
      </c>
      <c r="E558" t="s">
        <v>9819</v>
      </c>
      <c r="F558" t="s">
        <v>5601</v>
      </c>
    </row>
    <row r="559" spans="1:6">
      <c r="A559" t="s">
        <v>9677</v>
      </c>
      <c r="B559">
        <v>8687</v>
      </c>
      <c r="C559" t="s">
        <v>9674</v>
      </c>
      <c r="D559" t="s">
        <v>5602</v>
      </c>
      <c r="E559" t="s">
        <v>9819</v>
      </c>
      <c r="F559" t="s">
        <v>5601</v>
      </c>
    </row>
    <row r="560" spans="1:6">
      <c r="A560" t="s">
        <v>9677</v>
      </c>
      <c r="B560">
        <v>8870</v>
      </c>
      <c r="C560" t="s">
        <v>9674</v>
      </c>
      <c r="D560" t="s">
        <v>5602</v>
      </c>
      <c r="E560" t="s">
        <v>9819</v>
      </c>
      <c r="F560" t="s">
        <v>5601</v>
      </c>
    </row>
    <row r="561" spans="1:6">
      <c r="A561" t="s">
        <v>9677</v>
      </c>
      <c r="B561">
        <v>8688</v>
      </c>
      <c r="C561" t="s">
        <v>9674</v>
      </c>
      <c r="D561" t="s">
        <v>5602</v>
      </c>
      <c r="E561" t="s">
        <v>9819</v>
      </c>
      <c r="F561" t="s">
        <v>5601</v>
      </c>
    </row>
    <row r="562" spans="1:6">
      <c r="A562" t="s">
        <v>9677</v>
      </c>
      <c r="B562">
        <v>8855</v>
      </c>
      <c r="C562" t="s">
        <v>9674</v>
      </c>
      <c r="D562" t="s">
        <v>5602</v>
      </c>
      <c r="E562" t="s">
        <v>9819</v>
      </c>
      <c r="F562" t="s">
        <v>5601</v>
      </c>
    </row>
    <row r="563" spans="1:6">
      <c r="A563" t="s">
        <v>9677</v>
      </c>
      <c r="B563">
        <v>8872</v>
      </c>
      <c r="C563" t="s">
        <v>9674</v>
      </c>
      <c r="D563" t="s">
        <v>5602</v>
      </c>
      <c r="E563" t="s">
        <v>9819</v>
      </c>
      <c r="F563" t="s">
        <v>5601</v>
      </c>
    </row>
    <row r="564" spans="1:6">
      <c r="A564" t="s">
        <v>9677</v>
      </c>
      <c r="B564">
        <v>8874</v>
      </c>
      <c r="C564" t="s">
        <v>9674</v>
      </c>
      <c r="D564" t="s">
        <v>5602</v>
      </c>
      <c r="E564" t="s">
        <v>9819</v>
      </c>
      <c r="F564" t="s">
        <v>5601</v>
      </c>
    </row>
    <row r="565" spans="1:6">
      <c r="A565" t="s">
        <v>9677</v>
      </c>
      <c r="B565">
        <v>6385</v>
      </c>
      <c r="C565" t="s">
        <v>9674</v>
      </c>
      <c r="D565" t="s">
        <v>5602</v>
      </c>
      <c r="E565" t="s">
        <v>9819</v>
      </c>
      <c r="F565" t="s">
        <v>5601</v>
      </c>
    </row>
    <row r="566" spans="1:6">
      <c r="A566" t="s">
        <v>9677</v>
      </c>
      <c r="B566">
        <v>6386</v>
      </c>
      <c r="C566" t="s">
        <v>9674</v>
      </c>
      <c r="D566" t="s">
        <v>5602</v>
      </c>
      <c r="E566" t="s">
        <v>9819</v>
      </c>
      <c r="F566" t="s">
        <v>5601</v>
      </c>
    </row>
    <row r="567" spans="1:6">
      <c r="A567" t="s">
        <v>9677</v>
      </c>
      <c r="B567">
        <v>6388</v>
      </c>
      <c r="C567" t="s">
        <v>9674</v>
      </c>
      <c r="D567" t="s">
        <v>5602</v>
      </c>
      <c r="E567" t="s">
        <v>9819</v>
      </c>
      <c r="F567" t="s">
        <v>5601</v>
      </c>
    </row>
    <row r="568" spans="1:6">
      <c r="A568" t="s">
        <v>9677</v>
      </c>
      <c r="B568">
        <v>6389</v>
      </c>
      <c r="C568" t="s">
        <v>9674</v>
      </c>
      <c r="D568" t="s">
        <v>5602</v>
      </c>
      <c r="E568" t="s">
        <v>9819</v>
      </c>
      <c r="F568" t="s">
        <v>5601</v>
      </c>
    </row>
    <row r="569" spans="1:6">
      <c r="A569" t="s">
        <v>9677</v>
      </c>
      <c r="B569">
        <v>6390</v>
      </c>
      <c r="C569" t="s">
        <v>9674</v>
      </c>
      <c r="D569" t="s">
        <v>5602</v>
      </c>
      <c r="E569" t="s">
        <v>9819</v>
      </c>
      <c r="F569" t="s">
        <v>5601</v>
      </c>
    </row>
    <row r="570" spans="1:6">
      <c r="A570" t="s">
        <v>9677</v>
      </c>
      <c r="B570">
        <v>7321</v>
      </c>
      <c r="C570" t="s">
        <v>9674</v>
      </c>
      <c r="D570" t="s">
        <v>5602</v>
      </c>
      <c r="E570" t="s">
        <v>9819</v>
      </c>
      <c r="F570" t="s">
        <v>5601</v>
      </c>
    </row>
    <row r="571" spans="1:6">
      <c r="A571" t="s">
        <v>9677</v>
      </c>
      <c r="B571">
        <v>7831</v>
      </c>
      <c r="C571" t="s">
        <v>9674</v>
      </c>
      <c r="D571" t="s">
        <v>5602</v>
      </c>
      <c r="E571" t="s">
        <v>9819</v>
      </c>
      <c r="F571" t="s">
        <v>5601</v>
      </c>
    </row>
    <row r="572" spans="1:6">
      <c r="A572" t="s">
        <v>9677</v>
      </c>
      <c r="B572">
        <v>7832</v>
      </c>
      <c r="C572" t="s">
        <v>9674</v>
      </c>
      <c r="D572" t="s">
        <v>5602</v>
      </c>
      <c r="E572" t="s">
        <v>9819</v>
      </c>
      <c r="F572" t="s">
        <v>5601</v>
      </c>
    </row>
    <row r="573" spans="1:6">
      <c r="A573" t="s">
        <v>9677</v>
      </c>
      <c r="B573">
        <v>7833</v>
      </c>
      <c r="C573" t="s">
        <v>9674</v>
      </c>
      <c r="D573" t="s">
        <v>5602</v>
      </c>
      <c r="E573" t="s">
        <v>9819</v>
      </c>
      <c r="F573" t="s">
        <v>5601</v>
      </c>
    </row>
    <row r="574" spans="1:6">
      <c r="A574" t="s">
        <v>9677</v>
      </c>
      <c r="B574">
        <v>7834</v>
      </c>
      <c r="C574" t="s">
        <v>9674</v>
      </c>
      <c r="D574" t="s">
        <v>5602</v>
      </c>
      <c r="E574" t="s">
        <v>9819</v>
      </c>
      <c r="F574" t="s">
        <v>5601</v>
      </c>
    </row>
    <row r="575" spans="1:6">
      <c r="A575" t="s">
        <v>9677</v>
      </c>
      <c r="B575">
        <v>8722</v>
      </c>
      <c r="C575" t="s">
        <v>9674</v>
      </c>
      <c r="D575" t="s">
        <v>5602</v>
      </c>
      <c r="E575" t="s">
        <v>9819</v>
      </c>
      <c r="F575" t="s">
        <v>5601</v>
      </c>
    </row>
    <row r="576" spans="1:6">
      <c r="A576" t="s">
        <v>9677</v>
      </c>
      <c r="B576">
        <v>8733</v>
      </c>
      <c r="C576" t="s">
        <v>9674</v>
      </c>
      <c r="D576" t="s">
        <v>5602</v>
      </c>
      <c r="E576" t="s">
        <v>9819</v>
      </c>
      <c r="F576" t="s">
        <v>5601</v>
      </c>
    </row>
    <row r="577" spans="1:6">
      <c r="A577" t="s">
        <v>9677</v>
      </c>
      <c r="B577">
        <v>8752</v>
      </c>
      <c r="C577" t="s">
        <v>9674</v>
      </c>
      <c r="D577" t="s">
        <v>5602</v>
      </c>
      <c r="E577" t="s">
        <v>9819</v>
      </c>
      <c r="F577" t="s">
        <v>5601</v>
      </c>
    </row>
    <row r="578" spans="1:6">
      <c r="A578" t="s">
        <v>9677</v>
      </c>
      <c r="B578">
        <v>6205</v>
      </c>
      <c r="C578" t="s">
        <v>9674</v>
      </c>
      <c r="D578" t="s">
        <v>5602</v>
      </c>
      <c r="E578" t="s">
        <v>9819</v>
      </c>
      <c r="F578" t="s">
        <v>5601</v>
      </c>
    </row>
    <row r="579" spans="1:6">
      <c r="A579" t="s">
        <v>9677</v>
      </c>
      <c r="B579">
        <v>7163</v>
      </c>
      <c r="C579" t="s">
        <v>9674</v>
      </c>
      <c r="D579" t="s">
        <v>5602</v>
      </c>
      <c r="E579" t="s">
        <v>9819</v>
      </c>
      <c r="F579" t="s">
        <v>5601</v>
      </c>
    </row>
    <row r="580" spans="1:6">
      <c r="A580" t="s">
        <v>9677</v>
      </c>
      <c r="B580">
        <v>8877</v>
      </c>
      <c r="C580" t="s">
        <v>9674</v>
      </c>
      <c r="D580" t="s">
        <v>5602</v>
      </c>
      <c r="E580" t="s">
        <v>9819</v>
      </c>
      <c r="F580" t="s">
        <v>5601</v>
      </c>
    </row>
    <row r="581" spans="1:6">
      <c r="A581" t="s">
        <v>9677</v>
      </c>
      <c r="B581">
        <v>7164</v>
      </c>
      <c r="C581" t="s">
        <v>9674</v>
      </c>
      <c r="D581" t="s">
        <v>5602</v>
      </c>
      <c r="E581" t="s">
        <v>9819</v>
      </c>
      <c r="F581" t="s">
        <v>5601</v>
      </c>
    </row>
    <row r="582" spans="1:6">
      <c r="A582" t="s">
        <v>9677</v>
      </c>
      <c r="B582">
        <v>8865</v>
      </c>
      <c r="C582" t="s">
        <v>9674</v>
      </c>
      <c r="D582" t="s">
        <v>5602</v>
      </c>
      <c r="E582" t="s">
        <v>9819</v>
      </c>
      <c r="F582" t="s">
        <v>5601</v>
      </c>
    </row>
    <row r="583" spans="1:6">
      <c r="A583" t="s">
        <v>9677</v>
      </c>
      <c r="B583">
        <v>8866</v>
      </c>
      <c r="C583" t="s">
        <v>9674</v>
      </c>
      <c r="D583" t="s">
        <v>5602</v>
      </c>
      <c r="E583" t="s">
        <v>9819</v>
      </c>
      <c r="F583" t="s">
        <v>5601</v>
      </c>
    </row>
    <row r="584" spans="1:6">
      <c r="A584" t="s">
        <v>9677</v>
      </c>
      <c r="B584">
        <v>8864</v>
      </c>
      <c r="C584" t="s">
        <v>9674</v>
      </c>
      <c r="D584" t="s">
        <v>5602</v>
      </c>
      <c r="E584" t="s">
        <v>9819</v>
      </c>
      <c r="F584" t="s">
        <v>5601</v>
      </c>
    </row>
    <row r="585" spans="1:6">
      <c r="A585" t="s">
        <v>9677</v>
      </c>
      <c r="B585">
        <v>7141</v>
      </c>
      <c r="C585" t="s">
        <v>9674</v>
      </c>
      <c r="D585" t="s">
        <v>5602</v>
      </c>
      <c r="E585" t="s">
        <v>9819</v>
      </c>
      <c r="F585" t="s">
        <v>5601</v>
      </c>
    </row>
    <row r="586" spans="1:6">
      <c r="A586" t="s">
        <v>9677</v>
      </c>
      <c r="B586">
        <v>7143</v>
      </c>
      <c r="C586" t="s">
        <v>9674</v>
      </c>
      <c r="D586" t="s">
        <v>5602</v>
      </c>
      <c r="E586" t="s">
        <v>9819</v>
      </c>
      <c r="F586" t="s">
        <v>5601</v>
      </c>
    </row>
    <row r="587" spans="1:6">
      <c r="A587" t="s">
        <v>9677</v>
      </c>
      <c r="B587">
        <v>7145</v>
      </c>
      <c r="C587" t="s">
        <v>9674</v>
      </c>
      <c r="D587" t="s">
        <v>5602</v>
      </c>
      <c r="E587" t="s">
        <v>9819</v>
      </c>
      <c r="F587" t="s">
        <v>5601</v>
      </c>
    </row>
    <row r="588" spans="1:6">
      <c r="A588" t="s">
        <v>9677</v>
      </c>
      <c r="B588">
        <v>7147</v>
      </c>
      <c r="C588" t="s">
        <v>9674</v>
      </c>
      <c r="D588" t="s">
        <v>5602</v>
      </c>
      <c r="E588" t="s">
        <v>9819</v>
      </c>
      <c r="F588" t="s">
        <v>5601</v>
      </c>
    </row>
    <row r="589" spans="1:6">
      <c r="A589" t="s">
        <v>9677</v>
      </c>
      <c r="B589">
        <v>3837</v>
      </c>
      <c r="C589" t="s">
        <v>9674</v>
      </c>
      <c r="D589" t="s">
        <v>5602</v>
      </c>
      <c r="E589" t="s">
        <v>9819</v>
      </c>
      <c r="F589" t="s">
        <v>5601</v>
      </c>
    </row>
    <row r="590" spans="1:6">
      <c r="A590" t="s">
        <v>9677</v>
      </c>
      <c r="B590">
        <v>8878</v>
      </c>
      <c r="C590" t="s">
        <v>9674</v>
      </c>
      <c r="D590" t="s">
        <v>5602</v>
      </c>
      <c r="E590" t="s">
        <v>9819</v>
      </c>
      <c r="F590" t="s">
        <v>5601</v>
      </c>
    </row>
    <row r="591" spans="1:6">
      <c r="A591" t="s">
        <v>9677</v>
      </c>
      <c r="B591">
        <v>8879</v>
      </c>
      <c r="C591" t="s">
        <v>9674</v>
      </c>
      <c r="D591" t="s">
        <v>5602</v>
      </c>
      <c r="E591" t="s">
        <v>9819</v>
      </c>
      <c r="F591" t="s">
        <v>5601</v>
      </c>
    </row>
    <row r="592" spans="1:6">
      <c r="A592" t="s">
        <v>9677</v>
      </c>
      <c r="B592">
        <v>5464</v>
      </c>
      <c r="C592" t="s">
        <v>9674</v>
      </c>
      <c r="D592" t="s">
        <v>5602</v>
      </c>
      <c r="E592" t="s">
        <v>9819</v>
      </c>
      <c r="F592" t="s">
        <v>5601</v>
      </c>
    </row>
    <row r="593" spans="1:6">
      <c r="A593" t="s">
        <v>9677</v>
      </c>
      <c r="B593">
        <v>9532</v>
      </c>
      <c r="C593" t="s">
        <v>9674</v>
      </c>
      <c r="D593" t="s">
        <v>5602</v>
      </c>
      <c r="E593" t="s">
        <v>9819</v>
      </c>
      <c r="F593" t="s">
        <v>5601</v>
      </c>
    </row>
    <row r="594" spans="1:6">
      <c r="A594" t="s">
        <v>9677</v>
      </c>
      <c r="B594">
        <v>5465</v>
      </c>
      <c r="C594" t="s">
        <v>9674</v>
      </c>
      <c r="D594" t="s">
        <v>5602</v>
      </c>
      <c r="E594" t="s">
        <v>9819</v>
      </c>
      <c r="F594" t="s">
        <v>5601</v>
      </c>
    </row>
    <row r="595" spans="1:6">
      <c r="A595" t="s">
        <v>9677</v>
      </c>
      <c r="B595">
        <v>5456</v>
      </c>
      <c r="C595" t="s">
        <v>9674</v>
      </c>
      <c r="D595" t="s">
        <v>5602</v>
      </c>
      <c r="E595" t="s">
        <v>9819</v>
      </c>
      <c r="F595" t="s">
        <v>5601</v>
      </c>
    </row>
    <row r="596" spans="1:6">
      <c r="A596" t="s">
        <v>9677</v>
      </c>
      <c r="B596">
        <v>7148</v>
      </c>
      <c r="C596" t="s">
        <v>9674</v>
      </c>
      <c r="D596" t="s">
        <v>5602</v>
      </c>
      <c r="E596" t="s">
        <v>9819</v>
      </c>
      <c r="F596" t="s">
        <v>5601</v>
      </c>
    </row>
    <row r="597" spans="1:6">
      <c r="A597" t="s">
        <v>9677</v>
      </c>
      <c r="B597">
        <v>7385</v>
      </c>
      <c r="C597" t="s">
        <v>9674</v>
      </c>
      <c r="D597" t="s">
        <v>5602</v>
      </c>
      <c r="E597" t="s">
        <v>9819</v>
      </c>
      <c r="F597" t="s">
        <v>5601</v>
      </c>
    </row>
    <row r="598" spans="1:6">
      <c r="A598" t="s">
        <v>9677</v>
      </c>
      <c r="B598">
        <v>7162</v>
      </c>
      <c r="C598" t="s">
        <v>9674</v>
      </c>
      <c r="D598" t="s">
        <v>5602</v>
      </c>
      <c r="E598" t="s">
        <v>9819</v>
      </c>
      <c r="F598" t="s">
        <v>5601</v>
      </c>
    </row>
    <row r="599" spans="1:6">
      <c r="A599" t="s">
        <v>9677</v>
      </c>
      <c r="B599">
        <v>6241</v>
      </c>
      <c r="C599" t="s">
        <v>9674</v>
      </c>
      <c r="D599" t="s">
        <v>5602</v>
      </c>
      <c r="E599" t="s">
        <v>9819</v>
      </c>
      <c r="F599" t="s">
        <v>5601</v>
      </c>
    </row>
    <row r="600" spans="1:6">
      <c r="A600" t="s">
        <v>9677</v>
      </c>
      <c r="B600">
        <v>8835</v>
      </c>
      <c r="C600" t="s">
        <v>9674</v>
      </c>
      <c r="D600" t="s">
        <v>5603</v>
      </c>
      <c r="E600" t="s">
        <v>9820</v>
      </c>
      <c r="F600" t="s">
        <v>5601</v>
      </c>
    </row>
    <row r="601" spans="1:6">
      <c r="A601" t="s">
        <v>9677</v>
      </c>
      <c r="B601">
        <v>8848</v>
      </c>
      <c r="C601" t="s">
        <v>9674</v>
      </c>
      <c r="D601" t="s">
        <v>5603</v>
      </c>
      <c r="E601" t="s">
        <v>9820</v>
      </c>
      <c r="F601" t="s">
        <v>5601</v>
      </c>
    </row>
    <row r="602" spans="1:6">
      <c r="A602" t="s">
        <v>9677</v>
      </c>
      <c r="B602">
        <v>7992</v>
      </c>
      <c r="C602" t="s">
        <v>9674</v>
      </c>
      <c r="D602" t="s">
        <v>5603</v>
      </c>
      <c r="E602" t="s">
        <v>9820</v>
      </c>
      <c r="F602" t="s">
        <v>5601</v>
      </c>
    </row>
    <row r="603" spans="1:6">
      <c r="A603" t="s">
        <v>9677</v>
      </c>
      <c r="B603">
        <v>8830</v>
      </c>
      <c r="C603" t="s">
        <v>9674</v>
      </c>
      <c r="D603" t="s">
        <v>5603</v>
      </c>
      <c r="E603" t="s">
        <v>9820</v>
      </c>
      <c r="F603" t="s">
        <v>5601</v>
      </c>
    </row>
    <row r="604" spans="1:6">
      <c r="A604" t="s">
        <v>9677</v>
      </c>
      <c r="B604">
        <v>8837</v>
      </c>
      <c r="C604" t="s">
        <v>9674</v>
      </c>
      <c r="D604" t="s">
        <v>5603</v>
      </c>
      <c r="E604" t="s">
        <v>9820</v>
      </c>
      <c r="F604" t="s">
        <v>5601</v>
      </c>
    </row>
    <row r="605" spans="1:6">
      <c r="A605" t="s">
        <v>9677</v>
      </c>
      <c r="B605">
        <v>8827</v>
      </c>
      <c r="C605" t="s">
        <v>9674</v>
      </c>
      <c r="D605" t="s">
        <v>5603</v>
      </c>
      <c r="E605" t="s">
        <v>9820</v>
      </c>
      <c r="F605" t="s">
        <v>5601</v>
      </c>
    </row>
    <row r="606" spans="1:6">
      <c r="A606" t="s">
        <v>9677</v>
      </c>
      <c r="B606">
        <v>8670</v>
      </c>
      <c r="C606" t="s">
        <v>9674</v>
      </c>
      <c r="D606" t="s">
        <v>5603</v>
      </c>
      <c r="E606" t="s">
        <v>9820</v>
      </c>
      <c r="F606" t="s">
        <v>5601</v>
      </c>
    </row>
    <row r="607" spans="1:6">
      <c r="A607" t="s">
        <v>9677</v>
      </c>
      <c r="B607">
        <v>7977</v>
      </c>
      <c r="C607" t="s">
        <v>9674</v>
      </c>
      <c r="D607" t="s">
        <v>5603</v>
      </c>
      <c r="E607" t="s">
        <v>9820</v>
      </c>
      <c r="F607" t="s">
        <v>5601</v>
      </c>
    </row>
    <row r="608" spans="1:6">
      <c r="A608" t="s">
        <v>9677</v>
      </c>
      <c r="B608">
        <v>7839</v>
      </c>
      <c r="C608" t="s">
        <v>9674</v>
      </c>
      <c r="D608" t="s">
        <v>5603</v>
      </c>
      <c r="E608" t="s">
        <v>9820</v>
      </c>
      <c r="F608" t="s">
        <v>5601</v>
      </c>
    </row>
    <row r="609" spans="1:6">
      <c r="A609" t="s">
        <v>9677</v>
      </c>
      <c r="B609">
        <v>7380</v>
      </c>
      <c r="C609" t="s">
        <v>9674</v>
      </c>
      <c r="D609" t="s">
        <v>5603</v>
      </c>
      <c r="E609" t="s">
        <v>9820</v>
      </c>
      <c r="F609" t="s">
        <v>5601</v>
      </c>
    </row>
    <row r="610" spans="1:6">
      <c r="A610" t="s">
        <v>9677</v>
      </c>
      <c r="B610">
        <v>7383</v>
      </c>
      <c r="C610" t="s">
        <v>9674</v>
      </c>
      <c r="D610" t="s">
        <v>5603</v>
      </c>
      <c r="E610" t="s">
        <v>9820</v>
      </c>
      <c r="F610" t="s">
        <v>5601</v>
      </c>
    </row>
    <row r="611" spans="1:6">
      <c r="A611" t="s">
        <v>9677</v>
      </c>
      <c r="B611">
        <v>7160</v>
      </c>
      <c r="C611" t="s">
        <v>9674</v>
      </c>
      <c r="D611" t="s">
        <v>5603</v>
      </c>
      <c r="E611" t="s">
        <v>9820</v>
      </c>
      <c r="F611" t="s">
        <v>5601</v>
      </c>
    </row>
    <row r="612" spans="1:6">
      <c r="A612" t="s">
        <v>9677</v>
      </c>
      <c r="B612">
        <v>7946</v>
      </c>
      <c r="C612" t="s">
        <v>9674</v>
      </c>
      <c r="D612" t="s">
        <v>5603</v>
      </c>
      <c r="E612" t="s">
        <v>9820</v>
      </c>
      <c r="F612" t="s">
        <v>5601</v>
      </c>
    </row>
    <row r="613" spans="1:6">
      <c r="A613" t="s">
        <v>9677</v>
      </c>
      <c r="B613">
        <v>7978</v>
      </c>
      <c r="C613" t="s">
        <v>9674</v>
      </c>
      <c r="D613" t="s">
        <v>5603</v>
      </c>
      <c r="E613" t="s">
        <v>9820</v>
      </c>
      <c r="F613" t="s">
        <v>5601</v>
      </c>
    </row>
    <row r="614" spans="1:6">
      <c r="A614" t="s">
        <v>9677</v>
      </c>
      <c r="B614">
        <v>7944</v>
      </c>
      <c r="C614" t="s">
        <v>9674</v>
      </c>
      <c r="D614" t="s">
        <v>5603</v>
      </c>
      <c r="E614" t="s">
        <v>9820</v>
      </c>
      <c r="F614" t="s">
        <v>5601</v>
      </c>
    </row>
    <row r="615" spans="1:6">
      <c r="A615" t="s">
        <v>9677</v>
      </c>
      <c r="B615">
        <v>7914</v>
      </c>
      <c r="C615" t="s">
        <v>9674</v>
      </c>
      <c r="D615" t="s">
        <v>5603</v>
      </c>
      <c r="E615" t="s">
        <v>9820</v>
      </c>
      <c r="F615" t="s">
        <v>5601</v>
      </c>
    </row>
    <row r="616" spans="1:6">
      <c r="A616" t="s">
        <v>9677</v>
      </c>
      <c r="B616">
        <v>7942</v>
      </c>
      <c r="C616" t="s">
        <v>9674</v>
      </c>
      <c r="D616" t="s">
        <v>5603</v>
      </c>
      <c r="E616" t="s">
        <v>9820</v>
      </c>
      <c r="F616" t="s">
        <v>5601</v>
      </c>
    </row>
    <row r="617" spans="1:6">
      <c r="A617" t="s">
        <v>9677</v>
      </c>
      <c r="B617">
        <v>7376</v>
      </c>
      <c r="C617" t="s">
        <v>9674</v>
      </c>
      <c r="D617" t="s">
        <v>5603</v>
      </c>
      <c r="E617" t="s">
        <v>9820</v>
      </c>
      <c r="F617" t="s">
        <v>5601</v>
      </c>
    </row>
    <row r="618" spans="1:6">
      <c r="A618" t="s">
        <v>9677</v>
      </c>
      <c r="B618">
        <v>7377</v>
      </c>
      <c r="C618" t="s">
        <v>9674</v>
      </c>
      <c r="D618" t="s">
        <v>5603</v>
      </c>
      <c r="E618" t="s">
        <v>9820</v>
      </c>
      <c r="F618" t="s">
        <v>5601</v>
      </c>
    </row>
    <row r="619" spans="1:6">
      <c r="A619" t="s">
        <v>9677</v>
      </c>
      <c r="B619">
        <v>7158</v>
      </c>
      <c r="C619" t="s">
        <v>9674</v>
      </c>
      <c r="D619" t="s">
        <v>5603</v>
      </c>
      <c r="E619" t="s">
        <v>9820</v>
      </c>
      <c r="F619" t="s">
        <v>5601</v>
      </c>
    </row>
    <row r="620" spans="1:6">
      <c r="A620" t="s">
        <v>9677</v>
      </c>
      <c r="B620">
        <v>7979</v>
      </c>
      <c r="C620" t="s">
        <v>9674</v>
      </c>
      <c r="D620" t="s">
        <v>5603</v>
      </c>
      <c r="E620" t="s">
        <v>9820</v>
      </c>
      <c r="F620" t="s">
        <v>5601</v>
      </c>
    </row>
    <row r="621" spans="1:6">
      <c r="A621" t="s">
        <v>9677</v>
      </c>
      <c r="B621">
        <v>7947</v>
      </c>
      <c r="C621" t="s">
        <v>9674</v>
      </c>
      <c r="D621" t="s">
        <v>5603</v>
      </c>
      <c r="E621" t="s">
        <v>9820</v>
      </c>
      <c r="F621" t="s">
        <v>5601</v>
      </c>
    </row>
    <row r="622" spans="1:6">
      <c r="A622" t="s">
        <v>9677</v>
      </c>
      <c r="B622">
        <v>5454</v>
      </c>
      <c r="C622" t="s">
        <v>9674</v>
      </c>
      <c r="D622" t="s">
        <v>5603</v>
      </c>
      <c r="E622" t="s">
        <v>9820</v>
      </c>
      <c r="F622" t="s">
        <v>5601</v>
      </c>
    </row>
    <row r="623" spans="1:6">
      <c r="A623" t="s">
        <v>9677</v>
      </c>
      <c r="B623">
        <v>7945</v>
      </c>
      <c r="C623" t="s">
        <v>9674</v>
      </c>
      <c r="D623" t="s">
        <v>5603</v>
      </c>
      <c r="E623" t="s">
        <v>9820</v>
      </c>
      <c r="F623" t="s">
        <v>5601</v>
      </c>
    </row>
    <row r="624" spans="1:6">
      <c r="A624" t="s">
        <v>9677</v>
      </c>
      <c r="B624">
        <v>7949</v>
      </c>
      <c r="C624" t="s">
        <v>9674</v>
      </c>
      <c r="D624" t="s">
        <v>5603</v>
      </c>
      <c r="E624" t="s">
        <v>9820</v>
      </c>
      <c r="F624" t="s">
        <v>5601</v>
      </c>
    </row>
    <row r="625" spans="1:6">
      <c r="A625" t="s">
        <v>9677</v>
      </c>
      <c r="B625">
        <v>5460</v>
      </c>
      <c r="C625" t="s">
        <v>9674</v>
      </c>
      <c r="D625" t="s">
        <v>5603</v>
      </c>
      <c r="E625" t="s">
        <v>9820</v>
      </c>
      <c r="F625" t="s">
        <v>5601</v>
      </c>
    </row>
    <row r="626" spans="1:6">
      <c r="A626" t="s">
        <v>9677</v>
      </c>
      <c r="B626">
        <v>5466</v>
      </c>
      <c r="C626" t="s">
        <v>9674</v>
      </c>
      <c r="D626" t="s">
        <v>5603</v>
      </c>
      <c r="E626" t="s">
        <v>9820</v>
      </c>
      <c r="F626" t="s">
        <v>5601</v>
      </c>
    </row>
    <row r="627" spans="1:6">
      <c r="A627" t="s">
        <v>9677</v>
      </c>
      <c r="B627">
        <v>7915</v>
      </c>
      <c r="C627" t="s">
        <v>9674</v>
      </c>
      <c r="D627" t="s">
        <v>5603</v>
      </c>
      <c r="E627" t="s">
        <v>9820</v>
      </c>
      <c r="F627" t="s">
        <v>5601</v>
      </c>
    </row>
    <row r="628" spans="1:6">
      <c r="A628" t="s">
        <v>9677</v>
      </c>
      <c r="B628">
        <v>7980</v>
      </c>
      <c r="C628" t="s">
        <v>9674</v>
      </c>
      <c r="D628" t="s">
        <v>5603</v>
      </c>
      <c r="E628" t="s">
        <v>9820</v>
      </c>
      <c r="F628" t="s">
        <v>5601</v>
      </c>
    </row>
    <row r="629" spans="1:6">
      <c r="A629" t="s">
        <v>9677</v>
      </c>
      <c r="B629">
        <v>6630</v>
      </c>
      <c r="C629" t="s">
        <v>9674</v>
      </c>
      <c r="D629" t="s">
        <v>5603</v>
      </c>
      <c r="E629" t="s">
        <v>9820</v>
      </c>
      <c r="F629" t="s">
        <v>5601</v>
      </c>
    </row>
    <row r="630" spans="1:6">
      <c r="A630" t="s">
        <v>9677</v>
      </c>
      <c r="B630">
        <v>7943</v>
      </c>
      <c r="C630" t="s">
        <v>9674</v>
      </c>
      <c r="D630" t="s">
        <v>5603</v>
      </c>
      <c r="E630" t="s">
        <v>9820</v>
      </c>
      <c r="F630" t="s">
        <v>5601</v>
      </c>
    </row>
    <row r="631" spans="1:6">
      <c r="A631" t="s">
        <v>9677</v>
      </c>
      <c r="B631">
        <v>7985</v>
      </c>
      <c r="C631" t="s">
        <v>9674</v>
      </c>
      <c r="D631" t="s">
        <v>5603</v>
      </c>
      <c r="E631" t="s">
        <v>9820</v>
      </c>
      <c r="F631" t="s">
        <v>5601</v>
      </c>
    </row>
    <row r="632" spans="1:6">
      <c r="A632" t="s">
        <v>9677</v>
      </c>
      <c r="B632">
        <v>5462</v>
      </c>
      <c r="C632" t="s">
        <v>9674</v>
      </c>
      <c r="D632" t="s">
        <v>5603</v>
      </c>
      <c r="E632" t="s">
        <v>9820</v>
      </c>
      <c r="F632" t="s">
        <v>5601</v>
      </c>
    </row>
    <row r="633" spans="1:6">
      <c r="A633" t="s">
        <v>9677</v>
      </c>
      <c r="B633">
        <v>5463</v>
      </c>
      <c r="C633" t="s">
        <v>9674</v>
      </c>
      <c r="D633" t="s">
        <v>5603</v>
      </c>
      <c r="E633" t="s">
        <v>9820</v>
      </c>
      <c r="F633" t="s">
        <v>5601</v>
      </c>
    </row>
    <row r="634" spans="1:6">
      <c r="A634" t="s">
        <v>9677</v>
      </c>
      <c r="B634">
        <v>9307</v>
      </c>
      <c r="C634" t="s">
        <v>9674</v>
      </c>
      <c r="D634" t="s">
        <v>5603</v>
      </c>
      <c r="E634" t="s">
        <v>9820</v>
      </c>
      <c r="F634" t="s">
        <v>5601</v>
      </c>
    </row>
    <row r="635" spans="1:6">
      <c r="A635" t="s">
        <v>9677</v>
      </c>
      <c r="B635">
        <v>9306</v>
      </c>
      <c r="C635" t="s">
        <v>9674</v>
      </c>
      <c r="D635" t="s">
        <v>5603</v>
      </c>
      <c r="E635" t="s">
        <v>9820</v>
      </c>
      <c r="F635" t="s">
        <v>5601</v>
      </c>
    </row>
    <row r="636" spans="1:6">
      <c r="A636" t="s">
        <v>9677</v>
      </c>
      <c r="B636">
        <v>8655</v>
      </c>
      <c r="C636" t="s">
        <v>9674</v>
      </c>
      <c r="D636" t="s">
        <v>5604</v>
      </c>
      <c r="E636" t="s">
        <v>9821</v>
      </c>
      <c r="F636" t="s">
        <v>5601</v>
      </c>
    </row>
    <row r="637" spans="1:6">
      <c r="A637" t="s">
        <v>9677</v>
      </c>
      <c r="B637">
        <v>8836</v>
      </c>
      <c r="C637" t="s">
        <v>9674</v>
      </c>
      <c r="D637" t="s">
        <v>5604</v>
      </c>
      <c r="E637" t="s">
        <v>9821</v>
      </c>
      <c r="F637" t="s">
        <v>5601</v>
      </c>
    </row>
    <row r="638" spans="1:6">
      <c r="A638" t="s">
        <v>9677</v>
      </c>
      <c r="B638">
        <v>8486</v>
      </c>
      <c r="C638" t="s">
        <v>9674</v>
      </c>
      <c r="D638" t="s">
        <v>5604</v>
      </c>
      <c r="E638" t="s">
        <v>9821</v>
      </c>
      <c r="F638" t="s">
        <v>5601</v>
      </c>
    </row>
    <row r="639" spans="1:6">
      <c r="A639" t="s">
        <v>9677</v>
      </c>
      <c r="B639">
        <v>8478</v>
      </c>
      <c r="C639" t="s">
        <v>9674</v>
      </c>
      <c r="D639" t="s">
        <v>5604</v>
      </c>
      <c r="E639" t="s">
        <v>9821</v>
      </c>
      <c r="F639" t="s">
        <v>5601</v>
      </c>
    </row>
    <row r="640" spans="1:6">
      <c r="A640" t="s">
        <v>9677</v>
      </c>
      <c r="B640">
        <v>8479</v>
      </c>
      <c r="C640" t="s">
        <v>9674</v>
      </c>
      <c r="D640" t="s">
        <v>5604</v>
      </c>
      <c r="E640" t="s">
        <v>9821</v>
      </c>
      <c r="F640" t="s">
        <v>5601</v>
      </c>
    </row>
    <row r="641" spans="1:6">
      <c r="A641" t="s">
        <v>9677</v>
      </c>
      <c r="B641">
        <v>8480</v>
      </c>
      <c r="C641" t="s">
        <v>9674</v>
      </c>
      <c r="D641" t="s">
        <v>5604</v>
      </c>
      <c r="E641" t="s">
        <v>9821</v>
      </c>
      <c r="F641" t="s">
        <v>5601</v>
      </c>
    </row>
    <row r="642" spans="1:6">
      <c r="A642" t="s">
        <v>9677</v>
      </c>
      <c r="B642">
        <v>8482</v>
      </c>
      <c r="C642" t="s">
        <v>9674</v>
      </c>
      <c r="D642" t="s">
        <v>5604</v>
      </c>
      <c r="E642" t="s">
        <v>9821</v>
      </c>
      <c r="F642" t="s">
        <v>5601</v>
      </c>
    </row>
    <row r="643" spans="1:6">
      <c r="A643" t="s">
        <v>9677</v>
      </c>
      <c r="B643">
        <v>8487</v>
      </c>
      <c r="C643" t="s">
        <v>9674</v>
      </c>
      <c r="D643" t="s">
        <v>5604</v>
      </c>
      <c r="E643" t="s">
        <v>9821</v>
      </c>
      <c r="F643" t="s">
        <v>5601</v>
      </c>
    </row>
    <row r="644" spans="1:6">
      <c r="A644" t="s">
        <v>9677</v>
      </c>
      <c r="B644">
        <v>8485</v>
      </c>
      <c r="C644" t="s">
        <v>9674</v>
      </c>
      <c r="D644" t="s">
        <v>5604</v>
      </c>
      <c r="E644" t="s">
        <v>9821</v>
      </c>
      <c r="F644" t="s">
        <v>5601</v>
      </c>
    </row>
    <row r="645" spans="1:6">
      <c r="A645" t="s">
        <v>9677</v>
      </c>
      <c r="B645">
        <v>8490</v>
      </c>
      <c r="C645" t="s">
        <v>9674</v>
      </c>
      <c r="D645" t="s">
        <v>5604</v>
      </c>
      <c r="E645" t="s">
        <v>9821</v>
      </c>
      <c r="F645" t="s">
        <v>5601</v>
      </c>
    </row>
    <row r="646" spans="1:6">
      <c r="A646" t="s">
        <v>9677</v>
      </c>
      <c r="B646">
        <v>8645</v>
      </c>
      <c r="C646" t="s">
        <v>9674</v>
      </c>
      <c r="D646" t="s">
        <v>5604</v>
      </c>
      <c r="E646" t="s">
        <v>9821</v>
      </c>
      <c r="F646" t="s">
        <v>5601</v>
      </c>
    </row>
    <row r="647" spans="1:6">
      <c r="A647" t="s">
        <v>9677</v>
      </c>
      <c r="B647">
        <v>8646</v>
      </c>
      <c r="C647" t="s">
        <v>9674</v>
      </c>
      <c r="D647" t="s">
        <v>5604</v>
      </c>
      <c r="E647" t="s">
        <v>9821</v>
      </c>
      <c r="F647" t="s">
        <v>5601</v>
      </c>
    </row>
    <row r="648" spans="1:6">
      <c r="A648" t="s">
        <v>9677</v>
      </c>
      <c r="B648">
        <v>8647</v>
      </c>
      <c r="C648" t="s">
        <v>9674</v>
      </c>
      <c r="D648" t="s">
        <v>5604</v>
      </c>
      <c r="E648" t="s">
        <v>9821</v>
      </c>
      <c r="F648" t="s">
        <v>5601</v>
      </c>
    </row>
    <row r="649" spans="1:6">
      <c r="A649" t="s">
        <v>9677</v>
      </c>
      <c r="B649">
        <v>8649</v>
      </c>
      <c r="C649" t="s">
        <v>9674</v>
      </c>
      <c r="D649" t="s">
        <v>5604</v>
      </c>
      <c r="E649" t="s">
        <v>9821</v>
      </c>
      <c r="F649" t="s">
        <v>5601</v>
      </c>
    </row>
    <row r="650" spans="1:6">
      <c r="A650" t="s">
        <v>9677</v>
      </c>
      <c r="B650">
        <v>8488</v>
      </c>
      <c r="C650" t="s">
        <v>9674</v>
      </c>
      <c r="D650" t="s">
        <v>5604</v>
      </c>
      <c r="E650" t="s">
        <v>9821</v>
      </c>
      <c r="F650" t="s">
        <v>5601</v>
      </c>
    </row>
    <row r="651" spans="1:6">
      <c r="A651" t="s">
        <v>9677</v>
      </c>
      <c r="B651">
        <v>8648</v>
      </c>
      <c r="C651" t="s">
        <v>9674</v>
      </c>
      <c r="D651" t="s">
        <v>5604</v>
      </c>
      <c r="E651" t="s">
        <v>9821</v>
      </c>
      <c r="F651" t="s">
        <v>5601</v>
      </c>
    </row>
    <row r="652" spans="1:6">
      <c r="A652" t="s">
        <v>9677</v>
      </c>
      <c r="B652">
        <v>8671</v>
      </c>
      <c r="C652" t="s">
        <v>9674</v>
      </c>
      <c r="D652" t="s">
        <v>5604</v>
      </c>
      <c r="E652" t="s">
        <v>9821</v>
      </c>
      <c r="F652" t="s">
        <v>5601</v>
      </c>
    </row>
    <row r="653" spans="1:6">
      <c r="A653" t="s">
        <v>9677</v>
      </c>
      <c r="B653">
        <v>8841</v>
      </c>
      <c r="C653" t="s">
        <v>9674</v>
      </c>
      <c r="D653" t="s">
        <v>5604</v>
      </c>
      <c r="E653" t="s">
        <v>9821</v>
      </c>
      <c r="F653" t="s">
        <v>5601</v>
      </c>
    </row>
    <row r="654" spans="1:6">
      <c r="A654" t="s">
        <v>9677</v>
      </c>
      <c r="B654">
        <v>8672</v>
      </c>
      <c r="C654" t="s">
        <v>9674</v>
      </c>
      <c r="D654" t="s">
        <v>5604</v>
      </c>
      <c r="E654" t="s">
        <v>9821</v>
      </c>
      <c r="F654" t="s">
        <v>5601</v>
      </c>
    </row>
    <row r="655" spans="1:6">
      <c r="A655" t="s">
        <v>9677</v>
      </c>
      <c r="B655">
        <v>8673</v>
      </c>
      <c r="C655" t="s">
        <v>9674</v>
      </c>
      <c r="D655" t="s">
        <v>5604</v>
      </c>
      <c r="E655" t="s">
        <v>9821</v>
      </c>
      <c r="F655" t="s">
        <v>5601</v>
      </c>
    </row>
    <row r="656" spans="1:6">
      <c r="A656" t="s">
        <v>9677</v>
      </c>
      <c r="B656">
        <v>8489</v>
      </c>
      <c r="C656" t="s">
        <v>9674</v>
      </c>
      <c r="D656" t="s">
        <v>5604</v>
      </c>
      <c r="E656" t="s">
        <v>9821</v>
      </c>
      <c r="F656" t="s">
        <v>5601</v>
      </c>
    </row>
    <row r="657" spans="1:6">
      <c r="A657" t="s">
        <v>9677</v>
      </c>
      <c r="B657">
        <v>8491</v>
      </c>
      <c r="C657" t="s">
        <v>9674</v>
      </c>
      <c r="D657" t="s">
        <v>5604</v>
      </c>
      <c r="E657" t="s">
        <v>9821</v>
      </c>
      <c r="F657" t="s">
        <v>5601</v>
      </c>
    </row>
    <row r="658" spans="1:6">
      <c r="A658" t="s">
        <v>9677</v>
      </c>
      <c r="B658">
        <v>8849</v>
      </c>
      <c r="C658" t="s">
        <v>9674</v>
      </c>
      <c r="D658" t="s">
        <v>5604</v>
      </c>
      <c r="E658" t="s">
        <v>9821</v>
      </c>
      <c r="F658" t="s">
        <v>5601</v>
      </c>
    </row>
    <row r="659" spans="1:6">
      <c r="A659" t="s">
        <v>9677</v>
      </c>
      <c r="B659">
        <v>7969</v>
      </c>
      <c r="C659" t="s">
        <v>9674</v>
      </c>
      <c r="D659" t="s">
        <v>5604</v>
      </c>
      <c r="E659" t="s">
        <v>9821</v>
      </c>
      <c r="F659" t="s">
        <v>5601</v>
      </c>
    </row>
    <row r="660" spans="1:6">
      <c r="A660" t="s">
        <v>9677</v>
      </c>
      <c r="B660">
        <v>8654</v>
      </c>
      <c r="C660" t="s">
        <v>9674</v>
      </c>
      <c r="D660" t="s">
        <v>5604</v>
      </c>
      <c r="E660" t="s">
        <v>9821</v>
      </c>
      <c r="F660" t="s">
        <v>5601</v>
      </c>
    </row>
    <row r="661" spans="1:6">
      <c r="A661" t="s">
        <v>9677</v>
      </c>
      <c r="B661">
        <v>8675</v>
      </c>
      <c r="C661" t="s">
        <v>9674</v>
      </c>
      <c r="D661" t="s">
        <v>5604</v>
      </c>
      <c r="E661" t="s">
        <v>9821</v>
      </c>
      <c r="F661" t="s">
        <v>5601</v>
      </c>
    </row>
    <row r="662" spans="1:6">
      <c r="A662" t="s">
        <v>9677</v>
      </c>
      <c r="B662">
        <v>8847</v>
      </c>
      <c r="C662" t="s">
        <v>9674</v>
      </c>
      <c r="D662" t="s">
        <v>5604</v>
      </c>
      <c r="E662" t="s">
        <v>9821</v>
      </c>
      <c r="F662" t="s">
        <v>5601</v>
      </c>
    </row>
    <row r="663" spans="1:6">
      <c r="A663" t="s">
        <v>9677</v>
      </c>
      <c r="B663">
        <v>8840</v>
      </c>
      <c r="C663" t="s">
        <v>9674</v>
      </c>
      <c r="D663" t="s">
        <v>5604</v>
      </c>
      <c r="E663" t="s">
        <v>9821</v>
      </c>
      <c r="F663" t="s">
        <v>5601</v>
      </c>
    </row>
    <row r="664" spans="1:6">
      <c r="A664" t="s">
        <v>9677</v>
      </c>
      <c r="B664">
        <v>8834</v>
      </c>
      <c r="C664" t="s">
        <v>9674</v>
      </c>
      <c r="D664" t="s">
        <v>5604</v>
      </c>
      <c r="E664" t="s">
        <v>9821</v>
      </c>
      <c r="F664" t="s">
        <v>5601</v>
      </c>
    </row>
    <row r="665" spans="1:6">
      <c r="A665" t="s">
        <v>9677</v>
      </c>
      <c r="B665">
        <v>4347</v>
      </c>
      <c r="C665" t="s">
        <v>9674</v>
      </c>
      <c r="D665" t="s">
        <v>5604</v>
      </c>
      <c r="E665" t="s">
        <v>9821</v>
      </c>
      <c r="F665" t="s">
        <v>5601</v>
      </c>
    </row>
    <row r="666" spans="1:6">
      <c r="A666" t="s">
        <v>9677</v>
      </c>
      <c r="B666">
        <v>4362</v>
      </c>
      <c r="C666" t="s">
        <v>9674</v>
      </c>
      <c r="D666" t="s">
        <v>5604</v>
      </c>
      <c r="E666" t="s">
        <v>9821</v>
      </c>
      <c r="F666" t="s">
        <v>5601</v>
      </c>
    </row>
    <row r="667" spans="1:6">
      <c r="A667" t="s">
        <v>9677</v>
      </c>
      <c r="B667">
        <v>4363</v>
      </c>
      <c r="C667" t="s">
        <v>9674</v>
      </c>
      <c r="D667" t="s">
        <v>5604</v>
      </c>
      <c r="E667" t="s">
        <v>9821</v>
      </c>
      <c r="F667" t="s">
        <v>5601</v>
      </c>
    </row>
    <row r="668" spans="1:6">
      <c r="A668" t="s">
        <v>9677</v>
      </c>
      <c r="B668">
        <v>4367</v>
      </c>
      <c r="C668" t="s">
        <v>9674</v>
      </c>
      <c r="D668" t="s">
        <v>5604</v>
      </c>
      <c r="E668" t="s">
        <v>9821</v>
      </c>
      <c r="F668" t="s">
        <v>5601</v>
      </c>
    </row>
    <row r="669" spans="1:6">
      <c r="A669" t="s">
        <v>9677</v>
      </c>
      <c r="B669">
        <v>4368</v>
      </c>
      <c r="C669" t="s">
        <v>9674</v>
      </c>
      <c r="D669" t="s">
        <v>5604</v>
      </c>
      <c r="E669" t="s">
        <v>9821</v>
      </c>
      <c r="F669" t="s">
        <v>5601</v>
      </c>
    </row>
    <row r="670" spans="1:6">
      <c r="A670" t="s">
        <v>9677</v>
      </c>
      <c r="B670">
        <v>7327</v>
      </c>
      <c r="C670" t="s">
        <v>9674</v>
      </c>
      <c r="D670" t="s">
        <v>5604</v>
      </c>
      <c r="E670" t="s">
        <v>9821</v>
      </c>
      <c r="F670" t="s">
        <v>5601</v>
      </c>
    </row>
    <row r="671" spans="1:6">
      <c r="A671" t="s">
        <v>9677</v>
      </c>
      <c r="B671">
        <v>7328</v>
      </c>
      <c r="C671" t="s">
        <v>9674</v>
      </c>
      <c r="D671" t="s">
        <v>5604</v>
      </c>
      <c r="E671" t="s">
        <v>9821</v>
      </c>
      <c r="F671" t="s">
        <v>5601</v>
      </c>
    </row>
    <row r="672" spans="1:6">
      <c r="A672" t="s">
        <v>9677</v>
      </c>
      <c r="B672">
        <v>4365</v>
      </c>
      <c r="C672" t="s">
        <v>9674</v>
      </c>
      <c r="D672" t="s">
        <v>5604</v>
      </c>
      <c r="E672" t="s">
        <v>9821</v>
      </c>
      <c r="F672" t="s">
        <v>5601</v>
      </c>
    </row>
    <row r="673" spans="1:6">
      <c r="A673" t="s">
        <v>9677</v>
      </c>
      <c r="B673">
        <v>4364</v>
      </c>
      <c r="C673" t="s">
        <v>9674</v>
      </c>
      <c r="D673" t="s">
        <v>5604</v>
      </c>
      <c r="E673" t="s">
        <v>9821</v>
      </c>
      <c r="F673" t="s">
        <v>5601</v>
      </c>
    </row>
    <row r="674" spans="1:6">
      <c r="A674" t="s">
        <v>9677</v>
      </c>
      <c r="B674">
        <v>4194</v>
      </c>
      <c r="C674" t="s">
        <v>9674</v>
      </c>
      <c r="D674" t="s">
        <v>5604</v>
      </c>
      <c r="E674" t="s">
        <v>9821</v>
      </c>
      <c r="F674" t="s">
        <v>5601</v>
      </c>
    </row>
    <row r="675" spans="1:6">
      <c r="A675" t="s">
        <v>9677</v>
      </c>
      <c r="B675">
        <v>4190</v>
      </c>
      <c r="C675" t="s">
        <v>9674</v>
      </c>
      <c r="D675" t="s">
        <v>5604</v>
      </c>
      <c r="E675" t="s">
        <v>9821</v>
      </c>
      <c r="F675" t="s">
        <v>5601</v>
      </c>
    </row>
    <row r="676" spans="1:6">
      <c r="A676" t="s">
        <v>9677</v>
      </c>
      <c r="B676">
        <v>4251</v>
      </c>
      <c r="C676" t="s">
        <v>9674</v>
      </c>
      <c r="D676" t="s">
        <v>5604</v>
      </c>
      <c r="E676" t="s">
        <v>9821</v>
      </c>
      <c r="F676" t="s">
        <v>5601</v>
      </c>
    </row>
    <row r="677" spans="1:6">
      <c r="A677" t="s">
        <v>9677</v>
      </c>
      <c r="B677">
        <v>4252</v>
      </c>
      <c r="C677" t="s">
        <v>9674</v>
      </c>
      <c r="D677" t="s">
        <v>5604</v>
      </c>
      <c r="E677" t="s">
        <v>9821</v>
      </c>
      <c r="F677" t="s">
        <v>5601</v>
      </c>
    </row>
    <row r="678" spans="1:6">
      <c r="A678" t="s">
        <v>9677</v>
      </c>
      <c r="B678">
        <v>2583</v>
      </c>
      <c r="C678" t="s">
        <v>9674</v>
      </c>
      <c r="D678" t="s">
        <v>5604</v>
      </c>
      <c r="E678" t="s">
        <v>9821</v>
      </c>
      <c r="F678" t="s">
        <v>5601</v>
      </c>
    </row>
    <row r="679" spans="1:6">
      <c r="A679" t="s">
        <v>9677</v>
      </c>
      <c r="B679">
        <v>5458</v>
      </c>
      <c r="C679" t="s">
        <v>9674</v>
      </c>
      <c r="D679" t="s">
        <v>5604</v>
      </c>
      <c r="E679" t="s">
        <v>9821</v>
      </c>
      <c r="F679" t="s">
        <v>5601</v>
      </c>
    </row>
    <row r="680" spans="1:6">
      <c r="A680" t="s">
        <v>9677</v>
      </c>
      <c r="B680">
        <v>7382</v>
      </c>
      <c r="C680" t="s">
        <v>9674</v>
      </c>
      <c r="D680" t="s">
        <v>5604</v>
      </c>
      <c r="E680" t="s">
        <v>9821</v>
      </c>
      <c r="F680" t="s">
        <v>5601</v>
      </c>
    </row>
    <row r="681" spans="1:6">
      <c r="A681" t="s">
        <v>9677</v>
      </c>
      <c r="B681">
        <v>4192</v>
      </c>
      <c r="C681" t="s">
        <v>9674</v>
      </c>
      <c r="D681" t="s">
        <v>5604</v>
      </c>
      <c r="E681" t="s">
        <v>9821</v>
      </c>
      <c r="F681" t="s">
        <v>5601</v>
      </c>
    </row>
    <row r="682" spans="1:6">
      <c r="A682" t="s">
        <v>9677</v>
      </c>
      <c r="B682">
        <v>4193</v>
      </c>
      <c r="C682" t="s">
        <v>9674</v>
      </c>
      <c r="D682" t="s">
        <v>5604</v>
      </c>
      <c r="E682" t="s">
        <v>9821</v>
      </c>
      <c r="F682" t="s">
        <v>5601</v>
      </c>
    </row>
    <row r="683" spans="1:6">
      <c r="A683" t="s">
        <v>9677</v>
      </c>
      <c r="B683">
        <v>7973</v>
      </c>
      <c r="C683" t="s">
        <v>9674</v>
      </c>
      <c r="D683" t="s">
        <v>5604</v>
      </c>
      <c r="E683" t="s">
        <v>9821</v>
      </c>
      <c r="F683" t="s">
        <v>5601</v>
      </c>
    </row>
    <row r="684" spans="1:6">
      <c r="A684" t="s">
        <v>9677</v>
      </c>
      <c r="B684">
        <v>7975</v>
      </c>
      <c r="C684" t="s">
        <v>9674</v>
      </c>
      <c r="D684" t="s">
        <v>5604</v>
      </c>
      <c r="E684" t="s">
        <v>9821</v>
      </c>
      <c r="F684" t="s">
        <v>5601</v>
      </c>
    </row>
    <row r="685" spans="1:6">
      <c r="A685" t="s">
        <v>9677</v>
      </c>
      <c r="B685">
        <v>7974</v>
      </c>
      <c r="C685" t="s">
        <v>9674</v>
      </c>
      <c r="D685" t="s">
        <v>5604</v>
      </c>
      <c r="E685" t="s">
        <v>9821</v>
      </c>
      <c r="F685" t="s">
        <v>5601</v>
      </c>
    </row>
    <row r="686" spans="1:6">
      <c r="A686" t="s">
        <v>9677</v>
      </c>
      <c r="B686">
        <v>7976</v>
      </c>
      <c r="C686" t="s">
        <v>9674</v>
      </c>
      <c r="D686" t="s">
        <v>5604</v>
      </c>
      <c r="E686" t="s">
        <v>9821</v>
      </c>
      <c r="F686" t="s">
        <v>5601</v>
      </c>
    </row>
    <row r="687" spans="1:6">
      <c r="A687" t="s">
        <v>9677</v>
      </c>
      <c r="B687">
        <v>7836</v>
      </c>
      <c r="C687" t="s">
        <v>9674</v>
      </c>
      <c r="D687" t="s">
        <v>5604</v>
      </c>
      <c r="E687" t="s">
        <v>9821</v>
      </c>
      <c r="F687" t="s">
        <v>5601</v>
      </c>
    </row>
    <row r="688" spans="1:6">
      <c r="A688" t="s">
        <v>9677</v>
      </c>
      <c r="B688">
        <v>7837</v>
      </c>
      <c r="C688" t="s">
        <v>9674</v>
      </c>
      <c r="D688" t="s">
        <v>5604</v>
      </c>
      <c r="E688" t="s">
        <v>9821</v>
      </c>
      <c r="F688" t="s">
        <v>5601</v>
      </c>
    </row>
    <row r="689" spans="1:6">
      <c r="A689" t="s">
        <v>9677</v>
      </c>
      <c r="B689">
        <v>7379</v>
      </c>
      <c r="C689" t="s">
        <v>9674</v>
      </c>
      <c r="D689" t="s">
        <v>5604</v>
      </c>
      <c r="E689" t="s">
        <v>9821</v>
      </c>
      <c r="F689" t="s">
        <v>5601</v>
      </c>
    </row>
    <row r="690" spans="1:6">
      <c r="A690" t="s">
        <v>9677</v>
      </c>
      <c r="B690">
        <v>7378</v>
      </c>
      <c r="C690" t="s">
        <v>9674</v>
      </c>
      <c r="D690" t="s">
        <v>5604</v>
      </c>
      <c r="E690" t="s">
        <v>9821</v>
      </c>
      <c r="F690" t="s">
        <v>5601</v>
      </c>
    </row>
    <row r="691" spans="1:6">
      <c r="A691" t="s">
        <v>9677</v>
      </c>
      <c r="B691">
        <v>7948</v>
      </c>
      <c r="C691" t="s">
        <v>9674</v>
      </c>
      <c r="D691" t="s">
        <v>5604</v>
      </c>
      <c r="E691" t="s">
        <v>9821</v>
      </c>
      <c r="F691" t="s">
        <v>5601</v>
      </c>
    </row>
    <row r="692" spans="1:6">
      <c r="A692" t="s">
        <v>9677</v>
      </c>
      <c r="B692">
        <v>7940</v>
      </c>
      <c r="C692" t="s">
        <v>9674</v>
      </c>
      <c r="D692" t="s">
        <v>5604</v>
      </c>
      <c r="E692" t="s">
        <v>9821</v>
      </c>
      <c r="F692" t="s">
        <v>5601</v>
      </c>
    </row>
    <row r="693" spans="1:6">
      <c r="A693" t="s">
        <v>9677</v>
      </c>
      <c r="B693">
        <v>7941</v>
      </c>
      <c r="C693" t="s">
        <v>9674</v>
      </c>
      <c r="D693" t="s">
        <v>5604</v>
      </c>
      <c r="E693" t="s">
        <v>9821</v>
      </c>
      <c r="F693" t="s">
        <v>5601</v>
      </c>
    </row>
    <row r="694" spans="1:6">
      <c r="A694" t="s">
        <v>9677</v>
      </c>
      <c r="B694">
        <v>7984</v>
      </c>
      <c r="C694" t="s">
        <v>9674</v>
      </c>
      <c r="D694" t="s">
        <v>5604</v>
      </c>
      <c r="E694" t="s">
        <v>9821</v>
      </c>
      <c r="F694" t="s">
        <v>5601</v>
      </c>
    </row>
    <row r="695" spans="1:6">
      <c r="A695" t="s">
        <v>9677</v>
      </c>
      <c r="B695">
        <v>1911</v>
      </c>
      <c r="C695" t="s">
        <v>9674</v>
      </c>
      <c r="D695" t="s">
        <v>5600</v>
      </c>
      <c r="E695" t="s">
        <v>9818</v>
      </c>
      <c r="F695" t="s">
        <v>5601</v>
      </c>
    </row>
    <row r="696" spans="1:6">
      <c r="A696" t="s">
        <v>9677</v>
      </c>
      <c r="B696">
        <v>7809</v>
      </c>
      <c r="C696" t="s">
        <v>9674</v>
      </c>
      <c r="D696" t="s">
        <v>5600</v>
      </c>
      <c r="E696" t="s">
        <v>9818</v>
      </c>
      <c r="F696" t="s">
        <v>5601</v>
      </c>
    </row>
    <row r="697" spans="1:6">
      <c r="A697" t="s">
        <v>9677</v>
      </c>
      <c r="B697">
        <v>7870</v>
      </c>
      <c r="C697" t="s">
        <v>9674</v>
      </c>
      <c r="D697" t="s">
        <v>5600</v>
      </c>
      <c r="E697" t="s">
        <v>9818</v>
      </c>
      <c r="F697" t="s">
        <v>5601</v>
      </c>
    </row>
    <row r="698" spans="1:6">
      <c r="A698" t="s">
        <v>9677</v>
      </c>
      <c r="B698">
        <v>7871</v>
      </c>
      <c r="C698" t="s">
        <v>9674</v>
      </c>
      <c r="D698" t="s">
        <v>5600</v>
      </c>
      <c r="E698" t="s">
        <v>9818</v>
      </c>
      <c r="F698" t="s">
        <v>5601</v>
      </c>
    </row>
    <row r="699" spans="1:6">
      <c r="A699" t="s">
        <v>9677</v>
      </c>
      <c r="B699">
        <v>7872</v>
      </c>
      <c r="C699" t="s">
        <v>9674</v>
      </c>
      <c r="D699" t="s">
        <v>5600</v>
      </c>
      <c r="E699" t="s">
        <v>9818</v>
      </c>
      <c r="F699" t="s">
        <v>5601</v>
      </c>
    </row>
    <row r="700" spans="1:6">
      <c r="A700" t="s">
        <v>9677</v>
      </c>
      <c r="B700">
        <v>7873</v>
      </c>
      <c r="C700" t="s">
        <v>9674</v>
      </c>
      <c r="D700" t="s">
        <v>5600</v>
      </c>
      <c r="E700" t="s">
        <v>9818</v>
      </c>
      <c r="F700" t="s">
        <v>5601</v>
      </c>
    </row>
    <row r="701" spans="1:6">
      <c r="A701" t="s">
        <v>9677</v>
      </c>
      <c r="B701">
        <v>7875</v>
      </c>
      <c r="C701" t="s">
        <v>9674</v>
      </c>
      <c r="D701" t="s">
        <v>5600</v>
      </c>
      <c r="E701" t="s">
        <v>9818</v>
      </c>
      <c r="F701" t="s">
        <v>5601</v>
      </c>
    </row>
    <row r="702" spans="1:6">
      <c r="A702" t="s">
        <v>9677</v>
      </c>
      <c r="B702">
        <v>7901</v>
      </c>
      <c r="C702" t="s">
        <v>9674</v>
      </c>
      <c r="D702" t="s">
        <v>5600</v>
      </c>
      <c r="E702" t="s">
        <v>9818</v>
      </c>
      <c r="F702" t="s">
        <v>5601</v>
      </c>
    </row>
    <row r="703" spans="1:6">
      <c r="A703" t="s">
        <v>9677</v>
      </c>
      <c r="B703">
        <v>7902</v>
      </c>
      <c r="C703" t="s">
        <v>9674</v>
      </c>
      <c r="D703" t="s">
        <v>5600</v>
      </c>
      <c r="E703" t="s">
        <v>9818</v>
      </c>
      <c r="F703" t="s">
        <v>5601</v>
      </c>
    </row>
    <row r="704" spans="1:6">
      <c r="A704" t="s">
        <v>9677</v>
      </c>
      <c r="B704">
        <v>7967</v>
      </c>
      <c r="C704" t="s">
        <v>9674</v>
      </c>
      <c r="D704" t="s">
        <v>5600</v>
      </c>
      <c r="E704" t="s">
        <v>9818</v>
      </c>
      <c r="F704" t="s">
        <v>5601</v>
      </c>
    </row>
    <row r="705" spans="1:6">
      <c r="A705" t="s">
        <v>9677</v>
      </c>
      <c r="B705">
        <v>7971</v>
      </c>
      <c r="C705" t="s">
        <v>9674</v>
      </c>
      <c r="D705" t="s">
        <v>5600</v>
      </c>
      <c r="E705" t="s">
        <v>9818</v>
      </c>
      <c r="F705" t="s">
        <v>5601</v>
      </c>
    </row>
    <row r="706" spans="1:6">
      <c r="A706" t="s">
        <v>9677</v>
      </c>
      <c r="B706">
        <v>7972</v>
      </c>
      <c r="C706" t="s">
        <v>9674</v>
      </c>
      <c r="D706" t="s">
        <v>5600</v>
      </c>
      <c r="E706" t="s">
        <v>9818</v>
      </c>
      <c r="F706" t="s">
        <v>5601</v>
      </c>
    </row>
    <row r="707" spans="1:6">
      <c r="A707" t="s">
        <v>9677</v>
      </c>
      <c r="B707">
        <v>7981</v>
      </c>
      <c r="C707" t="s">
        <v>9674</v>
      </c>
      <c r="D707" t="s">
        <v>5600</v>
      </c>
      <c r="E707" t="s">
        <v>9818</v>
      </c>
      <c r="F707" t="s">
        <v>5601</v>
      </c>
    </row>
    <row r="708" spans="1:6">
      <c r="A708" t="s">
        <v>9677</v>
      </c>
      <c r="B708">
        <v>7995</v>
      </c>
      <c r="C708" t="s">
        <v>9674</v>
      </c>
      <c r="D708" t="s">
        <v>5600</v>
      </c>
      <c r="E708" t="s">
        <v>9818</v>
      </c>
      <c r="F708" t="s">
        <v>5601</v>
      </c>
    </row>
    <row r="709" spans="1:6">
      <c r="A709" t="s">
        <v>9677</v>
      </c>
      <c r="B709">
        <v>7996</v>
      </c>
      <c r="C709" t="s">
        <v>9674</v>
      </c>
      <c r="D709" t="s">
        <v>5600</v>
      </c>
      <c r="E709" t="s">
        <v>9818</v>
      </c>
      <c r="F709" t="s">
        <v>5601</v>
      </c>
    </row>
    <row r="710" spans="1:6">
      <c r="A710" t="s">
        <v>9677</v>
      </c>
      <c r="B710">
        <v>8014</v>
      </c>
      <c r="C710" t="s">
        <v>9674</v>
      </c>
      <c r="D710" t="s">
        <v>5600</v>
      </c>
      <c r="E710" t="s">
        <v>9818</v>
      </c>
      <c r="F710" t="s">
        <v>5601</v>
      </c>
    </row>
    <row r="711" spans="1:6">
      <c r="A711" t="s">
        <v>9677</v>
      </c>
      <c r="B711">
        <v>8028</v>
      </c>
      <c r="C711" t="s">
        <v>9674</v>
      </c>
      <c r="D711" t="s">
        <v>5600</v>
      </c>
      <c r="E711" t="s">
        <v>9818</v>
      </c>
      <c r="F711" t="s">
        <v>5601</v>
      </c>
    </row>
    <row r="712" spans="1:6">
      <c r="A712" t="s">
        <v>9677</v>
      </c>
      <c r="B712">
        <v>8038</v>
      </c>
      <c r="C712" t="s">
        <v>9674</v>
      </c>
      <c r="D712" t="s">
        <v>5600</v>
      </c>
      <c r="E712" t="s">
        <v>9818</v>
      </c>
      <c r="F712" t="s">
        <v>5601</v>
      </c>
    </row>
    <row r="713" spans="1:6">
      <c r="A713" t="s">
        <v>9677</v>
      </c>
      <c r="B713">
        <v>8667</v>
      </c>
      <c r="C713" t="s">
        <v>9674</v>
      </c>
      <c r="D713" t="s">
        <v>5600</v>
      </c>
      <c r="E713" t="s">
        <v>9818</v>
      </c>
      <c r="F713" t="s">
        <v>5601</v>
      </c>
    </row>
    <row r="714" spans="1:6">
      <c r="A714" t="s">
        <v>9677</v>
      </c>
      <c r="B714">
        <v>8677</v>
      </c>
      <c r="C714" t="s">
        <v>9674</v>
      </c>
      <c r="D714" t="s">
        <v>5600</v>
      </c>
      <c r="E714" t="s">
        <v>9818</v>
      </c>
      <c r="F714" t="s">
        <v>5601</v>
      </c>
    </row>
    <row r="715" spans="1:6">
      <c r="A715" t="s">
        <v>9677</v>
      </c>
      <c r="B715">
        <v>8678</v>
      </c>
      <c r="C715" t="s">
        <v>9674</v>
      </c>
      <c r="D715" t="s">
        <v>5600</v>
      </c>
      <c r="E715" t="s">
        <v>9818</v>
      </c>
      <c r="F715" t="s">
        <v>5601</v>
      </c>
    </row>
    <row r="716" spans="1:6">
      <c r="A716" t="s">
        <v>9677</v>
      </c>
      <c r="B716">
        <v>8720</v>
      </c>
      <c r="C716" t="s">
        <v>9674</v>
      </c>
      <c r="D716" t="s">
        <v>5600</v>
      </c>
      <c r="E716" t="s">
        <v>9818</v>
      </c>
      <c r="F716" t="s">
        <v>5601</v>
      </c>
    </row>
    <row r="717" spans="1:6">
      <c r="A717" t="s">
        <v>9677</v>
      </c>
      <c r="B717">
        <v>8730</v>
      </c>
      <c r="C717" t="s">
        <v>9674</v>
      </c>
      <c r="D717" t="s">
        <v>5600</v>
      </c>
      <c r="E717" t="s">
        <v>9818</v>
      </c>
      <c r="F717" t="s">
        <v>5601</v>
      </c>
    </row>
    <row r="718" spans="1:6">
      <c r="A718" t="s">
        <v>9677</v>
      </c>
      <c r="B718">
        <v>8740</v>
      </c>
      <c r="C718" t="s">
        <v>9674</v>
      </c>
      <c r="D718" t="s">
        <v>5600</v>
      </c>
      <c r="E718" t="s">
        <v>9818</v>
      </c>
      <c r="F718" t="s">
        <v>5601</v>
      </c>
    </row>
    <row r="719" spans="1:6">
      <c r="A719" t="s">
        <v>9677</v>
      </c>
      <c r="B719">
        <v>8750</v>
      </c>
      <c r="C719" t="s">
        <v>9674</v>
      </c>
      <c r="D719" t="s">
        <v>5600</v>
      </c>
      <c r="E719" t="s">
        <v>9818</v>
      </c>
      <c r="F719" t="s">
        <v>5601</v>
      </c>
    </row>
    <row r="720" spans="1:6">
      <c r="A720" t="s">
        <v>9677</v>
      </c>
      <c r="B720">
        <v>8832</v>
      </c>
      <c r="C720" t="s">
        <v>9674</v>
      </c>
      <c r="D720" t="s">
        <v>5600</v>
      </c>
      <c r="E720" t="s">
        <v>9818</v>
      </c>
      <c r="F720" t="s">
        <v>5601</v>
      </c>
    </row>
    <row r="721" spans="1:6">
      <c r="A721" t="s">
        <v>9677</v>
      </c>
      <c r="B721">
        <v>8839</v>
      </c>
      <c r="C721" t="s">
        <v>9674</v>
      </c>
      <c r="D721" t="s">
        <v>5600</v>
      </c>
      <c r="E721" t="s">
        <v>9818</v>
      </c>
      <c r="F721" t="s">
        <v>5601</v>
      </c>
    </row>
    <row r="722" spans="1:6">
      <c r="A722" t="s">
        <v>9677</v>
      </c>
      <c r="B722">
        <v>8843</v>
      </c>
      <c r="C722" t="s">
        <v>9674</v>
      </c>
      <c r="D722" t="s">
        <v>5600</v>
      </c>
      <c r="E722" t="s">
        <v>9818</v>
      </c>
      <c r="F722" t="s">
        <v>5601</v>
      </c>
    </row>
    <row r="723" spans="1:6">
      <c r="A723" t="s">
        <v>9677</v>
      </c>
      <c r="B723">
        <v>8850</v>
      </c>
      <c r="C723" t="s">
        <v>9674</v>
      </c>
      <c r="D723" t="s">
        <v>5600</v>
      </c>
      <c r="E723" t="s">
        <v>9818</v>
      </c>
      <c r="F723" t="s">
        <v>5601</v>
      </c>
    </row>
    <row r="724" spans="1:6">
      <c r="A724" t="s">
        <v>9677</v>
      </c>
      <c r="B724">
        <v>8852</v>
      </c>
      <c r="C724" t="s">
        <v>9674</v>
      </c>
      <c r="D724" t="s">
        <v>5600</v>
      </c>
      <c r="E724" t="s">
        <v>9818</v>
      </c>
      <c r="F724" t="s">
        <v>5601</v>
      </c>
    </row>
    <row r="725" spans="1:6">
      <c r="A725" t="s">
        <v>9677</v>
      </c>
      <c r="B725">
        <v>8853</v>
      </c>
      <c r="C725" t="s">
        <v>9674</v>
      </c>
      <c r="D725" t="s">
        <v>5600</v>
      </c>
      <c r="E725" t="s">
        <v>9818</v>
      </c>
      <c r="F725" t="s">
        <v>5601</v>
      </c>
    </row>
    <row r="726" spans="1:6">
      <c r="A726" t="s">
        <v>9677</v>
      </c>
      <c r="B726">
        <v>8886</v>
      </c>
      <c r="C726" t="s">
        <v>9674</v>
      </c>
      <c r="D726" t="s">
        <v>5600</v>
      </c>
      <c r="E726" t="s">
        <v>9818</v>
      </c>
      <c r="F726" t="s">
        <v>5601</v>
      </c>
    </row>
    <row r="727" spans="1:6">
      <c r="A727" t="s">
        <v>9677</v>
      </c>
      <c r="B727">
        <v>8721</v>
      </c>
      <c r="C727" t="s">
        <v>9674</v>
      </c>
      <c r="D727" t="s">
        <v>5602</v>
      </c>
      <c r="E727" t="s">
        <v>9819</v>
      </c>
      <c r="F727" t="s">
        <v>5601</v>
      </c>
    </row>
    <row r="728" spans="1:6">
      <c r="A728" t="s">
        <v>9677</v>
      </c>
      <c r="B728">
        <v>8731</v>
      </c>
      <c r="C728" t="s">
        <v>9674</v>
      </c>
      <c r="D728" t="s">
        <v>5602</v>
      </c>
      <c r="E728" t="s">
        <v>9819</v>
      </c>
      <c r="F728" t="s">
        <v>5601</v>
      </c>
    </row>
    <row r="729" spans="1:6">
      <c r="A729" t="s">
        <v>9677</v>
      </c>
      <c r="B729">
        <v>7906</v>
      </c>
      <c r="C729" t="s">
        <v>9674</v>
      </c>
      <c r="D729" t="s">
        <v>5602</v>
      </c>
      <c r="E729" t="s">
        <v>9819</v>
      </c>
      <c r="F729" t="s">
        <v>5601</v>
      </c>
    </row>
    <row r="730" spans="1:6">
      <c r="A730" t="s">
        <v>9677</v>
      </c>
      <c r="B730">
        <v>7916</v>
      </c>
      <c r="C730" t="s">
        <v>9674</v>
      </c>
      <c r="D730" t="s">
        <v>5602</v>
      </c>
      <c r="E730" t="s">
        <v>9819</v>
      </c>
      <c r="F730" t="s">
        <v>5601</v>
      </c>
    </row>
    <row r="731" spans="1:6">
      <c r="A731" t="s">
        <v>9677</v>
      </c>
      <c r="B731">
        <v>8737</v>
      </c>
      <c r="C731" t="s">
        <v>9674</v>
      </c>
      <c r="D731" t="s">
        <v>5602</v>
      </c>
      <c r="E731" t="s">
        <v>9819</v>
      </c>
      <c r="F731" t="s">
        <v>5601</v>
      </c>
    </row>
    <row r="732" spans="1:6">
      <c r="A732" t="s">
        <v>9677</v>
      </c>
      <c r="B732">
        <v>7917</v>
      </c>
      <c r="C732" t="s">
        <v>9674</v>
      </c>
      <c r="D732" t="s">
        <v>5602</v>
      </c>
      <c r="E732" t="s">
        <v>9819</v>
      </c>
      <c r="F732" t="s">
        <v>5601</v>
      </c>
    </row>
    <row r="733" spans="1:6">
      <c r="A733" t="s">
        <v>9677</v>
      </c>
      <c r="B733">
        <v>7903</v>
      </c>
      <c r="C733" t="s">
        <v>9674</v>
      </c>
      <c r="D733" t="s">
        <v>5602</v>
      </c>
      <c r="E733" t="s">
        <v>9819</v>
      </c>
      <c r="F733" t="s">
        <v>5601</v>
      </c>
    </row>
    <row r="734" spans="1:6">
      <c r="A734" t="s">
        <v>9677</v>
      </c>
      <c r="B734">
        <v>5455</v>
      </c>
      <c r="C734" t="s">
        <v>9674</v>
      </c>
      <c r="D734" t="s">
        <v>5602</v>
      </c>
      <c r="E734" t="s">
        <v>9819</v>
      </c>
      <c r="F734" t="s">
        <v>5601</v>
      </c>
    </row>
    <row r="735" spans="1:6">
      <c r="A735" t="s">
        <v>9677</v>
      </c>
      <c r="B735">
        <v>5456</v>
      </c>
      <c r="C735" t="s">
        <v>9674</v>
      </c>
      <c r="D735" t="s">
        <v>5602</v>
      </c>
      <c r="E735" t="s">
        <v>9819</v>
      </c>
      <c r="F735" t="s">
        <v>5601</v>
      </c>
    </row>
    <row r="736" spans="1:6">
      <c r="A736" t="s">
        <v>9677</v>
      </c>
      <c r="B736">
        <v>6391</v>
      </c>
      <c r="C736" t="s">
        <v>9674</v>
      </c>
      <c r="D736" t="s">
        <v>5602</v>
      </c>
      <c r="E736" t="s">
        <v>9819</v>
      </c>
      <c r="F736" t="s">
        <v>5601</v>
      </c>
    </row>
    <row r="737" spans="1:6">
      <c r="A737" t="s">
        <v>9677</v>
      </c>
      <c r="B737">
        <v>7912</v>
      </c>
      <c r="C737" t="s">
        <v>9674</v>
      </c>
      <c r="D737" t="s">
        <v>5602</v>
      </c>
      <c r="E737" t="s">
        <v>9819</v>
      </c>
      <c r="F737" t="s">
        <v>5601</v>
      </c>
    </row>
    <row r="738" spans="1:6">
      <c r="A738" t="s">
        <v>9677</v>
      </c>
      <c r="B738">
        <v>7913</v>
      </c>
      <c r="C738" t="s">
        <v>9674</v>
      </c>
      <c r="D738" t="s">
        <v>5602</v>
      </c>
      <c r="E738" t="s">
        <v>9819</v>
      </c>
      <c r="F738" t="s">
        <v>5601</v>
      </c>
    </row>
    <row r="739" spans="1:6">
      <c r="A739" t="s">
        <v>9677</v>
      </c>
      <c r="B739">
        <v>7918</v>
      </c>
      <c r="C739" t="s">
        <v>9674</v>
      </c>
      <c r="D739" t="s">
        <v>5602</v>
      </c>
      <c r="E739" t="s">
        <v>9819</v>
      </c>
      <c r="F739" t="s">
        <v>5601</v>
      </c>
    </row>
    <row r="740" spans="1:6">
      <c r="A740" t="s">
        <v>9677</v>
      </c>
      <c r="B740">
        <v>7919</v>
      </c>
      <c r="C740" t="s">
        <v>9674</v>
      </c>
      <c r="D740" t="s">
        <v>5602</v>
      </c>
      <c r="E740" t="s">
        <v>9819</v>
      </c>
      <c r="F740" t="s">
        <v>5601</v>
      </c>
    </row>
    <row r="741" spans="1:6">
      <c r="A741" t="s">
        <v>9677</v>
      </c>
      <c r="B741">
        <v>8685</v>
      </c>
      <c r="C741" t="s">
        <v>9674</v>
      </c>
      <c r="D741" t="s">
        <v>5602</v>
      </c>
      <c r="E741" t="s">
        <v>9819</v>
      </c>
      <c r="F741" t="s">
        <v>5601</v>
      </c>
    </row>
    <row r="742" spans="1:6">
      <c r="A742" t="s">
        <v>9677</v>
      </c>
      <c r="B742">
        <v>8686</v>
      </c>
      <c r="C742" t="s">
        <v>9674</v>
      </c>
      <c r="D742" t="s">
        <v>5602</v>
      </c>
      <c r="E742" t="s">
        <v>9819</v>
      </c>
      <c r="F742" t="s">
        <v>5601</v>
      </c>
    </row>
    <row r="743" spans="1:6">
      <c r="A743" t="s">
        <v>9677</v>
      </c>
      <c r="B743">
        <v>8861</v>
      </c>
      <c r="C743" t="s">
        <v>9674</v>
      </c>
      <c r="D743" t="s">
        <v>5602</v>
      </c>
      <c r="E743" t="s">
        <v>9819</v>
      </c>
      <c r="F743" t="s">
        <v>5601</v>
      </c>
    </row>
    <row r="744" spans="1:6">
      <c r="A744" t="s">
        <v>9677</v>
      </c>
      <c r="B744">
        <v>8862</v>
      </c>
      <c r="C744" t="s">
        <v>9674</v>
      </c>
      <c r="D744" t="s">
        <v>5602</v>
      </c>
      <c r="E744" t="s">
        <v>9819</v>
      </c>
      <c r="F744" t="s">
        <v>5601</v>
      </c>
    </row>
    <row r="745" spans="1:6">
      <c r="A745" t="s">
        <v>9677</v>
      </c>
      <c r="B745">
        <v>8863</v>
      </c>
      <c r="C745" t="s">
        <v>9674</v>
      </c>
      <c r="D745" t="s">
        <v>5602</v>
      </c>
      <c r="E745" t="s">
        <v>9819</v>
      </c>
      <c r="F745" t="s">
        <v>5601</v>
      </c>
    </row>
    <row r="746" spans="1:6">
      <c r="A746" t="s">
        <v>9677</v>
      </c>
      <c r="B746">
        <v>8683</v>
      </c>
      <c r="C746" t="s">
        <v>9674</v>
      </c>
      <c r="D746" t="s">
        <v>5602</v>
      </c>
      <c r="E746" t="s">
        <v>9819</v>
      </c>
      <c r="F746" t="s">
        <v>5601</v>
      </c>
    </row>
    <row r="747" spans="1:6">
      <c r="A747" t="s">
        <v>9677</v>
      </c>
      <c r="B747">
        <v>8687</v>
      </c>
      <c r="C747" t="s">
        <v>9674</v>
      </c>
      <c r="D747" t="s">
        <v>5602</v>
      </c>
      <c r="E747" t="s">
        <v>9819</v>
      </c>
      <c r="F747" t="s">
        <v>5601</v>
      </c>
    </row>
    <row r="748" spans="1:6">
      <c r="A748" t="s">
        <v>9677</v>
      </c>
      <c r="B748">
        <v>8870</v>
      </c>
      <c r="C748" t="s">
        <v>9674</v>
      </c>
      <c r="D748" t="s">
        <v>5602</v>
      </c>
      <c r="E748" t="s">
        <v>9819</v>
      </c>
      <c r="F748" t="s">
        <v>5601</v>
      </c>
    </row>
    <row r="749" spans="1:6">
      <c r="A749" t="s">
        <v>9677</v>
      </c>
      <c r="B749">
        <v>8688</v>
      </c>
      <c r="C749" t="s">
        <v>9674</v>
      </c>
      <c r="D749" t="s">
        <v>5602</v>
      </c>
      <c r="E749" t="s">
        <v>9819</v>
      </c>
      <c r="F749" t="s">
        <v>5601</v>
      </c>
    </row>
    <row r="750" spans="1:6">
      <c r="A750" t="s">
        <v>9677</v>
      </c>
      <c r="B750">
        <v>8855</v>
      </c>
      <c r="C750" t="s">
        <v>9674</v>
      </c>
      <c r="D750" t="s">
        <v>5602</v>
      </c>
      <c r="E750" t="s">
        <v>9819</v>
      </c>
      <c r="F750" t="s">
        <v>5601</v>
      </c>
    </row>
    <row r="751" spans="1:6">
      <c r="A751" t="s">
        <v>9677</v>
      </c>
      <c r="B751">
        <v>8872</v>
      </c>
      <c r="C751" t="s">
        <v>9674</v>
      </c>
      <c r="D751" t="s">
        <v>5602</v>
      </c>
      <c r="E751" t="s">
        <v>9819</v>
      </c>
      <c r="F751" t="s">
        <v>5601</v>
      </c>
    </row>
    <row r="752" spans="1:6">
      <c r="A752" t="s">
        <v>9677</v>
      </c>
      <c r="B752">
        <v>8874</v>
      </c>
      <c r="C752" t="s">
        <v>9674</v>
      </c>
      <c r="D752" t="s">
        <v>5602</v>
      </c>
      <c r="E752" t="s">
        <v>9819</v>
      </c>
      <c r="F752" t="s">
        <v>5601</v>
      </c>
    </row>
    <row r="753" spans="1:6">
      <c r="A753" t="s">
        <v>9677</v>
      </c>
      <c r="B753">
        <v>6385</v>
      </c>
      <c r="C753" t="s">
        <v>9674</v>
      </c>
      <c r="D753" t="s">
        <v>5602</v>
      </c>
      <c r="E753" t="s">
        <v>9819</v>
      </c>
      <c r="F753" t="s">
        <v>5601</v>
      </c>
    </row>
    <row r="754" spans="1:6">
      <c r="A754" t="s">
        <v>9677</v>
      </c>
      <c r="B754">
        <v>6386</v>
      </c>
      <c r="C754" t="s">
        <v>9674</v>
      </c>
      <c r="D754" t="s">
        <v>5602</v>
      </c>
      <c r="E754" t="s">
        <v>9819</v>
      </c>
      <c r="F754" t="s">
        <v>5601</v>
      </c>
    </row>
    <row r="755" spans="1:6">
      <c r="A755" t="s">
        <v>9677</v>
      </c>
      <c r="B755">
        <v>6388</v>
      </c>
      <c r="C755" t="s">
        <v>9674</v>
      </c>
      <c r="D755" t="s">
        <v>5602</v>
      </c>
      <c r="E755" t="s">
        <v>9819</v>
      </c>
      <c r="F755" t="s">
        <v>5601</v>
      </c>
    </row>
    <row r="756" spans="1:6">
      <c r="A756" t="s">
        <v>9677</v>
      </c>
      <c r="B756">
        <v>6389</v>
      </c>
      <c r="C756" t="s">
        <v>9674</v>
      </c>
      <c r="D756" t="s">
        <v>5602</v>
      </c>
      <c r="E756" t="s">
        <v>9819</v>
      </c>
      <c r="F756" t="s">
        <v>5601</v>
      </c>
    </row>
    <row r="757" spans="1:6">
      <c r="A757" t="s">
        <v>9677</v>
      </c>
      <c r="B757">
        <v>6390</v>
      </c>
      <c r="C757" t="s">
        <v>9674</v>
      </c>
      <c r="D757" t="s">
        <v>5602</v>
      </c>
      <c r="E757" t="s">
        <v>9819</v>
      </c>
      <c r="F757" t="s">
        <v>5601</v>
      </c>
    </row>
    <row r="758" spans="1:6">
      <c r="A758" t="s">
        <v>9677</v>
      </c>
      <c r="B758">
        <v>7321</v>
      </c>
      <c r="C758" t="s">
        <v>9674</v>
      </c>
      <c r="D758" t="s">
        <v>5602</v>
      </c>
      <c r="E758" t="s">
        <v>9819</v>
      </c>
      <c r="F758" t="s">
        <v>5601</v>
      </c>
    </row>
    <row r="759" spans="1:6">
      <c r="A759" t="s">
        <v>9677</v>
      </c>
      <c r="B759">
        <v>7831</v>
      </c>
      <c r="C759" t="s">
        <v>9674</v>
      </c>
      <c r="D759" t="s">
        <v>5602</v>
      </c>
      <c r="E759" t="s">
        <v>9819</v>
      </c>
      <c r="F759" t="s">
        <v>5601</v>
      </c>
    </row>
    <row r="760" spans="1:6">
      <c r="A760" t="s">
        <v>9677</v>
      </c>
      <c r="B760">
        <v>7832</v>
      </c>
      <c r="C760" t="s">
        <v>9674</v>
      </c>
      <c r="D760" t="s">
        <v>5602</v>
      </c>
      <c r="E760" t="s">
        <v>9819</v>
      </c>
      <c r="F760" t="s">
        <v>5601</v>
      </c>
    </row>
    <row r="761" spans="1:6">
      <c r="A761" t="s">
        <v>9677</v>
      </c>
      <c r="B761">
        <v>7833</v>
      </c>
      <c r="C761" t="s">
        <v>9674</v>
      </c>
      <c r="D761" t="s">
        <v>5602</v>
      </c>
      <c r="E761" t="s">
        <v>9819</v>
      </c>
      <c r="F761" t="s">
        <v>5601</v>
      </c>
    </row>
    <row r="762" spans="1:6">
      <c r="A762" t="s">
        <v>9677</v>
      </c>
      <c r="B762">
        <v>7834</v>
      </c>
      <c r="C762" t="s">
        <v>9674</v>
      </c>
      <c r="D762" t="s">
        <v>5602</v>
      </c>
      <c r="E762" t="s">
        <v>9819</v>
      </c>
      <c r="F762" t="s">
        <v>5601</v>
      </c>
    </row>
    <row r="763" spans="1:6">
      <c r="A763" t="s">
        <v>9677</v>
      </c>
      <c r="B763">
        <v>8722</v>
      </c>
      <c r="C763" t="s">
        <v>9674</v>
      </c>
      <c r="D763" t="s">
        <v>5602</v>
      </c>
      <c r="E763" t="s">
        <v>9819</v>
      </c>
      <c r="F763" t="s">
        <v>5601</v>
      </c>
    </row>
    <row r="764" spans="1:6">
      <c r="A764" t="s">
        <v>9677</v>
      </c>
      <c r="B764">
        <v>8733</v>
      </c>
      <c r="C764" t="s">
        <v>9674</v>
      </c>
      <c r="D764" t="s">
        <v>5602</v>
      </c>
      <c r="E764" t="s">
        <v>9819</v>
      </c>
      <c r="F764" t="s">
        <v>5601</v>
      </c>
    </row>
    <row r="765" spans="1:6">
      <c r="A765" t="s">
        <v>9677</v>
      </c>
      <c r="B765">
        <v>8752</v>
      </c>
      <c r="C765" t="s">
        <v>9674</v>
      </c>
      <c r="D765" t="s">
        <v>5602</v>
      </c>
      <c r="E765" t="s">
        <v>9819</v>
      </c>
      <c r="F765" t="s">
        <v>5601</v>
      </c>
    </row>
    <row r="766" spans="1:6">
      <c r="A766" t="s">
        <v>9677</v>
      </c>
      <c r="B766">
        <v>6205</v>
      </c>
      <c r="C766" t="s">
        <v>9674</v>
      </c>
      <c r="D766" t="s">
        <v>5602</v>
      </c>
      <c r="E766" t="s">
        <v>9819</v>
      </c>
      <c r="F766" t="s">
        <v>5601</v>
      </c>
    </row>
    <row r="767" spans="1:6">
      <c r="A767" t="s">
        <v>9677</v>
      </c>
      <c r="B767">
        <v>7163</v>
      </c>
      <c r="C767" t="s">
        <v>9674</v>
      </c>
      <c r="D767" t="s">
        <v>5602</v>
      </c>
      <c r="E767" t="s">
        <v>9819</v>
      </c>
      <c r="F767" t="s">
        <v>5601</v>
      </c>
    </row>
    <row r="768" spans="1:6">
      <c r="A768" t="s">
        <v>9677</v>
      </c>
      <c r="B768">
        <v>8877</v>
      </c>
      <c r="C768" t="s">
        <v>9674</v>
      </c>
      <c r="D768" t="s">
        <v>5602</v>
      </c>
      <c r="E768" t="s">
        <v>9819</v>
      </c>
      <c r="F768" t="s">
        <v>5601</v>
      </c>
    </row>
    <row r="769" spans="1:6">
      <c r="A769" t="s">
        <v>9677</v>
      </c>
      <c r="B769">
        <v>7164</v>
      </c>
      <c r="C769" t="s">
        <v>9674</v>
      </c>
      <c r="D769" t="s">
        <v>5602</v>
      </c>
      <c r="E769" t="s">
        <v>9819</v>
      </c>
      <c r="F769" t="s">
        <v>5601</v>
      </c>
    </row>
    <row r="770" spans="1:6">
      <c r="A770" t="s">
        <v>9677</v>
      </c>
      <c r="B770">
        <v>8865</v>
      </c>
      <c r="C770" t="s">
        <v>9674</v>
      </c>
      <c r="D770" t="s">
        <v>5602</v>
      </c>
      <c r="E770" t="s">
        <v>9819</v>
      </c>
      <c r="F770" t="s">
        <v>5601</v>
      </c>
    </row>
    <row r="771" spans="1:6">
      <c r="A771" t="s">
        <v>9677</v>
      </c>
      <c r="B771">
        <v>8866</v>
      </c>
      <c r="C771" t="s">
        <v>9674</v>
      </c>
      <c r="D771" t="s">
        <v>5602</v>
      </c>
      <c r="E771" t="s">
        <v>9819</v>
      </c>
      <c r="F771" t="s">
        <v>5601</v>
      </c>
    </row>
    <row r="772" spans="1:6">
      <c r="A772" t="s">
        <v>9677</v>
      </c>
      <c r="B772">
        <v>8864</v>
      </c>
      <c r="C772" t="s">
        <v>9674</v>
      </c>
      <c r="D772" t="s">
        <v>5602</v>
      </c>
      <c r="E772" t="s">
        <v>9819</v>
      </c>
      <c r="F772" t="s">
        <v>5601</v>
      </c>
    </row>
    <row r="773" spans="1:6">
      <c r="A773" t="s">
        <v>9677</v>
      </c>
      <c r="B773">
        <v>7141</v>
      </c>
      <c r="C773" t="s">
        <v>9674</v>
      </c>
      <c r="D773" t="s">
        <v>5602</v>
      </c>
      <c r="E773" t="s">
        <v>9819</v>
      </c>
      <c r="F773" t="s">
        <v>5601</v>
      </c>
    </row>
    <row r="774" spans="1:6">
      <c r="A774" t="s">
        <v>9677</v>
      </c>
      <c r="B774">
        <v>7143</v>
      </c>
      <c r="C774" t="s">
        <v>9674</v>
      </c>
      <c r="D774" t="s">
        <v>5602</v>
      </c>
      <c r="E774" t="s">
        <v>9819</v>
      </c>
      <c r="F774" t="s">
        <v>5601</v>
      </c>
    </row>
    <row r="775" spans="1:6">
      <c r="A775" t="s">
        <v>9677</v>
      </c>
      <c r="B775">
        <v>7145</v>
      </c>
      <c r="C775" t="s">
        <v>9674</v>
      </c>
      <c r="D775" t="s">
        <v>5602</v>
      </c>
      <c r="E775" t="s">
        <v>9819</v>
      </c>
      <c r="F775" t="s">
        <v>5601</v>
      </c>
    </row>
    <row r="776" spans="1:6">
      <c r="A776" t="s">
        <v>9677</v>
      </c>
      <c r="B776">
        <v>7147</v>
      </c>
      <c r="C776" t="s">
        <v>9674</v>
      </c>
      <c r="D776" t="s">
        <v>5602</v>
      </c>
      <c r="E776" t="s">
        <v>9819</v>
      </c>
      <c r="F776" t="s">
        <v>5601</v>
      </c>
    </row>
    <row r="777" spans="1:6">
      <c r="A777" t="s">
        <v>9677</v>
      </c>
      <c r="B777">
        <v>3837</v>
      </c>
      <c r="C777" t="s">
        <v>9674</v>
      </c>
      <c r="D777" t="s">
        <v>5602</v>
      </c>
      <c r="E777" t="s">
        <v>9819</v>
      </c>
      <c r="F777" t="s">
        <v>5601</v>
      </c>
    </row>
    <row r="778" spans="1:6">
      <c r="A778" t="s">
        <v>9677</v>
      </c>
      <c r="B778">
        <v>8878</v>
      </c>
      <c r="C778" t="s">
        <v>9674</v>
      </c>
      <c r="D778" t="s">
        <v>5602</v>
      </c>
      <c r="E778" t="s">
        <v>9819</v>
      </c>
      <c r="F778" t="s">
        <v>5601</v>
      </c>
    </row>
    <row r="779" spans="1:6">
      <c r="A779" t="s">
        <v>9677</v>
      </c>
      <c r="B779">
        <v>8879</v>
      </c>
      <c r="C779" t="s">
        <v>9674</v>
      </c>
      <c r="D779" t="s">
        <v>5602</v>
      </c>
      <c r="E779" t="s">
        <v>9819</v>
      </c>
      <c r="F779" t="s">
        <v>5601</v>
      </c>
    </row>
    <row r="780" spans="1:6">
      <c r="A780" t="s">
        <v>9677</v>
      </c>
      <c r="B780">
        <v>5464</v>
      </c>
      <c r="C780" t="s">
        <v>9674</v>
      </c>
      <c r="D780" t="s">
        <v>5602</v>
      </c>
      <c r="E780" t="s">
        <v>9819</v>
      </c>
      <c r="F780" t="s">
        <v>5601</v>
      </c>
    </row>
    <row r="781" spans="1:6">
      <c r="A781" t="s">
        <v>9677</v>
      </c>
      <c r="B781">
        <v>9532</v>
      </c>
      <c r="C781" t="s">
        <v>9674</v>
      </c>
      <c r="D781" t="s">
        <v>5602</v>
      </c>
      <c r="E781" t="s">
        <v>9819</v>
      </c>
      <c r="F781" t="s">
        <v>5601</v>
      </c>
    </row>
    <row r="782" spans="1:6">
      <c r="A782" t="s">
        <v>9677</v>
      </c>
      <c r="B782">
        <v>5465</v>
      </c>
      <c r="C782" t="s">
        <v>9674</v>
      </c>
      <c r="D782" t="s">
        <v>5602</v>
      </c>
      <c r="E782" t="s">
        <v>9819</v>
      </c>
      <c r="F782" t="s">
        <v>5601</v>
      </c>
    </row>
    <row r="783" spans="1:6">
      <c r="A783" t="s">
        <v>9677</v>
      </c>
      <c r="B783">
        <v>5456</v>
      </c>
      <c r="C783" t="s">
        <v>9674</v>
      </c>
      <c r="D783" t="s">
        <v>5602</v>
      </c>
      <c r="E783" t="s">
        <v>9819</v>
      </c>
      <c r="F783" t="s">
        <v>5601</v>
      </c>
    </row>
    <row r="784" spans="1:6">
      <c r="A784" t="s">
        <v>9677</v>
      </c>
      <c r="B784">
        <v>7148</v>
      </c>
      <c r="C784" t="s">
        <v>9674</v>
      </c>
      <c r="D784" t="s">
        <v>5602</v>
      </c>
      <c r="E784" t="s">
        <v>9819</v>
      </c>
      <c r="F784" t="s">
        <v>5601</v>
      </c>
    </row>
    <row r="785" spans="1:6">
      <c r="A785" t="s">
        <v>9677</v>
      </c>
      <c r="B785">
        <v>7385</v>
      </c>
      <c r="C785" t="s">
        <v>9674</v>
      </c>
      <c r="D785" t="s">
        <v>5602</v>
      </c>
      <c r="E785" t="s">
        <v>9819</v>
      </c>
      <c r="F785" t="s">
        <v>5601</v>
      </c>
    </row>
    <row r="786" spans="1:6">
      <c r="A786" t="s">
        <v>9677</v>
      </c>
      <c r="B786">
        <v>7162</v>
      </c>
      <c r="C786" t="s">
        <v>9674</v>
      </c>
      <c r="D786" t="s">
        <v>5602</v>
      </c>
      <c r="E786" t="s">
        <v>9819</v>
      </c>
      <c r="F786" t="s">
        <v>5601</v>
      </c>
    </row>
    <row r="787" spans="1:6">
      <c r="A787" t="s">
        <v>9677</v>
      </c>
      <c r="B787">
        <v>6241</v>
      </c>
      <c r="C787" t="s">
        <v>9674</v>
      </c>
      <c r="D787" t="s">
        <v>5602</v>
      </c>
      <c r="E787" t="s">
        <v>9819</v>
      </c>
      <c r="F787" t="s">
        <v>5601</v>
      </c>
    </row>
    <row r="788" spans="1:6">
      <c r="A788" t="s">
        <v>9677</v>
      </c>
      <c r="B788">
        <v>8835</v>
      </c>
      <c r="C788" t="s">
        <v>9674</v>
      </c>
      <c r="D788" t="s">
        <v>5603</v>
      </c>
      <c r="E788" t="s">
        <v>9820</v>
      </c>
      <c r="F788" t="s">
        <v>5601</v>
      </c>
    </row>
    <row r="789" spans="1:6">
      <c r="A789" t="s">
        <v>9677</v>
      </c>
      <c r="B789">
        <v>8848</v>
      </c>
      <c r="C789" t="s">
        <v>9674</v>
      </c>
      <c r="D789" t="s">
        <v>5603</v>
      </c>
      <c r="E789" t="s">
        <v>9820</v>
      </c>
      <c r="F789" t="s">
        <v>5601</v>
      </c>
    </row>
    <row r="790" spans="1:6">
      <c r="A790" t="s">
        <v>9677</v>
      </c>
      <c r="B790">
        <v>7992</v>
      </c>
      <c r="C790" t="s">
        <v>9674</v>
      </c>
      <c r="D790" t="s">
        <v>5603</v>
      </c>
      <c r="E790" t="s">
        <v>9820</v>
      </c>
      <c r="F790" t="s">
        <v>5601</v>
      </c>
    </row>
    <row r="791" spans="1:6">
      <c r="A791" t="s">
        <v>9677</v>
      </c>
      <c r="B791">
        <v>8830</v>
      </c>
      <c r="C791" t="s">
        <v>9674</v>
      </c>
      <c r="D791" t="s">
        <v>5603</v>
      </c>
      <c r="E791" t="s">
        <v>9820</v>
      </c>
      <c r="F791" t="s">
        <v>5601</v>
      </c>
    </row>
    <row r="792" spans="1:6">
      <c r="A792" t="s">
        <v>9677</v>
      </c>
      <c r="B792">
        <v>8837</v>
      </c>
      <c r="C792" t="s">
        <v>9674</v>
      </c>
      <c r="D792" t="s">
        <v>5603</v>
      </c>
      <c r="E792" t="s">
        <v>9820</v>
      </c>
      <c r="F792" t="s">
        <v>5601</v>
      </c>
    </row>
    <row r="793" spans="1:6">
      <c r="A793" t="s">
        <v>9677</v>
      </c>
      <c r="B793">
        <v>8827</v>
      </c>
      <c r="C793" t="s">
        <v>9674</v>
      </c>
      <c r="D793" t="s">
        <v>5603</v>
      </c>
      <c r="E793" t="s">
        <v>9820</v>
      </c>
      <c r="F793" t="s">
        <v>5601</v>
      </c>
    </row>
    <row r="794" spans="1:6">
      <c r="A794" t="s">
        <v>9677</v>
      </c>
      <c r="B794">
        <v>8670</v>
      </c>
      <c r="C794" t="s">
        <v>9674</v>
      </c>
      <c r="D794" t="s">
        <v>5603</v>
      </c>
      <c r="E794" t="s">
        <v>9820</v>
      </c>
      <c r="F794" t="s">
        <v>5601</v>
      </c>
    </row>
    <row r="795" spans="1:6">
      <c r="A795" t="s">
        <v>9677</v>
      </c>
      <c r="B795">
        <v>7977</v>
      </c>
      <c r="C795" t="s">
        <v>9674</v>
      </c>
      <c r="D795" t="s">
        <v>5603</v>
      </c>
      <c r="E795" t="s">
        <v>9820</v>
      </c>
      <c r="F795" t="s">
        <v>5601</v>
      </c>
    </row>
    <row r="796" spans="1:6">
      <c r="A796" t="s">
        <v>9677</v>
      </c>
      <c r="B796">
        <v>7839</v>
      </c>
      <c r="C796" t="s">
        <v>9674</v>
      </c>
      <c r="D796" t="s">
        <v>5603</v>
      </c>
      <c r="E796" t="s">
        <v>9820</v>
      </c>
      <c r="F796" t="s">
        <v>5601</v>
      </c>
    </row>
    <row r="797" spans="1:6">
      <c r="A797" t="s">
        <v>9677</v>
      </c>
      <c r="B797">
        <v>7380</v>
      </c>
      <c r="C797" t="s">
        <v>9674</v>
      </c>
      <c r="D797" t="s">
        <v>5603</v>
      </c>
      <c r="E797" t="s">
        <v>9820</v>
      </c>
      <c r="F797" t="s">
        <v>5601</v>
      </c>
    </row>
    <row r="798" spans="1:6">
      <c r="A798" t="s">
        <v>9677</v>
      </c>
      <c r="B798">
        <v>7383</v>
      </c>
      <c r="C798" t="s">
        <v>9674</v>
      </c>
      <c r="D798" t="s">
        <v>5603</v>
      </c>
      <c r="E798" t="s">
        <v>9820</v>
      </c>
      <c r="F798" t="s">
        <v>5601</v>
      </c>
    </row>
    <row r="799" spans="1:6">
      <c r="A799" t="s">
        <v>9677</v>
      </c>
      <c r="B799">
        <v>7160</v>
      </c>
      <c r="C799" t="s">
        <v>9674</v>
      </c>
      <c r="D799" t="s">
        <v>5603</v>
      </c>
      <c r="E799" t="s">
        <v>9820</v>
      </c>
      <c r="F799" t="s">
        <v>5601</v>
      </c>
    </row>
    <row r="800" spans="1:6">
      <c r="A800" t="s">
        <v>9677</v>
      </c>
      <c r="B800">
        <v>7946</v>
      </c>
      <c r="C800" t="s">
        <v>9674</v>
      </c>
      <c r="D800" t="s">
        <v>5603</v>
      </c>
      <c r="E800" t="s">
        <v>9820</v>
      </c>
      <c r="F800" t="s">
        <v>5601</v>
      </c>
    </row>
    <row r="801" spans="1:6">
      <c r="A801" t="s">
        <v>9677</v>
      </c>
      <c r="B801">
        <v>7978</v>
      </c>
      <c r="C801" t="s">
        <v>9674</v>
      </c>
      <c r="D801" t="s">
        <v>5603</v>
      </c>
      <c r="E801" t="s">
        <v>9820</v>
      </c>
      <c r="F801" t="s">
        <v>5601</v>
      </c>
    </row>
    <row r="802" spans="1:6">
      <c r="A802" t="s">
        <v>9677</v>
      </c>
      <c r="B802">
        <v>7944</v>
      </c>
      <c r="C802" t="s">
        <v>9674</v>
      </c>
      <c r="D802" t="s">
        <v>5603</v>
      </c>
      <c r="E802" t="s">
        <v>9820</v>
      </c>
      <c r="F802" t="s">
        <v>5601</v>
      </c>
    </row>
    <row r="803" spans="1:6">
      <c r="A803" t="s">
        <v>9677</v>
      </c>
      <c r="B803">
        <v>7914</v>
      </c>
      <c r="C803" t="s">
        <v>9674</v>
      </c>
      <c r="D803" t="s">
        <v>5603</v>
      </c>
      <c r="E803" t="s">
        <v>9820</v>
      </c>
      <c r="F803" t="s">
        <v>5601</v>
      </c>
    </row>
    <row r="804" spans="1:6">
      <c r="A804" t="s">
        <v>9677</v>
      </c>
      <c r="B804">
        <v>7942</v>
      </c>
      <c r="C804" t="s">
        <v>9674</v>
      </c>
      <c r="D804" t="s">
        <v>5603</v>
      </c>
      <c r="E804" t="s">
        <v>9820</v>
      </c>
      <c r="F804" t="s">
        <v>5601</v>
      </c>
    </row>
    <row r="805" spans="1:6">
      <c r="A805" t="s">
        <v>9677</v>
      </c>
      <c r="B805">
        <v>7376</v>
      </c>
      <c r="C805" t="s">
        <v>9674</v>
      </c>
      <c r="D805" t="s">
        <v>5603</v>
      </c>
      <c r="E805" t="s">
        <v>9820</v>
      </c>
      <c r="F805" t="s">
        <v>5601</v>
      </c>
    </row>
    <row r="806" spans="1:6">
      <c r="A806" t="s">
        <v>9677</v>
      </c>
      <c r="B806">
        <v>7377</v>
      </c>
      <c r="C806" t="s">
        <v>9674</v>
      </c>
      <c r="D806" t="s">
        <v>5603</v>
      </c>
      <c r="E806" t="s">
        <v>9820</v>
      </c>
      <c r="F806" t="s">
        <v>5601</v>
      </c>
    </row>
    <row r="807" spans="1:6">
      <c r="A807" t="s">
        <v>9677</v>
      </c>
      <c r="B807">
        <v>7158</v>
      </c>
      <c r="C807" t="s">
        <v>9674</v>
      </c>
      <c r="D807" t="s">
        <v>5603</v>
      </c>
      <c r="E807" t="s">
        <v>9820</v>
      </c>
      <c r="F807" t="s">
        <v>5601</v>
      </c>
    </row>
    <row r="808" spans="1:6">
      <c r="A808" t="s">
        <v>9677</v>
      </c>
      <c r="B808">
        <v>7979</v>
      </c>
      <c r="C808" t="s">
        <v>9674</v>
      </c>
      <c r="D808" t="s">
        <v>5603</v>
      </c>
      <c r="E808" t="s">
        <v>9820</v>
      </c>
      <c r="F808" t="s">
        <v>5601</v>
      </c>
    </row>
    <row r="809" spans="1:6">
      <c r="A809" t="s">
        <v>9677</v>
      </c>
      <c r="B809">
        <v>7947</v>
      </c>
      <c r="C809" t="s">
        <v>9674</v>
      </c>
      <c r="D809" t="s">
        <v>5603</v>
      </c>
      <c r="E809" t="s">
        <v>9820</v>
      </c>
      <c r="F809" t="s">
        <v>5601</v>
      </c>
    </row>
    <row r="810" spans="1:6">
      <c r="A810" t="s">
        <v>9677</v>
      </c>
      <c r="B810">
        <v>5454</v>
      </c>
      <c r="C810" t="s">
        <v>9674</v>
      </c>
      <c r="D810" t="s">
        <v>5603</v>
      </c>
      <c r="E810" t="s">
        <v>9820</v>
      </c>
      <c r="F810" t="s">
        <v>5601</v>
      </c>
    </row>
    <row r="811" spans="1:6">
      <c r="A811" t="s">
        <v>9677</v>
      </c>
      <c r="B811">
        <v>7945</v>
      </c>
      <c r="C811" t="s">
        <v>9674</v>
      </c>
      <c r="D811" t="s">
        <v>5603</v>
      </c>
      <c r="E811" t="s">
        <v>9820</v>
      </c>
      <c r="F811" t="s">
        <v>5601</v>
      </c>
    </row>
    <row r="812" spans="1:6">
      <c r="A812" t="s">
        <v>9677</v>
      </c>
      <c r="B812">
        <v>7949</v>
      </c>
      <c r="C812" t="s">
        <v>9674</v>
      </c>
      <c r="D812" t="s">
        <v>5603</v>
      </c>
      <c r="E812" t="s">
        <v>9820</v>
      </c>
      <c r="F812" t="s">
        <v>5601</v>
      </c>
    </row>
    <row r="813" spans="1:6">
      <c r="A813" t="s">
        <v>9677</v>
      </c>
      <c r="B813">
        <v>5460</v>
      </c>
      <c r="C813" t="s">
        <v>9674</v>
      </c>
      <c r="D813" t="s">
        <v>5603</v>
      </c>
      <c r="E813" t="s">
        <v>9820</v>
      </c>
      <c r="F813" t="s">
        <v>5601</v>
      </c>
    </row>
    <row r="814" spans="1:6">
      <c r="A814" t="s">
        <v>9677</v>
      </c>
      <c r="B814">
        <v>5466</v>
      </c>
      <c r="C814" t="s">
        <v>9674</v>
      </c>
      <c r="D814" t="s">
        <v>5603</v>
      </c>
      <c r="E814" t="s">
        <v>9820</v>
      </c>
      <c r="F814" t="s">
        <v>5601</v>
      </c>
    </row>
    <row r="815" spans="1:6">
      <c r="A815" t="s">
        <v>9677</v>
      </c>
      <c r="B815">
        <v>7915</v>
      </c>
      <c r="C815" t="s">
        <v>9674</v>
      </c>
      <c r="D815" t="s">
        <v>5603</v>
      </c>
      <c r="E815" t="s">
        <v>9820</v>
      </c>
      <c r="F815" t="s">
        <v>5601</v>
      </c>
    </row>
    <row r="816" spans="1:6">
      <c r="A816" t="s">
        <v>9677</v>
      </c>
      <c r="B816">
        <v>7980</v>
      </c>
      <c r="C816" t="s">
        <v>9674</v>
      </c>
      <c r="D816" t="s">
        <v>5603</v>
      </c>
      <c r="E816" t="s">
        <v>9820</v>
      </c>
      <c r="F816" t="s">
        <v>5601</v>
      </c>
    </row>
    <row r="817" spans="1:6">
      <c r="A817" t="s">
        <v>9677</v>
      </c>
      <c r="B817">
        <v>6630</v>
      </c>
      <c r="C817" t="s">
        <v>9674</v>
      </c>
      <c r="D817" t="s">
        <v>5603</v>
      </c>
      <c r="E817" t="s">
        <v>9820</v>
      </c>
      <c r="F817" t="s">
        <v>5601</v>
      </c>
    </row>
    <row r="818" spans="1:6">
      <c r="A818" t="s">
        <v>9677</v>
      </c>
      <c r="B818">
        <v>7943</v>
      </c>
      <c r="C818" t="s">
        <v>9674</v>
      </c>
      <c r="D818" t="s">
        <v>5603</v>
      </c>
      <c r="E818" t="s">
        <v>9820</v>
      </c>
      <c r="F818" t="s">
        <v>5601</v>
      </c>
    </row>
    <row r="819" spans="1:6">
      <c r="A819" t="s">
        <v>9677</v>
      </c>
      <c r="B819">
        <v>7985</v>
      </c>
      <c r="C819" t="s">
        <v>9674</v>
      </c>
      <c r="D819" t="s">
        <v>5603</v>
      </c>
      <c r="E819" t="s">
        <v>9820</v>
      </c>
      <c r="F819" t="s">
        <v>5601</v>
      </c>
    </row>
    <row r="820" spans="1:6">
      <c r="A820" t="s">
        <v>9677</v>
      </c>
      <c r="B820">
        <v>5462</v>
      </c>
      <c r="C820" t="s">
        <v>9674</v>
      </c>
      <c r="D820" t="s">
        <v>5603</v>
      </c>
      <c r="E820" t="s">
        <v>9820</v>
      </c>
      <c r="F820" t="s">
        <v>5601</v>
      </c>
    </row>
    <row r="821" spans="1:6">
      <c r="A821" t="s">
        <v>9677</v>
      </c>
      <c r="B821">
        <v>5463</v>
      </c>
      <c r="C821" t="s">
        <v>9674</v>
      </c>
      <c r="D821" t="s">
        <v>5603</v>
      </c>
      <c r="E821" t="s">
        <v>9820</v>
      </c>
      <c r="F821" t="s">
        <v>5601</v>
      </c>
    </row>
    <row r="822" spans="1:6">
      <c r="A822" t="s">
        <v>9677</v>
      </c>
      <c r="B822">
        <v>9307</v>
      </c>
      <c r="C822" t="s">
        <v>9674</v>
      </c>
      <c r="D822" t="s">
        <v>5603</v>
      </c>
      <c r="E822" t="s">
        <v>9820</v>
      </c>
      <c r="F822" t="s">
        <v>5601</v>
      </c>
    </row>
    <row r="823" spans="1:6">
      <c r="A823" t="s">
        <v>9677</v>
      </c>
      <c r="B823">
        <v>9306</v>
      </c>
      <c r="C823" t="s">
        <v>9674</v>
      </c>
      <c r="D823" t="s">
        <v>5603</v>
      </c>
      <c r="E823" t="s">
        <v>9820</v>
      </c>
      <c r="F823" t="s">
        <v>5601</v>
      </c>
    </row>
    <row r="824" spans="1:6">
      <c r="A824" t="s">
        <v>9677</v>
      </c>
      <c r="B824">
        <v>8655</v>
      </c>
      <c r="C824" t="s">
        <v>9674</v>
      </c>
      <c r="D824" t="s">
        <v>5604</v>
      </c>
      <c r="E824" t="s">
        <v>9821</v>
      </c>
      <c r="F824" t="s">
        <v>5601</v>
      </c>
    </row>
    <row r="825" spans="1:6">
      <c r="A825" t="s">
        <v>9677</v>
      </c>
      <c r="B825">
        <v>8836</v>
      </c>
      <c r="C825" t="s">
        <v>9674</v>
      </c>
      <c r="D825" t="s">
        <v>5604</v>
      </c>
      <c r="E825" t="s">
        <v>9821</v>
      </c>
      <c r="F825" t="s">
        <v>5601</v>
      </c>
    </row>
    <row r="826" spans="1:6">
      <c r="A826" t="s">
        <v>9677</v>
      </c>
      <c r="B826">
        <v>8486</v>
      </c>
      <c r="C826" t="s">
        <v>9674</v>
      </c>
      <c r="D826" t="s">
        <v>5604</v>
      </c>
      <c r="E826" t="s">
        <v>9821</v>
      </c>
      <c r="F826" t="s">
        <v>5601</v>
      </c>
    </row>
    <row r="827" spans="1:6">
      <c r="A827" t="s">
        <v>9677</v>
      </c>
      <c r="B827">
        <v>8478</v>
      </c>
      <c r="C827" t="s">
        <v>9674</v>
      </c>
      <c r="D827" t="s">
        <v>5604</v>
      </c>
      <c r="E827" t="s">
        <v>9821</v>
      </c>
      <c r="F827" t="s">
        <v>5601</v>
      </c>
    </row>
    <row r="828" spans="1:6">
      <c r="A828" t="s">
        <v>9677</v>
      </c>
      <c r="B828">
        <v>8479</v>
      </c>
      <c r="C828" t="s">
        <v>9674</v>
      </c>
      <c r="D828" t="s">
        <v>5604</v>
      </c>
      <c r="E828" t="s">
        <v>9821</v>
      </c>
      <c r="F828" t="s">
        <v>5601</v>
      </c>
    </row>
    <row r="829" spans="1:6">
      <c r="A829" t="s">
        <v>9677</v>
      </c>
      <c r="B829">
        <v>8480</v>
      </c>
      <c r="C829" t="s">
        <v>9674</v>
      </c>
      <c r="D829" t="s">
        <v>5604</v>
      </c>
      <c r="E829" t="s">
        <v>9821</v>
      </c>
      <c r="F829" t="s">
        <v>5601</v>
      </c>
    </row>
    <row r="830" spans="1:6">
      <c r="A830" t="s">
        <v>9677</v>
      </c>
      <c r="B830">
        <v>8482</v>
      </c>
      <c r="C830" t="s">
        <v>9674</v>
      </c>
      <c r="D830" t="s">
        <v>5604</v>
      </c>
      <c r="E830" t="s">
        <v>9821</v>
      </c>
      <c r="F830" t="s">
        <v>5601</v>
      </c>
    </row>
    <row r="831" spans="1:6">
      <c r="A831" t="s">
        <v>9677</v>
      </c>
      <c r="B831">
        <v>8487</v>
      </c>
      <c r="C831" t="s">
        <v>9674</v>
      </c>
      <c r="D831" t="s">
        <v>5604</v>
      </c>
      <c r="E831" t="s">
        <v>9821</v>
      </c>
      <c r="F831" t="s">
        <v>5601</v>
      </c>
    </row>
    <row r="832" spans="1:6">
      <c r="A832" t="s">
        <v>9677</v>
      </c>
      <c r="B832">
        <v>8485</v>
      </c>
      <c r="C832" t="s">
        <v>9674</v>
      </c>
      <c r="D832" t="s">
        <v>5604</v>
      </c>
      <c r="E832" t="s">
        <v>9821</v>
      </c>
      <c r="F832" t="s">
        <v>5601</v>
      </c>
    </row>
    <row r="833" spans="1:6">
      <c r="A833" t="s">
        <v>9677</v>
      </c>
      <c r="B833">
        <v>8490</v>
      </c>
      <c r="C833" t="s">
        <v>9674</v>
      </c>
      <c r="D833" t="s">
        <v>5604</v>
      </c>
      <c r="E833" t="s">
        <v>9821</v>
      </c>
      <c r="F833" t="s">
        <v>5601</v>
      </c>
    </row>
    <row r="834" spans="1:6">
      <c r="A834" t="s">
        <v>9677</v>
      </c>
      <c r="B834">
        <v>8645</v>
      </c>
      <c r="C834" t="s">
        <v>9674</v>
      </c>
      <c r="D834" t="s">
        <v>5604</v>
      </c>
      <c r="E834" t="s">
        <v>9821</v>
      </c>
      <c r="F834" t="s">
        <v>5601</v>
      </c>
    </row>
    <row r="835" spans="1:6">
      <c r="A835" t="s">
        <v>9677</v>
      </c>
      <c r="B835">
        <v>8646</v>
      </c>
      <c r="C835" t="s">
        <v>9674</v>
      </c>
      <c r="D835" t="s">
        <v>5604</v>
      </c>
      <c r="E835" t="s">
        <v>9821</v>
      </c>
      <c r="F835" t="s">
        <v>5601</v>
      </c>
    </row>
    <row r="836" spans="1:6">
      <c r="A836" t="s">
        <v>9677</v>
      </c>
      <c r="B836">
        <v>8647</v>
      </c>
      <c r="C836" t="s">
        <v>9674</v>
      </c>
      <c r="D836" t="s">
        <v>5604</v>
      </c>
      <c r="E836" t="s">
        <v>9821</v>
      </c>
      <c r="F836" t="s">
        <v>5601</v>
      </c>
    </row>
    <row r="837" spans="1:6">
      <c r="A837" t="s">
        <v>9677</v>
      </c>
      <c r="B837">
        <v>8649</v>
      </c>
      <c r="C837" t="s">
        <v>9674</v>
      </c>
      <c r="D837" t="s">
        <v>5604</v>
      </c>
      <c r="E837" t="s">
        <v>9821</v>
      </c>
      <c r="F837" t="s">
        <v>5601</v>
      </c>
    </row>
    <row r="838" spans="1:6">
      <c r="A838" t="s">
        <v>9677</v>
      </c>
      <c r="B838">
        <v>8488</v>
      </c>
      <c r="C838" t="s">
        <v>9674</v>
      </c>
      <c r="D838" t="s">
        <v>5604</v>
      </c>
      <c r="E838" t="s">
        <v>9821</v>
      </c>
      <c r="F838" t="s">
        <v>5601</v>
      </c>
    </row>
    <row r="839" spans="1:6">
      <c r="A839" t="s">
        <v>9677</v>
      </c>
      <c r="B839">
        <v>8648</v>
      </c>
      <c r="C839" t="s">
        <v>9674</v>
      </c>
      <c r="D839" t="s">
        <v>5604</v>
      </c>
      <c r="E839" t="s">
        <v>9821</v>
      </c>
      <c r="F839" t="s">
        <v>5601</v>
      </c>
    </row>
    <row r="840" spans="1:6">
      <c r="A840" t="s">
        <v>9677</v>
      </c>
      <c r="B840">
        <v>8671</v>
      </c>
      <c r="C840" t="s">
        <v>9674</v>
      </c>
      <c r="D840" t="s">
        <v>5604</v>
      </c>
      <c r="E840" t="s">
        <v>9821</v>
      </c>
      <c r="F840" t="s">
        <v>5601</v>
      </c>
    </row>
    <row r="841" spans="1:6">
      <c r="A841" t="s">
        <v>9677</v>
      </c>
      <c r="B841">
        <v>8841</v>
      </c>
      <c r="C841" t="s">
        <v>9674</v>
      </c>
      <c r="D841" t="s">
        <v>5604</v>
      </c>
      <c r="E841" t="s">
        <v>9821</v>
      </c>
      <c r="F841" t="s">
        <v>5601</v>
      </c>
    </row>
    <row r="842" spans="1:6">
      <c r="A842" t="s">
        <v>9677</v>
      </c>
      <c r="B842">
        <v>8672</v>
      </c>
      <c r="C842" t="s">
        <v>9674</v>
      </c>
      <c r="D842" t="s">
        <v>5604</v>
      </c>
      <c r="E842" t="s">
        <v>9821</v>
      </c>
      <c r="F842" t="s">
        <v>5601</v>
      </c>
    </row>
    <row r="843" spans="1:6">
      <c r="A843" t="s">
        <v>9677</v>
      </c>
      <c r="B843">
        <v>8673</v>
      </c>
      <c r="C843" t="s">
        <v>9674</v>
      </c>
      <c r="D843" t="s">
        <v>5604</v>
      </c>
      <c r="E843" t="s">
        <v>9821</v>
      </c>
      <c r="F843" t="s">
        <v>5601</v>
      </c>
    </row>
    <row r="844" spans="1:6">
      <c r="A844" t="s">
        <v>9677</v>
      </c>
      <c r="B844">
        <v>8489</v>
      </c>
      <c r="C844" t="s">
        <v>9674</v>
      </c>
      <c r="D844" t="s">
        <v>5604</v>
      </c>
      <c r="E844" t="s">
        <v>9821</v>
      </c>
      <c r="F844" t="s">
        <v>5601</v>
      </c>
    </row>
    <row r="845" spans="1:6">
      <c r="A845" t="s">
        <v>9677</v>
      </c>
      <c r="B845">
        <v>8491</v>
      </c>
      <c r="C845" t="s">
        <v>9674</v>
      </c>
      <c r="D845" t="s">
        <v>5604</v>
      </c>
      <c r="E845" t="s">
        <v>9821</v>
      </c>
      <c r="F845" t="s">
        <v>5601</v>
      </c>
    </row>
    <row r="846" spans="1:6">
      <c r="A846" t="s">
        <v>9677</v>
      </c>
      <c r="B846">
        <v>8849</v>
      </c>
      <c r="C846" t="s">
        <v>9674</v>
      </c>
      <c r="D846" t="s">
        <v>5604</v>
      </c>
      <c r="E846" t="s">
        <v>9821</v>
      </c>
      <c r="F846" t="s">
        <v>5601</v>
      </c>
    </row>
    <row r="847" spans="1:6">
      <c r="A847" t="s">
        <v>9677</v>
      </c>
      <c r="B847">
        <v>7969</v>
      </c>
      <c r="C847" t="s">
        <v>9674</v>
      </c>
      <c r="D847" t="s">
        <v>5604</v>
      </c>
      <c r="E847" t="s">
        <v>9821</v>
      </c>
      <c r="F847" t="s">
        <v>5601</v>
      </c>
    </row>
    <row r="848" spans="1:6">
      <c r="A848" t="s">
        <v>9677</v>
      </c>
      <c r="B848">
        <v>8654</v>
      </c>
      <c r="C848" t="s">
        <v>9674</v>
      </c>
      <c r="D848" t="s">
        <v>5604</v>
      </c>
      <c r="E848" t="s">
        <v>9821</v>
      </c>
      <c r="F848" t="s">
        <v>5601</v>
      </c>
    </row>
    <row r="849" spans="1:6">
      <c r="A849" t="s">
        <v>9677</v>
      </c>
      <c r="B849">
        <v>8675</v>
      </c>
      <c r="C849" t="s">
        <v>9674</v>
      </c>
      <c r="D849" t="s">
        <v>5604</v>
      </c>
      <c r="E849" t="s">
        <v>9821</v>
      </c>
      <c r="F849" t="s">
        <v>5601</v>
      </c>
    </row>
    <row r="850" spans="1:6">
      <c r="A850" t="s">
        <v>9677</v>
      </c>
      <c r="B850">
        <v>8847</v>
      </c>
      <c r="C850" t="s">
        <v>9674</v>
      </c>
      <c r="D850" t="s">
        <v>5604</v>
      </c>
      <c r="E850" t="s">
        <v>9821</v>
      </c>
      <c r="F850" t="s">
        <v>5601</v>
      </c>
    </row>
    <row r="851" spans="1:6">
      <c r="A851" t="s">
        <v>9677</v>
      </c>
      <c r="B851">
        <v>8840</v>
      </c>
      <c r="C851" t="s">
        <v>9674</v>
      </c>
      <c r="D851" t="s">
        <v>5604</v>
      </c>
      <c r="E851" t="s">
        <v>9821</v>
      </c>
      <c r="F851" t="s">
        <v>5601</v>
      </c>
    </row>
    <row r="852" spans="1:6">
      <c r="A852" t="s">
        <v>9677</v>
      </c>
      <c r="B852">
        <v>8834</v>
      </c>
      <c r="C852" t="s">
        <v>9674</v>
      </c>
      <c r="D852" t="s">
        <v>5604</v>
      </c>
      <c r="E852" t="s">
        <v>9821</v>
      </c>
      <c r="F852" t="s">
        <v>5601</v>
      </c>
    </row>
    <row r="853" spans="1:6">
      <c r="A853" t="s">
        <v>9677</v>
      </c>
      <c r="B853">
        <v>4347</v>
      </c>
      <c r="C853" t="s">
        <v>9674</v>
      </c>
      <c r="D853" t="s">
        <v>5604</v>
      </c>
      <c r="E853" t="s">
        <v>9821</v>
      </c>
      <c r="F853" t="s">
        <v>5601</v>
      </c>
    </row>
    <row r="854" spans="1:6">
      <c r="A854" t="s">
        <v>9677</v>
      </c>
      <c r="B854">
        <v>4362</v>
      </c>
      <c r="C854" t="s">
        <v>9674</v>
      </c>
      <c r="D854" t="s">
        <v>5604</v>
      </c>
      <c r="E854" t="s">
        <v>9821</v>
      </c>
      <c r="F854" t="s">
        <v>5601</v>
      </c>
    </row>
    <row r="855" spans="1:6">
      <c r="A855" t="s">
        <v>9677</v>
      </c>
      <c r="B855">
        <v>4363</v>
      </c>
      <c r="C855" t="s">
        <v>9674</v>
      </c>
      <c r="D855" t="s">
        <v>5604</v>
      </c>
      <c r="E855" t="s">
        <v>9821</v>
      </c>
      <c r="F855" t="s">
        <v>5601</v>
      </c>
    </row>
    <row r="856" spans="1:6">
      <c r="A856" t="s">
        <v>9677</v>
      </c>
      <c r="B856">
        <v>4367</v>
      </c>
      <c r="C856" t="s">
        <v>9674</v>
      </c>
      <c r="D856" t="s">
        <v>5604</v>
      </c>
      <c r="E856" t="s">
        <v>9821</v>
      </c>
      <c r="F856" t="s">
        <v>5601</v>
      </c>
    </row>
    <row r="857" spans="1:6">
      <c r="A857" t="s">
        <v>9677</v>
      </c>
      <c r="B857">
        <v>4368</v>
      </c>
      <c r="C857" t="s">
        <v>9674</v>
      </c>
      <c r="D857" t="s">
        <v>5604</v>
      </c>
      <c r="E857" t="s">
        <v>9821</v>
      </c>
      <c r="F857" t="s">
        <v>5601</v>
      </c>
    </row>
    <row r="858" spans="1:6">
      <c r="A858" t="s">
        <v>9677</v>
      </c>
      <c r="B858">
        <v>7327</v>
      </c>
      <c r="C858" t="s">
        <v>9674</v>
      </c>
      <c r="D858" t="s">
        <v>5604</v>
      </c>
      <c r="E858" t="s">
        <v>9821</v>
      </c>
      <c r="F858" t="s">
        <v>5601</v>
      </c>
    </row>
    <row r="859" spans="1:6">
      <c r="A859" t="s">
        <v>9677</v>
      </c>
      <c r="B859">
        <v>7328</v>
      </c>
      <c r="C859" t="s">
        <v>9674</v>
      </c>
      <c r="D859" t="s">
        <v>5604</v>
      </c>
      <c r="E859" t="s">
        <v>9821</v>
      </c>
      <c r="F859" t="s">
        <v>5601</v>
      </c>
    </row>
    <row r="860" spans="1:6">
      <c r="A860" t="s">
        <v>9677</v>
      </c>
      <c r="B860">
        <v>4365</v>
      </c>
      <c r="C860" t="s">
        <v>9674</v>
      </c>
      <c r="D860" t="s">
        <v>5604</v>
      </c>
      <c r="E860" t="s">
        <v>9821</v>
      </c>
      <c r="F860" t="s">
        <v>5601</v>
      </c>
    </row>
    <row r="861" spans="1:6">
      <c r="A861" t="s">
        <v>9677</v>
      </c>
      <c r="B861">
        <v>4364</v>
      </c>
      <c r="C861" t="s">
        <v>9674</v>
      </c>
      <c r="D861" t="s">
        <v>5604</v>
      </c>
      <c r="E861" t="s">
        <v>9821</v>
      </c>
      <c r="F861" t="s">
        <v>5601</v>
      </c>
    </row>
    <row r="862" spans="1:6">
      <c r="A862" t="s">
        <v>9677</v>
      </c>
      <c r="B862">
        <v>4194</v>
      </c>
      <c r="C862" t="s">
        <v>9674</v>
      </c>
      <c r="D862" t="s">
        <v>5604</v>
      </c>
      <c r="E862" t="s">
        <v>9821</v>
      </c>
      <c r="F862" t="s">
        <v>5601</v>
      </c>
    </row>
    <row r="863" spans="1:6">
      <c r="A863" t="s">
        <v>9677</v>
      </c>
      <c r="B863">
        <v>4190</v>
      </c>
      <c r="C863" t="s">
        <v>9674</v>
      </c>
      <c r="D863" t="s">
        <v>5604</v>
      </c>
      <c r="E863" t="s">
        <v>9821</v>
      </c>
      <c r="F863" t="s">
        <v>5601</v>
      </c>
    </row>
    <row r="864" spans="1:6">
      <c r="A864" t="s">
        <v>9677</v>
      </c>
      <c r="B864">
        <v>4251</v>
      </c>
      <c r="C864" t="s">
        <v>9674</v>
      </c>
      <c r="D864" t="s">
        <v>5604</v>
      </c>
      <c r="E864" t="s">
        <v>9821</v>
      </c>
      <c r="F864" t="s">
        <v>5601</v>
      </c>
    </row>
    <row r="865" spans="1:6">
      <c r="A865" t="s">
        <v>9677</v>
      </c>
      <c r="B865">
        <v>4252</v>
      </c>
      <c r="C865" t="s">
        <v>9674</v>
      </c>
      <c r="D865" t="s">
        <v>5604</v>
      </c>
      <c r="E865" t="s">
        <v>9821</v>
      </c>
      <c r="F865" t="s">
        <v>5601</v>
      </c>
    </row>
    <row r="866" spans="1:6">
      <c r="A866" t="s">
        <v>9677</v>
      </c>
      <c r="B866">
        <v>2583</v>
      </c>
      <c r="C866" t="s">
        <v>9674</v>
      </c>
      <c r="D866" t="s">
        <v>5604</v>
      </c>
      <c r="E866" t="s">
        <v>9821</v>
      </c>
      <c r="F866" t="s">
        <v>5601</v>
      </c>
    </row>
    <row r="867" spans="1:6">
      <c r="A867" t="s">
        <v>9677</v>
      </c>
      <c r="B867">
        <v>5458</v>
      </c>
      <c r="C867" t="s">
        <v>9674</v>
      </c>
      <c r="D867" t="s">
        <v>5604</v>
      </c>
      <c r="E867" t="s">
        <v>9821</v>
      </c>
      <c r="F867" t="s">
        <v>5601</v>
      </c>
    </row>
    <row r="868" spans="1:6">
      <c r="A868" t="s">
        <v>9677</v>
      </c>
      <c r="B868">
        <v>7382</v>
      </c>
      <c r="C868" t="s">
        <v>9674</v>
      </c>
      <c r="D868" t="s">
        <v>5604</v>
      </c>
      <c r="E868" t="s">
        <v>9821</v>
      </c>
      <c r="F868" t="s">
        <v>5601</v>
      </c>
    </row>
    <row r="869" spans="1:6">
      <c r="A869" t="s">
        <v>9677</v>
      </c>
      <c r="B869">
        <v>4192</v>
      </c>
      <c r="C869" t="s">
        <v>9674</v>
      </c>
      <c r="D869" t="s">
        <v>5604</v>
      </c>
      <c r="E869" t="s">
        <v>9821</v>
      </c>
      <c r="F869" t="s">
        <v>5601</v>
      </c>
    </row>
    <row r="870" spans="1:6">
      <c r="A870" t="s">
        <v>9677</v>
      </c>
      <c r="B870">
        <v>4193</v>
      </c>
      <c r="C870" t="s">
        <v>9674</v>
      </c>
      <c r="D870" t="s">
        <v>5604</v>
      </c>
      <c r="E870" t="s">
        <v>9821</v>
      </c>
      <c r="F870" t="s">
        <v>5601</v>
      </c>
    </row>
    <row r="871" spans="1:6">
      <c r="A871" t="s">
        <v>9677</v>
      </c>
      <c r="B871">
        <v>7973</v>
      </c>
      <c r="C871" t="s">
        <v>9674</v>
      </c>
      <c r="D871" t="s">
        <v>5604</v>
      </c>
      <c r="E871" t="s">
        <v>9821</v>
      </c>
      <c r="F871" t="s">
        <v>5601</v>
      </c>
    </row>
    <row r="872" spans="1:6">
      <c r="A872" t="s">
        <v>9677</v>
      </c>
      <c r="B872">
        <v>7975</v>
      </c>
      <c r="C872" t="s">
        <v>9674</v>
      </c>
      <c r="D872" t="s">
        <v>5604</v>
      </c>
      <c r="E872" t="s">
        <v>9821</v>
      </c>
      <c r="F872" t="s">
        <v>5601</v>
      </c>
    </row>
    <row r="873" spans="1:6">
      <c r="A873" t="s">
        <v>9677</v>
      </c>
      <c r="B873">
        <v>7974</v>
      </c>
      <c r="C873" t="s">
        <v>9674</v>
      </c>
      <c r="D873" t="s">
        <v>5604</v>
      </c>
      <c r="E873" t="s">
        <v>9821</v>
      </c>
      <c r="F873" t="s">
        <v>5601</v>
      </c>
    </row>
    <row r="874" spans="1:6">
      <c r="A874" t="s">
        <v>9677</v>
      </c>
      <c r="B874">
        <v>7976</v>
      </c>
      <c r="C874" t="s">
        <v>9674</v>
      </c>
      <c r="D874" t="s">
        <v>5604</v>
      </c>
      <c r="E874" t="s">
        <v>9821</v>
      </c>
      <c r="F874" t="s">
        <v>5601</v>
      </c>
    </row>
    <row r="875" spans="1:6">
      <c r="A875" t="s">
        <v>9677</v>
      </c>
      <c r="B875">
        <v>7836</v>
      </c>
      <c r="C875" t="s">
        <v>9674</v>
      </c>
      <c r="D875" t="s">
        <v>5604</v>
      </c>
      <c r="E875" t="s">
        <v>9821</v>
      </c>
      <c r="F875" t="s">
        <v>5601</v>
      </c>
    </row>
    <row r="876" spans="1:6">
      <c r="A876" t="s">
        <v>9677</v>
      </c>
      <c r="B876">
        <v>7837</v>
      </c>
      <c r="C876" t="s">
        <v>9674</v>
      </c>
      <c r="D876" t="s">
        <v>5604</v>
      </c>
      <c r="E876" t="s">
        <v>9821</v>
      </c>
      <c r="F876" t="s">
        <v>5601</v>
      </c>
    </row>
    <row r="877" spans="1:6">
      <c r="A877" t="s">
        <v>9677</v>
      </c>
      <c r="B877">
        <v>7379</v>
      </c>
      <c r="C877" t="s">
        <v>9674</v>
      </c>
      <c r="D877" t="s">
        <v>5604</v>
      </c>
      <c r="E877" t="s">
        <v>9821</v>
      </c>
      <c r="F877" t="s">
        <v>5601</v>
      </c>
    </row>
    <row r="878" spans="1:6">
      <c r="A878" t="s">
        <v>9677</v>
      </c>
      <c r="B878">
        <v>7378</v>
      </c>
      <c r="C878" t="s">
        <v>9674</v>
      </c>
      <c r="D878" t="s">
        <v>5604</v>
      </c>
      <c r="E878" t="s">
        <v>9821</v>
      </c>
      <c r="F878" t="s">
        <v>5601</v>
      </c>
    </row>
    <row r="879" spans="1:6">
      <c r="A879" t="s">
        <v>9677</v>
      </c>
      <c r="B879">
        <v>7948</v>
      </c>
      <c r="C879" t="s">
        <v>9674</v>
      </c>
      <c r="D879" t="s">
        <v>5604</v>
      </c>
      <c r="E879" t="s">
        <v>9821</v>
      </c>
      <c r="F879" t="s">
        <v>5601</v>
      </c>
    </row>
    <row r="880" spans="1:6">
      <c r="A880" t="s">
        <v>9677</v>
      </c>
      <c r="B880">
        <v>7940</v>
      </c>
      <c r="C880" t="s">
        <v>9674</v>
      </c>
      <c r="D880" t="s">
        <v>5604</v>
      </c>
      <c r="E880" t="s">
        <v>9821</v>
      </c>
      <c r="F880" t="s">
        <v>5601</v>
      </c>
    </row>
    <row r="881" spans="1:6">
      <c r="A881" t="s">
        <v>9677</v>
      </c>
      <c r="B881">
        <v>7941</v>
      </c>
      <c r="C881" t="s">
        <v>9674</v>
      </c>
      <c r="D881" t="s">
        <v>5604</v>
      </c>
      <c r="E881" t="s">
        <v>9821</v>
      </c>
      <c r="F881" t="s">
        <v>5601</v>
      </c>
    </row>
    <row r="882" spans="1:6">
      <c r="A882" t="s">
        <v>9677</v>
      </c>
      <c r="B882">
        <v>7984</v>
      </c>
      <c r="C882" t="s">
        <v>9674</v>
      </c>
      <c r="D882" t="s">
        <v>5604</v>
      </c>
      <c r="E882" t="s">
        <v>9821</v>
      </c>
      <c r="F882" t="s">
        <v>5601</v>
      </c>
    </row>
    <row r="883" spans="1:6">
      <c r="A883" t="s">
        <v>9677</v>
      </c>
      <c r="B883">
        <v>4348</v>
      </c>
      <c r="C883" t="s">
        <v>9674</v>
      </c>
      <c r="D883" t="s">
        <v>5605</v>
      </c>
      <c r="E883" t="s">
        <v>9822</v>
      </c>
      <c r="F883" t="s">
        <v>5601</v>
      </c>
    </row>
    <row r="884" spans="1:6">
      <c r="A884" t="s">
        <v>9677</v>
      </c>
      <c r="B884">
        <v>4253</v>
      </c>
      <c r="C884" t="s">
        <v>9674</v>
      </c>
      <c r="D884" t="s">
        <v>5605</v>
      </c>
      <c r="E884" t="s">
        <v>9822</v>
      </c>
      <c r="F884" t="s">
        <v>5601</v>
      </c>
    </row>
    <row r="885" spans="1:6">
      <c r="A885" t="s">
        <v>9677</v>
      </c>
      <c r="B885">
        <v>2582</v>
      </c>
      <c r="C885" t="s">
        <v>9674</v>
      </c>
      <c r="D885" t="s">
        <v>5605</v>
      </c>
      <c r="E885" t="s">
        <v>9822</v>
      </c>
      <c r="F885" t="s">
        <v>5601</v>
      </c>
    </row>
    <row r="886" spans="1:6">
      <c r="A886" t="s">
        <v>9677</v>
      </c>
      <c r="B886">
        <v>5457</v>
      </c>
      <c r="C886" t="s">
        <v>9674</v>
      </c>
      <c r="D886" t="s">
        <v>5605</v>
      </c>
      <c r="E886" t="s">
        <v>9822</v>
      </c>
      <c r="F886" t="s">
        <v>5601</v>
      </c>
    </row>
    <row r="887" spans="1:6">
      <c r="A887" t="s">
        <v>9675</v>
      </c>
      <c r="B887">
        <v>1911</v>
      </c>
      <c r="C887" t="s">
        <v>9674</v>
      </c>
      <c r="D887" t="s">
        <v>5594</v>
      </c>
      <c r="E887" t="s">
        <v>9813</v>
      </c>
      <c r="F887" t="s">
        <v>5595</v>
      </c>
    </row>
    <row r="888" spans="1:6">
      <c r="A888" t="s">
        <v>9675</v>
      </c>
      <c r="B888">
        <v>7809</v>
      </c>
      <c r="C888" t="s">
        <v>9674</v>
      </c>
      <c r="D888" t="s">
        <v>5594</v>
      </c>
      <c r="E888" t="s">
        <v>9813</v>
      </c>
      <c r="F888" t="s">
        <v>5595</v>
      </c>
    </row>
    <row r="889" spans="1:6">
      <c r="A889" t="s">
        <v>9675</v>
      </c>
      <c r="B889">
        <v>7870</v>
      </c>
      <c r="C889" t="s">
        <v>9674</v>
      </c>
      <c r="D889" t="s">
        <v>5594</v>
      </c>
      <c r="E889" t="s">
        <v>9813</v>
      </c>
      <c r="F889" t="s">
        <v>5595</v>
      </c>
    </row>
    <row r="890" spans="1:6">
      <c r="A890" t="s">
        <v>9675</v>
      </c>
      <c r="B890">
        <v>7871</v>
      </c>
      <c r="C890" t="s">
        <v>9674</v>
      </c>
      <c r="D890" t="s">
        <v>5594</v>
      </c>
      <c r="E890" t="s">
        <v>9813</v>
      </c>
      <c r="F890" t="s">
        <v>5595</v>
      </c>
    </row>
    <row r="891" spans="1:6">
      <c r="A891" t="s">
        <v>9675</v>
      </c>
      <c r="B891">
        <v>7872</v>
      </c>
      <c r="C891" t="s">
        <v>9674</v>
      </c>
      <c r="D891" t="s">
        <v>5594</v>
      </c>
      <c r="E891" t="s">
        <v>9813</v>
      </c>
      <c r="F891" t="s">
        <v>5595</v>
      </c>
    </row>
    <row r="892" spans="1:6">
      <c r="A892" t="s">
        <v>9675</v>
      </c>
      <c r="B892">
        <v>7873</v>
      </c>
      <c r="C892" t="s">
        <v>9674</v>
      </c>
      <c r="D892" t="s">
        <v>5594</v>
      </c>
      <c r="E892" t="s">
        <v>9813</v>
      </c>
      <c r="F892" t="s">
        <v>5595</v>
      </c>
    </row>
    <row r="893" spans="1:6">
      <c r="A893" t="s">
        <v>9675</v>
      </c>
      <c r="B893">
        <v>7875</v>
      </c>
      <c r="C893" t="s">
        <v>9674</v>
      </c>
      <c r="D893" t="s">
        <v>5594</v>
      </c>
      <c r="E893" t="s">
        <v>9813</v>
      </c>
      <c r="F893" t="s">
        <v>5595</v>
      </c>
    </row>
    <row r="894" spans="1:6">
      <c r="A894" t="s">
        <v>9675</v>
      </c>
      <c r="B894">
        <v>7901</v>
      </c>
      <c r="C894" t="s">
        <v>9674</v>
      </c>
      <c r="D894" t="s">
        <v>5594</v>
      </c>
      <c r="E894" t="s">
        <v>9813</v>
      </c>
      <c r="F894" t="s">
        <v>5595</v>
      </c>
    </row>
    <row r="895" spans="1:6">
      <c r="A895" t="s">
        <v>9675</v>
      </c>
      <c r="B895">
        <v>7902</v>
      </c>
      <c r="C895" t="s">
        <v>9674</v>
      </c>
      <c r="D895" t="s">
        <v>5594</v>
      </c>
      <c r="E895" t="s">
        <v>9813</v>
      </c>
      <c r="F895" t="s">
        <v>5595</v>
      </c>
    </row>
    <row r="896" spans="1:6">
      <c r="A896" t="s">
        <v>9675</v>
      </c>
      <c r="B896">
        <v>7967</v>
      </c>
      <c r="C896" t="s">
        <v>9674</v>
      </c>
      <c r="D896" t="s">
        <v>5594</v>
      </c>
      <c r="E896" t="s">
        <v>9813</v>
      </c>
      <c r="F896" t="s">
        <v>5595</v>
      </c>
    </row>
    <row r="897" spans="1:6">
      <c r="A897" t="s">
        <v>9675</v>
      </c>
      <c r="B897">
        <v>7971</v>
      </c>
      <c r="C897" t="s">
        <v>9674</v>
      </c>
      <c r="D897" t="s">
        <v>5594</v>
      </c>
      <c r="E897" t="s">
        <v>9813</v>
      </c>
      <c r="F897" t="s">
        <v>5595</v>
      </c>
    </row>
    <row r="898" spans="1:6">
      <c r="A898" t="s">
        <v>9675</v>
      </c>
      <c r="B898">
        <v>7972</v>
      </c>
      <c r="C898" t="s">
        <v>9674</v>
      </c>
      <c r="D898" t="s">
        <v>5594</v>
      </c>
      <c r="E898" t="s">
        <v>9813</v>
      </c>
      <c r="F898" t="s">
        <v>5595</v>
      </c>
    </row>
    <row r="899" spans="1:6">
      <c r="A899" t="s">
        <v>9675</v>
      </c>
      <c r="B899">
        <v>7981</v>
      </c>
      <c r="C899" t="s">
        <v>9674</v>
      </c>
      <c r="D899" t="s">
        <v>5594</v>
      </c>
      <c r="E899" t="s">
        <v>9813</v>
      </c>
      <c r="F899" t="s">
        <v>5595</v>
      </c>
    </row>
    <row r="900" spans="1:6">
      <c r="A900" t="s">
        <v>9675</v>
      </c>
      <c r="B900">
        <v>7995</v>
      </c>
      <c r="C900" t="s">
        <v>9674</v>
      </c>
      <c r="D900" t="s">
        <v>5594</v>
      </c>
      <c r="E900" t="s">
        <v>9813</v>
      </c>
      <c r="F900" t="s">
        <v>5595</v>
      </c>
    </row>
    <row r="901" spans="1:6">
      <c r="A901" t="s">
        <v>9675</v>
      </c>
      <c r="B901">
        <v>7996</v>
      </c>
      <c r="C901" t="s">
        <v>9674</v>
      </c>
      <c r="D901" t="s">
        <v>5594</v>
      </c>
      <c r="E901" t="s">
        <v>9813</v>
      </c>
      <c r="F901" t="s">
        <v>5595</v>
      </c>
    </row>
    <row r="902" spans="1:6">
      <c r="A902" t="s">
        <v>9675</v>
      </c>
      <c r="B902">
        <v>8014</v>
      </c>
      <c r="C902" t="s">
        <v>9674</v>
      </c>
      <c r="D902" t="s">
        <v>5594</v>
      </c>
      <c r="E902" t="s">
        <v>9813</v>
      </c>
      <c r="F902" t="s">
        <v>5595</v>
      </c>
    </row>
    <row r="903" spans="1:6">
      <c r="A903" t="s">
        <v>9675</v>
      </c>
      <c r="B903">
        <v>8028</v>
      </c>
      <c r="C903" t="s">
        <v>9674</v>
      </c>
      <c r="D903" t="s">
        <v>5594</v>
      </c>
      <c r="E903" t="s">
        <v>9813</v>
      </c>
      <c r="F903" t="s">
        <v>5595</v>
      </c>
    </row>
    <row r="904" spans="1:6">
      <c r="A904" t="s">
        <v>9675</v>
      </c>
      <c r="B904">
        <v>8038</v>
      </c>
      <c r="C904" t="s">
        <v>9674</v>
      </c>
      <c r="D904" t="s">
        <v>5594</v>
      </c>
      <c r="E904" t="s">
        <v>9813</v>
      </c>
      <c r="F904" t="s">
        <v>5595</v>
      </c>
    </row>
    <row r="905" spans="1:6">
      <c r="A905" t="s">
        <v>9675</v>
      </c>
      <c r="B905">
        <v>8667</v>
      </c>
      <c r="C905" t="s">
        <v>9674</v>
      </c>
      <c r="D905" t="s">
        <v>5594</v>
      </c>
      <c r="E905" t="s">
        <v>9813</v>
      </c>
      <c r="F905" t="s">
        <v>5595</v>
      </c>
    </row>
    <row r="906" spans="1:6">
      <c r="A906" t="s">
        <v>9675</v>
      </c>
      <c r="B906">
        <v>8677</v>
      </c>
      <c r="C906" t="s">
        <v>9674</v>
      </c>
      <c r="D906" t="s">
        <v>5594</v>
      </c>
      <c r="E906" t="s">
        <v>9813</v>
      </c>
      <c r="F906" t="s">
        <v>5595</v>
      </c>
    </row>
    <row r="907" spans="1:6">
      <c r="A907" t="s">
        <v>9675</v>
      </c>
      <c r="B907">
        <v>8678</v>
      </c>
      <c r="C907" t="s">
        <v>9674</v>
      </c>
      <c r="D907" t="s">
        <v>5594</v>
      </c>
      <c r="E907" t="s">
        <v>9813</v>
      </c>
      <c r="F907" t="s">
        <v>5595</v>
      </c>
    </row>
    <row r="908" spans="1:6">
      <c r="A908" t="s">
        <v>9675</v>
      </c>
      <c r="B908">
        <v>8720</v>
      </c>
      <c r="C908" t="s">
        <v>9674</v>
      </c>
      <c r="D908" t="s">
        <v>5594</v>
      </c>
      <c r="E908" t="s">
        <v>9813</v>
      </c>
      <c r="F908" t="s">
        <v>5595</v>
      </c>
    </row>
    <row r="909" spans="1:6">
      <c r="A909" t="s">
        <v>9675</v>
      </c>
      <c r="B909">
        <v>8730</v>
      </c>
      <c r="C909" t="s">
        <v>9674</v>
      </c>
      <c r="D909" t="s">
        <v>5594</v>
      </c>
      <c r="E909" t="s">
        <v>9813</v>
      </c>
      <c r="F909" t="s">
        <v>5595</v>
      </c>
    </row>
    <row r="910" spans="1:6">
      <c r="A910" t="s">
        <v>9675</v>
      </c>
      <c r="B910">
        <v>8740</v>
      </c>
      <c r="C910" t="s">
        <v>9674</v>
      </c>
      <c r="D910" t="s">
        <v>5594</v>
      </c>
      <c r="E910" t="s">
        <v>9813</v>
      </c>
      <c r="F910" t="s">
        <v>5595</v>
      </c>
    </row>
    <row r="911" spans="1:6">
      <c r="A911" t="s">
        <v>9675</v>
      </c>
      <c r="B911">
        <v>8750</v>
      </c>
      <c r="C911" t="s">
        <v>9674</v>
      </c>
      <c r="D911" t="s">
        <v>5594</v>
      </c>
      <c r="E911" t="s">
        <v>9813</v>
      </c>
      <c r="F911" t="s">
        <v>5595</v>
      </c>
    </row>
    <row r="912" spans="1:6">
      <c r="A912" t="s">
        <v>9675</v>
      </c>
      <c r="B912">
        <v>8832</v>
      </c>
      <c r="C912" t="s">
        <v>9674</v>
      </c>
      <c r="D912" t="s">
        <v>5594</v>
      </c>
      <c r="E912" t="s">
        <v>9813</v>
      </c>
      <c r="F912" t="s">
        <v>5595</v>
      </c>
    </row>
    <row r="913" spans="1:6">
      <c r="A913" t="s">
        <v>9675</v>
      </c>
      <c r="B913">
        <v>8839</v>
      </c>
      <c r="C913" t="s">
        <v>9674</v>
      </c>
      <c r="D913" t="s">
        <v>5594</v>
      </c>
      <c r="E913" t="s">
        <v>9813</v>
      </c>
      <c r="F913" t="s">
        <v>5595</v>
      </c>
    </row>
    <row r="914" spans="1:6">
      <c r="A914" t="s">
        <v>9675</v>
      </c>
      <c r="B914">
        <v>8843</v>
      </c>
      <c r="C914" t="s">
        <v>9674</v>
      </c>
      <c r="D914" t="s">
        <v>5594</v>
      </c>
      <c r="E914" t="s">
        <v>9813</v>
      </c>
      <c r="F914" t="s">
        <v>5595</v>
      </c>
    </row>
    <row r="915" spans="1:6">
      <c r="A915" t="s">
        <v>9675</v>
      </c>
      <c r="B915">
        <v>8850</v>
      </c>
      <c r="C915" t="s">
        <v>9674</v>
      </c>
      <c r="D915" t="s">
        <v>5594</v>
      </c>
      <c r="E915" t="s">
        <v>9813</v>
      </c>
      <c r="F915" t="s">
        <v>5595</v>
      </c>
    </row>
    <row r="916" spans="1:6">
      <c r="A916" t="s">
        <v>9675</v>
      </c>
      <c r="B916">
        <v>8852</v>
      </c>
      <c r="C916" t="s">
        <v>9674</v>
      </c>
      <c r="D916" t="s">
        <v>5594</v>
      </c>
      <c r="E916" t="s">
        <v>9813</v>
      </c>
      <c r="F916" t="s">
        <v>5595</v>
      </c>
    </row>
    <row r="917" spans="1:6">
      <c r="A917" t="s">
        <v>9675</v>
      </c>
      <c r="B917">
        <v>8853</v>
      </c>
      <c r="C917" t="s">
        <v>9674</v>
      </c>
      <c r="D917" t="s">
        <v>5594</v>
      </c>
      <c r="E917" t="s">
        <v>9813</v>
      </c>
      <c r="F917" t="s">
        <v>5595</v>
      </c>
    </row>
    <row r="918" spans="1:6">
      <c r="A918" t="s">
        <v>9675</v>
      </c>
      <c r="B918">
        <v>8886</v>
      </c>
      <c r="C918" t="s">
        <v>9674</v>
      </c>
      <c r="D918" t="s">
        <v>5594</v>
      </c>
      <c r="E918" t="s">
        <v>9813</v>
      </c>
      <c r="F918" t="s">
        <v>5595</v>
      </c>
    </row>
    <row r="919" spans="1:6">
      <c r="A919" t="s">
        <v>9675</v>
      </c>
      <c r="B919">
        <v>8721</v>
      </c>
      <c r="C919" t="s">
        <v>9674</v>
      </c>
      <c r="D919" t="s">
        <v>5596</v>
      </c>
      <c r="E919" t="s">
        <v>9814</v>
      </c>
      <c r="F919" t="s">
        <v>5595</v>
      </c>
    </row>
    <row r="920" spans="1:6">
      <c r="A920" t="s">
        <v>9675</v>
      </c>
      <c r="B920">
        <v>8731</v>
      </c>
      <c r="C920" t="s">
        <v>9674</v>
      </c>
      <c r="D920" t="s">
        <v>5596</v>
      </c>
      <c r="E920" t="s">
        <v>9814</v>
      </c>
      <c r="F920" t="s">
        <v>5595</v>
      </c>
    </row>
    <row r="921" spans="1:6">
      <c r="A921" t="s">
        <v>9675</v>
      </c>
      <c r="B921">
        <v>7906</v>
      </c>
      <c r="C921" t="s">
        <v>9674</v>
      </c>
      <c r="D921" t="s">
        <v>5596</v>
      </c>
      <c r="E921" t="s">
        <v>9814</v>
      </c>
      <c r="F921" t="s">
        <v>5595</v>
      </c>
    </row>
    <row r="922" spans="1:6">
      <c r="A922" t="s">
        <v>9675</v>
      </c>
      <c r="B922">
        <v>7916</v>
      </c>
      <c r="C922" t="s">
        <v>9674</v>
      </c>
      <c r="D922" t="s">
        <v>5596</v>
      </c>
      <c r="E922" t="s">
        <v>9814</v>
      </c>
      <c r="F922" t="s">
        <v>5595</v>
      </c>
    </row>
    <row r="923" spans="1:6">
      <c r="A923" t="s">
        <v>9675</v>
      </c>
      <c r="B923">
        <v>8737</v>
      </c>
      <c r="C923" t="s">
        <v>9674</v>
      </c>
      <c r="D923" t="s">
        <v>5596</v>
      </c>
      <c r="E923" t="s">
        <v>9814</v>
      </c>
      <c r="F923" t="s">
        <v>5595</v>
      </c>
    </row>
    <row r="924" spans="1:6">
      <c r="A924" t="s">
        <v>9675</v>
      </c>
      <c r="B924">
        <v>7917</v>
      </c>
      <c r="C924" t="s">
        <v>9674</v>
      </c>
      <c r="D924" t="s">
        <v>5596</v>
      </c>
      <c r="E924" t="s">
        <v>9814</v>
      </c>
      <c r="F924" t="s">
        <v>5595</v>
      </c>
    </row>
    <row r="925" spans="1:6">
      <c r="A925" t="s">
        <v>9675</v>
      </c>
      <c r="B925">
        <v>7903</v>
      </c>
      <c r="C925" t="s">
        <v>9674</v>
      </c>
      <c r="D925" t="s">
        <v>5596</v>
      </c>
      <c r="E925" t="s">
        <v>9814</v>
      </c>
      <c r="F925" t="s">
        <v>5595</v>
      </c>
    </row>
    <row r="926" spans="1:6">
      <c r="A926" t="s">
        <v>9675</v>
      </c>
      <c r="B926">
        <v>5455</v>
      </c>
      <c r="C926" t="s">
        <v>9674</v>
      </c>
      <c r="D926" t="s">
        <v>5596</v>
      </c>
      <c r="E926" t="s">
        <v>9814</v>
      </c>
      <c r="F926" t="s">
        <v>5595</v>
      </c>
    </row>
    <row r="927" spans="1:6">
      <c r="A927" t="s">
        <v>9675</v>
      </c>
      <c r="B927">
        <v>5456</v>
      </c>
      <c r="C927" t="s">
        <v>9674</v>
      </c>
      <c r="D927" t="s">
        <v>5596</v>
      </c>
      <c r="E927" t="s">
        <v>9814</v>
      </c>
      <c r="F927" t="s">
        <v>5595</v>
      </c>
    </row>
    <row r="928" spans="1:6">
      <c r="A928" t="s">
        <v>9675</v>
      </c>
      <c r="B928">
        <v>6391</v>
      </c>
      <c r="C928" t="s">
        <v>9674</v>
      </c>
      <c r="D928" t="s">
        <v>5596</v>
      </c>
      <c r="E928" t="s">
        <v>9814</v>
      </c>
      <c r="F928" t="s">
        <v>5595</v>
      </c>
    </row>
    <row r="929" spans="1:6">
      <c r="A929" t="s">
        <v>9675</v>
      </c>
      <c r="B929">
        <v>7912</v>
      </c>
      <c r="C929" t="s">
        <v>9674</v>
      </c>
      <c r="D929" t="s">
        <v>5596</v>
      </c>
      <c r="E929" t="s">
        <v>9814</v>
      </c>
      <c r="F929" t="s">
        <v>5595</v>
      </c>
    </row>
    <row r="930" spans="1:6">
      <c r="A930" t="s">
        <v>9675</v>
      </c>
      <c r="B930">
        <v>7913</v>
      </c>
      <c r="C930" t="s">
        <v>9674</v>
      </c>
      <c r="D930" t="s">
        <v>5596</v>
      </c>
      <c r="E930" t="s">
        <v>9814</v>
      </c>
      <c r="F930" t="s">
        <v>5595</v>
      </c>
    </row>
    <row r="931" spans="1:6">
      <c r="A931" t="s">
        <v>9675</v>
      </c>
      <c r="B931">
        <v>7918</v>
      </c>
      <c r="C931" t="s">
        <v>9674</v>
      </c>
      <c r="D931" t="s">
        <v>5596</v>
      </c>
      <c r="E931" t="s">
        <v>9814</v>
      </c>
      <c r="F931" t="s">
        <v>5595</v>
      </c>
    </row>
    <row r="932" spans="1:6">
      <c r="A932" t="s">
        <v>9675</v>
      </c>
      <c r="B932">
        <v>7919</v>
      </c>
      <c r="C932" t="s">
        <v>9674</v>
      </c>
      <c r="D932" t="s">
        <v>5596</v>
      </c>
      <c r="E932" t="s">
        <v>9814</v>
      </c>
      <c r="F932" t="s">
        <v>5595</v>
      </c>
    </row>
    <row r="933" spans="1:6">
      <c r="A933" t="s">
        <v>9675</v>
      </c>
      <c r="B933">
        <v>8685</v>
      </c>
      <c r="C933" t="s">
        <v>9674</v>
      </c>
      <c r="D933" t="s">
        <v>5596</v>
      </c>
      <c r="E933" t="s">
        <v>9814</v>
      </c>
      <c r="F933" t="s">
        <v>5595</v>
      </c>
    </row>
    <row r="934" spans="1:6">
      <c r="A934" t="s">
        <v>9675</v>
      </c>
      <c r="B934">
        <v>8686</v>
      </c>
      <c r="C934" t="s">
        <v>9674</v>
      </c>
      <c r="D934" t="s">
        <v>5596</v>
      </c>
      <c r="E934" t="s">
        <v>9814</v>
      </c>
      <c r="F934" t="s">
        <v>5595</v>
      </c>
    </row>
    <row r="935" spans="1:6">
      <c r="A935" t="s">
        <v>9675</v>
      </c>
      <c r="B935">
        <v>8861</v>
      </c>
      <c r="C935" t="s">
        <v>9674</v>
      </c>
      <c r="D935" t="s">
        <v>5596</v>
      </c>
      <c r="E935" t="s">
        <v>9814</v>
      </c>
      <c r="F935" t="s">
        <v>5595</v>
      </c>
    </row>
    <row r="936" spans="1:6">
      <c r="A936" t="s">
        <v>9675</v>
      </c>
      <c r="B936">
        <v>8862</v>
      </c>
      <c r="C936" t="s">
        <v>9674</v>
      </c>
      <c r="D936" t="s">
        <v>5596</v>
      </c>
      <c r="E936" t="s">
        <v>9814</v>
      </c>
      <c r="F936" t="s">
        <v>5595</v>
      </c>
    </row>
    <row r="937" spans="1:6">
      <c r="A937" t="s">
        <v>9675</v>
      </c>
      <c r="B937">
        <v>8863</v>
      </c>
      <c r="C937" t="s">
        <v>9674</v>
      </c>
      <c r="D937" t="s">
        <v>5596</v>
      </c>
      <c r="E937" t="s">
        <v>9814</v>
      </c>
      <c r="F937" t="s">
        <v>5595</v>
      </c>
    </row>
    <row r="938" spans="1:6">
      <c r="A938" t="s">
        <v>9675</v>
      </c>
      <c r="B938">
        <v>8683</v>
      </c>
      <c r="C938" t="s">
        <v>9674</v>
      </c>
      <c r="D938" t="s">
        <v>5596</v>
      </c>
      <c r="E938" t="s">
        <v>9814</v>
      </c>
      <c r="F938" t="s">
        <v>5595</v>
      </c>
    </row>
    <row r="939" spans="1:6">
      <c r="A939" t="s">
        <v>9675</v>
      </c>
      <c r="B939">
        <v>8687</v>
      </c>
      <c r="C939" t="s">
        <v>9674</v>
      </c>
      <c r="D939" t="s">
        <v>5596</v>
      </c>
      <c r="E939" t="s">
        <v>9814</v>
      </c>
      <c r="F939" t="s">
        <v>5595</v>
      </c>
    </row>
    <row r="940" spans="1:6">
      <c r="A940" t="s">
        <v>9675</v>
      </c>
      <c r="B940">
        <v>8870</v>
      </c>
      <c r="C940" t="s">
        <v>9674</v>
      </c>
      <c r="D940" t="s">
        <v>5596</v>
      </c>
      <c r="E940" t="s">
        <v>9814</v>
      </c>
      <c r="F940" t="s">
        <v>5595</v>
      </c>
    </row>
    <row r="941" spans="1:6">
      <c r="A941" t="s">
        <v>9675</v>
      </c>
      <c r="B941">
        <v>8688</v>
      </c>
      <c r="C941" t="s">
        <v>9674</v>
      </c>
      <c r="D941" t="s">
        <v>5596</v>
      </c>
      <c r="E941" t="s">
        <v>9814</v>
      </c>
      <c r="F941" t="s">
        <v>5595</v>
      </c>
    </row>
    <row r="942" spans="1:6">
      <c r="A942" t="s">
        <v>9675</v>
      </c>
      <c r="B942">
        <v>8855</v>
      </c>
      <c r="C942" t="s">
        <v>9674</v>
      </c>
      <c r="D942" t="s">
        <v>5596</v>
      </c>
      <c r="E942" t="s">
        <v>9814</v>
      </c>
      <c r="F942" t="s">
        <v>5595</v>
      </c>
    </row>
    <row r="943" spans="1:6">
      <c r="A943" t="s">
        <v>9675</v>
      </c>
      <c r="B943">
        <v>8872</v>
      </c>
      <c r="C943" t="s">
        <v>9674</v>
      </c>
      <c r="D943" t="s">
        <v>5596</v>
      </c>
      <c r="E943" t="s">
        <v>9814</v>
      </c>
      <c r="F943" t="s">
        <v>5595</v>
      </c>
    </row>
    <row r="944" spans="1:6">
      <c r="A944" t="s">
        <v>9675</v>
      </c>
      <c r="B944">
        <v>8874</v>
      </c>
      <c r="C944" t="s">
        <v>9674</v>
      </c>
      <c r="D944" t="s">
        <v>5596</v>
      </c>
      <c r="E944" t="s">
        <v>9814</v>
      </c>
      <c r="F944" t="s">
        <v>5595</v>
      </c>
    </row>
    <row r="945" spans="1:6">
      <c r="A945" t="s">
        <v>9675</v>
      </c>
      <c r="B945">
        <v>6385</v>
      </c>
      <c r="C945" t="s">
        <v>9674</v>
      </c>
      <c r="D945" t="s">
        <v>5596</v>
      </c>
      <c r="E945" t="s">
        <v>9814</v>
      </c>
      <c r="F945" t="s">
        <v>5595</v>
      </c>
    </row>
    <row r="946" spans="1:6">
      <c r="A946" t="s">
        <v>9675</v>
      </c>
      <c r="B946">
        <v>6386</v>
      </c>
      <c r="C946" t="s">
        <v>9674</v>
      </c>
      <c r="D946" t="s">
        <v>5596</v>
      </c>
      <c r="E946" t="s">
        <v>9814</v>
      </c>
      <c r="F946" t="s">
        <v>5595</v>
      </c>
    </row>
    <row r="947" spans="1:6">
      <c r="A947" t="s">
        <v>9675</v>
      </c>
      <c r="B947">
        <v>6388</v>
      </c>
      <c r="C947" t="s">
        <v>9674</v>
      </c>
      <c r="D947" t="s">
        <v>5596</v>
      </c>
      <c r="E947" t="s">
        <v>9814</v>
      </c>
      <c r="F947" t="s">
        <v>5595</v>
      </c>
    </row>
    <row r="948" spans="1:6">
      <c r="A948" t="s">
        <v>9675</v>
      </c>
      <c r="B948">
        <v>6389</v>
      </c>
      <c r="C948" t="s">
        <v>9674</v>
      </c>
      <c r="D948" t="s">
        <v>5596</v>
      </c>
      <c r="E948" t="s">
        <v>9814</v>
      </c>
      <c r="F948" t="s">
        <v>5595</v>
      </c>
    </row>
    <row r="949" spans="1:6">
      <c r="A949" t="s">
        <v>9675</v>
      </c>
      <c r="B949">
        <v>6390</v>
      </c>
      <c r="C949" t="s">
        <v>9674</v>
      </c>
      <c r="D949" t="s">
        <v>5596</v>
      </c>
      <c r="E949" t="s">
        <v>9814</v>
      </c>
      <c r="F949" t="s">
        <v>5595</v>
      </c>
    </row>
    <row r="950" spans="1:6">
      <c r="A950" t="s">
        <v>9675</v>
      </c>
      <c r="B950">
        <v>7321</v>
      </c>
      <c r="C950" t="s">
        <v>9674</v>
      </c>
      <c r="D950" t="s">
        <v>5596</v>
      </c>
      <c r="E950" t="s">
        <v>9814</v>
      </c>
      <c r="F950" t="s">
        <v>5595</v>
      </c>
    </row>
    <row r="951" spans="1:6">
      <c r="A951" t="s">
        <v>9675</v>
      </c>
      <c r="B951">
        <v>7831</v>
      </c>
      <c r="C951" t="s">
        <v>9674</v>
      </c>
      <c r="D951" t="s">
        <v>5596</v>
      </c>
      <c r="E951" t="s">
        <v>9814</v>
      </c>
      <c r="F951" t="s">
        <v>5595</v>
      </c>
    </row>
    <row r="952" spans="1:6">
      <c r="A952" t="s">
        <v>9675</v>
      </c>
      <c r="B952">
        <v>7832</v>
      </c>
      <c r="C952" t="s">
        <v>9674</v>
      </c>
      <c r="D952" t="s">
        <v>5596</v>
      </c>
      <c r="E952" t="s">
        <v>9814</v>
      </c>
      <c r="F952" t="s">
        <v>5595</v>
      </c>
    </row>
    <row r="953" spans="1:6">
      <c r="A953" t="s">
        <v>9675</v>
      </c>
      <c r="B953">
        <v>7833</v>
      </c>
      <c r="C953" t="s">
        <v>9674</v>
      </c>
      <c r="D953" t="s">
        <v>5596</v>
      </c>
      <c r="E953" t="s">
        <v>9814</v>
      </c>
      <c r="F953" t="s">
        <v>5595</v>
      </c>
    </row>
    <row r="954" spans="1:6">
      <c r="A954" t="s">
        <v>9675</v>
      </c>
      <c r="B954">
        <v>7834</v>
      </c>
      <c r="C954" t="s">
        <v>9674</v>
      </c>
      <c r="D954" t="s">
        <v>5596</v>
      </c>
      <c r="E954" t="s">
        <v>9814</v>
      </c>
      <c r="F954" t="s">
        <v>5595</v>
      </c>
    </row>
    <row r="955" spans="1:6">
      <c r="A955" t="s">
        <v>9675</v>
      </c>
      <c r="B955">
        <v>8722</v>
      </c>
      <c r="C955" t="s">
        <v>9674</v>
      </c>
      <c r="D955" t="s">
        <v>5596</v>
      </c>
      <c r="E955" t="s">
        <v>9814</v>
      </c>
      <c r="F955" t="s">
        <v>5595</v>
      </c>
    </row>
    <row r="956" spans="1:6">
      <c r="A956" t="s">
        <v>9675</v>
      </c>
      <c r="B956">
        <v>8733</v>
      </c>
      <c r="C956" t="s">
        <v>9674</v>
      </c>
      <c r="D956" t="s">
        <v>5596</v>
      </c>
      <c r="E956" t="s">
        <v>9814</v>
      </c>
      <c r="F956" t="s">
        <v>5595</v>
      </c>
    </row>
    <row r="957" spans="1:6">
      <c r="A957" t="s">
        <v>9675</v>
      </c>
      <c r="B957">
        <v>8752</v>
      </c>
      <c r="C957" t="s">
        <v>9674</v>
      </c>
      <c r="D957" t="s">
        <v>5596</v>
      </c>
      <c r="E957" t="s">
        <v>9814</v>
      </c>
      <c r="F957" t="s">
        <v>5595</v>
      </c>
    </row>
    <row r="958" spans="1:6">
      <c r="A958" t="s">
        <v>9675</v>
      </c>
      <c r="B958">
        <v>6205</v>
      </c>
      <c r="C958" t="s">
        <v>9674</v>
      </c>
      <c r="D958" t="s">
        <v>5596</v>
      </c>
      <c r="E958" t="s">
        <v>9814</v>
      </c>
      <c r="F958" t="s">
        <v>5595</v>
      </c>
    </row>
    <row r="959" spans="1:6">
      <c r="A959" t="s">
        <v>9675</v>
      </c>
      <c r="B959">
        <v>7163</v>
      </c>
      <c r="C959" t="s">
        <v>9674</v>
      </c>
      <c r="D959" t="s">
        <v>5596</v>
      </c>
      <c r="E959" t="s">
        <v>9814</v>
      </c>
      <c r="F959" t="s">
        <v>5595</v>
      </c>
    </row>
    <row r="960" spans="1:6">
      <c r="A960" t="s">
        <v>9675</v>
      </c>
      <c r="B960">
        <v>8877</v>
      </c>
      <c r="C960" t="s">
        <v>9674</v>
      </c>
      <c r="D960" t="s">
        <v>5596</v>
      </c>
      <c r="E960" t="s">
        <v>9814</v>
      </c>
      <c r="F960" t="s">
        <v>5595</v>
      </c>
    </row>
    <row r="961" spans="1:6">
      <c r="A961" t="s">
        <v>9675</v>
      </c>
      <c r="B961">
        <v>7164</v>
      </c>
      <c r="C961" t="s">
        <v>9674</v>
      </c>
      <c r="D961" t="s">
        <v>5596</v>
      </c>
      <c r="E961" t="s">
        <v>9814</v>
      </c>
      <c r="F961" t="s">
        <v>5595</v>
      </c>
    </row>
    <row r="962" spans="1:6">
      <c r="A962" t="s">
        <v>9675</v>
      </c>
      <c r="B962">
        <v>8865</v>
      </c>
      <c r="C962" t="s">
        <v>9674</v>
      </c>
      <c r="D962" t="s">
        <v>5596</v>
      </c>
      <c r="E962" t="s">
        <v>9814</v>
      </c>
      <c r="F962" t="s">
        <v>5595</v>
      </c>
    </row>
    <row r="963" spans="1:6">
      <c r="A963" t="s">
        <v>9675</v>
      </c>
      <c r="B963">
        <v>8866</v>
      </c>
      <c r="C963" t="s">
        <v>9674</v>
      </c>
      <c r="D963" t="s">
        <v>5596</v>
      </c>
      <c r="E963" t="s">
        <v>9814</v>
      </c>
      <c r="F963" t="s">
        <v>5595</v>
      </c>
    </row>
    <row r="964" spans="1:6">
      <c r="A964" t="s">
        <v>9675</v>
      </c>
      <c r="B964">
        <v>8864</v>
      </c>
      <c r="C964" t="s">
        <v>9674</v>
      </c>
      <c r="D964" t="s">
        <v>5596</v>
      </c>
      <c r="E964" t="s">
        <v>9814</v>
      </c>
      <c r="F964" t="s">
        <v>5595</v>
      </c>
    </row>
    <row r="965" spans="1:6">
      <c r="A965" t="s">
        <v>9675</v>
      </c>
      <c r="B965">
        <v>7141</v>
      </c>
      <c r="C965" t="s">
        <v>9674</v>
      </c>
      <c r="D965" t="s">
        <v>5596</v>
      </c>
      <c r="E965" t="s">
        <v>9814</v>
      </c>
      <c r="F965" t="s">
        <v>5595</v>
      </c>
    </row>
    <row r="966" spans="1:6">
      <c r="A966" t="s">
        <v>9675</v>
      </c>
      <c r="B966">
        <v>7143</v>
      </c>
      <c r="C966" t="s">
        <v>9674</v>
      </c>
      <c r="D966" t="s">
        <v>5596</v>
      </c>
      <c r="E966" t="s">
        <v>9814</v>
      </c>
      <c r="F966" t="s">
        <v>5595</v>
      </c>
    </row>
    <row r="967" spans="1:6">
      <c r="A967" t="s">
        <v>9675</v>
      </c>
      <c r="B967">
        <v>7145</v>
      </c>
      <c r="C967" t="s">
        <v>9674</v>
      </c>
      <c r="D967" t="s">
        <v>5596</v>
      </c>
      <c r="E967" t="s">
        <v>9814</v>
      </c>
      <c r="F967" t="s">
        <v>5595</v>
      </c>
    </row>
    <row r="968" spans="1:6">
      <c r="A968" t="s">
        <v>9675</v>
      </c>
      <c r="B968">
        <v>7147</v>
      </c>
      <c r="C968" t="s">
        <v>9674</v>
      </c>
      <c r="D968" t="s">
        <v>5596</v>
      </c>
      <c r="E968" t="s">
        <v>9814</v>
      </c>
      <c r="F968" t="s">
        <v>5595</v>
      </c>
    </row>
    <row r="969" spans="1:6">
      <c r="A969" t="s">
        <v>9675</v>
      </c>
      <c r="B969">
        <v>3837</v>
      </c>
      <c r="C969" t="s">
        <v>9674</v>
      </c>
      <c r="D969" t="s">
        <v>5596</v>
      </c>
      <c r="E969" t="s">
        <v>9814</v>
      </c>
      <c r="F969" t="s">
        <v>5595</v>
      </c>
    </row>
    <row r="970" spans="1:6">
      <c r="A970" t="s">
        <v>9675</v>
      </c>
      <c r="B970">
        <v>8878</v>
      </c>
      <c r="C970" t="s">
        <v>9674</v>
      </c>
      <c r="D970" t="s">
        <v>5596</v>
      </c>
      <c r="E970" t="s">
        <v>9814</v>
      </c>
      <c r="F970" t="s">
        <v>5595</v>
      </c>
    </row>
    <row r="971" spans="1:6">
      <c r="A971" t="s">
        <v>9675</v>
      </c>
      <c r="B971">
        <v>8879</v>
      </c>
      <c r="C971" t="s">
        <v>9674</v>
      </c>
      <c r="D971" t="s">
        <v>5596</v>
      </c>
      <c r="E971" t="s">
        <v>9814</v>
      </c>
      <c r="F971" t="s">
        <v>5595</v>
      </c>
    </row>
    <row r="972" spans="1:6">
      <c r="A972" t="s">
        <v>9675</v>
      </c>
      <c r="B972">
        <v>5464</v>
      </c>
      <c r="C972" t="s">
        <v>9674</v>
      </c>
      <c r="D972" t="s">
        <v>5596</v>
      </c>
      <c r="E972" t="s">
        <v>9814</v>
      </c>
      <c r="F972" t="s">
        <v>5595</v>
      </c>
    </row>
    <row r="973" spans="1:6">
      <c r="A973" t="s">
        <v>9675</v>
      </c>
      <c r="B973">
        <v>9532</v>
      </c>
      <c r="C973" t="s">
        <v>9674</v>
      </c>
      <c r="D973" t="s">
        <v>5596</v>
      </c>
      <c r="E973" t="s">
        <v>9814</v>
      </c>
      <c r="F973" t="s">
        <v>5595</v>
      </c>
    </row>
    <row r="974" spans="1:6">
      <c r="A974" t="s">
        <v>9675</v>
      </c>
      <c r="B974">
        <v>5465</v>
      </c>
      <c r="C974" t="s">
        <v>9674</v>
      </c>
      <c r="D974" t="s">
        <v>5596</v>
      </c>
      <c r="E974" t="s">
        <v>9814</v>
      </c>
      <c r="F974" t="s">
        <v>5595</v>
      </c>
    </row>
    <row r="975" spans="1:6">
      <c r="A975" t="s">
        <v>9675</v>
      </c>
      <c r="B975">
        <v>5456</v>
      </c>
      <c r="C975" t="s">
        <v>9674</v>
      </c>
      <c r="D975" t="s">
        <v>5596</v>
      </c>
      <c r="E975" t="s">
        <v>9814</v>
      </c>
      <c r="F975" t="s">
        <v>5595</v>
      </c>
    </row>
    <row r="976" spans="1:6">
      <c r="A976" t="s">
        <v>9675</v>
      </c>
      <c r="B976">
        <v>7148</v>
      </c>
      <c r="C976" t="s">
        <v>9674</v>
      </c>
      <c r="D976" t="s">
        <v>5596</v>
      </c>
      <c r="E976" t="s">
        <v>9814</v>
      </c>
      <c r="F976" t="s">
        <v>5595</v>
      </c>
    </row>
    <row r="977" spans="1:6">
      <c r="A977" t="s">
        <v>9675</v>
      </c>
      <c r="B977">
        <v>7385</v>
      </c>
      <c r="C977" t="s">
        <v>9674</v>
      </c>
      <c r="D977" t="s">
        <v>5596</v>
      </c>
      <c r="E977" t="s">
        <v>9814</v>
      </c>
      <c r="F977" t="s">
        <v>5595</v>
      </c>
    </row>
    <row r="978" spans="1:6">
      <c r="A978" t="s">
        <v>9675</v>
      </c>
      <c r="B978">
        <v>7162</v>
      </c>
      <c r="C978" t="s">
        <v>9674</v>
      </c>
      <c r="D978" t="s">
        <v>5596</v>
      </c>
      <c r="E978" t="s">
        <v>9814</v>
      </c>
      <c r="F978" t="s">
        <v>5595</v>
      </c>
    </row>
    <row r="979" spans="1:6">
      <c r="A979" t="s">
        <v>9675</v>
      </c>
      <c r="B979">
        <v>6241</v>
      </c>
      <c r="C979" t="s">
        <v>9674</v>
      </c>
      <c r="D979" t="s">
        <v>5596</v>
      </c>
      <c r="E979" t="s">
        <v>9814</v>
      </c>
      <c r="F979" t="s">
        <v>5595</v>
      </c>
    </row>
    <row r="980" spans="1:6">
      <c r="A980" t="s">
        <v>9675</v>
      </c>
      <c r="B980">
        <v>8835</v>
      </c>
      <c r="C980" t="s">
        <v>9674</v>
      </c>
      <c r="D980" t="s">
        <v>5597</v>
      </c>
      <c r="E980" t="s">
        <v>9815</v>
      </c>
      <c r="F980" t="s">
        <v>5595</v>
      </c>
    </row>
    <row r="981" spans="1:6">
      <c r="A981" t="s">
        <v>9675</v>
      </c>
      <c r="B981">
        <v>8848</v>
      </c>
      <c r="C981" t="s">
        <v>9674</v>
      </c>
      <c r="D981" t="s">
        <v>5597</v>
      </c>
      <c r="E981" t="s">
        <v>9815</v>
      </c>
      <c r="F981" t="s">
        <v>5595</v>
      </c>
    </row>
    <row r="982" spans="1:6">
      <c r="A982" t="s">
        <v>9675</v>
      </c>
      <c r="B982">
        <v>7992</v>
      </c>
      <c r="C982" t="s">
        <v>9674</v>
      </c>
      <c r="D982" t="s">
        <v>5597</v>
      </c>
      <c r="E982" t="s">
        <v>9815</v>
      </c>
      <c r="F982" t="s">
        <v>5595</v>
      </c>
    </row>
    <row r="983" spans="1:6">
      <c r="A983" t="s">
        <v>9675</v>
      </c>
      <c r="B983">
        <v>8830</v>
      </c>
      <c r="C983" t="s">
        <v>9674</v>
      </c>
      <c r="D983" t="s">
        <v>5597</v>
      </c>
      <c r="E983" t="s">
        <v>9815</v>
      </c>
      <c r="F983" t="s">
        <v>5595</v>
      </c>
    </row>
    <row r="984" spans="1:6">
      <c r="A984" t="s">
        <v>9675</v>
      </c>
      <c r="B984">
        <v>8837</v>
      </c>
      <c r="C984" t="s">
        <v>9674</v>
      </c>
      <c r="D984" t="s">
        <v>5597</v>
      </c>
      <c r="E984" t="s">
        <v>9815</v>
      </c>
      <c r="F984" t="s">
        <v>5595</v>
      </c>
    </row>
    <row r="985" spans="1:6">
      <c r="A985" t="s">
        <v>9675</v>
      </c>
      <c r="B985">
        <v>8827</v>
      </c>
      <c r="C985" t="s">
        <v>9674</v>
      </c>
      <c r="D985" t="s">
        <v>5597</v>
      </c>
      <c r="E985" t="s">
        <v>9815</v>
      </c>
      <c r="F985" t="s">
        <v>5595</v>
      </c>
    </row>
    <row r="986" spans="1:6">
      <c r="A986" t="s">
        <v>9675</v>
      </c>
      <c r="B986">
        <v>8670</v>
      </c>
      <c r="C986" t="s">
        <v>9674</v>
      </c>
      <c r="D986" t="s">
        <v>5597</v>
      </c>
      <c r="E986" t="s">
        <v>9815</v>
      </c>
      <c r="F986" t="s">
        <v>5595</v>
      </c>
    </row>
    <row r="987" spans="1:6">
      <c r="A987" t="s">
        <v>9675</v>
      </c>
      <c r="B987">
        <v>7977</v>
      </c>
      <c r="C987" t="s">
        <v>9674</v>
      </c>
      <c r="D987" t="s">
        <v>5597</v>
      </c>
      <c r="E987" t="s">
        <v>9815</v>
      </c>
      <c r="F987" t="s">
        <v>5595</v>
      </c>
    </row>
    <row r="988" spans="1:6">
      <c r="A988" t="s">
        <v>9675</v>
      </c>
      <c r="B988">
        <v>7839</v>
      </c>
      <c r="C988" t="s">
        <v>9674</v>
      </c>
      <c r="D988" t="s">
        <v>5597</v>
      </c>
      <c r="E988" t="s">
        <v>9815</v>
      </c>
      <c r="F988" t="s">
        <v>5595</v>
      </c>
    </row>
    <row r="989" spans="1:6">
      <c r="A989" t="s">
        <v>9675</v>
      </c>
      <c r="B989">
        <v>7380</v>
      </c>
      <c r="C989" t="s">
        <v>9674</v>
      </c>
      <c r="D989" t="s">
        <v>5597</v>
      </c>
      <c r="E989" t="s">
        <v>9815</v>
      </c>
      <c r="F989" t="s">
        <v>5595</v>
      </c>
    </row>
    <row r="990" spans="1:6">
      <c r="A990" t="s">
        <v>9675</v>
      </c>
      <c r="B990">
        <v>7383</v>
      </c>
      <c r="C990" t="s">
        <v>9674</v>
      </c>
      <c r="D990" t="s">
        <v>5597</v>
      </c>
      <c r="E990" t="s">
        <v>9815</v>
      </c>
      <c r="F990" t="s">
        <v>5595</v>
      </c>
    </row>
    <row r="991" spans="1:6">
      <c r="A991" t="s">
        <v>9675</v>
      </c>
      <c r="B991">
        <v>7160</v>
      </c>
      <c r="C991" t="s">
        <v>9674</v>
      </c>
      <c r="D991" t="s">
        <v>5597</v>
      </c>
      <c r="E991" t="s">
        <v>9815</v>
      </c>
      <c r="F991" t="s">
        <v>5595</v>
      </c>
    </row>
    <row r="992" spans="1:6">
      <c r="A992" t="s">
        <v>9675</v>
      </c>
      <c r="B992">
        <v>7946</v>
      </c>
      <c r="C992" t="s">
        <v>9674</v>
      </c>
      <c r="D992" t="s">
        <v>5597</v>
      </c>
      <c r="E992" t="s">
        <v>9815</v>
      </c>
      <c r="F992" t="s">
        <v>5595</v>
      </c>
    </row>
    <row r="993" spans="1:6">
      <c r="A993" t="s">
        <v>9675</v>
      </c>
      <c r="B993">
        <v>7978</v>
      </c>
      <c r="C993" t="s">
        <v>9674</v>
      </c>
      <c r="D993" t="s">
        <v>5597</v>
      </c>
      <c r="E993" t="s">
        <v>9815</v>
      </c>
      <c r="F993" t="s">
        <v>5595</v>
      </c>
    </row>
    <row r="994" spans="1:6">
      <c r="A994" t="s">
        <v>9675</v>
      </c>
      <c r="B994">
        <v>7944</v>
      </c>
      <c r="C994" t="s">
        <v>9674</v>
      </c>
      <c r="D994" t="s">
        <v>5597</v>
      </c>
      <c r="E994" t="s">
        <v>9815</v>
      </c>
      <c r="F994" t="s">
        <v>5595</v>
      </c>
    </row>
    <row r="995" spans="1:6">
      <c r="A995" t="s">
        <v>9675</v>
      </c>
      <c r="B995">
        <v>7914</v>
      </c>
      <c r="C995" t="s">
        <v>9674</v>
      </c>
      <c r="D995" t="s">
        <v>5597</v>
      </c>
      <c r="E995" t="s">
        <v>9815</v>
      </c>
      <c r="F995" t="s">
        <v>5595</v>
      </c>
    </row>
    <row r="996" spans="1:6">
      <c r="A996" t="s">
        <v>9675</v>
      </c>
      <c r="B996">
        <v>7942</v>
      </c>
      <c r="C996" t="s">
        <v>9674</v>
      </c>
      <c r="D996" t="s">
        <v>5597</v>
      </c>
      <c r="E996" t="s">
        <v>9815</v>
      </c>
      <c r="F996" t="s">
        <v>5595</v>
      </c>
    </row>
    <row r="997" spans="1:6">
      <c r="A997" t="s">
        <v>9675</v>
      </c>
      <c r="B997">
        <v>7376</v>
      </c>
      <c r="C997" t="s">
        <v>9674</v>
      </c>
      <c r="D997" t="s">
        <v>5597</v>
      </c>
      <c r="E997" t="s">
        <v>9815</v>
      </c>
      <c r="F997" t="s">
        <v>5595</v>
      </c>
    </row>
    <row r="998" spans="1:6">
      <c r="A998" t="s">
        <v>9675</v>
      </c>
      <c r="B998">
        <v>7377</v>
      </c>
      <c r="C998" t="s">
        <v>9674</v>
      </c>
      <c r="D998" t="s">
        <v>5597</v>
      </c>
      <c r="E998" t="s">
        <v>9815</v>
      </c>
      <c r="F998" t="s">
        <v>5595</v>
      </c>
    </row>
    <row r="999" spans="1:6">
      <c r="A999" t="s">
        <v>9675</v>
      </c>
      <c r="B999">
        <v>7158</v>
      </c>
      <c r="C999" t="s">
        <v>9674</v>
      </c>
      <c r="D999" t="s">
        <v>5597</v>
      </c>
      <c r="E999" t="s">
        <v>9815</v>
      </c>
      <c r="F999" t="s">
        <v>5595</v>
      </c>
    </row>
    <row r="1000" spans="1:6">
      <c r="A1000" t="s">
        <v>9675</v>
      </c>
      <c r="B1000">
        <v>7979</v>
      </c>
      <c r="C1000" t="s">
        <v>9674</v>
      </c>
      <c r="D1000" t="s">
        <v>5597</v>
      </c>
      <c r="E1000" t="s">
        <v>9815</v>
      </c>
      <c r="F1000" t="s">
        <v>5595</v>
      </c>
    </row>
    <row r="1001" spans="1:6">
      <c r="A1001" t="s">
        <v>9675</v>
      </c>
      <c r="B1001">
        <v>7947</v>
      </c>
      <c r="C1001" t="s">
        <v>9674</v>
      </c>
      <c r="D1001" t="s">
        <v>5597</v>
      </c>
      <c r="E1001" t="s">
        <v>9815</v>
      </c>
      <c r="F1001" t="s">
        <v>5595</v>
      </c>
    </row>
    <row r="1002" spans="1:6">
      <c r="A1002" t="s">
        <v>9675</v>
      </c>
      <c r="B1002">
        <v>5454</v>
      </c>
      <c r="C1002" t="s">
        <v>9674</v>
      </c>
      <c r="D1002" t="s">
        <v>5597</v>
      </c>
      <c r="E1002" t="s">
        <v>9815</v>
      </c>
      <c r="F1002" t="s">
        <v>5595</v>
      </c>
    </row>
    <row r="1003" spans="1:6">
      <c r="A1003" t="s">
        <v>9675</v>
      </c>
      <c r="B1003">
        <v>7945</v>
      </c>
      <c r="C1003" t="s">
        <v>9674</v>
      </c>
      <c r="D1003" t="s">
        <v>5597</v>
      </c>
      <c r="E1003" t="s">
        <v>9815</v>
      </c>
      <c r="F1003" t="s">
        <v>5595</v>
      </c>
    </row>
    <row r="1004" spans="1:6">
      <c r="A1004" t="s">
        <v>9675</v>
      </c>
      <c r="B1004">
        <v>7949</v>
      </c>
      <c r="C1004" t="s">
        <v>9674</v>
      </c>
      <c r="D1004" t="s">
        <v>5597</v>
      </c>
      <c r="E1004" t="s">
        <v>9815</v>
      </c>
      <c r="F1004" t="s">
        <v>5595</v>
      </c>
    </row>
    <row r="1005" spans="1:6">
      <c r="A1005" t="s">
        <v>9675</v>
      </c>
      <c r="B1005">
        <v>5460</v>
      </c>
      <c r="C1005" t="s">
        <v>9674</v>
      </c>
      <c r="D1005" t="s">
        <v>5597</v>
      </c>
      <c r="E1005" t="s">
        <v>9815</v>
      </c>
      <c r="F1005" t="s">
        <v>5595</v>
      </c>
    </row>
    <row r="1006" spans="1:6">
      <c r="A1006" t="s">
        <v>9675</v>
      </c>
      <c r="B1006">
        <v>5466</v>
      </c>
      <c r="C1006" t="s">
        <v>9674</v>
      </c>
      <c r="D1006" t="s">
        <v>5597</v>
      </c>
      <c r="E1006" t="s">
        <v>9815</v>
      </c>
      <c r="F1006" t="s">
        <v>5595</v>
      </c>
    </row>
    <row r="1007" spans="1:6">
      <c r="A1007" t="s">
        <v>9675</v>
      </c>
      <c r="B1007">
        <v>7915</v>
      </c>
      <c r="C1007" t="s">
        <v>9674</v>
      </c>
      <c r="D1007" t="s">
        <v>5597</v>
      </c>
      <c r="E1007" t="s">
        <v>9815</v>
      </c>
      <c r="F1007" t="s">
        <v>5595</v>
      </c>
    </row>
    <row r="1008" spans="1:6">
      <c r="A1008" t="s">
        <v>9675</v>
      </c>
      <c r="B1008">
        <v>7980</v>
      </c>
      <c r="C1008" t="s">
        <v>9674</v>
      </c>
      <c r="D1008" t="s">
        <v>5597</v>
      </c>
      <c r="E1008" t="s">
        <v>9815</v>
      </c>
      <c r="F1008" t="s">
        <v>5595</v>
      </c>
    </row>
    <row r="1009" spans="1:6">
      <c r="A1009" t="s">
        <v>9675</v>
      </c>
      <c r="B1009">
        <v>6630</v>
      </c>
      <c r="C1009" t="s">
        <v>9674</v>
      </c>
      <c r="D1009" t="s">
        <v>5597</v>
      </c>
      <c r="E1009" t="s">
        <v>9815</v>
      </c>
      <c r="F1009" t="s">
        <v>5595</v>
      </c>
    </row>
    <row r="1010" spans="1:6">
      <c r="A1010" t="s">
        <v>9675</v>
      </c>
      <c r="B1010">
        <v>7943</v>
      </c>
      <c r="C1010" t="s">
        <v>9674</v>
      </c>
      <c r="D1010" t="s">
        <v>5597</v>
      </c>
      <c r="E1010" t="s">
        <v>9815</v>
      </c>
      <c r="F1010" t="s">
        <v>5595</v>
      </c>
    </row>
    <row r="1011" spans="1:6">
      <c r="A1011" t="s">
        <v>9675</v>
      </c>
      <c r="B1011">
        <v>7985</v>
      </c>
      <c r="C1011" t="s">
        <v>9674</v>
      </c>
      <c r="D1011" t="s">
        <v>5597</v>
      </c>
      <c r="E1011" t="s">
        <v>9815</v>
      </c>
      <c r="F1011" t="s">
        <v>5595</v>
      </c>
    </row>
    <row r="1012" spans="1:6">
      <c r="A1012" t="s">
        <v>9675</v>
      </c>
      <c r="B1012">
        <v>5462</v>
      </c>
      <c r="C1012" t="s">
        <v>9674</v>
      </c>
      <c r="D1012" t="s">
        <v>5597</v>
      </c>
      <c r="E1012" t="s">
        <v>9815</v>
      </c>
      <c r="F1012" t="s">
        <v>5595</v>
      </c>
    </row>
    <row r="1013" spans="1:6">
      <c r="A1013" t="s">
        <v>9675</v>
      </c>
      <c r="B1013">
        <v>5463</v>
      </c>
      <c r="C1013" t="s">
        <v>9674</v>
      </c>
      <c r="D1013" t="s">
        <v>5597</v>
      </c>
      <c r="E1013" t="s">
        <v>9815</v>
      </c>
      <c r="F1013" t="s">
        <v>5595</v>
      </c>
    </row>
    <row r="1014" spans="1:6">
      <c r="A1014" t="s">
        <v>9675</v>
      </c>
      <c r="B1014">
        <v>9307</v>
      </c>
      <c r="C1014" t="s">
        <v>9674</v>
      </c>
      <c r="D1014" t="s">
        <v>5597</v>
      </c>
      <c r="E1014" t="s">
        <v>9815</v>
      </c>
      <c r="F1014" t="s">
        <v>5595</v>
      </c>
    </row>
    <row r="1015" spans="1:6">
      <c r="A1015" t="s">
        <v>9675</v>
      </c>
      <c r="B1015">
        <v>9306</v>
      </c>
      <c r="C1015" t="s">
        <v>9674</v>
      </c>
      <c r="D1015" t="s">
        <v>5597</v>
      </c>
      <c r="E1015" t="s">
        <v>9815</v>
      </c>
      <c r="F1015" t="s">
        <v>5595</v>
      </c>
    </row>
    <row r="1016" spans="1:6">
      <c r="A1016" t="s">
        <v>9675</v>
      </c>
      <c r="B1016">
        <v>8655</v>
      </c>
      <c r="C1016" t="s">
        <v>9674</v>
      </c>
      <c r="D1016" t="s">
        <v>5598</v>
      </c>
      <c r="E1016" t="s">
        <v>9816</v>
      </c>
      <c r="F1016" t="s">
        <v>5595</v>
      </c>
    </row>
    <row r="1017" spans="1:6">
      <c r="A1017" t="s">
        <v>9675</v>
      </c>
      <c r="B1017">
        <v>8836</v>
      </c>
      <c r="C1017" t="s">
        <v>9674</v>
      </c>
      <c r="D1017" t="s">
        <v>5598</v>
      </c>
      <c r="E1017" t="s">
        <v>9816</v>
      </c>
      <c r="F1017" t="s">
        <v>5595</v>
      </c>
    </row>
    <row r="1018" spans="1:6">
      <c r="A1018" t="s">
        <v>9675</v>
      </c>
      <c r="B1018">
        <v>8486</v>
      </c>
      <c r="C1018" t="s">
        <v>9674</v>
      </c>
      <c r="D1018" t="s">
        <v>5598</v>
      </c>
      <c r="E1018" t="s">
        <v>9816</v>
      </c>
      <c r="F1018" t="s">
        <v>5595</v>
      </c>
    </row>
    <row r="1019" spans="1:6">
      <c r="A1019" t="s">
        <v>9675</v>
      </c>
      <c r="B1019">
        <v>8478</v>
      </c>
      <c r="C1019" t="s">
        <v>9674</v>
      </c>
      <c r="D1019" t="s">
        <v>5598</v>
      </c>
      <c r="E1019" t="s">
        <v>9816</v>
      </c>
      <c r="F1019" t="s">
        <v>5595</v>
      </c>
    </row>
    <row r="1020" spans="1:6">
      <c r="A1020" t="s">
        <v>9675</v>
      </c>
      <c r="B1020">
        <v>8479</v>
      </c>
      <c r="C1020" t="s">
        <v>9674</v>
      </c>
      <c r="D1020" t="s">
        <v>5598</v>
      </c>
      <c r="E1020" t="s">
        <v>9816</v>
      </c>
      <c r="F1020" t="s">
        <v>5595</v>
      </c>
    </row>
    <row r="1021" spans="1:6">
      <c r="A1021" t="s">
        <v>9675</v>
      </c>
      <c r="B1021">
        <v>8480</v>
      </c>
      <c r="C1021" t="s">
        <v>9674</v>
      </c>
      <c r="D1021" t="s">
        <v>5598</v>
      </c>
      <c r="E1021" t="s">
        <v>9816</v>
      </c>
      <c r="F1021" t="s">
        <v>5595</v>
      </c>
    </row>
    <row r="1022" spans="1:6">
      <c r="A1022" t="s">
        <v>9675</v>
      </c>
      <c r="B1022">
        <v>8482</v>
      </c>
      <c r="C1022" t="s">
        <v>9674</v>
      </c>
      <c r="D1022" t="s">
        <v>5598</v>
      </c>
      <c r="E1022" t="s">
        <v>9816</v>
      </c>
      <c r="F1022" t="s">
        <v>5595</v>
      </c>
    </row>
    <row r="1023" spans="1:6">
      <c r="A1023" t="s">
        <v>9675</v>
      </c>
      <c r="B1023">
        <v>8487</v>
      </c>
      <c r="C1023" t="s">
        <v>9674</v>
      </c>
      <c r="D1023" t="s">
        <v>5598</v>
      </c>
      <c r="E1023" t="s">
        <v>9816</v>
      </c>
      <c r="F1023" t="s">
        <v>5595</v>
      </c>
    </row>
    <row r="1024" spans="1:6">
      <c r="A1024" t="s">
        <v>9675</v>
      </c>
      <c r="B1024">
        <v>8485</v>
      </c>
      <c r="C1024" t="s">
        <v>9674</v>
      </c>
      <c r="D1024" t="s">
        <v>5598</v>
      </c>
      <c r="E1024" t="s">
        <v>9816</v>
      </c>
      <c r="F1024" t="s">
        <v>5595</v>
      </c>
    </row>
    <row r="1025" spans="1:6">
      <c r="A1025" t="s">
        <v>9675</v>
      </c>
      <c r="B1025">
        <v>8490</v>
      </c>
      <c r="C1025" t="s">
        <v>9674</v>
      </c>
      <c r="D1025" t="s">
        <v>5598</v>
      </c>
      <c r="E1025" t="s">
        <v>9816</v>
      </c>
      <c r="F1025" t="s">
        <v>5595</v>
      </c>
    </row>
    <row r="1026" spans="1:6">
      <c r="A1026" t="s">
        <v>9675</v>
      </c>
      <c r="B1026">
        <v>8645</v>
      </c>
      <c r="C1026" t="s">
        <v>9674</v>
      </c>
      <c r="D1026" t="s">
        <v>5598</v>
      </c>
      <c r="E1026" t="s">
        <v>9816</v>
      </c>
      <c r="F1026" t="s">
        <v>5595</v>
      </c>
    </row>
    <row r="1027" spans="1:6">
      <c r="A1027" t="s">
        <v>9675</v>
      </c>
      <c r="B1027">
        <v>8646</v>
      </c>
      <c r="C1027" t="s">
        <v>9674</v>
      </c>
      <c r="D1027" t="s">
        <v>5598</v>
      </c>
      <c r="E1027" t="s">
        <v>9816</v>
      </c>
      <c r="F1027" t="s">
        <v>5595</v>
      </c>
    </row>
    <row r="1028" spans="1:6">
      <c r="A1028" t="s">
        <v>9675</v>
      </c>
      <c r="B1028">
        <v>8647</v>
      </c>
      <c r="C1028" t="s">
        <v>9674</v>
      </c>
      <c r="D1028" t="s">
        <v>5598</v>
      </c>
      <c r="E1028" t="s">
        <v>9816</v>
      </c>
      <c r="F1028" t="s">
        <v>5595</v>
      </c>
    </row>
    <row r="1029" spans="1:6">
      <c r="A1029" t="s">
        <v>9675</v>
      </c>
      <c r="B1029">
        <v>8649</v>
      </c>
      <c r="C1029" t="s">
        <v>9674</v>
      </c>
      <c r="D1029" t="s">
        <v>5598</v>
      </c>
      <c r="E1029" t="s">
        <v>9816</v>
      </c>
      <c r="F1029" t="s">
        <v>5595</v>
      </c>
    </row>
    <row r="1030" spans="1:6">
      <c r="A1030" t="s">
        <v>9675</v>
      </c>
      <c r="B1030">
        <v>8488</v>
      </c>
      <c r="C1030" t="s">
        <v>9674</v>
      </c>
      <c r="D1030" t="s">
        <v>5598</v>
      </c>
      <c r="E1030" t="s">
        <v>9816</v>
      </c>
      <c r="F1030" t="s">
        <v>5595</v>
      </c>
    </row>
    <row r="1031" spans="1:6">
      <c r="A1031" t="s">
        <v>9675</v>
      </c>
      <c r="B1031">
        <v>8648</v>
      </c>
      <c r="C1031" t="s">
        <v>9674</v>
      </c>
      <c r="D1031" t="s">
        <v>5598</v>
      </c>
      <c r="E1031" t="s">
        <v>9816</v>
      </c>
      <c r="F1031" t="s">
        <v>5595</v>
      </c>
    </row>
    <row r="1032" spans="1:6">
      <c r="A1032" t="s">
        <v>9675</v>
      </c>
      <c r="B1032">
        <v>8671</v>
      </c>
      <c r="C1032" t="s">
        <v>9674</v>
      </c>
      <c r="D1032" t="s">
        <v>5598</v>
      </c>
      <c r="E1032" t="s">
        <v>9816</v>
      </c>
      <c r="F1032" t="s">
        <v>5595</v>
      </c>
    </row>
    <row r="1033" spans="1:6">
      <c r="A1033" t="s">
        <v>9675</v>
      </c>
      <c r="B1033">
        <v>8841</v>
      </c>
      <c r="C1033" t="s">
        <v>9674</v>
      </c>
      <c r="D1033" t="s">
        <v>5598</v>
      </c>
      <c r="E1033" t="s">
        <v>9816</v>
      </c>
      <c r="F1033" t="s">
        <v>5595</v>
      </c>
    </row>
    <row r="1034" spans="1:6">
      <c r="A1034" t="s">
        <v>9675</v>
      </c>
      <c r="B1034">
        <v>8672</v>
      </c>
      <c r="C1034" t="s">
        <v>9674</v>
      </c>
      <c r="D1034" t="s">
        <v>5598</v>
      </c>
      <c r="E1034" t="s">
        <v>9816</v>
      </c>
      <c r="F1034" t="s">
        <v>5595</v>
      </c>
    </row>
    <row r="1035" spans="1:6">
      <c r="A1035" t="s">
        <v>9675</v>
      </c>
      <c r="B1035">
        <v>8673</v>
      </c>
      <c r="C1035" t="s">
        <v>9674</v>
      </c>
      <c r="D1035" t="s">
        <v>5598</v>
      </c>
      <c r="E1035" t="s">
        <v>9816</v>
      </c>
      <c r="F1035" t="s">
        <v>5595</v>
      </c>
    </row>
    <row r="1036" spans="1:6">
      <c r="A1036" t="s">
        <v>9675</v>
      </c>
      <c r="B1036">
        <v>8489</v>
      </c>
      <c r="C1036" t="s">
        <v>9674</v>
      </c>
      <c r="D1036" t="s">
        <v>5598</v>
      </c>
      <c r="E1036" t="s">
        <v>9816</v>
      </c>
      <c r="F1036" t="s">
        <v>5595</v>
      </c>
    </row>
    <row r="1037" spans="1:6">
      <c r="A1037" t="s">
        <v>9675</v>
      </c>
      <c r="B1037">
        <v>8491</v>
      </c>
      <c r="C1037" t="s">
        <v>9674</v>
      </c>
      <c r="D1037" t="s">
        <v>5598</v>
      </c>
      <c r="E1037" t="s">
        <v>9816</v>
      </c>
      <c r="F1037" t="s">
        <v>5595</v>
      </c>
    </row>
    <row r="1038" spans="1:6">
      <c r="A1038" t="s">
        <v>9675</v>
      </c>
      <c r="B1038">
        <v>8849</v>
      </c>
      <c r="C1038" t="s">
        <v>9674</v>
      </c>
      <c r="D1038" t="s">
        <v>5598</v>
      </c>
      <c r="E1038" t="s">
        <v>9816</v>
      </c>
      <c r="F1038" t="s">
        <v>5595</v>
      </c>
    </row>
    <row r="1039" spans="1:6">
      <c r="A1039" t="s">
        <v>9675</v>
      </c>
      <c r="B1039">
        <v>7969</v>
      </c>
      <c r="C1039" t="s">
        <v>9674</v>
      </c>
      <c r="D1039" t="s">
        <v>5598</v>
      </c>
      <c r="E1039" t="s">
        <v>9816</v>
      </c>
      <c r="F1039" t="s">
        <v>5595</v>
      </c>
    </row>
    <row r="1040" spans="1:6">
      <c r="A1040" t="s">
        <v>9675</v>
      </c>
      <c r="B1040">
        <v>8654</v>
      </c>
      <c r="C1040" t="s">
        <v>9674</v>
      </c>
      <c r="D1040" t="s">
        <v>5598</v>
      </c>
      <c r="E1040" t="s">
        <v>9816</v>
      </c>
      <c r="F1040" t="s">
        <v>5595</v>
      </c>
    </row>
    <row r="1041" spans="1:6">
      <c r="A1041" t="s">
        <v>9675</v>
      </c>
      <c r="B1041">
        <v>8675</v>
      </c>
      <c r="C1041" t="s">
        <v>9674</v>
      </c>
      <c r="D1041" t="s">
        <v>5598</v>
      </c>
      <c r="E1041" t="s">
        <v>9816</v>
      </c>
      <c r="F1041" t="s">
        <v>5595</v>
      </c>
    </row>
    <row r="1042" spans="1:6">
      <c r="A1042" t="s">
        <v>9675</v>
      </c>
      <c r="B1042">
        <v>8847</v>
      </c>
      <c r="C1042" t="s">
        <v>9674</v>
      </c>
      <c r="D1042" t="s">
        <v>5598</v>
      </c>
      <c r="E1042" t="s">
        <v>9816</v>
      </c>
      <c r="F1042" t="s">
        <v>5595</v>
      </c>
    </row>
    <row r="1043" spans="1:6">
      <c r="A1043" t="s">
        <v>9675</v>
      </c>
      <c r="B1043">
        <v>8840</v>
      </c>
      <c r="C1043" t="s">
        <v>9674</v>
      </c>
      <c r="D1043" t="s">
        <v>5598</v>
      </c>
      <c r="E1043" t="s">
        <v>9816</v>
      </c>
      <c r="F1043" t="s">
        <v>5595</v>
      </c>
    </row>
    <row r="1044" spans="1:6">
      <c r="A1044" t="s">
        <v>9675</v>
      </c>
      <c r="B1044">
        <v>8834</v>
      </c>
      <c r="C1044" t="s">
        <v>9674</v>
      </c>
      <c r="D1044" t="s">
        <v>5598</v>
      </c>
      <c r="E1044" t="s">
        <v>9816</v>
      </c>
      <c r="F1044" t="s">
        <v>5595</v>
      </c>
    </row>
    <row r="1045" spans="1:6">
      <c r="A1045" t="s">
        <v>9675</v>
      </c>
      <c r="B1045">
        <v>4347</v>
      </c>
      <c r="C1045" t="s">
        <v>9674</v>
      </c>
      <c r="D1045" t="s">
        <v>5598</v>
      </c>
      <c r="E1045" t="s">
        <v>9816</v>
      </c>
      <c r="F1045" t="s">
        <v>5595</v>
      </c>
    </row>
    <row r="1046" spans="1:6">
      <c r="A1046" t="s">
        <v>9675</v>
      </c>
      <c r="B1046">
        <v>4362</v>
      </c>
      <c r="C1046" t="s">
        <v>9674</v>
      </c>
      <c r="D1046" t="s">
        <v>5598</v>
      </c>
      <c r="E1046" t="s">
        <v>9816</v>
      </c>
      <c r="F1046" t="s">
        <v>5595</v>
      </c>
    </row>
    <row r="1047" spans="1:6">
      <c r="A1047" t="s">
        <v>9675</v>
      </c>
      <c r="B1047">
        <v>4363</v>
      </c>
      <c r="C1047" t="s">
        <v>9674</v>
      </c>
      <c r="D1047" t="s">
        <v>5598</v>
      </c>
      <c r="E1047" t="s">
        <v>9816</v>
      </c>
      <c r="F1047" t="s">
        <v>5595</v>
      </c>
    </row>
    <row r="1048" spans="1:6">
      <c r="A1048" t="s">
        <v>9675</v>
      </c>
      <c r="B1048">
        <v>4367</v>
      </c>
      <c r="C1048" t="s">
        <v>9674</v>
      </c>
      <c r="D1048" t="s">
        <v>5598</v>
      </c>
      <c r="E1048" t="s">
        <v>9816</v>
      </c>
      <c r="F1048" t="s">
        <v>5595</v>
      </c>
    </row>
    <row r="1049" spans="1:6">
      <c r="A1049" t="s">
        <v>9675</v>
      </c>
      <c r="B1049">
        <v>4368</v>
      </c>
      <c r="C1049" t="s">
        <v>9674</v>
      </c>
      <c r="D1049" t="s">
        <v>5598</v>
      </c>
      <c r="E1049" t="s">
        <v>9816</v>
      </c>
      <c r="F1049" t="s">
        <v>5595</v>
      </c>
    </row>
    <row r="1050" spans="1:6">
      <c r="A1050" t="s">
        <v>9675</v>
      </c>
      <c r="B1050">
        <v>7327</v>
      </c>
      <c r="C1050" t="s">
        <v>9674</v>
      </c>
      <c r="D1050" t="s">
        <v>5598</v>
      </c>
      <c r="E1050" t="s">
        <v>9816</v>
      </c>
      <c r="F1050" t="s">
        <v>5595</v>
      </c>
    </row>
    <row r="1051" spans="1:6">
      <c r="A1051" t="s">
        <v>9675</v>
      </c>
      <c r="B1051">
        <v>7328</v>
      </c>
      <c r="C1051" t="s">
        <v>9674</v>
      </c>
      <c r="D1051" t="s">
        <v>5598</v>
      </c>
      <c r="E1051" t="s">
        <v>9816</v>
      </c>
      <c r="F1051" t="s">
        <v>5595</v>
      </c>
    </row>
    <row r="1052" spans="1:6">
      <c r="A1052" t="s">
        <v>9675</v>
      </c>
      <c r="B1052">
        <v>4365</v>
      </c>
      <c r="C1052" t="s">
        <v>9674</v>
      </c>
      <c r="D1052" t="s">
        <v>5598</v>
      </c>
      <c r="E1052" t="s">
        <v>9816</v>
      </c>
      <c r="F1052" t="s">
        <v>5595</v>
      </c>
    </row>
    <row r="1053" spans="1:6">
      <c r="A1053" t="s">
        <v>9675</v>
      </c>
      <c r="B1053">
        <v>4364</v>
      </c>
      <c r="C1053" t="s">
        <v>9674</v>
      </c>
      <c r="D1053" t="s">
        <v>5598</v>
      </c>
      <c r="E1053" t="s">
        <v>9816</v>
      </c>
      <c r="F1053" t="s">
        <v>5595</v>
      </c>
    </row>
    <row r="1054" spans="1:6">
      <c r="A1054" t="s">
        <v>9675</v>
      </c>
      <c r="B1054">
        <v>4194</v>
      </c>
      <c r="C1054" t="s">
        <v>9674</v>
      </c>
      <c r="D1054" t="s">
        <v>5598</v>
      </c>
      <c r="E1054" t="s">
        <v>9816</v>
      </c>
      <c r="F1054" t="s">
        <v>5595</v>
      </c>
    </row>
    <row r="1055" spans="1:6">
      <c r="A1055" t="s">
        <v>9675</v>
      </c>
      <c r="B1055">
        <v>4190</v>
      </c>
      <c r="C1055" t="s">
        <v>9674</v>
      </c>
      <c r="D1055" t="s">
        <v>5598</v>
      </c>
      <c r="E1055" t="s">
        <v>9816</v>
      </c>
      <c r="F1055" t="s">
        <v>5595</v>
      </c>
    </row>
    <row r="1056" spans="1:6">
      <c r="A1056" t="s">
        <v>9675</v>
      </c>
      <c r="B1056">
        <v>4251</v>
      </c>
      <c r="C1056" t="s">
        <v>9674</v>
      </c>
      <c r="D1056" t="s">
        <v>5598</v>
      </c>
      <c r="E1056" t="s">
        <v>9816</v>
      </c>
      <c r="F1056" t="s">
        <v>5595</v>
      </c>
    </row>
    <row r="1057" spans="1:6">
      <c r="A1057" t="s">
        <v>9675</v>
      </c>
      <c r="B1057">
        <v>4252</v>
      </c>
      <c r="C1057" t="s">
        <v>9674</v>
      </c>
      <c r="D1057" t="s">
        <v>5598</v>
      </c>
      <c r="E1057" t="s">
        <v>9816</v>
      </c>
      <c r="F1057" t="s">
        <v>5595</v>
      </c>
    </row>
    <row r="1058" spans="1:6">
      <c r="A1058" t="s">
        <v>9675</v>
      </c>
      <c r="B1058">
        <v>2583</v>
      </c>
      <c r="C1058" t="s">
        <v>9674</v>
      </c>
      <c r="D1058" t="s">
        <v>5598</v>
      </c>
      <c r="E1058" t="s">
        <v>9816</v>
      </c>
      <c r="F1058" t="s">
        <v>5595</v>
      </c>
    </row>
    <row r="1059" spans="1:6">
      <c r="A1059" t="s">
        <v>9675</v>
      </c>
      <c r="B1059">
        <v>5458</v>
      </c>
      <c r="C1059" t="s">
        <v>9674</v>
      </c>
      <c r="D1059" t="s">
        <v>5598</v>
      </c>
      <c r="E1059" t="s">
        <v>9816</v>
      </c>
      <c r="F1059" t="s">
        <v>5595</v>
      </c>
    </row>
    <row r="1060" spans="1:6">
      <c r="A1060" t="s">
        <v>9675</v>
      </c>
      <c r="B1060">
        <v>7382</v>
      </c>
      <c r="C1060" t="s">
        <v>9674</v>
      </c>
      <c r="D1060" t="s">
        <v>5598</v>
      </c>
      <c r="E1060" t="s">
        <v>9816</v>
      </c>
      <c r="F1060" t="s">
        <v>5595</v>
      </c>
    </row>
    <row r="1061" spans="1:6">
      <c r="A1061" t="s">
        <v>9675</v>
      </c>
      <c r="B1061">
        <v>4192</v>
      </c>
      <c r="C1061" t="s">
        <v>9674</v>
      </c>
      <c r="D1061" t="s">
        <v>5598</v>
      </c>
      <c r="E1061" t="s">
        <v>9816</v>
      </c>
      <c r="F1061" t="s">
        <v>5595</v>
      </c>
    </row>
    <row r="1062" spans="1:6">
      <c r="A1062" t="s">
        <v>9675</v>
      </c>
      <c r="B1062">
        <v>4193</v>
      </c>
      <c r="C1062" t="s">
        <v>9674</v>
      </c>
      <c r="D1062" t="s">
        <v>5598</v>
      </c>
      <c r="E1062" t="s">
        <v>9816</v>
      </c>
      <c r="F1062" t="s">
        <v>5595</v>
      </c>
    </row>
    <row r="1063" spans="1:6">
      <c r="A1063" t="s">
        <v>9675</v>
      </c>
      <c r="B1063">
        <v>7973</v>
      </c>
      <c r="C1063" t="s">
        <v>9674</v>
      </c>
      <c r="D1063" t="s">
        <v>5598</v>
      </c>
      <c r="E1063" t="s">
        <v>9816</v>
      </c>
      <c r="F1063" t="s">
        <v>5595</v>
      </c>
    </row>
    <row r="1064" spans="1:6">
      <c r="A1064" t="s">
        <v>9675</v>
      </c>
      <c r="B1064">
        <v>7975</v>
      </c>
      <c r="C1064" t="s">
        <v>9674</v>
      </c>
      <c r="D1064" t="s">
        <v>5598</v>
      </c>
      <c r="E1064" t="s">
        <v>9816</v>
      </c>
      <c r="F1064" t="s">
        <v>5595</v>
      </c>
    </row>
    <row r="1065" spans="1:6">
      <c r="A1065" t="s">
        <v>9675</v>
      </c>
      <c r="B1065">
        <v>7974</v>
      </c>
      <c r="C1065" t="s">
        <v>9674</v>
      </c>
      <c r="D1065" t="s">
        <v>5598</v>
      </c>
      <c r="E1065" t="s">
        <v>9816</v>
      </c>
      <c r="F1065" t="s">
        <v>5595</v>
      </c>
    </row>
    <row r="1066" spans="1:6">
      <c r="A1066" t="s">
        <v>9675</v>
      </c>
      <c r="B1066">
        <v>7976</v>
      </c>
      <c r="C1066" t="s">
        <v>9674</v>
      </c>
      <c r="D1066" t="s">
        <v>5598</v>
      </c>
      <c r="E1066" t="s">
        <v>9816</v>
      </c>
      <c r="F1066" t="s">
        <v>5595</v>
      </c>
    </row>
    <row r="1067" spans="1:6">
      <c r="A1067" t="s">
        <v>9675</v>
      </c>
      <c r="B1067">
        <v>7836</v>
      </c>
      <c r="C1067" t="s">
        <v>9674</v>
      </c>
      <c r="D1067" t="s">
        <v>5598</v>
      </c>
      <c r="E1067" t="s">
        <v>9816</v>
      </c>
      <c r="F1067" t="s">
        <v>5595</v>
      </c>
    </row>
    <row r="1068" spans="1:6">
      <c r="A1068" t="s">
        <v>9675</v>
      </c>
      <c r="B1068">
        <v>7837</v>
      </c>
      <c r="C1068" t="s">
        <v>9674</v>
      </c>
      <c r="D1068" t="s">
        <v>5598</v>
      </c>
      <c r="E1068" t="s">
        <v>9816</v>
      </c>
      <c r="F1068" t="s">
        <v>5595</v>
      </c>
    </row>
    <row r="1069" spans="1:6">
      <c r="A1069" t="s">
        <v>9675</v>
      </c>
      <c r="B1069">
        <v>7379</v>
      </c>
      <c r="C1069" t="s">
        <v>9674</v>
      </c>
      <c r="D1069" t="s">
        <v>5598</v>
      </c>
      <c r="E1069" t="s">
        <v>9816</v>
      </c>
      <c r="F1069" t="s">
        <v>5595</v>
      </c>
    </row>
    <row r="1070" spans="1:6">
      <c r="A1070" t="s">
        <v>9675</v>
      </c>
      <c r="B1070">
        <v>7378</v>
      </c>
      <c r="C1070" t="s">
        <v>9674</v>
      </c>
      <c r="D1070" t="s">
        <v>5598</v>
      </c>
      <c r="E1070" t="s">
        <v>9816</v>
      </c>
      <c r="F1070" t="s">
        <v>5595</v>
      </c>
    </row>
    <row r="1071" spans="1:6">
      <c r="A1071" t="s">
        <v>9675</v>
      </c>
      <c r="B1071">
        <v>7948</v>
      </c>
      <c r="C1071" t="s">
        <v>9674</v>
      </c>
      <c r="D1071" t="s">
        <v>5598</v>
      </c>
      <c r="E1071" t="s">
        <v>9816</v>
      </c>
      <c r="F1071" t="s">
        <v>5595</v>
      </c>
    </row>
    <row r="1072" spans="1:6">
      <c r="A1072" t="s">
        <v>9675</v>
      </c>
      <c r="B1072">
        <v>7940</v>
      </c>
      <c r="C1072" t="s">
        <v>9674</v>
      </c>
      <c r="D1072" t="s">
        <v>5598</v>
      </c>
      <c r="E1072" t="s">
        <v>9816</v>
      </c>
      <c r="F1072" t="s">
        <v>5595</v>
      </c>
    </row>
    <row r="1073" spans="1:6">
      <c r="A1073" t="s">
        <v>9675</v>
      </c>
      <c r="B1073">
        <v>7941</v>
      </c>
      <c r="C1073" t="s">
        <v>9674</v>
      </c>
      <c r="D1073" t="s">
        <v>5598</v>
      </c>
      <c r="E1073" t="s">
        <v>9816</v>
      </c>
      <c r="F1073" t="s">
        <v>5595</v>
      </c>
    </row>
    <row r="1074" spans="1:6">
      <c r="A1074" t="s">
        <v>9675</v>
      </c>
      <c r="B1074">
        <v>7984</v>
      </c>
      <c r="C1074" t="s">
        <v>9674</v>
      </c>
      <c r="D1074" t="s">
        <v>5598</v>
      </c>
      <c r="E1074" t="s">
        <v>9816</v>
      </c>
      <c r="F1074" t="s">
        <v>5595</v>
      </c>
    </row>
    <row r="1075" spans="1:6">
      <c r="A1075" t="s">
        <v>9675</v>
      </c>
      <c r="B1075">
        <v>1911</v>
      </c>
      <c r="C1075" t="s">
        <v>9674</v>
      </c>
      <c r="D1075" t="s">
        <v>5594</v>
      </c>
      <c r="E1075" t="s">
        <v>9813</v>
      </c>
      <c r="F1075" t="s">
        <v>5595</v>
      </c>
    </row>
    <row r="1076" spans="1:6">
      <c r="A1076" t="s">
        <v>9675</v>
      </c>
      <c r="B1076">
        <v>7809</v>
      </c>
      <c r="C1076" t="s">
        <v>9674</v>
      </c>
      <c r="D1076" t="s">
        <v>5594</v>
      </c>
      <c r="E1076" t="s">
        <v>9813</v>
      </c>
      <c r="F1076" t="s">
        <v>5595</v>
      </c>
    </row>
    <row r="1077" spans="1:6">
      <c r="A1077" t="s">
        <v>9675</v>
      </c>
      <c r="B1077">
        <v>7870</v>
      </c>
      <c r="C1077" t="s">
        <v>9674</v>
      </c>
      <c r="D1077" t="s">
        <v>5594</v>
      </c>
      <c r="E1077" t="s">
        <v>9813</v>
      </c>
      <c r="F1077" t="s">
        <v>5595</v>
      </c>
    </row>
    <row r="1078" spans="1:6">
      <c r="A1078" t="s">
        <v>9675</v>
      </c>
      <c r="B1078">
        <v>7871</v>
      </c>
      <c r="C1078" t="s">
        <v>9674</v>
      </c>
      <c r="D1078" t="s">
        <v>5594</v>
      </c>
      <c r="E1078" t="s">
        <v>9813</v>
      </c>
      <c r="F1078" t="s">
        <v>5595</v>
      </c>
    </row>
    <row r="1079" spans="1:6">
      <c r="A1079" t="s">
        <v>9675</v>
      </c>
      <c r="B1079">
        <v>7872</v>
      </c>
      <c r="C1079" t="s">
        <v>9674</v>
      </c>
      <c r="D1079" t="s">
        <v>5594</v>
      </c>
      <c r="E1079" t="s">
        <v>9813</v>
      </c>
      <c r="F1079" t="s">
        <v>5595</v>
      </c>
    </row>
    <row r="1080" spans="1:6">
      <c r="A1080" t="s">
        <v>9675</v>
      </c>
      <c r="B1080">
        <v>7873</v>
      </c>
      <c r="C1080" t="s">
        <v>9674</v>
      </c>
      <c r="D1080" t="s">
        <v>5594</v>
      </c>
      <c r="E1080" t="s">
        <v>9813</v>
      </c>
      <c r="F1080" t="s">
        <v>5595</v>
      </c>
    </row>
    <row r="1081" spans="1:6">
      <c r="A1081" t="s">
        <v>9675</v>
      </c>
      <c r="B1081">
        <v>7875</v>
      </c>
      <c r="C1081" t="s">
        <v>9674</v>
      </c>
      <c r="D1081" t="s">
        <v>5594</v>
      </c>
      <c r="E1081" t="s">
        <v>9813</v>
      </c>
      <c r="F1081" t="s">
        <v>5595</v>
      </c>
    </row>
    <row r="1082" spans="1:6">
      <c r="A1082" t="s">
        <v>9675</v>
      </c>
      <c r="B1082">
        <v>7901</v>
      </c>
      <c r="C1082" t="s">
        <v>9674</v>
      </c>
      <c r="D1082" t="s">
        <v>5594</v>
      </c>
      <c r="E1082" t="s">
        <v>9813</v>
      </c>
      <c r="F1082" t="s">
        <v>5595</v>
      </c>
    </row>
    <row r="1083" spans="1:6">
      <c r="A1083" t="s">
        <v>9675</v>
      </c>
      <c r="B1083">
        <v>7902</v>
      </c>
      <c r="C1083" t="s">
        <v>9674</v>
      </c>
      <c r="D1083" t="s">
        <v>5594</v>
      </c>
      <c r="E1083" t="s">
        <v>9813</v>
      </c>
      <c r="F1083" t="s">
        <v>5595</v>
      </c>
    </row>
    <row r="1084" spans="1:6">
      <c r="A1084" t="s">
        <v>9675</v>
      </c>
      <c r="B1084">
        <v>7967</v>
      </c>
      <c r="C1084" t="s">
        <v>9674</v>
      </c>
      <c r="D1084" t="s">
        <v>5594</v>
      </c>
      <c r="E1084" t="s">
        <v>9813</v>
      </c>
      <c r="F1084" t="s">
        <v>5595</v>
      </c>
    </row>
    <row r="1085" spans="1:6">
      <c r="A1085" t="s">
        <v>9675</v>
      </c>
      <c r="B1085">
        <v>7971</v>
      </c>
      <c r="C1085" t="s">
        <v>9674</v>
      </c>
      <c r="D1085" t="s">
        <v>5594</v>
      </c>
      <c r="E1085" t="s">
        <v>9813</v>
      </c>
      <c r="F1085" t="s">
        <v>5595</v>
      </c>
    </row>
    <row r="1086" spans="1:6">
      <c r="A1086" t="s">
        <v>9675</v>
      </c>
      <c r="B1086">
        <v>7972</v>
      </c>
      <c r="C1086" t="s">
        <v>9674</v>
      </c>
      <c r="D1086" t="s">
        <v>5594</v>
      </c>
      <c r="E1086" t="s">
        <v>9813</v>
      </c>
      <c r="F1086" t="s">
        <v>5595</v>
      </c>
    </row>
    <row r="1087" spans="1:6">
      <c r="A1087" t="s">
        <v>9675</v>
      </c>
      <c r="B1087">
        <v>7981</v>
      </c>
      <c r="C1087" t="s">
        <v>9674</v>
      </c>
      <c r="D1087" t="s">
        <v>5594</v>
      </c>
      <c r="E1087" t="s">
        <v>9813</v>
      </c>
      <c r="F1087" t="s">
        <v>5595</v>
      </c>
    </row>
    <row r="1088" spans="1:6">
      <c r="A1088" t="s">
        <v>9675</v>
      </c>
      <c r="B1088">
        <v>7995</v>
      </c>
      <c r="C1088" t="s">
        <v>9674</v>
      </c>
      <c r="D1088" t="s">
        <v>5594</v>
      </c>
      <c r="E1088" t="s">
        <v>9813</v>
      </c>
      <c r="F1088" t="s">
        <v>5595</v>
      </c>
    </row>
    <row r="1089" spans="1:6">
      <c r="A1089" t="s">
        <v>9675</v>
      </c>
      <c r="B1089">
        <v>7996</v>
      </c>
      <c r="C1089" t="s">
        <v>9674</v>
      </c>
      <c r="D1089" t="s">
        <v>5594</v>
      </c>
      <c r="E1089" t="s">
        <v>9813</v>
      </c>
      <c r="F1089" t="s">
        <v>5595</v>
      </c>
    </row>
    <row r="1090" spans="1:6">
      <c r="A1090" t="s">
        <v>9675</v>
      </c>
      <c r="B1090">
        <v>8014</v>
      </c>
      <c r="C1090" t="s">
        <v>9674</v>
      </c>
      <c r="D1090" t="s">
        <v>5594</v>
      </c>
      <c r="E1090" t="s">
        <v>9813</v>
      </c>
      <c r="F1090" t="s">
        <v>5595</v>
      </c>
    </row>
    <row r="1091" spans="1:6">
      <c r="A1091" t="s">
        <v>9675</v>
      </c>
      <c r="B1091">
        <v>8028</v>
      </c>
      <c r="C1091" t="s">
        <v>9674</v>
      </c>
      <c r="D1091" t="s">
        <v>5594</v>
      </c>
      <c r="E1091" t="s">
        <v>9813</v>
      </c>
      <c r="F1091" t="s">
        <v>5595</v>
      </c>
    </row>
    <row r="1092" spans="1:6">
      <c r="A1092" t="s">
        <v>9675</v>
      </c>
      <c r="B1092">
        <v>8038</v>
      </c>
      <c r="C1092" t="s">
        <v>9674</v>
      </c>
      <c r="D1092" t="s">
        <v>5594</v>
      </c>
      <c r="E1092" t="s">
        <v>9813</v>
      </c>
      <c r="F1092" t="s">
        <v>5595</v>
      </c>
    </row>
    <row r="1093" spans="1:6">
      <c r="A1093" t="s">
        <v>9675</v>
      </c>
      <c r="B1093">
        <v>8667</v>
      </c>
      <c r="C1093" t="s">
        <v>9674</v>
      </c>
      <c r="D1093" t="s">
        <v>5594</v>
      </c>
      <c r="E1093" t="s">
        <v>9813</v>
      </c>
      <c r="F1093" t="s">
        <v>5595</v>
      </c>
    </row>
    <row r="1094" spans="1:6">
      <c r="A1094" t="s">
        <v>9675</v>
      </c>
      <c r="B1094">
        <v>8677</v>
      </c>
      <c r="C1094" t="s">
        <v>9674</v>
      </c>
      <c r="D1094" t="s">
        <v>5594</v>
      </c>
      <c r="E1094" t="s">
        <v>9813</v>
      </c>
      <c r="F1094" t="s">
        <v>5595</v>
      </c>
    </row>
    <row r="1095" spans="1:6">
      <c r="A1095" t="s">
        <v>9675</v>
      </c>
      <c r="B1095">
        <v>8678</v>
      </c>
      <c r="C1095" t="s">
        <v>9674</v>
      </c>
      <c r="D1095" t="s">
        <v>5594</v>
      </c>
      <c r="E1095" t="s">
        <v>9813</v>
      </c>
      <c r="F1095" t="s">
        <v>5595</v>
      </c>
    </row>
    <row r="1096" spans="1:6">
      <c r="A1096" t="s">
        <v>9675</v>
      </c>
      <c r="B1096">
        <v>8720</v>
      </c>
      <c r="C1096" t="s">
        <v>9674</v>
      </c>
      <c r="D1096" t="s">
        <v>5594</v>
      </c>
      <c r="E1096" t="s">
        <v>9813</v>
      </c>
      <c r="F1096" t="s">
        <v>5595</v>
      </c>
    </row>
    <row r="1097" spans="1:6">
      <c r="A1097" t="s">
        <v>9675</v>
      </c>
      <c r="B1097">
        <v>8730</v>
      </c>
      <c r="C1097" t="s">
        <v>9674</v>
      </c>
      <c r="D1097" t="s">
        <v>5594</v>
      </c>
      <c r="E1097" t="s">
        <v>9813</v>
      </c>
      <c r="F1097" t="s">
        <v>5595</v>
      </c>
    </row>
    <row r="1098" spans="1:6">
      <c r="A1098" t="s">
        <v>9675</v>
      </c>
      <c r="B1098">
        <v>8740</v>
      </c>
      <c r="C1098" t="s">
        <v>9674</v>
      </c>
      <c r="D1098" t="s">
        <v>5594</v>
      </c>
      <c r="E1098" t="s">
        <v>9813</v>
      </c>
      <c r="F1098" t="s">
        <v>5595</v>
      </c>
    </row>
    <row r="1099" spans="1:6">
      <c r="A1099" t="s">
        <v>9675</v>
      </c>
      <c r="B1099">
        <v>8750</v>
      </c>
      <c r="C1099" t="s">
        <v>9674</v>
      </c>
      <c r="D1099" t="s">
        <v>5594</v>
      </c>
      <c r="E1099" t="s">
        <v>9813</v>
      </c>
      <c r="F1099" t="s">
        <v>5595</v>
      </c>
    </row>
    <row r="1100" spans="1:6">
      <c r="A1100" t="s">
        <v>9675</v>
      </c>
      <c r="B1100">
        <v>8832</v>
      </c>
      <c r="C1100" t="s">
        <v>9674</v>
      </c>
      <c r="D1100" t="s">
        <v>5594</v>
      </c>
      <c r="E1100" t="s">
        <v>9813</v>
      </c>
      <c r="F1100" t="s">
        <v>5595</v>
      </c>
    </row>
    <row r="1101" spans="1:6">
      <c r="A1101" t="s">
        <v>9675</v>
      </c>
      <c r="B1101">
        <v>8839</v>
      </c>
      <c r="C1101" t="s">
        <v>9674</v>
      </c>
      <c r="D1101" t="s">
        <v>5594</v>
      </c>
      <c r="E1101" t="s">
        <v>9813</v>
      </c>
      <c r="F1101" t="s">
        <v>5595</v>
      </c>
    </row>
    <row r="1102" spans="1:6">
      <c r="A1102" t="s">
        <v>9675</v>
      </c>
      <c r="B1102">
        <v>8843</v>
      </c>
      <c r="C1102" t="s">
        <v>9674</v>
      </c>
      <c r="D1102" t="s">
        <v>5594</v>
      </c>
      <c r="E1102" t="s">
        <v>9813</v>
      </c>
      <c r="F1102" t="s">
        <v>5595</v>
      </c>
    </row>
    <row r="1103" spans="1:6">
      <c r="A1103" t="s">
        <v>9675</v>
      </c>
      <c r="B1103">
        <v>8850</v>
      </c>
      <c r="C1103" t="s">
        <v>9674</v>
      </c>
      <c r="D1103" t="s">
        <v>5594</v>
      </c>
      <c r="E1103" t="s">
        <v>9813</v>
      </c>
      <c r="F1103" t="s">
        <v>5595</v>
      </c>
    </row>
    <row r="1104" spans="1:6">
      <c r="A1104" t="s">
        <v>9675</v>
      </c>
      <c r="B1104">
        <v>8852</v>
      </c>
      <c r="C1104" t="s">
        <v>9674</v>
      </c>
      <c r="D1104" t="s">
        <v>5594</v>
      </c>
      <c r="E1104" t="s">
        <v>9813</v>
      </c>
      <c r="F1104" t="s">
        <v>5595</v>
      </c>
    </row>
    <row r="1105" spans="1:6">
      <c r="A1105" t="s">
        <v>9675</v>
      </c>
      <c r="B1105">
        <v>8853</v>
      </c>
      <c r="C1105" t="s">
        <v>9674</v>
      </c>
      <c r="D1105" t="s">
        <v>5594</v>
      </c>
      <c r="E1105" t="s">
        <v>9813</v>
      </c>
      <c r="F1105" t="s">
        <v>5595</v>
      </c>
    </row>
    <row r="1106" spans="1:6">
      <c r="A1106" t="s">
        <v>9675</v>
      </c>
      <c r="B1106">
        <v>8886</v>
      </c>
      <c r="C1106" t="s">
        <v>9674</v>
      </c>
      <c r="D1106" t="s">
        <v>5594</v>
      </c>
      <c r="E1106" t="s">
        <v>9813</v>
      </c>
      <c r="F1106" t="s">
        <v>5595</v>
      </c>
    </row>
    <row r="1107" spans="1:6">
      <c r="A1107" t="s">
        <v>9675</v>
      </c>
      <c r="B1107">
        <v>8721</v>
      </c>
      <c r="C1107" t="s">
        <v>9674</v>
      </c>
      <c r="D1107" t="s">
        <v>5596</v>
      </c>
      <c r="E1107" t="s">
        <v>9814</v>
      </c>
      <c r="F1107" t="s">
        <v>5595</v>
      </c>
    </row>
    <row r="1108" spans="1:6">
      <c r="A1108" t="s">
        <v>9675</v>
      </c>
      <c r="B1108">
        <v>8731</v>
      </c>
      <c r="C1108" t="s">
        <v>9674</v>
      </c>
      <c r="D1108" t="s">
        <v>5596</v>
      </c>
      <c r="E1108" t="s">
        <v>9814</v>
      </c>
      <c r="F1108" t="s">
        <v>5595</v>
      </c>
    </row>
    <row r="1109" spans="1:6">
      <c r="A1109" t="s">
        <v>9675</v>
      </c>
      <c r="B1109">
        <v>7906</v>
      </c>
      <c r="C1109" t="s">
        <v>9674</v>
      </c>
      <c r="D1109" t="s">
        <v>5596</v>
      </c>
      <c r="E1109" t="s">
        <v>9814</v>
      </c>
      <c r="F1109" t="s">
        <v>5595</v>
      </c>
    </row>
    <row r="1110" spans="1:6">
      <c r="A1110" t="s">
        <v>9675</v>
      </c>
      <c r="B1110">
        <v>7916</v>
      </c>
      <c r="C1110" t="s">
        <v>9674</v>
      </c>
      <c r="D1110" t="s">
        <v>5596</v>
      </c>
      <c r="E1110" t="s">
        <v>9814</v>
      </c>
      <c r="F1110" t="s">
        <v>5595</v>
      </c>
    </row>
    <row r="1111" spans="1:6">
      <c r="A1111" t="s">
        <v>9675</v>
      </c>
      <c r="B1111">
        <v>8737</v>
      </c>
      <c r="C1111" t="s">
        <v>9674</v>
      </c>
      <c r="D1111" t="s">
        <v>5596</v>
      </c>
      <c r="E1111" t="s">
        <v>9814</v>
      </c>
      <c r="F1111" t="s">
        <v>5595</v>
      </c>
    </row>
    <row r="1112" spans="1:6">
      <c r="A1112" t="s">
        <v>9675</v>
      </c>
      <c r="B1112">
        <v>7917</v>
      </c>
      <c r="C1112" t="s">
        <v>9674</v>
      </c>
      <c r="D1112" t="s">
        <v>5596</v>
      </c>
      <c r="E1112" t="s">
        <v>9814</v>
      </c>
      <c r="F1112" t="s">
        <v>5595</v>
      </c>
    </row>
    <row r="1113" spans="1:6">
      <c r="A1113" t="s">
        <v>9675</v>
      </c>
      <c r="B1113">
        <v>7903</v>
      </c>
      <c r="C1113" t="s">
        <v>9674</v>
      </c>
      <c r="D1113" t="s">
        <v>5596</v>
      </c>
      <c r="E1113" t="s">
        <v>9814</v>
      </c>
      <c r="F1113" t="s">
        <v>5595</v>
      </c>
    </row>
    <row r="1114" spans="1:6">
      <c r="A1114" t="s">
        <v>9675</v>
      </c>
      <c r="B1114">
        <v>5455</v>
      </c>
      <c r="C1114" t="s">
        <v>9674</v>
      </c>
      <c r="D1114" t="s">
        <v>5596</v>
      </c>
      <c r="E1114" t="s">
        <v>9814</v>
      </c>
      <c r="F1114" t="s">
        <v>5595</v>
      </c>
    </row>
    <row r="1115" spans="1:6">
      <c r="A1115" t="s">
        <v>9675</v>
      </c>
      <c r="B1115">
        <v>5456</v>
      </c>
      <c r="C1115" t="s">
        <v>9674</v>
      </c>
      <c r="D1115" t="s">
        <v>5596</v>
      </c>
      <c r="E1115" t="s">
        <v>9814</v>
      </c>
      <c r="F1115" t="s">
        <v>5595</v>
      </c>
    </row>
    <row r="1116" spans="1:6">
      <c r="A1116" t="s">
        <v>9675</v>
      </c>
      <c r="B1116">
        <v>6391</v>
      </c>
      <c r="C1116" t="s">
        <v>9674</v>
      </c>
      <c r="D1116" t="s">
        <v>5596</v>
      </c>
      <c r="E1116" t="s">
        <v>9814</v>
      </c>
      <c r="F1116" t="s">
        <v>5595</v>
      </c>
    </row>
    <row r="1117" spans="1:6">
      <c r="A1117" t="s">
        <v>9675</v>
      </c>
      <c r="B1117">
        <v>7912</v>
      </c>
      <c r="C1117" t="s">
        <v>9674</v>
      </c>
      <c r="D1117" t="s">
        <v>5596</v>
      </c>
      <c r="E1117" t="s">
        <v>9814</v>
      </c>
      <c r="F1117" t="s">
        <v>5595</v>
      </c>
    </row>
    <row r="1118" spans="1:6">
      <c r="A1118" t="s">
        <v>9675</v>
      </c>
      <c r="B1118">
        <v>7913</v>
      </c>
      <c r="C1118" t="s">
        <v>9674</v>
      </c>
      <c r="D1118" t="s">
        <v>5596</v>
      </c>
      <c r="E1118" t="s">
        <v>9814</v>
      </c>
      <c r="F1118" t="s">
        <v>5595</v>
      </c>
    </row>
    <row r="1119" spans="1:6">
      <c r="A1119" t="s">
        <v>9675</v>
      </c>
      <c r="B1119">
        <v>7918</v>
      </c>
      <c r="C1119" t="s">
        <v>9674</v>
      </c>
      <c r="D1119" t="s">
        <v>5596</v>
      </c>
      <c r="E1119" t="s">
        <v>9814</v>
      </c>
      <c r="F1119" t="s">
        <v>5595</v>
      </c>
    </row>
    <row r="1120" spans="1:6">
      <c r="A1120" t="s">
        <v>9675</v>
      </c>
      <c r="B1120">
        <v>7919</v>
      </c>
      <c r="C1120" t="s">
        <v>9674</v>
      </c>
      <c r="D1120" t="s">
        <v>5596</v>
      </c>
      <c r="E1120" t="s">
        <v>9814</v>
      </c>
      <c r="F1120" t="s">
        <v>5595</v>
      </c>
    </row>
    <row r="1121" spans="1:6">
      <c r="A1121" t="s">
        <v>9675</v>
      </c>
      <c r="B1121">
        <v>8685</v>
      </c>
      <c r="C1121" t="s">
        <v>9674</v>
      </c>
      <c r="D1121" t="s">
        <v>5596</v>
      </c>
      <c r="E1121" t="s">
        <v>9814</v>
      </c>
      <c r="F1121" t="s">
        <v>5595</v>
      </c>
    </row>
    <row r="1122" spans="1:6">
      <c r="A1122" t="s">
        <v>9675</v>
      </c>
      <c r="B1122">
        <v>8686</v>
      </c>
      <c r="C1122" t="s">
        <v>9674</v>
      </c>
      <c r="D1122" t="s">
        <v>5596</v>
      </c>
      <c r="E1122" t="s">
        <v>9814</v>
      </c>
      <c r="F1122" t="s">
        <v>5595</v>
      </c>
    </row>
    <row r="1123" spans="1:6">
      <c r="A1123" t="s">
        <v>9675</v>
      </c>
      <c r="B1123">
        <v>8861</v>
      </c>
      <c r="C1123" t="s">
        <v>9674</v>
      </c>
      <c r="D1123" t="s">
        <v>5596</v>
      </c>
      <c r="E1123" t="s">
        <v>9814</v>
      </c>
      <c r="F1123" t="s">
        <v>5595</v>
      </c>
    </row>
    <row r="1124" spans="1:6">
      <c r="A1124" t="s">
        <v>9675</v>
      </c>
      <c r="B1124">
        <v>8862</v>
      </c>
      <c r="C1124" t="s">
        <v>9674</v>
      </c>
      <c r="D1124" t="s">
        <v>5596</v>
      </c>
      <c r="E1124" t="s">
        <v>9814</v>
      </c>
      <c r="F1124" t="s">
        <v>5595</v>
      </c>
    </row>
    <row r="1125" spans="1:6">
      <c r="A1125" t="s">
        <v>9675</v>
      </c>
      <c r="B1125">
        <v>8863</v>
      </c>
      <c r="C1125" t="s">
        <v>9674</v>
      </c>
      <c r="D1125" t="s">
        <v>5596</v>
      </c>
      <c r="E1125" t="s">
        <v>9814</v>
      </c>
      <c r="F1125" t="s">
        <v>5595</v>
      </c>
    </row>
    <row r="1126" spans="1:6">
      <c r="A1126" t="s">
        <v>9675</v>
      </c>
      <c r="B1126">
        <v>8683</v>
      </c>
      <c r="C1126" t="s">
        <v>9674</v>
      </c>
      <c r="D1126" t="s">
        <v>5596</v>
      </c>
      <c r="E1126" t="s">
        <v>9814</v>
      </c>
      <c r="F1126" t="s">
        <v>5595</v>
      </c>
    </row>
    <row r="1127" spans="1:6">
      <c r="A1127" t="s">
        <v>9675</v>
      </c>
      <c r="B1127">
        <v>8687</v>
      </c>
      <c r="C1127" t="s">
        <v>9674</v>
      </c>
      <c r="D1127" t="s">
        <v>5596</v>
      </c>
      <c r="E1127" t="s">
        <v>9814</v>
      </c>
      <c r="F1127" t="s">
        <v>5595</v>
      </c>
    </row>
    <row r="1128" spans="1:6">
      <c r="A1128" t="s">
        <v>9675</v>
      </c>
      <c r="B1128">
        <v>8870</v>
      </c>
      <c r="C1128" t="s">
        <v>9674</v>
      </c>
      <c r="D1128" t="s">
        <v>5596</v>
      </c>
      <c r="E1128" t="s">
        <v>9814</v>
      </c>
      <c r="F1128" t="s">
        <v>5595</v>
      </c>
    </row>
    <row r="1129" spans="1:6">
      <c r="A1129" t="s">
        <v>9675</v>
      </c>
      <c r="B1129">
        <v>8688</v>
      </c>
      <c r="C1129" t="s">
        <v>9674</v>
      </c>
      <c r="D1129" t="s">
        <v>5596</v>
      </c>
      <c r="E1129" t="s">
        <v>9814</v>
      </c>
      <c r="F1129" t="s">
        <v>5595</v>
      </c>
    </row>
    <row r="1130" spans="1:6">
      <c r="A1130" t="s">
        <v>9675</v>
      </c>
      <c r="B1130">
        <v>8855</v>
      </c>
      <c r="C1130" t="s">
        <v>9674</v>
      </c>
      <c r="D1130" t="s">
        <v>5596</v>
      </c>
      <c r="E1130" t="s">
        <v>9814</v>
      </c>
      <c r="F1130" t="s">
        <v>5595</v>
      </c>
    </row>
    <row r="1131" spans="1:6">
      <c r="A1131" t="s">
        <v>9675</v>
      </c>
      <c r="B1131">
        <v>8872</v>
      </c>
      <c r="C1131" t="s">
        <v>9674</v>
      </c>
      <c r="D1131" t="s">
        <v>5596</v>
      </c>
      <c r="E1131" t="s">
        <v>9814</v>
      </c>
      <c r="F1131" t="s">
        <v>5595</v>
      </c>
    </row>
    <row r="1132" spans="1:6">
      <c r="A1132" t="s">
        <v>9675</v>
      </c>
      <c r="B1132">
        <v>8874</v>
      </c>
      <c r="C1132" t="s">
        <v>9674</v>
      </c>
      <c r="D1132" t="s">
        <v>5596</v>
      </c>
      <c r="E1132" t="s">
        <v>9814</v>
      </c>
      <c r="F1132" t="s">
        <v>5595</v>
      </c>
    </row>
    <row r="1133" spans="1:6">
      <c r="A1133" t="s">
        <v>9675</v>
      </c>
      <c r="B1133">
        <v>6385</v>
      </c>
      <c r="C1133" t="s">
        <v>9674</v>
      </c>
      <c r="D1133" t="s">
        <v>5596</v>
      </c>
      <c r="E1133" t="s">
        <v>9814</v>
      </c>
      <c r="F1133" t="s">
        <v>5595</v>
      </c>
    </row>
    <row r="1134" spans="1:6">
      <c r="A1134" t="s">
        <v>9675</v>
      </c>
      <c r="B1134">
        <v>6386</v>
      </c>
      <c r="C1134" t="s">
        <v>9674</v>
      </c>
      <c r="D1134" t="s">
        <v>5596</v>
      </c>
      <c r="E1134" t="s">
        <v>9814</v>
      </c>
      <c r="F1134" t="s">
        <v>5595</v>
      </c>
    </row>
    <row r="1135" spans="1:6">
      <c r="A1135" t="s">
        <v>9675</v>
      </c>
      <c r="B1135">
        <v>6388</v>
      </c>
      <c r="C1135" t="s">
        <v>9674</v>
      </c>
      <c r="D1135" t="s">
        <v>5596</v>
      </c>
      <c r="E1135" t="s">
        <v>9814</v>
      </c>
      <c r="F1135" t="s">
        <v>5595</v>
      </c>
    </row>
    <row r="1136" spans="1:6">
      <c r="A1136" t="s">
        <v>9675</v>
      </c>
      <c r="B1136">
        <v>6389</v>
      </c>
      <c r="C1136" t="s">
        <v>9674</v>
      </c>
      <c r="D1136" t="s">
        <v>5596</v>
      </c>
      <c r="E1136" t="s">
        <v>9814</v>
      </c>
      <c r="F1136" t="s">
        <v>5595</v>
      </c>
    </row>
    <row r="1137" spans="1:6">
      <c r="A1137" t="s">
        <v>9675</v>
      </c>
      <c r="B1137">
        <v>6390</v>
      </c>
      <c r="C1137" t="s">
        <v>9674</v>
      </c>
      <c r="D1137" t="s">
        <v>5596</v>
      </c>
      <c r="E1137" t="s">
        <v>9814</v>
      </c>
      <c r="F1137" t="s">
        <v>5595</v>
      </c>
    </row>
    <row r="1138" spans="1:6">
      <c r="A1138" t="s">
        <v>9675</v>
      </c>
      <c r="B1138">
        <v>7321</v>
      </c>
      <c r="C1138" t="s">
        <v>9674</v>
      </c>
      <c r="D1138" t="s">
        <v>5596</v>
      </c>
      <c r="E1138" t="s">
        <v>9814</v>
      </c>
      <c r="F1138" t="s">
        <v>5595</v>
      </c>
    </row>
    <row r="1139" spans="1:6">
      <c r="A1139" t="s">
        <v>9675</v>
      </c>
      <c r="B1139">
        <v>7831</v>
      </c>
      <c r="C1139" t="s">
        <v>9674</v>
      </c>
      <c r="D1139" t="s">
        <v>5596</v>
      </c>
      <c r="E1139" t="s">
        <v>9814</v>
      </c>
      <c r="F1139" t="s">
        <v>5595</v>
      </c>
    </row>
    <row r="1140" spans="1:6">
      <c r="A1140" t="s">
        <v>9675</v>
      </c>
      <c r="B1140">
        <v>7832</v>
      </c>
      <c r="C1140" t="s">
        <v>9674</v>
      </c>
      <c r="D1140" t="s">
        <v>5596</v>
      </c>
      <c r="E1140" t="s">
        <v>9814</v>
      </c>
      <c r="F1140" t="s">
        <v>5595</v>
      </c>
    </row>
    <row r="1141" spans="1:6">
      <c r="A1141" t="s">
        <v>9675</v>
      </c>
      <c r="B1141">
        <v>7833</v>
      </c>
      <c r="C1141" t="s">
        <v>9674</v>
      </c>
      <c r="D1141" t="s">
        <v>5596</v>
      </c>
      <c r="E1141" t="s">
        <v>9814</v>
      </c>
      <c r="F1141" t="s">
        <v>5595</v>
      </c>
    </row>
    <row r="1142" spans="1:6">
      <c r="A1142" t="s">
        <v>9675</v>
      </c>
      <c r="B1142">
        <v>7834</v>
      </c>
      <c r="C1142" t="s">
        <v>9674</v>
      </c>
      <c r="D1142" t="s">
        <v>5596</v>
      </c>
      <c r="E1142" t="s">
        <v>9814</v>
      </c>
      <c r="F1142" t="s">
        <v>5595</v>
      </c>
    </row>
    <row r="1143" spans="1:6">
      <c r="A1143" t="s">
        <v>9675</v>
      </c>
      <c r="B1143">
        <v>8722</v>
      </c>
      <c r="C1143" t="s">
        <v>9674</v>
      </c>
      <c r="D1143" t="s">
        <v>5596</v>
      </c>
      <c r="E1143" t="s">
        <v>9814</v>
      </c>
      <c r="F1143" t="s">
        <v>5595</v>
      </c>
    </row>
    <row r="1144" spans="1:6">
      <c r="A1144" t="s">
        <v>9675</v>
      </c>
      <c r="B1144">
        <v>8733</v>
      </c>
      <c r="C1144" t="s">
        <v>9674</v>
      </c>
      <c r="D1144" t="s">
        <v>5596</v>
      </c>
      <c r="E1144" t="s">
        <v>9814</v>
      </c>
      <c r="F1144" t="s">
        <v>5595</v>
      </c>
    </row>
    <row r="1145" spans="1:6">
      <c r="A1145" t="s">
        <v>9675</v>
      </c>
      <c r="B1145">
        <v>8752</v>
      </c>
      <c r="C1145" t="s">
        <v>9674</v>
      </c>
      <c r="D1145" t="s">
        <v>5596</v>
      </c>
      <c r="E1145" t="s">
        <v>9814</v>
      </c>
      <c r="F1145" t="s">
        <v>5595</v>
      </c>
    </row>
    <row r="1146" spans="1:6">
      <c r="A1146" t="s">
        <v>9675</v>
      </c>
      <c r="B1146">
        <v>6205</v>
      </c>
      <c r="C1146" t="s">
        <v>9674</v>
      </c>
      <c r="D1146" t="s">
        <v>5596</v>
      </c>
      <c r="E1146" t="s">
        <v>9814</v>
      </c>
      <c r="F1146" t="s">
        <v>5595</v>
      </c>
    </row>
    <row r="1147" spans="1:6">
      <c r="A1147" t="s">
        <v>9675</v>
      </c>
      <c r="B1147">
        <v>7163</v>
      </c>
      <c r="C1147" t="s">
        <v>9674</v>
      </c>
      <c r="D1147" t="s">
        <v>5596</v>
      </c>
      <c r="E1147" t="s">
        <v>9814</v>
      </c>
      <c r="F1147" t="s">
        <v>5595</v>
      </c>
    </row>
    <row r="1148" spans="1:6">
      <c r="A1148" t="s">
        <v>9675</v>
      </c>
      <c r="B1148">
        <v>8877</v>
      </c>
      <c r="C1148" t="s">
        <v>9674</v>
      </c>
      <c r="D1148" t="s">
        <v>5596</v>
      </c>
      <c r="E1148" t="s">
        <v>9814</v>
      </c>
      <c r="F1148" t="s">
        <v>5595</v>
      </c>
    </row>
    <row r="1149" spans="1:6">
      <c r="A1149" t="s">
        <v>9675</v>
      </c>
      <c r="B1149">
        <v>7164</v>
      </c>
      <c r="C1149" t="s">
        <v>9674</v>
      </c>
      <c r="D1149" t="s">
        <v>5596</v>
      </c>
      <c r="E1149" t="s">
        <v>9814</v>
      </c>
      <c r="F1149" t="s">
        <v>5595</v>
      </c>
    </row>
    <row r="1150" spans="1:6">
      <c r="A1150" t="s">
        <v>9675</v>
      </c>
      <c r="B1150">
        <v>8865</v>
      </c>
      <c r="C1150" t="s">
        <v>9674</v>
      </c>
      <c r="D1150" t="s">
        <v>5596</v>
      </c>
      <c r="E1150" t="s">
        <v>9814</v>
      </c>
      <c r="F1150" t="s">
        <v>5595</v>
      </c>
    </row>
    <row r="1151" spans="1:6">
      <c r="A1151" t="s">
        <v>9675</v>
      </c>
      <c r="B1151">
        <v>8866</v>
      </c>
      <c r="C1151" t="s">
        <v>9674</v>
      </c>
      <c r="D1151" t="s">
        <v>5596</v>
      </c>
      <c r="E1151" t="s">
        <v>9814</v>
      </c>
      <c r="F1151" t="s">
        <v>5595</v>
      </c>
    </row>
    <row r="1152" spans="1:6">
      <c r="A1152" t="s">
        <v>9675</v>
      </c>
      <c r="B1152">
        <v>8864</v>
      </c>
      <c r="C1152" t="s">
        <v>9674</v>
      </c>
      <c r="D1152" t="s">
        <v>5596</v>
      </c>
      <c r="E1152" t="s">
        <v>9814</v>
      </c>
      <c r="F1152" t="s">
        <v>5595</v>
      </c>
    </row>
    <row r="1153" spans="1:6">
      <c r="A1153" t="s">
        <v>9675</v>
      </c>
      <c r="B1153">
        <v>7141</v>
      </c>
      <c r="C1153" t="s">
        <v>9674</v>
      </c>
      <c r="D1153" t="s">
        <v>5596</v>
      </c>
      <c r="E1153" t="s">
        <v>9814</v>
      </c>
      <c r="F1153" t="s">
        <v>5595</v>
      </c>
    </row>
    <row r="1154" spans="1:6">
      <c r="A1154" t="s">
        <v>9675</v>
      </c>
      <c r="B1154">
        <v>7143</v>
      </c>
      <c r="C1154" t="s">
        <v>9674</v>
      </c>
      <c r="D1154" t="s">
        <v>5596</v>
      </c>
      <c r="E1154" t="s">
        <v>9814</v>
      </c>
      <c r="F1154" t="s">
        <v>5595</v>
      </c>
    </row>
    <row r="1155" spans="1:6">
      <c r="A1155" t="s">
        <v>9675</v>
      </c>
      <c r="B1155">
        <v>7145</v>
      </c>
      <c r="C1155" t="s">
        <v>9674</v>
      </c>
      <c r="D1155" t="s">
        <v>5596</v>
      </c>
      <c r="E1155" t="s">
        <v>9814</v>
      </c>
      <c r="F1155" t="s">
        <v>5595</v>
      </c>
    </row>
    <row r="1156" spans="1:6">
      <c r="A1156" t="s">
        <v>9675</v>
      </c>
      <c r="B1156">
        <v>7147</v>
      </c>
      <c r="C1156" t="s">
        <v>9674</v>
      </c>
      <c r="D1156" t="s">
        <v>5596</v>
      </c>
      <c r="E1156" t="s">
        <v>9814</v>
      </c>
      <c r="F1156" t="s">
        <v>5595</v>
      </c>
    </row>
    <row r="1157" spans="1:6">
      <c r="A1157" t="s">
        <v>9675</v>
      </c>
      <c r="B1157">
        <v>3837</v>
      </c>
      <c r="C1157" t="s">
        <v>9674</v>
      </c>
      <c r="D1157" t="s">
        <v>5596</v>
      </c>
      <c r="E1157" t="s">
        <v>9814</v>
      </c>
      <c r="F1157" t="s">
        <v>5595</v>
      </c>
    </row>
    <row r="1158" spans="1:6">
      <c r="A1158" t="s">
        <v>9675</v>
      </c>
      <c r="B1158">
        <v>8878</v>
      </c>
      <c r="C1158" t="s">
        <v>9674</v>
      </c>
      <c r="D1158" t="s">
        <v>5596</v>
      </c>
      <c r="E1158" t="s">
        <v>9814</v>
      </c>
      <c r="F1158" t="s">
        <v>5595</v>
      </c>
    </row>
    <row r="1159" spans="1:6">
      <c r="A1159" t="s">
        <v>9675</v>
      </c>
      <c r="B1159">
        <v>8879</v>
      </c>
      <c r="C1159" t="s">
        <v>9674</v>
      </c>
      <c r="D1159" t="s">
        <v>5596</v>
      </c>
      <c r="E1159" t="s">
        <v>9814</v>
      </c>
      <c r="F1159" t="s">
        <v>5595</v>
      </c>
    </row>
    <row r="1160" spans="1:6">
      <c r="A1160" t="s">
        <v>9675</v>
      </c>
      <c r="B1160">
        <v>5464</v>
      </c>
      <c r="C1160" t="s">
        <v>9674</v>
      </c>
      <c r="D1160" t="s">
        <v>5596</v>
      </c>
      <c r="E1160" t="s">
        <v>9814</v>
      </c>
      <c r="F1160" t="s">
        <v>5595</v>
      </c>
    </row>
    <row r="1161" spans="1:6">
      <c r="A1161" t="s">
        <v>9675</v>
      </c>
      <c r="B1161">
        <v>9532</v>
      </c>
      <c r="C1161" t="s">
        <v>9674</v>
      </c>
      <c r="D1161" t="s">
        <v>5596</v>
      </c>
      <c r="E1161" t="s">
        <v>9814</v>
      </c>
      <c r="F1161" t="s">
        <v>5595</v>
      </c>
    </row>
    <row r="1162" spans="1:6">
      <c r="A1162" t="s">
        <v>9675</v>
      </c>
      <c r="B1162">
        <v>5465</v>
      </c>
      <c r="C1162" t="s">
        <v>9674</v>
      </c>
      <c r="D1162" t="s">
        <v>5596</v>
      </c>
      <c r="E1162" t="s">
        <v>9814</v>
      </c>
      <c r="F1162" t="s">
        <v>5595</v>
      </c>
    </row>
    <row r="1163" spans="1:6">
      <c r="A1163" t="s">
        <v>9675</v>
      </c>
      <c r="B1163">
        <v>5456</v>
      </c>
      <c r="C1163" t="s">
        <v>9674</v>
      </c>
      <c r="D1163" t="s">
        <v>5596</v>
      </c>
      <c r="E1163" t="s">
        <v>9814</v>
      </c>
      <c r="F1163" t="s">
        <v>5595</v>
      </c>
    </row>
    <row r="1164" spans="1:6">
      <c r="A1164" t="s">
        <v>9675</v>
      </c>
      <c r="B1164">
        <v>7148</v>
      </c>
      <c r="C1164" t="s">
        <v>9674</v>
      </c>
      <c r="D1164" t="s">
        <v>5596</v>
      </c>
      <c r="E1164" t="s">
        <v>9814</v>
      </c>
      <c r="F1164" t="s">
        <v>5595</v>
      </c>
    </row>
    <row r="1165" spans="1:6">
      <c r="A1165" t="s">
        <v>9675</v>
      </c>
      <c r="B1165">
        <v>7385</v>
      </c>
      <c r="C1165" t="s">
        <v>9674</v>
      </c>
      <c r="D1165" t="s">
        <v>5596</v>
      </c>
      <c r="E1165" t="s">
        <v>9814</v>
      </c>
      <c r="F1165" t="s">
        <v>5595</v>
      </c>
    </row>
    <row r="1166" spans="1:6">
      <c r="A1166" t="s">
        <v>9675</v>
      </c>
      <c r="B1166">
        <v>7162</v>
      </c>
      <c r="C1166" t="s">
        <v>9674</v>
      </c>
      <c r="D1166" t="s">
        <v>5596</v>
      </c>
      <c r="E1166" t="s">
        <v>9814</v>
      </c>
      <c r="F1166" t="s">
        <v>5595</v>
      </c>
    </row>
    <row r="1167" spans="1:6">
      <c r="A1167" t="s">
        <v>9675</v>
      </c>
      <c r="B1167">
        <v>6241</v>
      </c>
      <c r="C1167" t="s">
        <v>9674</v>
      </c>
      <c r="D1167" t="s">
        <v>5596</v>
      </c>
      <c r="E1167" t="s">
        <v>9814</v>
      </c>
      <c r="F1167" t="s">
        <v>5595</v>
      </c>
    </row>
    <row r="1168" spans="1:6">
      <c r="A1168" t="s">
        <v>9675</v>
      </c>
      <c r="B1168">
        <v>8835</v>
      </c>
      <c r="C1168" t="s">
        <v>9674</v>
      </c>
      <c r="D1168" t="s">
        <v>5597</v>
      </c>
      <c r="E1168" t="s">
        <v>9815</v>
      </c>
      <c r="F1168" t="s">
        <v>5595</v>
      </c>
    </row>
    <row r="1169" spans="1:6">
      <c r="A1169" t="s">
        <v>9675</v>
      </c>
      <c r="B1169">
        <v>8848</v>
      </c>
      <c r="C1169" t="s">
        <v>9674</v>
      </c>
      <c r="D1169" t="s">
        <v>5597</v>
      </c>
      <c r="E1169" t="s">
        <v>9815</v>
      </c>
      <c r="F1169" t="s">
        <v>5595</v>
      </c>
    </row>
    <row r="1170" spans="1:6">
      <c r="A1170" t="s">
        <v>9675</v>
      </c>
      <c r="B1170">
        <v>7992</v>
      </c>
      <c r="C1170" t="s">
        <v>9674</v>
      </c>
      <c r="D1170" t="s">
        <v>5597</v>
      </c>
      <c r="E1170" t="s">
        <v>9815</v>
      </c>
      <c r="F1170" t="s">
        <v>5595</v>
      </c>
    </row>
    <row r="1171" spans="1:6">
      <c r="A1171" t="s">
        <v>9675</v>
      </c>
      <c r="B1171">
        <v>8830</v>
      </c>
      <c r="C1171" t="s">
        <v>9674</v>
      </c>
      <c r="D1171" t="s">
        <v>5597</v>
      </c>
      <c r="E1171" t="s">
        <v>9815</v>
      </c>
      <c r="F1171" t="s">
        <v>5595</v>
      </c>
    </row>
    <row r="1172" spans="1:6">
      <c r="A1172" t="s">
        <v>9675</v>
      </c>
      <c r="B1172">
        <v>8837</v>
      </c>
      <c r="C1172" t="s">
        <v>9674</v>
      </c>
      <c r="D1172" t="s">
        <v>5597</v>
      </c>
      <c r="E1172" t="s">
        <v>9815</v>
      </c>
      <c r="F1172" t="s">
        <v>5595</v>
      </c>
    </row>
    <row r="1173" spans="1:6">
      <c r="A1173" t="s">
        <v>9675</v>
      </c>
      <c r="B1173">
        <v>8827</v>
      </c>
      <c r="C1173" t="s">
        <v>9674</v>
      </c>
      <c r="D1173" t="s">
        <v>5597</v>
      </c>
      <c r="E1173" t="s">
        <v>9815</v>
      </c>
      <c r="F1173" t="s">
        <v>5595</v>
      </c>
    </row>
    <row r="1174" spans="1:6">
      <c r="A1174" t="s">
        <v>9675</v>
      </c>
      <c r="B1174">
        <v>8670</v>
      </c>
      <c r="C1174" t="s">
        <v>9674</v>
      </c>
      <c r="D1174" t="s">
        <v>5597</v>
      </c>
      <c r="E1174" t="s">
        <v>9815</v>
      </c>
      <c r="F1174" t="s">
        <v>5595</v>
      </c>
    </row>
    <row r="1175" spans="1:6">
      <c r="A1175" t="s">
        <v>9675</v>
      </c>
      <c r="B1175">
        <v>7977</v>
      </c>
      <c r="C1175" t="s">
        <v>9674</v>
      </c>
      <c r="D1175" t="s">
        <v>5597</v>
      </c>
      <c r="E1175" t="s">
        <v>9815</v>
      </c>
      <c r="F1175" t="s">
        <v>5595</v>
      </c>
    </row>
    <row r="1176" spans="1:6">
      <c r="A1176" t="s">
        <v>9675</v>
      </c>
      <c r="B1176">
        <v>7839</v>
      </c>
      <c r="C1176" t="s">
        <v>9674</v>
      </c>
      <c r="D1176" t="s">
        <v>5597</v>
      </c>
      <c r="E1176" t="s">
        <v>9815</v>
      </c>
      <c r="F1176" t="s">
        <v>5595</v>
      </c>
    </row>
    <row r="1177" spans="1:6">
      <c r="A1177" t="s">
        <v>9675</v>
      </c>
      <c r="B1177">
        <v>7380</v>
      </c>
      <c r="C1177" t="s">
        <v>9674</v>
      </c>
      <c r="D1177" t="s">
        <v>5597</v>
      </c>
      <c r="E1177" t="s">
        <v>9815</v>
      </c>
      <c r="F1177" t="s">
        <v>5595</v>
      </c>
    </row>
    <row r="1178" spans="1:6">
      <c r="A1178" t="s">
        <v>9675</v>
      </c>
      <c r="B1178">
        <v>7383</v>
      </c>
      <c r="C1178" t="s">
        <v>9674</v>
      </c>
      <c r="D1178" t="s">
        <v>5597</v>
      </c>
      <c r="E1178" t="s">
        <v>9815</v>
      </c>
      <c r="F1178" t="s">
        <v>5595</v>
      </c>
    </row>
    <row r="1179" spans="1:6">
      <c r="A1179" t="s">
        <v>9675</v>
      </c>
      <c r="B1179">
        <v>7160</v>
      </c>
      <c r="C1179" t="s">
        <v>9674</v>
      </c>
      <c r="D1179" t="s">
        <v>5597</v>
      </c>
      <c r="E1179" t="s">
        <v>9815</v>
      </c>
      <c r="F1179" t="s">
        <v>5595</v>
      </c>
    </row>
    <row r="1180" spans="1:6">
      <c r="A1180" t="s">
        <v>9675</v>
      </c>
      <c r="B1180">
        <v>7946</v>
      </c>
      <c r="C1180" t="s">
        <v>9674</v>
      </c>
      <c r="D1180" t="s">
        <v>5597</v>
      </c>
      <c r="E1180" t="s">
        <v>9815</v>
      </c>
      <c r="F1180" t="s">
        <v>5595</v>
      </c>
    </row>
    <row r="1181" spans="1:6">
      <c r="A1181" t="s">
        <v>9675</v>
      </c>
      <c r="B1181">
        <v>7978</v>
      </c>
      <c r="C1181" t="s">
        <v>9674</v>
      </c>
      <c r="D1181" t="s">
        <v>5597</v>
      </c>
      <c r="E1181" t="s">
        <v>9815</v>
      </c>
      <c r="F1181" t="s">
        <v>5595</v>
      </c>
    </row>
    <row r="1182" spans="1:6">
      <c r="A1182" t="s">
        <v>9675</v>
      </c>
      <c r="B1182">
        <v>7944</v>
      </c>
      <c r="C1182" t="s">
        <v>9674</v>
      </c>
      <c r="D1182" t="s">
        <v>5597</v>
      </c>
      <c r="E1182" t="s">
        <v>9815</v>
      </c>
      <c r="F1182" t="s">
        <v>5595</v>
      </c>
    </row>
    <row r="1183" spans="1:6">
      <c r="A1183" t="s">
        <v>9675</v>
      </c>
      <c r="B1183">
        <v>7914</v>
      </c>
      <c r="C1183" t="s">
        <v>9674</v>
      </c>
      <c r="D1183" t="s">
        <v>5597</v>
      </c>
      <c r="E1183" t="s">
        <v>9815</v>
      </c>
      <c r="F1183" t="s">
        <v>5595</v>
      </c>
    </row>
    <row r="1184" spans="1:6">
      <c r="A1184" t="s">
        <v>9675</v>
      </c>
      <c r="B1184">
        <v>7942</v>
      </c>
      <c r="C1184" t="s">
        <v>9674</v>
      </c>
      <c r="D1184" t="s">
        <v>5597</v>
      </c>
      <c r="E1184" t="s">
        <v>9815</v>
      </c>
      <c r="F1184" t="s">
        <v>5595</v>
      </c>
    </row>
    <row r="1185" spans="1:6">
      <c r="A1185" t="s">
        <v>9675</v>
      </c>
      <c r="B1185">
        <v>7376</v>
      </c>
      <c r="C1185" t="s">
        <v>9674</v>
      </c>
      <c r="D1185" t="s">
        <v>5597</v>
      </c>
      <c r="E1185" t="s">
        <v>9815</v>
      </c>
      <c r="F1185" t="s">
        <v>5595</v>
      </c>
    </row>
    <row r="1186" spans="1:6">
      <c r="A1186" t="s">
        <v>9675</v>
      </c>
      <c r="B1186">
        <v>7377</v>
      </c>
      <c r="C1186" t="s">
        <v>9674</v>
      </c>
      <c r="D1186" t="s">
        <v>5597</v>
      </c>
      <c r="E1186" t="s">
        <v>9815</v>
      </c>
      <c r="F1186" t="s">
        <v>5595</v>
      </c>
    </row>
    <row r="1187" spans="1:6">
      <c r="A1187" t="s">
        <v>9675</v>
      </c>
      <c r="B1187">
        <v>7158</v>
      </c>
      <c r="C1187" t="s">
        <v>9674</v>
      </c>
      <c r="D1187" t="s">
        <v>5597</v>
      </c>
      <c r="E1187" t="s">
        <v>9815</v>
      </c>
      <c r="F1187" t="s">
        <v>5595</v>
      </c>
    </row>
    <row r="1188" spans="1:6">
      <c r="A1188" t="s">
        <v>9675</v>
      </c>
      <c r="B1188">
        <v>7979</v>
      </c>
      <c r="C1188" t="s">
        <v>9674</v>
      </c>
      <c r="D1188" t="s">
        <v>5597</v>
      </c>
      <c r="E1188" t="s">
        <v>9815</v>
      </c>
      <c r="F1188" t="s">
        <v>5595</v>
      </c>
    </row>
    <row r="1189" spans="1:6">
      <c r="A1189" t="s">
        <v>9675</v>
      </c>
      <c r="B1189">
        <v>7947</v>
      </c>
      <c r="C1189" t="s">
        <v>9674</v>
      </c>
      <c r="D1189" t="s">
        <v>5597</v>
      </c>
      <c r="E1189" t="s">
        <v>9815</v>
      </c>
      <c r="F1189" t="s">
        <v>5595</v>
      </c>
    </row>
    <row r="1190" spans="1:6">
      <c r="A1190" t="s">
        <v>9675</v>
      </c>
      <c r="B1190">
        <v>5454</v>
      </c>
      <c r="C1190" t="s">
        <v>9674</v>
      </c>
      <c r="D1190" t="s">
        <v>5597</v>
      </c>
      <c r="E1190" t="s">
        <v>9815</v>
      </c>
      <c r="F1190" t="s">
        <v>5595</v>
      </c>
    </row>
    <row r="1191" spans="1:6">
      <c r="A1191" t="s">
        <v>9675</v>
      </c>
      <c r="B1191">
        <v>7945</v>
      </c>
      <c r="C1191" t="s">
        <v>9674</v>
      </c>
      <c r="D1191" t="s">
        <v>5597</v>
      </c>
      <c r="E1191" t="s">
        <v>9815</v>
      </c>
      <c r="F1191" t="s">
        <v>5595</v>
      </c>
    </row>
    <row r="1192" spans="1:6">
      <c r="A1192" t="s">
        <v>9675</v>
      </c>
      <c r="B1192">
        <v>7949</v>
      </c>
      <c r="C1192" t="s">
        <v>9674</v>
      </c>
      <c r="D1192" t="s">
        <v>5597</v>
      </c>
      <c r="E1192" t="s">
        <v>9815</v>
      </c>
      <c r="F1192" t="s">
        <v>5595</v>
      </c>
    </row>
    <row r="1193" spans="1:6">
      <c r="A1193" t="s">
        <v>9675</v>
      </c>
      <c r="B1193">
        <v>5460</v>
      </c>
      <c r="C1193" t="s">
        <v>9674</v>
      </c>
      <c r="D1193" t="s">
        <v>5597</v>
      </c>
      <c r="E1193" t="s">
        <v>9815</v>
      </c>
      <c r="F1193" t="s">
        <v>5595</v>
      </c>
    </row>
    <row r="1194" spans="1:6">
      <c r="A1194" t="s">
        <v>9675</v>
      </c>
      <c r="B1194">
        <v>5466</v>
      </c>
      <c r="C1194" t="s">
        <v>9674</v>
      </c>
      <c r="D1194" t="s">
        <v>5597</v>
      </c>
      <c r="E1194" t="s">
        <v>9815</v>
      </c>
      <c r="F1194" t="s">
        <v>5595</v>
      </c>
    </row>
    <row r="1195" spans="1:6">
      <c r="A1195" t="s">
        <v>9675</v>
      </c>
      <c r="B1195">
        <v>7915</v>
      </c>
      <c r="C1195" t="s">
        <v>9674</v>
      </c>
      <c r="D1195" t="s">
        <v>5597</v>
      </c>
      <c r="E1195" t="s">
        <v>9815</v>
      </c>
      <c r="F1195" t="s">
        <v>5595</v>
      </c>
    </row>
    <row r="1196" spans="1:6">
      <c r="A1196" t="s">
        <v>9675</v>
      </c>
      <c r="B1196">
        <v>7980</v>
      </c>
      <c r="C1196" t="s">
        <v>9674</v>
      </c>
      <c r="D1196" t="s">
        <v>5597</v>
      </c>
      <c r="E1196" t="s">
        <v>9815</v>
      </c>
      <c r="F1196" t="s">
        <v>5595</v>
      </c>
    </row>
    <row r="1197" spans="1:6">
      <c r="A1197" t="s">
        <v>9675</v>
      </c>
      <c r="B1197">
        <v>6630</v>
      </c>
      <c r="C1197" t="s">
        <v>9674</v>
      </c>
      <c r="D1197" t="s">
        <v>5597</v>
      </c>
      <c r="E1197" t="s">
        <v>9815</v>
      </c>
      <c r="F1197" t="s">
        <v>5595</v>
      </c>
    </row>
    <row r="1198" spans="1:6">
      <c r="A1198" t="s">
        <v>9675</v>
      </c>
      <c r="B1198">
        <v>7943</v>
      </c>
      <c r="C1198" t="s">
        <v>9674</v>
      </c>
      <c r="D1198" t="s">
        <v>5597</v>
      </c>
      <c r="E1198" t="s">
        <v>9815</v>
      </c>
      <c r="F1198" t="s">
        <v>5595</v>
      </c>
    </row>
    <row r="1199" spans="1:6">
      <c r="A1199" t="s">
        <v>9675</v>
      </c>
      <c r="B1199">
        <v>7985</v>
      </c>
      <c r="C1199" t="s">
        <v>9674</v>
      </c>
      <c r="D1199" t="s">
        <v>5597</v>
      </c>
      <c r="E1199" t="s">
        <v>9815</v>
      </c>
      <c r="F1199" t="s">
        <v>5595</v>
      </c>
    </row>
    <row r="1200" spans="1:6">
      <c r="A1200" t="s">
        <v>9675</v>
      </c>
      <c r="B1200">
        <v>5462</v>
      </c>
      <c r="C1200" t="s">
        <v>9674</v>
      </c>
      <c r="D1200" t="s">
        <v>5597</v>
      </c>
      <c r="E1200" t="s">
        <v>9815</v>
      </c>
      <c r="F1200" t="s">
        <v>5595</v>
      </c>
    </row>
    <row r="1201" spans="1:6">
      <c r="A1201" t="s">
        <v>9675</v>
      </c>
      <c r="B1201">
        <v>5463</v>
      </c>
      <c r="C1201" t="s">
        <v>9674</v>
      </c>
      <c r="D1201" t="s">
        <v>5597</v>
      </c>
      <c r="E1201" t="s">
        <v>9815</v>
      </c>
      <c r="F1201" t="s">
        <v>5595</v>
      </c>
    </row>
    <row r="1202" spans="1:6">
      <c r="A1202" t="s">
        <v>9675</v>
      </c>
      <c r="B1202">
        <v>9307</v>
      </c>
      <c r="C1202" t="s">
        <v>9674</v>
      </c>
      <c r="D1202" t="s">
        <v>5597</v>
      </c>
      <c r="E1202" t="s">
        <v>9815</v>
      </c>
      <c r="F1202" t="s">
        <v>5595</v>
      </c>
    </row>
    <row r="1203" spans="1:6">
      <c r="A1203" t="s">
        <v>9675</v>
      </c>
      <c r="B1203">
        <v>9306</v>
      </c>
      <c r="C1203" t="s">
        <v>9674</v>
      </c>
      <c r="D1203" t="s">
        <v>5597</v>
      </c>
      <c r="E1203" t="s">
        <v>9815</v>
      </c>
      <c r="F1203" t="s">
        <v>5595</v>
      </c>
    </row>
    <row r="1204" spans="1:6">
      <c r="A1204" t="s">
        <v>9675</v>
      </c>
      <c r="B1204">
        <v>8655</v>
      </c>
      <c r="C1204" t="s">
        <v>9674</v>
      </c>
      <c r="D1204" t="s">
        <v>5598</v>
      </c>
      <c r="E1204" t="s">
        <v>9816</v>
      </c>
      <c r="F1204" t="s">
        <v>5595</v>
      </c>
    </row>
    <row r="1205" spans="1:6">
      <c r="A1205" t="s">
        <v>9675</v>
      </c>
      <c r="B1205">
        <v>8836</v>
      </c>
      <c r="C1205" t="s">
        <v>9674</v>
      </c>
      <c r="D1205" t="s">
        <v>5598</v>
      </c>
      <c r="E1205" t="s">
        <v>9816</v>
      </c>
      <c r="F1205" t="s">
        <v>5595</v>
      </c>
    </row>
    <row r="1206" spans="1:6">
      <c r="A1206" t="s">
        <v>9675</v>
      </c>
      <c r="B1206">
        <v>8486</v>
      </c>
      <c r="C1206" t="s">
        <v>9674</v>
      </c>
      <c r="D1206" t="s">
        <v>5598</v>
      </c>
      <c r="E1206" t="s">
        <v>9816</v>
      </c>
      <c r="F1206" t="s">
        <v>5595</v>
      </c>
    </row>
    <row r="1207" spans="1:6">
      <c r="A1207" t="s">
        <v>9675</v>
      </c>
      <c r="B1207">
        <v>8478</v>
      </c>
      <c r="C1207" t="s">
        <v>9674</v>
      </c>
      <c r="D1207" t="s">
        <v>5598</v>
      </c>
      <c r="E1207" t="s">
        <v>9816</v>
      </c>
      <c r="F1207" t="s">
        <v>5595</v>
      </c>
    </row>
    <row r="1208" spans="1:6">
      <c r="A1208" t="s">
        <v>9675</v>
      </c>
      <c r="B1208">
        <v>8479</v>
      </c>
      <c r="C1208" t="s">
        <v>9674</v>
      </c>
      <c r="D1208" t="s">
        <v>5598</v>
      </c>
      <c r="E1208" t="s">
        <v>9816</v>
      </c>
      <c r="F1208" t="s">
        <v>5595</v>
      </c>
    </row>
    <row r="1209" spans="1:6">
      <c r="A1209" t="s">
        <v>9675</v>
      </c>
      <c r="B1209">
        <v>8480</v>
      </c>
      <c r="C1209" t="s">
        <v>9674</v>
      </c>
      <c r="D1209" t="s">
        <v>5598</v>
      </c>
      <c r="E1209" t="s">
        <v>9816</v>
      </c>
      <c r="F1209" t="s">
        <v>5595</v>
      </c>
    </row>
    <row r="1210" spans="1:6">
      <c r="A1210" t="s">
        <v>9675</v>
      </c>
      <c r="B1210">
        <v>8482</v>
      </c>
      <c r="C1210" t="s">
        <v>9674</v>
      </c>
      <c r="D1210" t="s">
        <v>5598</v>
      </c>
      <c r="E1210" t="s">
        <v>9816</v>
      </c>
      <c r="F1210" t="s">
        <v>5595</v>
      </c>
    </row>
    <row r="1211" spans="1:6">
      <c r="A1211" t="s">
        <v>9675</v>
      </c>
      <c r="B1211">
        <v>8487</v>
      </c>
      <c r="C1211" t="s">
        <v>9674</v>
      </c>
      <c r="D1211" t="s">
        <v>5598</v>
      </c>
      <c r="E1211" t="s">
        <v>9816</v>
      </c>
      <c r="F1211" t="s">
        <v>5595</v>
      </c>
    </row>
    <row r="1212" spans="1:6">
      <c r="A1212" t="s">
        <v>9675</v>
      </c>
      <c r="B1212">
        <v>8485</v>
      </c>
      <c r="C1212" t="s">
        <v>9674</v>
      </c>
      <c r="D1212" t="s">
        <v>5598</v>
      </c>
      <c r="E1212" t="s">
        <v>9816</v>
      </c>
      <c r="F1212" t="s">
        <v>5595</v>
      </c>
    </row>
    <row r="1213" spans="1:6">
      <c r="A1213" t="s">
        <v>9675</v>
      </c>
      <c r="B1213">
        <v>8490</v>
      </c>
      <c r="C1213" t="s">
        <v>9674</v>
      </c>
      <c r="D1213" t="s">
        <v>5598</v>
      </c>
      <c r="E1213" t="s">
        <v>9816</v>
      </c>
      <c r="F1213" t="s">
        <v>5595</v>
      </c>
    </row>
    <row r="1214" spans="1:6">
      <c r="A1214" t="s">
        <v>9675</v>
      </c>
      <c r="B1214">
        <v>8645</v>
      </c>
      <c r="C1214" t="s">
        <v>9674</v>
      </c>
      <c r="D1214" t="s">
        <v>5598</v>
      </c>
      <c r="E1214" t="s">
        <v>9816</v>
      </c>
      <c r="F1214" t="s">
        <v>5595</v>
      </c>
    </row>
    <row r="1215" spans="1:6">
      <c r="A1215" t="s">
        <v>9675</v>
      </c>
      <c r="B1215">
        <v>8646</v>
      </c>
      <c r="C1215" t="s">
        <v>9674</v>
      </c>
      <c r="D1215" t="s">
        <v>5598</v>
      </c>
      <c r="E1215" t="s">
        <v>9816</v>
      </c>
      <c r="F1215" t="s">
        <v>5595</v>
      </c>
    </row>
    <row r="1216" spans="1:6">
      <c r="A1216" t="s">
        <v>9675</v>
      </c>
      <c r="B1216">
        <v>8647</v>
      </c>
      <c r="C1216" t="s">
        <v>9674</v>
      </c>
      <c r="D1216" t="s">
        <v>5598</v>
      </c>
      <c r="E1216" t="s">
        <v>9816</v>
      </c>
      <c r="F1216" t="s">
        <v>5595</v>
      </c>
    </row>
    <row r="1217" spans="1:6">
      <c r="A1217" t="s">
        <v>9675</v>
      </c>
      <c r="B1217">
        <v>8649</v>
      </c>
      <c r="C1217" t="s">
        <v>9674</v>
      </c>
      <c r="D1217" t="s">
        <v>5598</v>
      </c>
      <c r="E1217" t="s">
        <v>9816</v>
      </c>
      <c r="F1217" t="s">
        <v>5595</v>
      </c>
    </row>
    <row r="1218" spans="1:6">
      <c r="A1218" t="s">
        <v>9675</v>
      </c>
      <c r="B1218">
        <v>8488</v>
      </c>
      <c r="C1218" t="s">
        <v>9674</v>
      </c>
      <c r="D1218" t="s">
        <v>5598</v>
      </c>
      <c r="E1218" t="s">
        <v>9816</v>
      </c>
      <c r="F1218" t="s">
        <v>5595</v>
      </c>
    </row>
    <row r="1219" spans="1:6">
      <c r="A1219" t="s">
        <v>9675</v>
      </c>
      <c r="B1219">
        <v>8648</v>
      </c>
      <c r="C1219" t="s">
        <v>9674</v>
      </c>
      <c r="D1219" t="s">
        <v>5598</v>
      </c>
      <c r="E1219" t="s">
        <v>9816</v>
      </c>
      <c r="F1219" t="s">
        <v>5595</v>
      </c>
    </row>
    <row r="1220" spans="1:6">
      <c r="A1220" t="s">
        <v>9675</v>
      </c>
      <c r="B1220">
        <v>8671</v>
      </c>
      <c r="C1220" t="s">
        <v>9674</v>
      </c>
      <c r="D1220" t="s">
        <v>5598</v>
      </c>
      <c r="E1220" t="s">
        <v>9816</v>
      </c>
      <c r="F1220" t="s">
        <v>5595</v>
      </c>
    </row>
    <row r="1221" spans="1:6">
      <c r="A1221" t="s">
        <v>9675</v>
      </c>
      <c r="B1221">
        <v>8841</v>
      </c>
      <c r="C1221" t="s">
        <v>9674</v>
      </c>
      <c r="D1221" t="s">
        <v>5598</v>
      </c>
      <c r="E1221" t="s">
        <v>9816</v>
      </c>
      <c r="F1221" t="s">
        <v>5595</v>
      </c>
    </row>
    <row r="1222" spans="1:6">
      <c r="A1222" t="s">
        <v>9675</v>
      </c>
      <c r="B1222">
        <v>8672</v>
      </c>
      <c r="C1222" t="s">
        <v>9674</v>
      </c>
      <c r="D1222" t="s">
        <v>5598</v>
      </c>
      <c r="E1222" t="s">
        <v>9816</v>
      </c>
      <c r="F1222" t="s">
        <v>5595</v>
      </c>
    </row>
    <row r="1223" spans="1:6">
      <c r="A1223" t="s">
        <v>9675</v>
      </c>
      <c r="B1223">
        <v>8673</v>
      </c>
      <c r="C1223" t="s">
        <v>9674</v>
      </c>
      <c r="D1223" t="s">
        <v>5598</v>
      </c>
      <c r="E1223" t="s">
        <v>9816</v>
      </c>
      <c r="F1223" t="s">
        <v>5595</v>
      </c>
    </row>
    <row r="1224" spans="1:6">
      <c r="A1224" t="s">
        <v>9675</v>
      </c>
      <c r="B1224">
        <v>8489</v>
      </c>
      <c r="C1224" t="s">
        <v>9674</v>
      </c>
      <c r="D1224" t="s">
        <v>5598</v>
      </c>
      <c r="E1224" t="s">
        <v>9816</v>
      </c>
      <c r="F1224" t="s">
        <v>5595</v>
      </c>
    </row>
    <row r="1225" spans="1:6">
      <c r="A1225" t="s">
        <v>9675</v>
      </c>
      <c r="B1225">
        <v>8491</v>
      </c>
      <c r="C1225" t="s">
        <v>9674</v>
      </c>
      <c r="D1225" t="s">
        <v>5598</v>
      </c>
      <c r="E1225" t="s">
        <v>9816</v>
      </c>
      <c r="F1225" t="s">
        <v>5595</v>
      </c>
    </row>
    <row r="1226" spans="1:6">
      <c r="A1226" t="s">
        <v>9675</v>
      </c>
      <c r="B1226">
        <v>8849</v>
      </c>
      <c r="C1226" t="s">
        <v>9674</v>
      </c>
      <c r="D1226" t="s">
        <v>5598</v>
      </c>
      <c r="E1226" t="s">
        <v>9816</v>
      </c>
      <c r="F1226" t="s">
        <v>5595</v>
      </c>
    </row>
    <row r="1227" spans="1:6">
      <c r="A1227" t="s">
        <v>9675</v>
      </c>
      <c r="B1227">
        <v>7969</v>
      </c>
      <c r="C1227" t="s">
        <v>9674</v>
      </c>
      <c r="D1227" t="s">
        <v>5598</v>
      </c>
      <c r="E1227" t="s">
        <v>9816</v>
      </c>
      <c r="F1227" t="s">
        <v>5595</v>
      </c>
    </row>
    <row r="1228" spans="1:6">
      <c r="A1228" t="s">
        <v>9675</v>
      </c>
      <c r="B1228">
        <v>8654</v>
      </c>
      <c r="C1228" t="s">
        <v>9674</v>
      </c>
      <c r="D1228" t="s">
        <v>5598</v>
      </c>
      <c r="E1228" t="s">
        <v>9816</v>
      </c>
      <c r="F1228" t="s">
        <v>5595</v>
      </c>
    </row>
    <row r="1229" spans="1:6">
      <c r="A1229" t="s">
        <v>9675</v>
      </c>
      <c r="B1229">
        <v>8675</v>
      </c>
      <c r="C1229" t="s">
        <v>9674</v>
      </c>
      <c r="D1229" t="s">
        <v>5598</v>
      </c>
      <c r="E1229" t="s">
        <v>9816</v>
      </c>
      <c r="F1229" t="s">
        <v>5595</v>
      </c>
    </row>
    <row r="1230" spans="1:6">
      <c r="A1230" t="s">
        <v>9675</v>
      </c>
      <c r="B1230">
        <v>8847</v>
      </c>
      <c r="C1230" t="s">
        <v>9674</v>
      </c>
      <c r="D1230" t="s">
        <v>5598</v>
      </c>
      <c r="E1230" t="s">
        <v>9816</v>
      </c>
      <c r="F1230" t="s">
        <v>5595</v>
      </c>
    </row>
    <row r="1231" spans="1:6">
      <c r="A1231" t="s">
        <v>9675</v>
      </c>
      <c r="B1231">
        <v>8840</v>
      </c>
      <c r="C1231" t="s">
        <v>9674</v>
      </c>
      <c r="D1231" t="s">
        <v>5598</v>
      </c>
      <c r="E1231" t="s">
        <v>9816</v>
      </c>
      <c r="F1231" t="s">
        <v>5595</v>
      </c>
    </row>
    <row r="1232" spans="1:6">
      <c r="A1232" t="s">
        <v>9675</v>
      </c>
      <c r="B1232">
        <v>8834</v>
      </c>
      <c r="C1232" t="s">
        <v>9674</v>
      </c>
      <c r="D1232" t="s">
        <v>5598</v>
      </c>
      <c r="E1232" t="s">
        <v>9816</v>
      </c>
      <c r="F1232" t="s">
        <v>5595</v>
      </c>
    </row>
    <row r="1233" spans="1:6">
      <c r="A1233" t="s">
        <v>9675</v>
      </c>
      <c r="B1233">
        <v>4347</v>
      </c>
      <c r="C1233" t="s">
        <v>9674</v>
      </c>
      <c r="D1233" t="s">
        <v>5598</v>
      </c>
      <c r="E1233" t="s">
        <v>9816</v>
      </c>
      <c r="F1233" t="s">
        <v>5595</v>
      </c>
    </row>
    <row r="1234" spans="1:6">
      <c r="A1234" t="s">
        <v>9675</v>
      </c>
      <c r="B1234">
        <v>4362</v>
      </c>
      <c r="C1234" t="s">
        <v>9674</v>
      </c>
      <c r="D1234" t="s">
        <v>5598</v>
      </c>
      <c r="E1234" t="s">
        <v>9816</v>
      </c>
      <c r="F1234" t="s">
        <v>5595</v>
      </c>
    </row>
    <row r="1235" spans="1:6">
      <c r="A1235" t="s">
        <v>9675</v>
      </c>
      <c r="B1235">
        <v>4363</v>
      </c>
      <c r="C1235" t="s">
        <v>9674</v>
      </c>
      <c r="D1235" t="s">
        <v>5598</v>
      </c>
      <c r="E1235" t="s">
        <v>9816</v>
      </c>
      <c r="F1235" t="s">
        <v>5595</v>
      </c>
    </row>
    <row r="1236" spans="1:6">
      <c r="A1236" t="s">
        <v>9675</v>
      </c>
      <c r="B1236">
        <v>4367</v>
      </c>
      <c r="C1236" t="s">
        <v>9674</v>
      </c>
      <c r="D1236" t="s">
        <v>5598</v>
      </c>
      <c r="E1236" t="s">
        <v>9816</v>
      </c>
      <c r="F1236" t="s">
        <v>5595</v>
      </c>
    </row>
    <row r="1237" spans="1:6">
      <c r="A1237" t="s">
        <v>9675</v>
      </c>
      <c r="B1237">
        <v>4368</v>
      </c>
      <c r="C1237" t="s">
        <v>9674</v>
      </c>
      <c r="D1237" t="s">
        <v>5598</v>
      </c>
      <c r="E1237" t="s">
        <v>9816</v>
      </c>
      <c r="F1237" t="s">
        <v>5595</v>
      </c>
    </row>
    <row r="1238" spans="1:6">
      <c r="A1238" t="s">
        <v>9675</v>
      </c>
      <c r="B1238">
        <v>7327</v>
      </c>
      <c r="C1238" t="s">
        <v>9674</v>
      </c>
      <c r="D1238" t="s">
        <v>5598</v>
      </c>
      <c r="E1238" t="s">
        <v>9816</v>
      </c>
      <c r="F1238" t="s">
        <v>5595</v>
      </c>
    </row>
    <row r="1239" spans="1:6">
      <c r="A1239" t="s">
        <v>9675</v>
      </c>
      <c r="B1239">
        <v>7328</v>
      </c>
      <c r="C1239" t="s">
        <v>9674</v>
      </c>
      <c r="D1239" t="s">
        <v>5598</v>
      </c>
      <c r="E1239" t="s">
        <v>9816</v>
      </c>
      <c r="F1239" t="s">
        <v>5595</v>
      </c>
    </row>
    <row r="1240" spans="1:6">
      <c r="A1240" t="s">
        <v>9675</v>
      </c>
      <c r="B1240">
        <v>4365</v>
      </c>
      <c r="C1240" t="s">
        <v>9674</v>
      </c>
      <c r="D1240" t="s">
        <v>5598</v>
      </c>
      <c r="E1240" t="s">
        <v>9816</v>
      </c>
      <c r="F1240" t="s">
        <v>5595</v>
      </c>
    </row>
    <row r="1241" spans="1:6">
      <c r="A1241" t="s">
        <v>9675</v>
      </c>
      <c r="B1241">
        <v>4364</v>
      </c>
      <c r="C1241" t="s">
        <v>9674</v>
      </c>
      <c r="D1241" t="s">
        <v>5598</v>
      </c>
      <c r="E1241" t="s">
        <v>9816</v>
      </c>
      <c r="F1241" t="s">
        <v>5595</v>
      </c>
    </row>
    <row r="1242" spans="1:6">
      <c r="A1242" t="s">
        <v>9675</v>
      </c>
      <c r="B1242">
        <v>4194</v>
      </c>
      <c r="C1242" t="s">
        <v>9674</v>
      </c>
      <c r="D1242" t="s">
        <v>5598</v>
      </c>
      <c r="E1242" t="s">
        <v>9816</v>
      </c>
      <c r="F1242" t="s">
        <v>5595</v>
      </c>
    </row>
    <row r="1243" spans="1:6">
      <c r="A1243" t="s">
        <v>9675</v>
      </c>
      <c r="B1243">
        <v>4190</v>
      </c>
      <c r="C1243" t="s">
        <v>9674</v>
      </c>
      <c r="D1243" t="s">
        <v>5598</v>
      </c>
      <c r="E1243" t="s">
        <v>9816</v>
      </c>
      <c r="F1243" t="s">
        <v>5595</v>
      </c>
    </row>
    <row r="1244" spans="1:6">
      <c r="A1244" t="s">
        <v>9675</v>
      </c>
      <c r="B1244">
        <v>4251</v>
      </c>
      <c r="C1244" t="s">
        <v>9674</v>
      </c>
      <c r="D1244" t="s">
        <v>5598</v>
      </c>
      <c r="E1244" t="s">
        <v>9816</v>
      </c>
      <c r="F1244" t="s">
        <v>5595</v>
      </c>
    </row>
    <row r="1245" spans="1:6">
      <c r="A1245" t="s">
        <v>9675</v>
      </c>
      <c r="B1245">
        <v>4252</v>
      </c>
      <c r="C1245" t="s">
        <v>9674</v>
      </c>
      <c r="D1245" t="s">
        <v>5598</v>
      </c>
      <c r="E1245" t="s">
        <v>9816</v>
      </c>
      <c r="F1245" t="s">
        <v>5595</v>
      </c>
    </row>
    <row r="1246" spans="1:6">
      <c r="A1246" t="s">
        <v>9675</v>
      </c>
      <c r="B1246">
        <v>2583</v>
      </c>
      <c r="C1246" t="s">
        <v>9674</v>
      </c>
      <c r="D1246" t="s">
        <v>5598</v>
      </c>
      <c r="E1246" t="s">
        <v>9816</v>
      </c>
      <c r="F1246" t="s">
        <v>5595</v>
      </c>
    </row>
    <row r="1247" spans="1:6">
      <c r="A1247" t="s">
        <v>9675</v>
      </c>
      <c r="B1247">
        <v>5458</v>
      </c>
      <c r="C1247" t="s">
        <v>9674</v>
      </c>
      <c r="D1247" t="s">
        <v>5598</v>
      </c>
      <c r="E1247" t="s">
        <v>9816</v>
      </c>
      <c r="F1247" t="s">
        <v>5595</v>
      </c>
    </row>
    <row r="1248" spans="1:6">
      <c r="A1248" t="s">
        <v>9675</v>
      </c>
      <c r="B1248">
        <v>7382</v>
      </c>
      <c r="C1248" t="s">
        <v>9674</v>
      </c>
      <c r="D1248" t="s">
        <v>5598</v>
      </c>
      <c r="E1248" t="s">
        <v>9816</v>
      </c>
      <c r="F1248" t="s">
        <v>5595</v>
      </c>
    </row>
    <row r="1249" spans="1:6">
      <c r="A1249" t="s">
        <v>9675</v>
      </c>
      <c r="B1249">
        <v>4192</v>
      </c>
      <c r="C1249" t="s">
        <v>9674</v>
      </c>
      <c r="D1249" t="s">
        <v>5598</v>
      </c>
      <c r="E1249" t="s">
        <v>9816</v>
      </c>
      <c r="F1249" t="s">
        <v>5595</v>
      </c>
    </row>
    <row r="1250" spans="1:6">
      <c r="A1250" t="s">
        <v>9675</v>
      </c>
      <c r="B1250">
        <v>4193</v>
      </c>
      <c r="C1250" t="s">
        <v>9674</v>
      </c>
      <c r="D1250" t="s">
        <v>5598</v>
      </c>
      <c r="E1250" t="s">
        <v>9816</v>
      </c>
      <c r="F1250" t="s">
        <v>5595</v>
      </c>
    </row>
    <row r="1251" spans="1:6">
      <c r="A1251" t="s">
        <v>9675</v>
      </c>
      <c r="B1251">
        <v>7973</v>
      </c>
      <c r="C1251" t="s">
        <v>9674</v>
      </c>
      <c r="D1251" t="s">
        <v>5598</v>
      </c>
      <c r="E1251" t="s">
        <v>9816</v>
      </c>
      <c r="F1251" t="s">
        <v>5595</v>
      </c>
    </row>
    <row r="1252" spans="1:6">
      <c r="A1252" t="s">
        <v>9675</v>
      </c>
      <c r="B1252">
        <v>7975</v>
      </c>
      <c r="C1252" t="s">
        <v>9674</v>
      </c>
      <c r="D1252" t="s">
        <v>5598</v>
      </c>
      <c r="E1252" t="s">
        <v>9816</v>
      </c>
      <c r="F1252" t="s">
        <v>5595</v>
      </c>
    </row>
    <row r="1253" spans="1:6">
      <c r="A1253" t="s">
        <v>9675</v>
      </c>
      <c r="B1253">
        <v>7974</v>
      </c>
      <c r="C1253" t="s">
        <v>9674</v>
      </c>
      <c r="D1253" t="s">
        <v>5598</v>
      </c>
      <c r="E1253" t="s">
        <v>9816</v>
      </c>
      <c r="F1253" t="s">
        <v>5595</v>
      </c>
    </row>
    <row r="1254" spans="1:6">
      <c r="A1254" t="s">
        <v>9675</v>
      </c>
      <c r="B1254">
        <v>7976</v>
      </c>
      <c r="C1254" t="s">
        <v>9674</v>
      </c>
      <c r="D1254" t="s">
        <v>5598</v>
      </c>
      <c r="E1254" t="s">
        <v>9816</v>
      </c>
      <c r="F1254" t="s">
        <v>5595</v>
      </c>
    </row>
    <row r="1255" spans="1:6">
      <c r="A1255" t="s">
        <v>9675</v>
      </c>
      <c r="B1255">
        <v>7836</v>
      </c>
      <c r="C1255" t="s">
        <v>9674</v>
      </c>
      <c r="D1255" t="s">
        <v>5598</v>
      </c>
      <c r="E1255" t="s">
        <v>9816</v>
      </c>
      <c r="F1255" t="s">
        <v>5595</v>
      </c>
    </row>
    <row r="1256" spans="1:6">
      <c r="A1256" t="s">
        <v>9675</v>
      </c>
      <c r="B1256">
        <v>7837</v>
      </c>
      <c r="C1256" t="s">
        <v>9674</v>
      </c>
      <c r="D1256" t="s">
        <v>5598</v>
      </c>
      <c r="E1256" t="s">
        <v>9816</v>
      </c>
      <c r="F1256" t="s">
        <v>5595</v>
      </c>
    </row>
    <row r="1257" spans="1:6">
      <c r="A1257" t="s">
        <v>9675</v>
      </c>
      <c r="B1257">
        <v>7379</v>
      </c>
      <c r="C1257" t="s">
        <v>9674</v>
      </c>
      <c r="D1257" t="s">
        <v>5598</v>
      </c>
      <c r="E1257" t="s">
        <v>9816</v>
      </c>
      <c r="F1257" t="s">
        <v>5595</v>
      </c>
    </row>
    <row r="1258" spans="1:6">
      <c r="A1258" t="s">
        <v>9675</v>
      </c>
      <c r="B1258">
        <v>7378</v>
      </c>
      <c r="C1258" t="s">
        <v>9674</v>
      </c>
      <c r="D1258" t="s">
        <v>5598</v>
      </c>
      <c r="E1258" t="s">
        <v>9816</v>
      </c>
      <c r="F1258" t="s">
        <v>5595</v>
      </c>
    </row>
    <row r="1259" spans="1:6">
      <c r="A1259" t="s">
        <v>9675</v>
      </c>
      <c r="B1259">
        <v>7948</v>
      </c>
      <c r="C1259" t="s">
        <v>9674</v>
      </c>
      <c r="D1259" t="s">
        <v>5598</v>
      </c>
      <c r="E1259" t="s">
        <v>9816</v>
      </c>
      <c r="F1259" t="s">
        <v>5595</v>
      </c>
    </row>
    <row r="1260" spans="1:6">
      <c r="A1260" t="s">
        <v>9675</v>
      </c>
      <c r="B1260">
        <v>7940</v>
      </c>
      <c r="C1260" t="s">
        <v>9674</v>
      </c>
      <c r="D1260" t="s">
        <v>5598</v>
      </c>
      <c r="E1260" t="s">
        <v>9816</v>
      </c>
      <c r="F1260" t="s">
        <v>5595</v>
      </c>
    </row>
    <row r="1261" spans="1:6">
      <c r="A1261" t="s">
        <v>9675</v>
      </c>
      <c r="B1261">
        <v>7941</v>
      </c>
      <c r="C1261" t="s">
        <v>9674</v>
      </c>
      <c r="D1261" t="s">
        <v>5598</v>
      </c>
      <c r="E1261" t="s">
        <v>9816</v>
      </c>
      <c r="F1261" t="s">
        <v>5595</v>
      </c>
    </row>
    <row r="1262" spans="1:6">
      <c r="A1262" t="s">
        <v>9675</v>
      </c>
      <c r="B1262">
        <v>7984</v>
      </c>
      <c r="C1262" t="s">
        <v>9674</v>
      </c>
      <c r="D1262" t="s">
        <v>5598</v>
      </c>
      <c r="E1262" t="s">
        <v>9816</v>
      </c>
      <c r="F1262" t="s">
        <v>5595</v>
      </c>
    </row>
    <row r="1263" spans="1:6">
      <c r="A1263" t="s">
        <v>9745</v>
      </c>
      <c r="B1263">
        <v>6411</v>
      </c>
      <c r="C1263" t="s">
        <v>9728</v>
      </c>
      <c r="D1263" t="s">
        <v>9744</v>
      </c>
      <c r="E1263">
        <v>336</v>
      </c>
      <c r="F1263" t="s">
        <v>5606</v>
      </c>
    </row>
    <row r="1264" spans="1:6">
      <c r="A1264" t="s">
        <v>9745</v>
      </c>
      <c r="B1264">
        <v>6411</v>
      </c>
      <c r="C1264" t="s">
        <v>9765</v>
      </c>
      <c r="D1264" t="s">
        <v>9773</v>
      </c>
      <c r="E1264" t="s">
        <v>9886</v>
      </c>
      <c r="F1264" t="s">
        <v>5606</v>
      </c>
    </row>
    <row r="1265" spans="1:6">
      <c r="A1265" t="s">
        <v>9745</v>
      </c>
      <c r="B1265">
        <v>6411</v>
      </c>
      <c r="C1265" t="s">
        <v>9784</v>
      </c>
      <c r="D1265" t="s">
        <v>9783</v>
      </c>
      <c r="E1265">
        <v>264</v>
      </c>
      <c r="F1265" t="s">
        <v>5606</v>
      </c>
    </row>
    <row r="1266" spans="1:6">
      <c r="A1266" t="s">
        <v>9745</v>
      </c>
      <c r="B1266">
        <v>6411</v>
      </c>
      <c r="C1266" t="s">
        <v>9791</v>
      </c>
      <c r="D1266" t="s">
        <v>9790</v>
      </c>
      <c r="E1266">
        <v>300</v>
      </c>
      <c r="F1266" t="s">
        <v>5606</v>
      </c>
    </row>
    <row r="1267" spans="1:6">
      <c r="A1267" t="s">
        <v>9745</v>
      </c>
      <c r="B1267">
        <v>6411</v>
      </c>
      <c r="C1267" t="s">
        <v>9728</v>
      </c>
      <c r="D1267" t="s">
        <v>9744</v>
      </c>
      <c r="E1267">
        <v>336</v>
      </c>
      <c r="F1267" t="s">
        <v>5606</v>
      </c>
    </row>
    <row r="1268" spans="1:6">
      <c r="A1268" t="s">
        <v>9745</v>
      </c>
      <c r="B1268">
        <v>6411</v>
      </c>
      <c r="C1268" t="s">
        <v>9765</v>
      </c>
      <c r="D1268" t="s">
        <v>9773</v>
      </c>
      <c r="E1268" t="s">
        <v>9886</v>
      </c>
      <c r="F1268" t="s">
        <v>5606</v>
      </c>
    </row>
    <row r="1269" spans="1:6">
      <c r="A1269" t="s">
        <v>9745</v>
      </c>
      <c r="B1269">
        <v>6411</v>
      </c>
      <c r="C1269" t="s">
        <v>9784</v>
      </c>
      <c r="D1269" t="s">
        <v>9783</v>
      </c>
      <c r="E1269">
        <v>264</v>
      </c>
      <c r="F1269" t="s">
        <v>5606</v>
      </c>
    </row>
    <row r="1270" spans="1:6">
      <c r="A1270" t="s">
        <v>9745</v>
      </c>
      <c r="B1270">
        <v>6411</v>
      </c>
      <c r="C1270" t="s">
        <v>9791</v>
      </c>
      <c r="D1270" t="s">
        <v>9790</v>
      </c>
      <c r="E1270">
        <v>300</v>
      </c>
      <c r="F1270" t="s">
        <v>5606</v>
      </c>
    </row>
    <row r="1271" spans="1:6">
      <c r="A1271" t="s">
        <v>9747</v>
      </c>
      <c r="B1271">
        <v>6411</v>
      </c>
      <c r="C1271" t="s">
        <v>9728</v>
      </c>
      <c r="D1271" t="s">
        <v>9746</v>
      </c>
      <c r="E1271" t="s">
        <v>9880</v>
      </c>
      <c r="F1271" t="s">
        <v>5606</v>
      </c>
    </row>
    <row r="1272" spans="1:6">
      <c r="A1272" t="s">
        <v>9747</v>
      </c>
      <c r="B1272">
        <v>6411</v>
      </c>
      <c r="C1272" t="s">
        <v>9765</v>
      </c>
      <c r="D1272" t="s">
        <v>9774</v>
      </c>
      <c r="E1272">
        <v>516</v>
      </c>
      <c r="F1272" t="s">
        <v>5606</v>
      </c>
    </row>
    <row r="1273" spans="1:6">
      <c r="A1273" t="s">
        <v>9747</v>
      </c>
      <c r="B1273">
        <v>6411</v>
      </c>
      <c r="C1273" t="s">
        <v>9784</v>
      </c>
      <c r="D1273" t="s">
        <v>9785</v>
      </c>
      <c r="E1273">
        <v>336</v>
      </c>
      <c r="F1273" t="s">
        <v>5606</v>
      </c>
    </row>
    <row r="1274" spans="1:6">
      <c r="A1274" t="s">
        <v>9747</v>
      </c>
      <c r="B1274">
        <v>6411</v>
      </c>
      <c r="C1274" t="s">
        <v>9791</v>
      </c>
      <c r="D1274" t="s">
        <v>9792</v>
      </c>
      <c r="E1274">
        <v>384</v>
      </c>
      <c r="F1274" t="s">
        <v>5606</v>
      </c>
    </row>
    <row r="1275" spans="1:6">
      <c r="A1275" t="s">
        <v>9747</v>
      </c>
      <c r="B1275">
        <v>6411</v>
      </c>
      <c r="C1275" t="s">
        <v>9728</v>
      </c>
      <c r="D1275" t="s">
        <v>9746</v>
      </c>
      <c r="E1275" t="s">
        <v>9880</v>
      </c>
      <c r="F1275" t="s">
        <v>5606</v>
      </c>
    </row>
    <row r="1276" spans="1:6">
      <c r="A1276" t="s">
        <v>9747</v>
      </c>
      <c r="B1276">
        <v>6411</v>
      </c>
      <c r="C1276" t="s">
        <v>9765</v>
      </c>
      <c r="D1276" t="s">
        <v>9774</v>
      </c>
      <c r="E1276">
        <v>516</v>
      </c>
      <c r="F1276" t="s">
        <v>5606</v>
      </c>
    </row>
    <row r="1277" spans="1:6">
      <c r="A1277" t="s">
        <v>9747</v>
      </c>
      <c r="B1277">
        <v>6411</v>
      </c>
      <c r="C1277" t="s">
        <v>9784</v>
      </c>
      <c r="D1277" t="s">
        <v>9785</v>
      </c>
      <c r="E1277">
        <v>336</v>
      </c>
      <c r="F1277" t="s">
        <v>5606</v>
      </c>
    </row>
    <row r="1278" spans="1:6">
      <c r="A1278" t="s">
        <v>9747</v>
      </c>
      <c r="B1278">
        <v>6411</v>
      </c>
      <c r="C1278" t="s">
        <v>9791</v>
      </c>
      <c r="D1278" t="s">
        <v>9792</v>
      </c>
      <c r="E1278">
        <v>384</v>
      </c>
      <c r="F1278" t="s">
        <v>5606</v>
      </c>
    </row>
    <row r="1279" spans="1:6">
      <c r="A1279" t="s">
        <v>9753</v>
      </c>
      <c r="B1279">
        <v>6411</v>
      </c>
      <c r="C1279" t="s">
        <v>9728</v>
      </c>
      <c r="D1279" t="s">
        <v>9752</v>
      </c>
      <c r="E1279">
        <v>624</v>
      </c>
      <c r="F1279" t="s">
        <v>5601</v>
      </c>
    </row>
    <row r="1280" spans="1:6">
      <c r="A1280" t="s">
        <v>9753</v>
      </c>
      <c r="B1280">
        <v>6411</v>
      </c>
      <c r="C1280" t="s">
        <v>9765</v>
      </c>
      <c r="D1280" t="s">
        <v>9777</v>
      </c>
      <c r="E1280">
        <v>732</v>
      </c>
      <c r="F1280" t="s">
        <v>5601</v>
      </c>
    </row>
    <row r="1281" spans="1:6">
      <c r="A1281" t="s">
        <v>9753</v>
      </c>
      <c r="B1281">
        <v>6411</v>
      </c>
      <c r="C1281" t="s">
        <v>9784</v>
      </c>
      <c r="D1281" t="s">
        <v>9786</v>
      </c>
      <c r="E1281">
        <v>480</v>
      </c>
      <c r="F1281" t="s">
        <v>5601</v>
      </c>
    </row>
    <row r="1282" spans="1:6">
      <c r="A1282" t="s">
        <v>9753</v>
      </c>
      <c r="B1282">
        <v>6411</v>
      </c>
      <c r="C1282" t="s">
        <v>9791</v>
      </c>
      <c r="D1282" t="s">
        <v>9793</v>
      </c>
      <c r="E1282">
        <v>540</v>
      </c>
      <c r="F1282" t="s">
        <v>5601</v>
      </c>
    </row>
    <row r="1283" spans="1:6">
      <c r="A1283" t="s">
        <v>9753</v>
      </c>
      <c r="B1283">
        <v>6411</v>
      </c>
      <c r="C1283" t="s">
        <v>9728</v>
      </c>
      <c r="D1283" t="s">
        <v>9752</v>
      </c>
      <c r="E1283">
        <v>624</v>
      </c>
      <c r="F1283" t="s">
        <v>5601</v>
      </c>
    </row>
    <row r="1284" spans="1:6">
      <c r="A1284" t="s">
        <v>9753</v>
      </c>
      <c r="B1284">
        <v>6411</v>
      </c>
      <c r="C1284" t="s">
        <v>9765</v>
      </c>
      <c r="D1284" t="s">
        <v>9777</v>
      </c>
      <c r="E1284">
        <v>732</v>
      </c>
      <c r="F1284" t="s">
        <v>5601</v>
      </c>
    </row>
    <row r="1285" spans="1:6">
      <c r="A1285" t="s">
        <v>9753</v>
      </c>
      <c r="B1285">
        <v>6411</v>
      </c>
      <c r="C1285" t="s">
        <v>9784</v>
      </c>
      <c r="D1285" t="s">
        <v>9786</v>
      </c>
      <c r="E1285">
        <v>480</v>
      </c>
      <c r="F1285" t="s">
        <v>5601</v>
      </c>
    </row>
    <row r="1286" spans="1:6">
      <c r="A1286" t="s">
        <v>9753</v>
      </c>
      <c r="B1286">
        <v>6411</v>
      </c>
      <c r="C1286" t="s">
        <v>9791</v>
      </c>
      <c r="D1286" t="s">
        <v>9793</v>
      </c>
      <c r="E1286">
        <v>540</v>
      </c>
      <c r="F1286" t="s">
        <v>5601</v>
      </c>
    </row>
    <row r="1287" spans="1:6">
      <c r="A1287" t="s">
        <v>9755</v>
      </c>
      <c r="B1287">
        <v>6411</v>
      </c>
      <c r="C1287" t="s">
        <v>9728</v>
      </c>
      <c r="D1287" t="s">
        <v>9754</v>
      </c>
      <c r="E1287">
        <v>816</v>
      </c>
      <c r="F1287" t="s">
        <v>5601</v>
      </c>
    </row>
    <row r="1288" spans="1:6">
      <c r="A1288" t="s">
        <v>9755</v>
      </c>
      <c r="B1288">
        <v>6411</v>
      </c>
      <c r="C1288" t="s">
        <v>9765</v>
      </c>
      <c r="D1288" t="s">
        <v>9778</v>
      </c>
      <c r="E1288">
        <v>912</v>
      </c>
      <c r="F1288" t="s">
        <v>5601</v>
      </c>
    </row>
    <row r="1289" spans="1:6">
      <c r="A1289" t="s">
        <v>9755</v>
      </c>
      <c r="B1289">
        <v>6411</v>
      </c>
      <c r="C1289" t="s">
        <v>9784</v>
      </c>
      <c r="D1289" t="s">
        <v>9787</v>
      </c>
      <c r="E1289">
        <v>624</v>
      </c>
      <c r="F1289" t="s">
        <v>5601</v>
      </c>
    </row>
    <row r="1290" spans="1:6">
      <c r="A1290" t="s">
        <v>9755</v>
      </c>
      <c r="B1290">
        <v>6411</v>
      </c>
      <c r="C1290" t="s">
        <v>9791</v>
      </c>
      <c r="D1290" t="s">
        <v>9794</v>
      </c>
      <c r="E1290">
        <v>720</v>
      </c>
      <c r="F1290" t="s">
        <v>5601</v>
      </c>
    </row>
    <row r="1291" spans="1:6">
      <c r="A1291" t="s">
        <v>9755</v>
      </c>
      <c r="B1291">
        <v>6411</v>
      </c>
      <c r="C1291" t="s">
        <v>9728</v>
      </c>
      <c r="D1291" t="s">
        <v>9754</v>
      </c>
      <c r="E1291">
        <v>816</v>
      </c>
      <c r="F1291" t="s">
        <v>5601</v>
      </c>
    </row>
    <row r="1292" spans="1:6">
      <c r="A1292" t="s">
        <v>9755</v>
      </c>
      <c r="B1292">
        <v>6411</v>
      </c>
      <c r="C1292" t="s">
        <v>9765</v>
      </c>
      <c r="D1292" t="s">
        <v>9778</v>
      </c>
      <c r="E1292">
        <v>912</v>
      </c>
      <c r="F1292" t="s">
        <v>5601</v>
      </c>
    </row>
    <row r="1293" spans="1:6">
      <c r="A1293" t="s">
        <v>9755</v>
      </c>
      <c r="B1293">
        <v>6411</v>
      </c>
      <c r="C1293" t="s">
        <v>9784</v>
      </c>
      <c r="D1293" t="s">
        <v>9787</v>
      </c>
      <c r="E1293">
        <v>624</v>
      </c>
      <c r="F1293" t="s">
        <v>5601</v>
      </c>
    </row>
    <row r="1294" spans="1:6">
      <c r="A1294" t="s">
        <v>9755</v>
      </c>
      <c r="B1294">
        <v>6411</v>
      </c>
      <c r="C1294" t="s">
        <v>9791</v>
      </c>
      <c r="D1294" t="s">
        <v>9794</v>
      </c>
      <c r="E1294">
        <v>720</v>
      </c>
      <c r="F1294" t="s">
        <v>5601</v>
      </c>
    </row>
    <row r="1295" spans="1:6">
      <c r="A1295" t="s">
        <v>9761</v>
      </c>
      <c r="B1295">
        <v>6411</v>
      </c>
      <c r="C1295" t="s">
        <v>9728</v>
      </c>
      <c r="D1295" t="s">
        <v>9760</v>
      </c>
      <c r="E1295">
        <v>912</v>
      </c>
      <c r="F1295" t="s">
        <v>5595</v>
      </c>
    </row>
    <row r="1296" spans="1:6">
      <c r="A1296" t="s">
        <v>9761</v>
      </c>
      <c r="B1296">
        <v>6411</v>
      </c>
      <c r="C1296" t="s">
        <v>9765</v>
      </c>
      <c r="D1296" t="s">
        <v>9781</v>
      </c>
      <c r="E1296">
        <v>1080</v>
      </c>
      <c r="F1296" t="s">
        <v>5595</v>
      </c>
    </row>
    <row r="1297" spans="1:6">
      <c r="A1297" t="s">
        <v>9761</v>
      </c>
      <c r="B1297">
        <v>6411</v>
      </c>
      <c r="C1297" t="s">
        <v>9784</v>
      </c>
      <c r="D1297" t="s">
        <v>9788</v>
      </c>
      <c r="E1297">
        <v>720</v>
      </c>
      <c r="F1297" t="s">
        <v>5595</v>
      </c>
    </row>
    <row r="1298" spans="1:6">
      <c r="A1298" t="s">
        <v>9761</v>
      </c>
      <c r="B1298">
        <v>6411</v>
      </c>
      <c r="C1298" t="s">
        <v>9791</v>
      </c>
      <c r="D1298" t="s">
        <v>9795</v>
      </c>
      <c r="E1298">
        <v>816</v>
      </c>
      <c r="F1298" t="s">
        <v>5595</v>
      </c>
    </row>
    <row r="1299" spans="1:6">
      <c r="A1299" t="s">
        <v>9761</v>
      </c>
      <c r="B1299">
        <v>6411</v>
      </c>
      <c r="C1299" t="s">
        <v>9728</v>
      </c>
      <c r="D1299" t="s">
        <v>9760</v>
      </c>
      <c r="E1299">
        <v>912</v>
      </c>
      <c r="F1299" t="s">
        <v>5595</v>
      </c>
    </row>
    <row r="1300" spans="1:6">
      <c r="A1300" t="s">
        <v>9761</v>
      </c>
      <c r="B1300">
        <v>6411</v>
      </c>
      <c r="C1300" t="s">
        <v>9765</v>
      </c>
      <c r="D1300" t="s">
        <v>9781</v>
      </c>
      <c r="E1300">
        <v>1080</v>
      </c>
      <c r="F1300" t="s">
        <v>5595</v>
      </c>
    </row>
    <row r="1301" spans="1:6">
      <c r="A1301" t="s">
        <v>9761</v>
      </c>
      <c r="B1301">
        <v>6411</v>
      </c>
      <c r="C1301" t="s">
        <v>9784</v>
      </c>
      <c r="D1301" t="s">
        <v>9788</v>
      </c>
      <c r="E1301">
        <v>720</v>
      </c>
      <c r="F1301" t="s">
        <v>5595</v>
      </c>
    </row>
    <row r="1302" spans="1:6">
      <c r="A1302" t="s">
        <v>9761</v>
      </c>
      <c r="B1302">
        <v>6411</v>
      </c>
      <c r="C1302" t="s">
        <v>9791</v>
      </c>
      <c r="D1302" t="s">
        <v>9795</v>
      </c>
      <c r="E1302">
        <v>816</v>
      </c>
      <c r="F1302" t="s">
        <v>5595</v>
      </c>
    </row>
    <row r="1303" spans="1:6">
      <c r="A1303" t="s">
        <v>9763</v>
      </c>
      <c r="B1303">
        <v>6411</v>
      </c>
      <c r="C1303" t="s">
        <v>9728</v>
      </c>
      <c r="D1303" t="s">
        <v>9762</v>
      </c>
      <c r="E1303">
        <v>1200</v>
      </c>
      <c r="F1303" t="s">
        <v>5595</v>
      </c>
    </row>
    <row r="1304" spans="1:6">
      <c r="A1304" t="s">
        <v>9763</v>
      </c>
      <c r="B1304">
        <v>6411</v>
      </c>
      <c r="C1304" t="s">
        <v>9765</v>
      </c>
      <c r="D1304" t="s">
        <v>9782</v>
      </c>
      <c r="E1304">
        <v>1368</v>
      </c>
      <c r="F1304" t="s">
        <v>5595</v>
      </c>
    </row>
    <row r="1305" spans="1:6">
      <c r="A1305" t="s">
        <v>9763</v>
      </c>
      <c r="B1305">
        <v>6411</v>
      </c>
      <c r="C1305" t="s">
        <v>9784</v>
      </c>
      <c r="D1305" t="s">
        <v>9789</v>
      </c>
      <c r="E1305">
        <v>936</v>
      </c>
      <c r="F1305" t="s">
        <v>5595</v>
      </c>
    </row>
    <row r="1306" spans="1:6">
      <c r="A1306" t="s">
        <v>9763</v>
      </c>
      <c r="B1306">
        <v>6411</v>
      </c>
      <c r="C1306" t="s">
        <v>9791</v>
      </c>
      <c r="D1306" t="s">
        <v>9796</v>
      </c>
      <c r="E1306">
        <v>1080</v>
      </c>
      <c r="F1306" t="s">
        <v>5595</v>
      </c>
    </row>
    <row r="1307" spans="1:6">
      <c r="A1307" t="s">
        <v>9763</v>
      </c>
      <c r="B1307">
        <v>6411</v>
      </c>
      <c r="C1307" t="s">
        <v>9728</v>
      </c>
      <c r="D1307" t="s">
        <v>9762</v>
      </c>
      <c r="E1307">
        <v>1200</v>
      </c>
      <c r="F1307" t="s">
        <v>5595</v>
      </c>
    </row>
    <row r="1308" spans="1:6">
      <c r="A1308" t="s">
        <v>9763</v>
      </c>
      <c r="B1308">
        <v>6411</v>
      </c>
      <c r="C1308" t="s">
        <v>9765</v>
      </c>
      <c r="D1308" t="s">
        <v>9782</v>
      </c>
      <c r="E1308">
        <v>1368</v>
      </c>
      <c r="F1308" t="s">
        <v>5595</v>
      </c>
    </row>
    <row r="1309" spans="1:6">
      <c r="A1309" t="s">
        <v>9763</v>
      </c>
      <c r="B1309">
        <v>6411</v>
      </c>
      <c r="C1309" t="s">
        <v>9784</v>
      </c>
      <c r="D1309" t="s">
        <v>9789</v>
      </c>
      <c r="E1309">
        <v>936</v>
      </c>
      <c r="F1309" t="s">
        <v>5595</v>
      </c>
    </row>
    <row r="1310" spans="1:6">
      <c r="A1310" t="s">
        <v>9763</v>
      </c>
      <c r="B1310">
        <v>6411</v>
      </c>
      <c r="C1310" t="s">
        <v>9791</v>
      </c>
      <c r="D1310" t="s">
        <v>9796</v>
      </c>
      <c r="E1310">
        <v>1080</v>
      </c>
      <c r="F1310" t="s">
        <v>5595</v>
      </c>
    </row>
    <row r="1311" spans="1:6">
      <c r="A1311" t="s">
        <v>9684</v>
      </c>
      <c r="B1311">
        <v>6099</v>
      </c>
      <c r="C1311" t="s">
        <v>9674</v>
      </c>
      <c r="D1311" t="s">
        <v>9683</v>
      </c>
      <c r="E1311">
        <v>656</v>
      </c>
      <c r="F1311" t="s">
        <v>9527</v>
      </c>
    </row>
    <row r="1312" spans="1:6">
      <c r="A1312" t="s">
        <v>9684</v>
      </c>
      <c r="B1312">
        <v>6100</v>
      </c>
      <c r="C1312" t="s">
        <v>9850</v>
      </c>
      <c r="D1312" t="s">
        <v>9689</v>
      </c>
      <c r="E1312" t="s">
        <v>9849</v>
      </c>
      <c r="F1312" t="s">
        <v>9527</v>
      </c>
    </row>
    <row r="1313" spans="1:6">
      <c r="A1313" t="s">
        <v>9684</v>
      </c>
      <c r="B1313">
        <v>6100</v>
      </c>
      <c r="C1313" t="s">
        <v>9894</v>
      </c>
      <c r="D1313" t="s">
        <v>9689</v>
      </c>
      <c r="E1313" t="s">
        <v>9849</v>
      </c>
      <c r="F1313" t="s">
        <v>9527</v>
      </c>
    </row>
    <row r="1314" spans="1:6">
      <c r="A1314" t="s">
        <v>9684</v>
      </c>
      <c r="B1314">
        <v>6160</v>
      </c>
      <c r="C1314" t="s">
        <v>9674</v>
      </c>
      <c r="D1314" t="s">
        <v>9694</v>
      </c>
      <c r="E1314" t="s">
        <v>9853</v>
      </c>
      <c r="F1314" t="s">
        <v>9527</v>
      </c>
    </row>
    <row r="1315" spans="1:6">
      <c r="A1315" t="s">
        <v>9684</v>
      </c>
      <c r="B1315">
        <v>6171</v>
      </c>
      <c r="C1315" t="s">
        <v>2209</v>
      </c>
      <c r="D1315" t="s">
        <v>9699</v>
      </c>
      <c r="E1315" t="s">
        <v>9857</v>
      </c>
      <c r="F1315" t="s">
        <v>9527</v>
      </c>
    </row>
    <row r="1316" spans="1:6">
      <c r="A1316" t="s">
        <v>9684</v>
      </c>
      <c r="B1316">
        <v>6171</v>
      </c>
      <c r="C1316" t="s">
        <v>9895</v>
      </c>
      <c r="D1316" t="s">
        <v>9699</v>
      </c>
      <c r="E1316" t="s">
        <v>9857</v>
      </c>
      <c r="F1316" t="s">
        <v>9527</v>
      </c>
    </row>
    <row r="1317" spans="1:6">
      <c r="A1317" t="s">
        <v>9684</v>
      </c>
      <c r="B1317">
        <v>6171</v>
      </c>
      <c r="C1317" t="s">
        <v>2210</v>
      </c>
      <c r="D1317" t="s">
        <v>9699</v>
      </c>
      <c r="E1317" t="s">
        <v>9857</v>
      </c>
      <c r="F1317" t="s">
        <v>9527</v>
      </c>
    </row>
    <row r="1318" spans="1:6">
      <c r="A1318" t="s">
        <v>9684</v>
      </c>
      <c r="B1318">
        <v>6171</v>
      </c>
      <c r="C1318" t="s">
        <v>9896</v>
      </c>
      <c r="D1318" t="s">
        <v>9699</v>
      </c>
      <c r="E1318" t="s">
        <v>9857</v>
      </c>
      <c r="F1318" t="s">
        <v>9527</v>
      </c>
    </row>
    <row r="1319" spans="1:6">
      <c r="A1319" t="s">
        <v>9684</v>
      </c>
      <c r="B1319">
        <v>6171</v>
      </c>
      <c r="C1319" t="s">
        <v>3029</v>
      </c>
      <c r="D1319" t="s">
        <v>9699</v>
      </c>
      <c r="E1319" t="s">
        <v>9857</v>
      </c>
      <c r="F1319" t="s">
        <v>9527</v>
      </c>
    </row>
    <row r="1320" spans="1:6">
      <c r="A1320" t="s">
        <v>9684</v>
      </c>
      <c r="B1320">
        <v>6171</v>
      </c>
      <c r="C1320" t="s">
        <v>14027</v>
      </c>
      <c r="D1320" t="s">
        <v>9699</v>
      </c>
      <c r="E1320" t="s">
        <v>9857</v>
      </c>
      <c r="F1320" t="s">
        <v>9527</v>
      </c>
    </row>
    <row r="1321" spans="1:6">
      <c r="A1321" t="s">
        <v>9684</v>
      </c>
      <c r="B1321">
        <v>6173</v>
      </c>
      <c r="C1321" t="s">
        <v>2211</v>
      </c>
      <c r="D1321" t="s">
        <v>9705</v>
      </c>
      <c r="E1321" t="s">
        <v>9861</v>
      </c>
      <c r="F1321" t="s">
        <v>9527</v>
      </c>
    </row>
    <row r="1322" spans="1:6">
      <c r="A1322" t="s">
        <v>9684</v>
      </c>
      <c r="B1322">
        <v>6173</v>
      </c>
      <c r="C1322" t="s">
        <v>2212</v>
      </c>
      <c r="D1322" t="s">
        <v>9705</v>
      </c>
      <c r="E1322" t="s">
        <v>9861</v>
      </c>
      <c r="F1322" t="s">
        <v>9527</v>
      </c>
    </row>
    <row r="1323" spans="1:6">
      <c r="A1323" t="s">
        <v>9684</v>
      </c>
      <c r="B1323">
        <v>6190</v>
      </c>
      <c r="C1323" t="s">
        <v>3120</v>
      </c>
      <c r="D1323" t="s">
        <v>9710</v>
      </c>
      <c r="E1323" t="s">
        <v>9865</v>
      </c>
      <c r="F1323" t="s">
        <v>9527</v>
      </c>
    </row>
    <row r="1324" spans="1:6">
      <c r="A1324" t="s">
        <v>9684</v>
      </c>
      <c r="B1324">
        <v>6195</v>
      </c>
      <c r="C1324" t="s">
        <v>9674</v>
      </c>
      <c r="D1324" t="s">
        <v>9723</v>
      </c>
      <c r="E1324" t="s">
        <v>9873</v>
      </c>
      <c r="F1324" t="s">
        <v>9527</v>
      </c>
    </row>
    <row r="1325" spans="1:6">
      <c r="A1325" t="s">
        <v>9684</v>
      </c>
      <c r="B1325">
        <v>6099</v>
      </c>
      <c r="C1325" t="s">
        <v>9674</v>
      </c>
      <c r="D1325" t="s">
        <v>9683</v>
      </c>
      <c r="E1325">
        <v>656</v>
      </c>
      <c r="F1325" t="s">
        <v>9527</v>
      </c>
    </row>
    <row r="1326" spans="1:6">
      <c r="A1326" t="s">
        <v>9684</v>
      </c>
      <c r="B1326">
        <v>6100</v>
      </c>
      <c r="C1326" t="s">
        <v>9850</v>
      </c>
      <c r="D1326" t="s">
        <v>9689</v>
      </c>
      <c r="E1326" t="s">
        <v>9849</v>
      </c>
      <c r="F1326" t="s">
        <v>9527</v>
      </c>
    </row>
    <row r="1327" spans="1:6">
      <c r="A1327" t="s">
        <v>9684</v>
      </c>
      <c r="B1327">
        <v>6100</v>
      </c>
      <c r="C1327" t="s">
        <v>9894</v>
      </c>
      <c r="D1327" t="s">
        <v>9689</v>
      </c>
      <c r="E1327" t="s">
        <v>9849</v>
      </c>
      <c r="F1327" t="s">
        <v>9527</v>
      </c>
    </row>
    <row r="1328" spans="1:6">
      <c r="A1328" t="s">
        <v>9684</v>
      </c>
      <c r="B1328">
        <v>6160</v>
      </c>
      <c r="C1328" t="s">
        <v>9674</v>
      </c>
      <c r="D1328" t="s">
        <v>9694</v>
      </c>
      <c r="E1328" t="s">
        <v>9853</v>
      </c>
      <c r="F1328" t="s">
        <v>9527</v>
      </c>
    </row>
    <row r="1329" spans="1:6">
      <c r="A1329" t="s">
        <v>9684</v>
      </c>
      <c r="B1329">
        <v>6171</v>
      </c>
      <c r="C1329" t="s">
        <v>2209</v>
      </c>
      <c r="D1329" t="s">
        <v>9699</v>
      </c>
      <c r="E1329" t="s">
        <v>9857</v>
      </c>
      <c r="F1329" t="s">
        <v>9527</v>
      </c>
    </row>
    <row r="1330" spans="1:6">
      <c r="A1330" t="s">
        <v>9684</v>
      </c>
      <c r="B1330">
        <v>6171</v>
      </c>
      <c r="C1330" t="s">
        <v>9895</v>
      </c>
      <c r="D1330" t="s">
        <v>9699</v>
      </c>
      <c r="E1330" t="s">
        <v>9857</v>
      </c>
      <c r="F1330" t="s">
        <v>9527</v>
      </c>
    </row>
    <row r="1331" spans="1:6">
      <c r="A1331" t="s">
        <v>9684</v>
      </c>
      <c r="B1331">
        <v>6171</v>
      </c>
      <c r="C1331" t="s">
        <v>2210</v>
      </c>
      <c r="D1331" t="s">
        <v>9699</v>
      </c>
      <c r="E1331" t="s">
        <v>9857</v>
      </c>
      <c r="F1331" t="s">
        <v>9527</v>
      </c>
    </row>
    <row r="1332" spans="1:6">
      <c r="A1332" t="s">
        <v>9684</v>
      </c>
      <c r="B1332">
        <v>6171</v>
      </c>
      <c r="C1332" t="s">
        <v>9896</v>
      </c>
      <c r="D1332" t="s">
        <v>9699</v>
      </c>
      <c r="E1332" t="s">
        <v>9857</v>
      </c>
      <c r="F1332" t="s">
        <v>9527</v>
      </c>
    </row>
    <row r="1333" spans="1:6">
      <c r="A1333" t="s">
        <v>9684</v>
      </c>
      <c r="B1333">
        <v>6171</v>
      </c>
      <c r="C1333" t="s">
        <v>3029</v>
      </c>
      <c r="D1333" t="s">
        <v>9699</v>
      </c>
      <c r="E1333" t="s">
        <v>9857</v>
      </c>
      <c r="F1333" t="s">
        <v>9527</v>
      </c>
    </row>
    <row r="1334" spans="1:6">
      <c r="A1334" t="s">
        <v>9684</v>
      </c>
      <c r="B1334">
        <v>6171</v>
      </c>
      <c r="C1334" t="s">
        <v>14027</v>
      </c>
      <c r="D1334" t="s">
        <v>9699</v>
      </c>
      <c r="E1334" t="s">
        <v>9857</v>
      </c>
      <c r="F1334" t="s">
        <v>9527</v>
      </c>
    </row>
    <row r="1335" spans="1:6">
      <c r="A1335" t="s">
        <v>9684</v>
      </c>
      <c r="B1335">
        <v>6173</v>
      </c>
      <c r="C1335" t="s">
        <v>2211</v>
      </c>
      <c r="D1335" t="s">
        <v>9705</v>
      </c>
      <c r="E1335" t="s">
        <v>9861</v>
      </c>
      <c r="F1335" t="s">
        <v>9527</v>
      </c>
    </row>
    <row r="1336" spans="1:6">
      <c r="A1336" t="s">
        <v>9684</v>
      </c>
      <c r="B1336">
        <v>6173</v>
      </c>
      <c r="C1336" t="s">
        <v>2212</v>
      </c>
      <c r="D1336" t="s">
        <v>9705</v>
      </c>
      <c r="E1336" t="s">
        <v>9861</v>
      </c>
      <c r="F1336" t="s">
        <v>9527</v>
      </c>
    </row>
    <row r="1337" spans="1:6">
      <c r="A1337" t="s">
        <v>9684</v>
      </c>
      <c r="B1337">
        <v>6190</v>
      </c>
      <c r="C1337" t="s">
        <v>3120</v>
      </c>
      <c r="D1337" t="s">
        <v>9710</v>
      </c>
      <c r="E1337" t="s">
        <v>9865</v>
      </c>
      <c r="F1337" t="s">
        <v>9527</v>
      </c>
    </row>
    <row r="1338" spans="1:6">
      <c r="A1338" t="s">
        <v>9684</v>
      </c>
      <c r="B1338">
        <v>6195</v>
      </c>
      <c r="C1338" t="s">
        <v>9674</v>
      </c>
      <c r="D1338" t="s">
        <v>9723</v>
      </c>
      <c r="E1338" t="s">
        <v>9873</v>
      </c>
      <c r="F1338" t="s">
        <v>9527</v>
      </c>
    </row>
    <row r="1339" spans="1:6">
      <c r="A1339" t="s">
        <v>9616</v>
      </c>
      <c r="B1339">
        <v>1911</v>
      </c>
      <c r="C1339" t="s">
        <v>9674</v>
      </c>
      <c r="D1339" t="s">
        <v>9614</v>
      </c>
      <c r="E1339" t="s">
        <v>9829</v>
      </c>
      <c r="F1339" t="s">
        <v>9527</v>
      </c>
    </row>
    <row r="1340" spans="1:6">
      <c r="A1340" t="s">
        <v>9616</v>
      </c>
      <c r="B1340">
        <v>7809</v>
      </c>
      <c r="C1340" t="s">
        <v>9674</v>
      </c>
      <c r="D1340" t="s">
        <v>9614</v>
      </c>
      <c r="E1340" t="s">
        <v>9829</v>
      </c>
      <c r="F1340" t="s">
        <v>9527</v>
      </c>
    </row>
    <row r="1341" spans="1:6">
      <c r="A1341" t="s">
        <v>9616</v>
      </c>
      <c r="B1341">
        <v>7870</v>
      </c>
      <c r="C1341" t="s">
        <v>9674</v>
      </c>
      <c r="D1341" t="s">
        <v>9614</v>
      </c>
      <c r="E1341" t="s">
        <v>9829</v>
      </c>
      <c r="F1341" t="s">
        <v>9527</v>
      </c>
    </row>
    <row r="1342" spans="1:6">
      <c r="A1342" t="s">
        <v>9616</v>
      </c>
      <c r="B1342">
        <v>7871</v>
      </c>
      <c r="C1342" t="s">
        <v>9674</v>
      </c>
      <c r="D1342" t="s">
        <v>9614</v>
      </c>
      <c r="E1342" t="s">
        <v>9829</v>
      </c>
      <c r="F1342" t="s">
        <v>9527</v>
      </c>
    </row>
    <row r="1343" spans="1:6">
      <c r="A1343" t="s">
        <v>9616</v>
      </c>
      <c r="B1343">
        <v>7872</v>
      </c>
      <c r="C1343" t="s">
        <v>9674</v>
      </c>
      <c r="D1343" t="s">
        <v>9614</v>
      </c>
      <c r="E1343" t="s">
        <v>9829</v>
      </c>
      <c r="F1343" t="s">
        <v>9527</v>
      </c>
    </row>
    <row r="1344" spans="1:6">
      <c r="A1344" t="s">
        <v>9616</v>
      </c>
      <c r="B1344">
        <v>7873</v>
      </c>
      <c r="C1344" t="s">
        <v>9674</v>
      </c>
      <c r="D1344" t="s">
        <v>9614</v>
      </c>
      <c r="E1344" t="s">
        <v>9829</v>
      </c>
      <c r="F1344" t="s">
        <v>9527</v>
      </c>
    </row>
    <row r="1345" spans="1:6">
      <c r="A1345" t="s">
        <v>9616</v>
      </c>
      <c r="B1345">
        <v>7875</v>
      </c>
      <c r="C1345" t="s">
        <v>9674</v>
      </c>
      <c r="D1345" t="s">
        <v>9614</v>
      </c>
      <c r="E1345" t="s">
        <v>9829</v>
      </c>
      <c r="F1345" t="s">
        <v>9527</v>
      </c>
    </row>
    <row r="1346" spans="1:6">
      <c r="A1346" t="s">
        <v>9616</v>
      </c>
      <c r="B1346">
        <v>7901</v>
      </c>
      <c r="C1346" t="s">
        <v>9674</v>
      </c>
      <c r="D1346" t="s">
        <v>9614</v>
      </c>
      <c r="E1346" t="s">
        <v>9829</v>
      </c>
      <c r="F1346" t="s">
        <v>9527</v>
      </c>
    </row>
    <row r="1347" spans="1:6">
      <c r="A1347" t="s">
        <v>9616</v>
      </c>
      <c r="B1347">
        <v>7902</v>
      </c>
      <c r="C1347" t="s">
        <v>9674</v>
      </c>
      <c r="D1347" t="s">
        <v>9614</v>
      </c>
      <c r="E1347" t="s">
        <v>9829</v>
      </c>
      <c r="F1347" t="s">
        <v>9527</v>
      </c>
    </row>
    <row r="1348" spans="1:6">
      <c r="A1348" t="s">
        <v>9616</v>
      </c>
      <c r="B1348">
        <v>7967</v>
      </c>
      <c r="C1348" t="s">
        <v>9674</v>
      </c>
      <c r="D1348" t="s">
        <v>9614</v>
      </c>
      <c r="E1348" t="s">
        <v>9829</v>
      </c>
      <c r="F1348" t="s">
        <v>9527</v>
      </c>
    </row>
    <row r="1349" spans="1:6">
      <c r="A1349" t="s">
        <v>9616</v>
      </c>
      <c r="B1349">
        <v>7971</v>
      </c>
      <c r="C1349" t="s">
        <v>9674</v>
      </c>
      <c r="D1349" t="s">
        <v>9614</v>
      </c>
      <c r="E1349" t="s">
        <v>9829</v>
      </c>
      <c r="F1349" t="s">
        <v>9527</v>
      </c>
    </row>
    <row r="1350" spans="1:6">
      <c r="A1350" t="s">
        <v>9616</v>
      </c>
      <c r="B1350">
        <v>7972</v>
      </c>
      <c r="C1350" t="s">
        <v>9674</v>
      </c>
      <c r="D1350" t="s">
        <v>9614</v>
      </c>
      <c r="E1350" t="s">
        <v>9829</v>
      </c>
      <c r="F1350" t="s">
        <v>9527</v>
      </c>
    </row>
    <row r="1351" spans="1:6">
      <c r="A1351" t="s">
        <v>9616</v>
      </c>
      <c r="B1351">
        <v>7981</v>
      </c>
      <c r="C1351" t="s">
        <v>9674</v>
      </c>
      <c r="D1351" t="s">
        <v>9614</v>
      </c>
      <c r="E1351" t="s">
        <v>9829</v>
      </c>
      <c r="F1351" t="s">
        <v>9527</v>
      </c>
    </row>
    <row r="1352" spans="1:6">
      <c r="A1352" t="s">
        <v>9616</v>
      </c>
      <c r="B1352">
        <v>7995</v>
      </c>
      <c r="C1352" t="s">
        <v>9674</v>
      </c>
      <c r="D1352" t="s">
        <v>9614</v>
      </c>
      <c r="E1352" t="s">
        <v>9829</v>
      </c>
      <c r="F1352" t="s">
        <v>9527</v>
      </c>
    </row>
    <row r="1353" spans="1:6">
      <c r="A1353" t="s">
        <v>9616</v>
      </c>
      <c r="B1353">
        <v>7996</v>
      </c>
      <c r="C1353" t="s">
        <v>9674</v>
      </c>
      <c r="D1353" t="s">
        <v>9614</v>
      </c>
      <c r="E1353" t="s">
        <v>9829</v>
      </c>
      <c r="F1353" t="s">
        <v>9527</v>
      </c>
    </row>
    <row r="1354" spans="1:6">
      <c r="A1354" t="s">
        <v>9616</v>
      </c>
      <c r="B1354">
        <v>8014</v>
      </c>
      <c r="C1354" t="s">
        <v>9674</v>
      </c>
      <c r="D1354" t="s">
        <v>9614</v>
      </c>
      <c r="E1354" t="s">
        <v>9829</v>
      </c>
      <c r="F1354" t="s">
        <v>9527</v>
      </c>
    </row>
    <row r="1355" spans="1:6">
      <c r="A1355" t="s">
        <v>9616</v>
      </c>
      <c r="B1355">
        <v>8028</v>
      </c>
      <c r="C1355" t="s">
        <v>9674</v>
      </c>
      <c r="D1355" t="s">
        <v>9614</v>
      </c>
      <c r="E1355" t="s">
        <v>9829</v>
      </c>
      <c r="F1355" t="s">
        <v>9527</v>
      </c>
    </row>
    <row r="1356" spans="1:6">
      <c r="A1356" t="s">
        <v>9616</v>
      </c>
      <c r="B1356">
        <v>8038</v>
      </c>
      <c r="C1356" t="s">
        <v>9674</v>
      </c>
      <c r="D1356" t="s">
        <v>9614</v>
      </c>
      <c r="E1356" t="s">
        <v>9829</v>
      </c>
      <c r="F1356" t="s">
        <v>9527</v>
      </c>
    </row>
    <row r="1357" spans="1:6">
      <c r="A1357" t="s">
        <v>9616</v>
      </c>
      <c r="B1357">
        <v>8667</v>
      </c>
      <c r="C1357" t="s">
        <v>9674</v>
      </c>
      <c r="D1357" t="s">
        <v>9614</v>
      </c>
      <c r="E1357" t="s">
        <v>9829</v>
      </c>
      <c r="F1357" t="s">
        <v>9527</v>
      </c>
    </row>
    <row r="1358" spans="1:6">
      <c r="A1358" t="s">
        <v>9616</v>
      </c>
      <c r="B1358">
        <v>8677</v>
      </c>
      <c r="C1358" t="s">
        <v>9674</v>
      </c>
      <c r="D1358" t="s">
        <v>9614</v>
      </c>
      <c r="E1358" t="s">
        <v>9829</v>
      </c>
      <c r="F1358" t="s">
        <v>9527</v>
      </c>
    </row>
    <row r="1359" spans="1:6">
      <c r="A1359" t="s">
        <v>9616</v>
      </c>
      <c r="B1359">
        <v>8678</v>
      </c>
      <c r="C1359" t="s">
        <v>9674</v>
      </c>
      <c r="D1359" t="s">
        <v>9614</v>
      </c>
      <c r="E1359" t="s">
        <v>9829</v>
      </c>
      <c r="F1359" t="s">
        <v>9527</v>
      </c>
    </row>
    <row r="1360" spans="1:6">
      <c r="A1360" t="s">
        <v>9616</v>
      </c>
      <c r="B1360">
        <v>8720</v>
      </c>
      <c r="C1360" t="s">
        <v>9674</v>
      </c>
      <c r="D1360" t="s">
        <v>9614</v>
      </c>
      <c r="E1360" t="s">
        <v>9829</v>
      </c>
      <c r="F1360" t="s">
        <v>9527</v>
      </c>
    </row>
    <row r="1361" spans="1:6">
      <c r="A1361" t="s">
        <v>9616</v>
      </c>
      <c r="B1361">
        <v>8730</v>
      </c>
      <c r="C1361" t="s">
        <v>9674</v>
      </c>
      <c r="D1361" t="s">
        <v>9614</v>
      </c>
      <c r="E1361" t="s">
        <v>9829</v>
      </c>
      <c r="F1361" t="s">
        <v>9527</v>
      </c>
    </row>
    <row r="1362" spans="1:6">
      <c r="A1362" t="s">
        <v>9616</v>
      </c>
      <c r="B1362">
        <v>8740</v>
      </c>
      <c r="C1362" t="s">
        <v>9674</v>
      </c>
      <c r="D1362" t="s">
        <v>9614</v>
      </c>
      <c r="E1362" t="s">
        <v>9829</v>
      </c>
      <c r="F1362" t="s">
        <v>9527</v>
      </c>
    </row>
    <row r="1363" spans="1:6">
      <c r="A1363" t="s">
        <v>9616</v>
      </c>
      <c r="B1363">
        <v>8750</v>
      </c>
      <c r="C1363" t="s">
        <v>9674</v>
      </c>
      <c r="D1363" t="s">
        <v>9614</v>
      </c>
      <c r="E1363" t="s">
        <v>9829</v>
      </c>
      <c r="F1363" t="s">
        <v>9527</v>
      </c>
    </row>
    <row r="1364" spans="1:6">
      <c r="A1364" t="s">
        <v>9616</v>
      </c>
      <c r="B1364">
        <v>8832</v>
      </c>
      <c r="C1364" t="s">
        <v>9674</v>
      </c>
      <c r="D1364" t="s">
        <v>9614</v>
      </c>
      <c r="E1364" t="s">
        <v>9829</v>
      </c>
      <c r="F1364" t="s">
        <v>9527</v>
      </c>
    </row>
    <row r="1365" spans="1:6">
      <c r="A1365" t="s">
        <v>9616</v>
      </c>
      <c r="B1365">
        <v>8839</v>
      </c>
      <c r="C1365" t="s">
        <v>9674</v>
      </c>
      <c r="D1365" t="s">
        <v>9614</v>
      </c>
      <c r="E1365" t="s">
        <v>9829</v>
      </c>
      <c r="F1365" t="s">
        <v>9527</v>
      </c>
    </row>
    <row r="1366" spans="1:6">
      <c r="A1366" t="s">
        <v>9616</v>
      </c>
      <c r="B1366">
        <v>8843</v>
      </c>
      <c r="C1366" t="s">
        <v>9674</v>
      </c>
      <c r="D1366" t="s">
        <v>9614</v>
      </c>
      <c r="E1366" t="s">
        <v>9829</v>
      </c>
      <c r="F1366" t="s">
        <v>9527</v>
      </c>
    </row>
    <row r="1367" spans="1:6">
      <c r="A1367" t="s">
        <v>9616</v>
      </c>
      <c r="B1367">
        <v>8850</v>
      </c>
      <c r="C1367" t="s">
        <v>9674</v>
      </c>
      <c r="D1367" t="s">
        <v>9614</v>
      </c>
      <c r="E1367" t="s">
        <v>9829</v>
      </c>
      <c r="F1367" t="s">
        <v>9527</v>
      </c>
    </row>
    <row r="1368" spans="1:6">
      <c r="A1368" t="s">
        <v>9616</v>
      </c>
      <c r="B1368">
        <v>8852</v>
      </c>
      <c r="C1368" t="s">
        <v>9674</v>
      </c>
      <c r="D1368" t="s">
        <v>9614</v>
      </c>
      <c r="E1368" t="s">
        <v>9829</v>
      </c>
      <c r="F1368" t="s">
        <v>9527</v>
      </c>
    </row>
    <row r="1369" spans="1:6">
      <c r="A1369" t="s">
        <v>9616</v>
      </c>
      <c r="B1369">
        <v>8853</v>
      </c>
      <c r="C1369" t="s">
        <v>9674</v>
      </c>
      <c r="D1369" t="s">
        <v>9614</v>
      </c>
      <c r="E1369" t="s">
        <v>9829</v>
      </c>
      <c r="F1369" t="s">
        <v>9527</v>
      </c>
    </row>
    <row r="1370" spans="1:6">
      <c r="A1370" t="s">
        <v>9616</v>
      </c>
      <c r="B1370">
        <v>8886</v>
      </c>
      <c r="C1370" t="s">
        <v>9674</v>
      </c>
      <c r="D1370" t="s">
        <v>9614</v>
      </c>
      <c r="E1370" t="s">
        <v>9829</v>
      </c>
      <c r="F1370" t="s">
        <v>9527</v>
      </c>
    </row>
    <row r="1371" spans="1:6">
      <c r="A1371" t="s">
        <v>9616</v>
      </c>
      <c r="B1371">
        <v>8721</v>
      </c>
      <c r="C1371" t="s">
        <v>9674</v>
      </c>
      <c r="D1371" t="s">
        <v>9617</v>
      </c>
      <c r="E1371" t="s">
        <v>9830</v>
      </c>
      <c r="F1371" t="s">
        <v>9527</v>
      </c>
    </row>
    <row r="1372" spans="1:6">
      <c r="A1372" t="s">
        <v>9616</v>
      </c>
      <c r="B1372">
        <v>8731</v>
      </c>
      <c r="C1372" t="s">
        <v>9674</v>
      </c>
      <c r="D1372" t="s">
        <v>9617</v>
      </c>
      <c r="E1372" t="s">
        <v>9830</v>
      </c>
      <c r="F1372" t="s">
        <v>9527</v>
      </c>
    </row>
    <row r="1373" spans="1:6">
      <c r="A1373" t="s">
        <v>9616</v>
      </c>
      <c r="B1373">
        <v>7906</v>
      </c>
      <c r="C1373" t="s">
        <v>9674</v>
      </c>
      <c r="D1373" t="s">
        <v>9617</v>
      </c>
      <c r="E1373" t="s">
        <v>9830</v>
      </c>
      <c r="F1373" t="s">
        <v>9527</v>
      </c>
    </row>
    <row r="1374" spans="1:6">
      <c r="A1374" t="s">
        <v>9616</v>
      </c>
      <c r="B1374">
        <v>7916</v>
      </c>
      <c r="C1374" t="s">
        <v>9674</v>
      </c>
      <c r="D1374" t="s">
        <v>9617</v>
      </c>
      <c r="E1374" t="s">
        <v>9830</v>
      </c>
      <c r="F1374" t="s">
        <v>9527</v>
      </c>
    </row>
    <row r="1375" spans="1:6">
      <c r="A1375" t="s">
        <v>9616</v>
      </c>
      <c r="B1375">
        <v>8737</v>
      </c>
      <c r="C1375" t="s">
        <v>9674</v>
      </c>
      <c r="D1375" t="s">
        <v>9617</v>
      </c>
      <c r="E1375" t="s">
        <v>9830</v>
      </c>
      <c r="F1375" t="s">
        <v>9527</v>
      </c>
    </row>
    <row r="1376" spans="1:6">
      <c r="A1376" t="s">
        <v>9616</v>
      </c>
      <c r="B1376">
        <v>7917</v>
      </c>
      <c r="C1376" t="s">
        <v>9674</v>
      </c>
      <c r="D1376" t="s">
        <v>9617</v>
      </c>
      <c r="E1376" t="s">
        <v>9830</v>
      </c>
      <c r="F1376" t="s">
        <v>9527</v>
      </c>
    </row>
    <row r="1377" spans="1:6">
      <c r="A1377" t="s">
        <v>9616</v>
      </c>
      <c r="B1377">
        <v>7903</v>
      </c>
      <c r="C1377" t="s">
        <v>9674</v>
      </c>
      <c r="D1377" t="s">
        <v>9617</v>
      </c>
      <c r="E1377" t="s">
        <v>9830</v>
      </c>
      <c r="F1377" t="s">
        <v>9527</v>
      </c>
    </row>
    <row r="1378" spans="1:6">
      <c r="A1378" t="s">
        <v>9616</v>
      </c>
      <c r="B1378">
        <v>5455</v>
      </c>
      <c r="C1378" t="s">
        <v>9674</v>
      </c>
      <c r="D1378" t="s">
        <v>9617</v>
      </c>
      <c r="E1378" t="s">
        <v>9830</v>
      </c>
      <c r="F1378" t="s">
        <v>9527</v>
      </c>
    </row>
    <row r="1379" spans="1:6">
      <c r="A1379" t="s">
        <v>9616</v>
      </c>
      <c r="B1379">
        <v>5456</v>
      </c>
      <c r="C1379" t="s">
        <v>9674</v>
      </c>
      <c r="D1379" t="s">
        <v>9617</v>
      </c>
      <c r="E1379" t="s">
        <v>9830</v>
      </c>
      <c r="F1379" t="s">
        <v>9527</v>
      </c>
    </row>
    <row r="1380" spans="1:6">
      <c r="A1380" t="s">
        <v>9616</v>
      </c>
      <c r="B1380">
        <v>6391</v>
      </c>
      <c r="C1380" t="s">
        <v>9674</v>
      </c>
      <c r="D1380" t="s">
        <v>9617</v>
      </c>
      <c r="E1380" t="s">
        <v>9830</v>
      </c>
      <c r="F1380" t="s">
        <v>9527</v>
      </c>
    </row>
    <row r="1381" spans="1:6">
      <c r="A1381" t="s">
        <v>9616</v>
      </c>
      <c r="B1381">
        <v>7912</v>
      </c>
      <c r="C1381" t="s">
        <v>9674</v>
      </c>
      <c r="D1381" t="s">
        <v>9617</v>
      </c>
      <c r="E1381" t="s">
        <v>9830</v>
      </c>
      <c r="F1381" t="s">
        <v>9527</v>
      </c>
    </row>
    <row r="1382" spans="1:6">
      <c r="A1382" t="s">
        <v>9616</v>
      </c>
      <c r="B1382">
        <v>7913</v>
      </c>
      <c r="C1382" t="s">
        <v>9674</v>
      </c>
      <c r="D1382" t="s">
        <v>9617</v>
      </c>
      <c r="E1382" t="s">
        <v>9830</v>
      </c>
      <c r="F1382" t="s">
        <v>9527</v>
      </c>
    </row>
    <row r="1383" spans="1:6">
      <c r="A1383" t="s">
        <v>9616</v>
      </c>
      <c r="B1383">
        <v>7918</v>
      </c>
      <c r="C1383" t="s">
        <v>9674</v>
      </c>
      <c r="D1383" t="s">
        <v>9617</v>
      </c>
      <c r="E1383" t="s">
        <v>9830</v>
      </c>
      <c r="F1383" t="s">
        <v>9527</v>
      </c>
    </row>
    <row r="1384" spans="1:6">
      <c r="A1384" t="s">
        <v>9616</v>
      </c>
      <c r="B1384">
        <v>7919</v>
      </c>
      <c r="C1384" t="s">
        <v>9674</v>
      </c>
      <c r="D1384" t="s">
        <v>9617</v>
      </c>
      <c r="E1384" t="s">
        <v>9830</v>
      </c>
      <c r="F1384" t="s">
        <v>9527</v>
      </c>
    </row>
    <row r="1385" spans="1:6">
      <c r="A1385" t="s">
        <v>9616</v>
      </c>
      <c r="B1385">
        <v>8685</v>
      </c>
      <c r="C1385" t="s">
        <v>9674</v>
      </c>
      <c r="D1385" t="s">
        <v>9617</v>
      </c>
      <c r="E1385" t="s">
        <v>9830</v>
      </c>
      <c r="F1385" t="s">
        <v>9527</v>
      </c>
    </row>
    <row r="1386" spans="1:6">
      <c r="A1386" t="s">
        <v>9616</v>
      </c>
      <c r="B1386">
        <v>8686</v>
      </c>
      <c r="C1386" t="s">
        <v>9674</v>
      </c>
      <c r="D1386" t="s">
        <v>9617</v>
      </c>
      <c r="E1386" t="s">
        <v>9830</v>
      </c>
      <c r="F1386" t="s">
        <v>9527</v>
      </c>
    </row>
    <row r="1387" spans="1:6">
      <c r="A1387" t="s">
        <v>9616</v>
      </c>
      <c r="B1387">
        <v>8861</v>
      </c>
      <c r="C1387" t="s">
        <v>9674</v>
      </c>
      <c r="D1387" t="s">
        <v>9617</v>
      </c>
      <c r="E1387" t="s">
        <v>9830</v>
      </c>
      <c r="F1387" t="s">
        <v>9527</v>
      </c>
    </row>
    <row r="1388" spans="1:6">
      <c r="A1388" t="s">
        <v>9616</v>
      </c>
      <c r="B1388">
        <v>8862</v>
      </c>
      <c r="C1388" t="s">
        <v>9674</v>
      </c>
      <c r="D1388" t="s">
        <v>9617</v>
      </c>
      <c r="E1388" t="s">
        <v>9830</v>
      </c>
      <c r="F1388" t="s">
        <v>9527</v>
      </c>
    </row>
    <row r="1389" spans="1:6">
      <c r="A1389" t="s">
        <v>9616</v>
      </c>
      <c r="B1389">
        <v>8863</v>
      </c>
      <c r="C1389" t="s">
        <v>9674</v>
      </c>
      <c r="D1389" t="s">
        <v>9617</v>
      </c>
      <c r="E1389" t="s">
        <v>9830</v>
      </c>
      <c r="F1389" t="s">
        <v>9527</v>
      </c>
    </row>
    <row r="1390" spans="1:6">
      <c r="A1390" t="s">
        <v>9616</v>
      </c>
      <c r="B1390">
        <v>8683</v>
      </c>
      <c r="C1390" t="s">
        <v>9674</v>
      </c>
      <c r="D1390" t="s">
        <v>9617</v>
      </c>
      <c r="E1390" t="s">
        <v>9830</v>
      </c>
      <c r="F1390" t="s">
        <v>9527</v>
      </c>
    </row>
    <row r="1391" spans="1:6">
      <c r="A1391" t="s">
        <v>9616</v>
      </c>
      <c r="B1391">
        <v>8687</v>
      </c>
      <c r="C1391" t="s">
        <v>9674</v>
      </c>
      <c r="D1391" t="s">
        <v>9617</v>
      </c>
      <c r="E1391" t="s">
        <v>9830</v>
      </c>
      <c r="F1391" t="s">
        <v>9527</v>
      </c>
    </row>
    <row r="1392" spans="1:6">
      <c r="A1392" t="s">
        <v>9616</v>
      </c>
      <c r="B1392">
        <v>8870</v>
      </c>
      <c r="C1392" t="s">
        <v>9674</v>
      </c>
      <c r="D1392" t="s">
        <v>9617</v>
      </c>
      <c r="E1392" t="s">
        <v>9830</v>
      </c>
      <c r="F1392" t="s">
        <v>9527</v>
      </c>
    </row>
    <row r="1393" spans="1:6">
      <c r="A1393" t="s">
        <v>9616</v>
      </c>
      <c r="B1393">
        <v>8688</v>
      </c>
      <c r="C1393" t="s">
        <v>9674</v>
      </c>
      <c r="D1393" t="s">
        <v>9617</v>
      </c>
      <c r="E1393" t="s">
        <v>9830</v>
      </c>
      <c r="F1393" t="s">
        <v>9527</v>
      </c>
    </row>
    <row r="1394" spans="1:6">
      <c r="A1394" t="s">
        <v>9616</v>
      </c>
      <c r="B1394">
        <v>8855</v>
      </c>
      <c r="C1394" t="s">
        <v>9674</v>
      </c>
      <c r="D1394" t="s">
        <v>9617</v>
      </c>
      <c r="E1394" t="s">
        <v>9830</v>
      </c>
      <c r="F1394" t="s">
        <v>9527</v>
      </c>
    </row>
    <row r="1395" spans="1:6">
      <c r="A1395" t="s">
        <v>9616</v>
      </c>
      <c r="B1395">
        <v>8872</v>
      </c>
      <c r="C1395" t="s">
        <v>9674</v>
      </c>
      <c r="D1395" t="s">
        <v>9617</v>
      </c>
      <c r="E1395" t="s">
        <v>9830</v>
      </c>
      <c r="F1395" t="s">
        <v>9527</v>
      </c>
    </row>
    <row r="1396" spans="1:6">
      <c r="A1396" t="s">
        <v>9616</v>
      </c>
      <c r="B1396">
        <v>8874</v>
      </c>
      <c r="C1396" t="s">
        <v>9674</v>
      </c>
      <c r="D1396" t="s">
        <v>9617</v>
      </c>
      <c r="E1396" t="s">
        <v>9830</v>
      </c>
      <c r="F1396" t="s">
        <v>9527</v>
      </c>
    </row>
    <row r="1397" spans="1:6">
      <c r="A1397" t="s">
        <v>9616</v>
      </c>
      <c r="B1397">
        <v>6385</v>
      </c>
      <c r="C1397" t="s">
        <v>9674</v>
      </c>
      <c r="D1397" t="s">
        <v>9617</v>
      </c>
      <c r="E1397" t="s">
        <v>9830</v>
      </c>
      <c r="F1397" t="s">
        <v>9527</v>
      </c>
    </row>
    <row r="1398" spans="1:6">
      <c r="A1398" t="s">
        <v>9616</v>
      </c>
      <c r="B1398">
        <v>6386</v>
      </c>
      <c r="C1398" t="s">
        <v>9674</v>
      </c>
      <c r="D1398" t="s">
        <v>9617</v>
      </c>
      <c r="E1398" t="s">
        <v>9830</v>
      </c>
      <c r="F1398" t="s">
        <v>9527</v>
      </c>
    </row>
    <row r="1399" spans="1:6">
      <c r="A1399" t="s">
        <v>9616</v>
      </c>
      <c r="B1399">
        <v>6388</v>
      </c>
      <c r="C1399" t="s">
        <v>9674</v>
      </c>
      <c r="D1399" t="s">
        <v>9617</v>
      </c>
      <c r="E1399" t="s">
        <v>9830</v>
      </c>
      <c r="F1399" t="s">
        <v>9527</v>
      </c>
    </row>
    <row r="1400" spans="1:6">
      <c r="A1400" t="s">
        <v>9616</v>
      </c>
      <c r="B1400">
        <v>6389</v>
      </c>
      <c r="C1400" t="s">
        <v>9674</v>
      </c>
      <c r="D1400" t="s">
        <v>9617</v>
      </c>
      <c r="E1400" t="s">
        <v>9830</v>
      </c>
      <c r="F1400" t="s">
        <v>9527</v>
      </c>
    </row>
    <row r="1401" spans="1:6">
      <c r="A1401" t="s">
        <v>9616</v>
      </c>
      <c r="B1401">
        <v>6390</v>
      </c>
      <c r="C1401" t="s">
        <v>9674</v>
      </c>
      <c r="D1401" t="s">
        <v>9617</v>
      </c>
      <c r="E1401" t="s">
        <v>9830</v>
      </c>
      <c r="F1401" t="s">
        <v>9527</v>
      </c>
    </row>
    <row r="1402" spans="1:6">
      <c r="A1402" t="s">
        <v>9616</v>
      </c>
      <c r="B1402">
        <v>7321</v>
      </c>
      <c r="C1402" t="s">
        <v>9674</v>
      </c>
      <c r="D1402" t="s">
        <v>9617</v>
      </c>
      <c r="E1402" t="s">
        <v>9830</v>
      </c>
      <c r="F1402" t="s">
        <v>9527</v>
      </c>
    </row>
    <row r="1403" spans="1:6">
      <c r="A1403" t="s">
        <v>9616</v>
      </c>
      <c r="B1403">
        <v>7831</v>
      </c>
      <c r="C1403" t="s">
        <v>9674</v>
      </c>
      <c r="D1403" t="s">
        <v>9617</v>
      </c>
      <c r="E1403" t="s">
        <v>9830</v>
      </c>
      <c r="F1403" t="s">
        <v>9527</v>
      </c>
    </row>
    <row r="1404" spans="1:6">
      <c r="A1404" t="s">
        <v>9616</v>
      </c>
      <c r="B1404">
        <v>7832</v>
      </c>
      <c r="C1404" t="s">
        <v>9674</v>
      </c>
      <c r="D1404" t="s">
        <v>9617</v>
      </c>
      <c r="E1404" t="s">
        <v>9830</v>
      </c>
      <c r="F1404" t="s">
        <v>9527</v>
      </c>
    </row>
    <row r="1405" spans="1:6">
      <c r="A1405" t="s">
        <v>9616</v>
      </c>
      <c r="B1405">
        <v>7833</v>
      </c>
      <c r="C1405" t="s">
        <v>9674</v>
      </c>
      <c r="D1405" t="s">
        <v>9617</v>
      </c>
      <c r="E1405" t="s">
        <v>9830</v>
      </c>
      <c r="F1405" t="s">
        <v>9527</v>
      </c>
    </row>
    <row r="1406" spans="1:6">
      <c r="A1406" t="s">
        <v>9616</v>
      </c>
      <c r="B1406">
        <v>7834</v>
      </c>
      <c r="C1406" t="s">
        <v>9674</v>
      </c>
      <c r="D1406" t="s">
        <v>9617</v>
      </c>
      <c r="E1406" t="s">
        <v>9830</v>
      </c>
      <c r="F1406" t="s">
        <v>9527</v>
      </c>
    </row>
    <row r="1407" spans="1:6">
      <c r="A1407" t="s">
        <v>9616</v>
      </c>
      <c r="B1407">
        <v>8722</v>
      </c>
      <c r="C1407" t="s">
        <v>9674</v>
      </c>
      <c r="D1407" t="s">
        <v>9617</v>
      </c>
      <c r="E1407" t="s">
        <v>9830</v>
      </c>
      <c r="F1407" t="s">
        <v>9527</v>
      </c>
    </row>
    <row r="1408" spans="1:6">
      <c r="A1408" t="s">
        <v>9616</v>
      </c>
      <c r="B1408">
        <v>8733</v>
      </c>
      <c r="C1408" t="s">
        <v>9674</v>
      </c>
      <c r="D1408" t="s">
        <v>9617</v>
      </c>
      <c r="E1408" t="s">
        <v>9830</v>
      </c>
      <c r="F1408" t="s">
        <v>9527</v>
      </c>
    </row>
    <row r="1409" spans="1:6">
      <c r="A1409" t="s">
        <v>9616</v>
      </c>
      <c r="B1409">
        <v>8752</v>
      </c>
      <c r="C1409" t="s">
        <v>9674</v>
      </c>
      <c r="D1409" t="s">
        <v>9617</v>
      </c>
      <c r="E1409" t="s">
        <v>9830</v>
      </c>
      <c r="F1409" t="s">
        <v>9527</v>
      </c>
    </row>
    <row r="1410" spans="1:6">
      <c r="A1410" t="s">
        <v>9616</v>
      </c>
      <c r="B1410">
        <v>6205</v>
      </c>
      <c r="C1410" t="s">
        <v>9674</v>
      </c>
      <c r="D1410" t="s">
        <v>9617</v>
      </c>
      <c r="E1410" t="s">
        <v>9830</v>
      </c>
      <c r="F1410" t="s">
        <v>9527</v>
      </c>
    </row>
    <row r="1411" spans="1:6">
      <c r="A1411" t="s">
        <v>9616</v>
      </c>
      <c r="B1411">
        <v>7163</v>
      </c>
      <c r="C1411" t="s">
        <v>9674</v>
      </c>
      <c r="D1411" t="s">
        <v>9617</v>
      </c>
      <c r="E1411" t="s">
        <v>9830</v>
      </c>
      <c r="F1411" t="s">
        <v>9527</v>
      </c>
    </row>
    <row r="1412" spans="1:6">
      <c r="A1412" t="s">
        <v>9616</v>
      </c>
      <c r="B1412">
        <v>8877</v>
      </c>
      <c r="C1412" t="s">
        <v>9674</v>
      </c>
      <c r="D1412" t="s">
        <v>9617</v>
      </c>
      <c r="E1412" t="s">
        <v>9830</v>
      </c>
      <c r="F1412" t="s">
        <v>9527</v>
      </c>
    </row>
    <row r="1413" spans="1:6">
      <c r="A1413" t="s">
        <v>9616</v>
      </c>
      <c r="B1413">
        <v>7164</v>
      </c>
      <c r="C1413" t="s">
        <v>9674</v>
      </c>
      <c r="D1413" t="s">
        <v>9617</v>
      </c>
      <c r="E1413" t="s">
        <v>9830</v>
      </c>
      <c r="F1413" t="s">
        <v>9527</v>
      </c>
    </row>
    <row r="1414" spans="1:6">
      <c r="A1414" t="s">
        <v>9616</v>
      </c>
      <c r="B1414">
        <v>8865</v>
      </c>
      <c r="C1414" t="s">
        <v>9674</v>
      </c>
      <c r="D1414" t="s">
        <v>9617</v>
      </c>
      <c r="E1414" t="s">
        <v>9830</v>
      </c>
      <c r="F1414" t="s">
        <v>9527</v>
      </c>
    </row>
    <row r="1415" spans="1:6">
      <c r="A1415" t="s">
        <v>9616</v>
      </c>
      <c r="B1415">
        <v>8866</v>
      </c>
      <c r="C1415" t="s">
        <v>9674</v>
      </c>
      <c r="D1415" t="s">
        <v>9617</v>
      </c>
      <c r="E1415" t="s">
        <v>9830</v>
      </c>
      <c r="F1415" t="s">
        <v>9527</v>
      </c>
    </row>
    <row r="1416" spans="1:6">
      <c r="A1416" t="s">
        <v>9616</v>
      </c>
      <c r="B1416">
        <v>8864</v>
      </c>
      <c r="C1416" t="s">
        <v>9674</v>
      </c>
      <c r="D1416" t="s">
        <v>9617</v>
      </c>
      <c r="E1416" t="s">
        <v>9830</v>
      </c>
      <c r="F1416" t="s">
        <v>9527</v>
      </c>
    </row>
    <row r="1417" spans="1:6">
      <c r="A1417" t="s">
        <v>9616</v>
      </c>
      <c r="B1417">
        <v>7141</v>
      </c>
      <c r="C1417" t="s">
        <v>9674</v>
      </c>
      <c r="D1417" t="s">
        <v>9617</v>
      </c>
      <c r="E1417" t="s">
        <v>9830</v>
      </c>
      <c r="F1417" t="s">
        <v>9527</v>
      </c>
    </row>
    <row r="1418" spans="1:6">
      <c r="A1418" t="s">
        <v>9616</v>
      </c>
      <c r="B1418">
        <v>7143</v>
      </c>
      <c r="C1418" t="s">
        <v>9674</v>
      </c>
      <c r="D1418" t="s">
        <v>9617</v>
      </c>
      <c r="E1418" t="s">
        <v>9830</v>
      </c>
      <c r="F1418" t="s">
        <v>9527</v>
      </c>
    </row>
    <row r="1419" spans="1:6">
      <c r="A1419" t="s">
        <v>9616</v>
      </c>
      <c r="B1419">
        <v>7145</v>
      </c>
      <c r="C1419" t="s">
        <v>9674</v>
      </c>
      <c r="D1419" t="s">
        <v>9617</v>
      </c>
      <c r="E1419" t="s">
        <v>9830</v>
      </c>
      <c r="F1419" t="s">
        <v>9527</v>
      </c>
    </row>
    <row r="1420" spans="1:6">
      <c r="A1420" t="s">
        <v>9616</v>
      </c>
      <c r="B1420">
        <v>7147</v>
      </c>
      <c r="C1420" t="s">
        <v>9674</v>
      </c>
      <c r="D1420" t="s">
        <v>9617</v>
      </c>
      <c r="E1420" t="s">
        <v>9830</v>
      </c>
      <c r="F1420" t="s">
        <v>9527</v>
      </c>
    </row>
    <row r="1421" spans="1:6">
      <c r="A1421" t="s">
        <v>9616</v>
      </c>
      <c r="B1421">
        <v>3837</v>
      </c>
      <c r="C1421" t="s">
        <v>9674</v>
      </c>
      <c r="D1421" t="s">
        <v>9617</v>
      </c>
      <c r="E1421" t="s">
        <v>9830</v>
      </c>
      <c r="F1421" t="s">
        <v>9527</v>
      </c>
    </row>
    <row r="1422" spans="1:6">
      <c r="A1422" t="s">
        <v>9616</v>
      </c>
      <c r="B1422">
        <v>8878</v>
      </c>
      <c r="C1422" t="s">
        <v>9674</v>
      </c>
      <c r="D1422" t="s">
        <v>9617</v>
      </c>
      <c r="E1422" t="s">
        <v>9830</v>
      </c>
      <c r="F1422" t="s">
        <v>9527</v>
      </c>
    </row>
    <row r="1423" spans="1:6">
      <c r="A1423" t="s">
        <v>9616</v>
      </c>
      <c r="B1423">
        <v>8879</v>
      </c>
      <c r="C1423" t="s">
        <v>9674</v>
      </c>
      <c r="D1423" t="s">
        <v>9617</v>
      </c>
      <c r="E1423" t="s">
        <v>9830</v>
      </c>
      <c r="F1423" t="s">
        <v>9527</v>
      </c>
    </row>
    <row r="1424" spans="1:6">
      <c r="A1424" t="s">
        <v>9616</v>
      </c>
      <c r="B1424">
        <v>7233</v>
      </c>
      <c r="C1424" t="s">
        <v>9674</v>
      </c>
      <c r="D1424" t="s">
        <v>9617</v>
      </c>
      <c r="E1424" t="s">
        <v>9830</v>
      </c>
      <c r="F1424" t="s">
        <v>9527</v>
      </c>
    </row>
    <row r="1425" spans="1:6">
      <c r="A1425" t="s">
        <v>9616</v>
      </c>
      <c r="B1425">
        <v>5464</v>
      </c>
      <c r="C1425" t="s">
        <v>9674</v>
      </c>
      <c r="D1425" t="s">
        <v>9617</v>
      </c>
      <c r="E1425" t="s">
        <v>9830</v>
      </c>
      <c r="F1425" t="s">
        <v>9527</v>
      </c>
    </row>
    <row r="1426" spans="1:6">
      <c r="A1426" t="s">
        <v>9616</v>
      </c>
      <c r="B1426">
        <v>9532</v>
      </c>
      <c r="C1426" t="s">
        <v>9674</v>
      </c>
      <c r="D1426" t="s">
        <v>9617</v>
      </c>
      <c r="E1426" t="s">
        <v>9830</v>
      </c>
      <c r="F1426" t="s">
        <v>9527</v>
      </c>
    </row>
    <row r="1427" spans="1:6">
      <c r="A1427" t="s">
        <v>9616</v>
      </c>
      <c r="B1427">
        <v>5465</v>
      </c>
      <c r="C1427" t="s">
        <v>9674</v>
      </c>
      <c r="D1427" t="s">
        <v>9617</v>
      </c>
      <c r="E1427" t="s">
        <v>9830</v>
      </c>
      <c r="F1427" t="s">
        <v>9527</v>
      </c>
    </row>
    <row r="1428" spans="1:6">
      <c r="A1428" t="s">
        <v>9616</v>
      </c>
      <c r="B1428">
        <v>5456</v>
      </c>
      <c r="C1428" t="s">
        <v>9674</v>
      </c>
      <c r="D1428" t="s">
        <v>9617</v>
      </c>
      <c r="E1428" t="s">
        <v>9830</v>
      </c>
      <c r="F1428" t="s">
        <v>9527</v>
      </c>
    </row>
    <row r="1429" spans="1:6">
      <c r="A1429" t="s">
        <v>9616</v>
      </c>
      <c r="B1429">
        <v>7148</v>
      </c>
      <c r="C1429" t="s">
        <v>9674</v>
      </c>
      <c r="D1429" t="s">
        <v>9617</v>
      </c>
      <c r="E1429" t="s">
        <v>9830</v>
      </c>
      <c r="F1429" t="s">
        <v>9527</v>
      </c>
    </row>
    <row r="1430" spans="1:6">
      <c r="A1430" t="s">
        <v>9616</v>
      </c>
      <c r="B1430">
        <v>7385</v>
      </c>
      <c r="C1430" t="s">
        <v>9674</v>
      </c>
      <c r="D1430" t="s">
        <v>9617</v>
      </c>
      <c r="E1430" t="s">
        <v>9830</v>
      </c>
      <c r="F1430" t="s">
        <v>9527</v>
      </c>
    </row>
    <row r="1431" spans="1:6">
      <c r="A1431" t="s">
        <v>9616</v>
      </c>
      <c r="B1431">
        <v>7162</v>
      </c>
      <c r="C1431" t="s">
        <v>9674</v>
      </c>
      <c r="D1431" t="s">
        <v>9617</v>
      </c>
      <c r="E1431" t="s">
        <v>9830</v>
      </c>
      <c r="F1431" t="s">
        <v>9527</v>
      </c>
    </row>
    <row r="1432" spans="1:6">
      <c r="A1432" t="s">
        <v>9616</v>
      </c>
      <c r="B1432">
        <v>6241</v>
      </c>
      <c r="C1432" t="s">
        <v>9674</v>
      </c>
      <c r="D1432" t="s">
        <v>9617</v>
      </c>
      <c r="E1432" t="s">
        <v>9830</v>
      </c>
      <c r="F1432" t="s">
        <v>9527</v>
      </c>
    </row>
    <row r="1433" spans="1:6">
      <c r="A1433" t="s">
        <v>9616</v>
      </c>
      <c r="B1433">
        <v>8835</v>
      </c>
      <c r="C1433" t="s">
        <v>9674</v>
      </c>
      <c r="D1433" t="s">
        <v>9619</v>
      </c>
      <c r="E1433" t="s">
        <v>9808</v>
      </c>
      <c r="F1433" t="s">
        <v>9527</v>
      </c>
    </row>
    <row r="1434" spans="1:6">
      <c r="A1434" t="s">
        <v>9616</v>
      </c>
      <c r="B1434">
        <v>8848</v>
      </c>
      <c r="C1434" t="s">
        <v>9674</v>
      </c>
      <c r="D1434" t="s">
        <v>9619</v>
      </c>
      <c r="E1434" t="s">
        <v>9808</v>
      </c>
      <c r="F1434" t="s">
        <v>9527</v>
      </c>
    </row>
    <row r="1435" spans="1:6">
      <c r="A1435" t="s">
        <v>9616</v>
      </c>
      <c r="B1435">
        <v>7992</v>
      </c>
      <c r="C1435" t="s">
        <v>9674</v>
      </c>
      <c r="D1435" t="s">
        <v>9619</v>
      </c>
      <c r="E1435" t="s">
        <v>9808</v>
      </c>
      <c r="F1435" t="s">
        <v>9527</v>
      </c>
    </row>
    <row r="1436" spans="1:6">
      <c r="A1436" t="s">
        <v>9616</v>
      </c>
      <c r="B1436">
        <v>8830</v>
      </c>
      <c r="C1436" t="s">
        <v>9674</v>
      </c>
      <c r="D1436" t="s">
        <v>9619</v>
      </c>
      <c r="E1436" t="s">
        <v>9808</v>
      </c>
      <c r="F1436" t="s">
        <v>9527</v>
      </c>
    </row>
    <row r="1437" spans="1:6">
      <c r="A1437" t="s">
        <v>9616</v>
      </c>
      <c r="B1437">
        <v>8837</v>
      </c>
      <c r="C1437" t="s">
        <v>9674</v>
      </c>
      <c r="D1437" t="s">
        <v>9619</v>
      </c>
      <c r="E1437" t="s">
        <v>9808</v>
      </c>
      <c r="F1437" t="s">
        <v>9527</v>
      </c>
    </row>
    <row r="1438" spans="1:6">
      <c r="A1438" t="s">
        <v>9616</v>
      </c>
      <c r="B1438">
        <v>8827</v>
      </c>
      <c r="C1438" t="s">
        <v>9674</v>
      </c>
      <c r="D1438" t="s">
        <v>9619</v>
      </c>
      <c r="E1438" t="s">
        <v>9808</v>
      </c>
      <c r="F1438" t="s">
        <v>9527</v>
      </c>
    </row>
    <row r="1439" spans="1:6">
      <c r="A1439" t="s">
        <v>9616</v>
      </c>
      <c r="B1439">
        <v>8670</v>
      </c>
      <c r="C1439" t="s">
        <v>9674</v>
      </c>
      <c r="D1439" t="s">
        <v>9619</v>
      </c>
      <c r="E1439" t="s">
        <v>9808</v>
      </c>
      <c r="F1439" t="s">
        <v>9527</v>
      </c>
    </row>
    <row r="1440" spans="1:6">
      <c r="A1440" t="s">
        <v>9616</v>
      </c>
      <c r="B1440">
        <v>7977</v>
      </c>
      <c r="C1440" t="s">
        <v>9674</v>
      </c>
      <c r="D1440" t="s">
        <v>9619</v>
      </c>
      <c r="E1440" t="s">
        <v>9808</v>
      </c>
      <c r="F1440" t="s">
        <v>9527</v>
      </c>
    </row>
    <row r="1441" spans="1:6">
      <c r="A1441" t="s">
        <v>9616</v>
      </c>
      <c r="B1441">
        <v>7839</v>
      </c>
      <c r="C1441" t="s">
        <v>9674</v>
      </c>
      <c r="D1441" t="s">
        <v>9619</v>
      </c>
      <c r="E1441" t="s">
        <v>9808</v>
      </c>
      <c r="F1441" t="s">
        <v>9527</v>
      </c>
    </row>
    <row r="1442" spans="1:6">
      <c r="A1442" t="s">
        <v>9616</v>
      </c>
      <c r="B1442">
        <v>7380</v>
      </c>
      <c r="C1442" t="s">
        <v>9674</v>
      </c>
      <c r="D1442" t="s">
        <v>9619</v>
      </c>
      <c r="E1442" t="s">
        <v>9808</v>
      </c>
      <c r="F1442" t="s">
        <v>9527</v>
      </c>
    </row>
    <row r="1443" spans="1:6">
      <c r="A1443" t="s">
        <v>9616</v>
      </c>
      <c r="B1443">
        <v>7383</v>
      </c>
      <c r="C1443" t="s">
        <v>9674</v>
      </c>
      <c r="D1443" t="s">
        <v>9619</v>
      </c>
      <c r="E1443" t="s">
        <v>9808</v>
      </c>
      <c r="F1443" t="s">
        <v>9527</v>
      </c>
    </row>
    <row r="1444" spans="1:6">
      <c r="A1444" t="s">
        <v>9616</v>
      </c>
      <c r="B1444">
        <v>7160</v>
      </c>
      <c r="C1444" t="s">
        <v>9674</v>
      </c>
      <c r="D1444" t="s">
        <v>9619</v>
      </c>
      <c r="E1444" t="s">
        <v>9808</v>
      </c>
      <c r="F1444" t="s">
        <v>9527</v>
      </c>
    </row>
    <row r="1445" spans="1:6">
      <c r="A1445" t="s">
        <v>9616</v>
      </c>
      <c r="B1445">
        <v>7946</v>
      </c>
      <c r="C1445" t="s">
        <v>9674</v>
      </c>
      <c r="D1445" t="s">
        <v>9619</v>
      </c>
      <c r="E1445" t="s">
        <v>9808</v>
      </c>
      <c r="F1445" t="s">
        <v>9527</v>
      </c>
    </row>
    <row r="1446" spans="1:6">
      <c r="A1446" t="s">
        <v>9616</v>
      </c>
      <c r="B1446">
        <v>7978</v>
      </c>
      <c r="C1446" t="s">
        <v>9674</v>
      </c>
      <c r="D1446" t="s">
        <v>9619</v>
      </c>
      <c r="E1446" t="s">
        <v>9808</v>
      </c>
      <c r="F1446" t="s">
        <v>9527</v>
      </c>
    </row>
    <row r="1447" spans="1:6">
      <c r="A1447" t="s">
        <v>9616</v>
      </c>
      <c r="B1447">
        <v>7944</v>
      </c>
      <c r="C1447" t="s">
        <v>9674</v>
      </c>
      <c r="D1447" t="s">
        <v>9619</v>
      </c>
      <c r="E1447" t="s">
        <v>9808</v>
      </c>
      <c r="F1447" t="s">
        <v>9527</v>
      </c>
    </row>
    <row r="1448" spans="1:6">
      <c r="A1448" t="s">
        <v>9616</v>
      </c>
      <c r="B1448">
        <v>7914</v>
      </c>
      <c r="C1448" t="s">
        <v>9674</v>
      </c>
      <c r="D1448" t="s">
        <v>9619</v>
      </c>
      <c r="E1448" t="s">
        <v>9808</v>
      </c>
      <c r="F1448" t="s">
        <v>9527</v>
      </c>
    </row>
    <row r="1449" spans="1:6">
      <c r="A1449" t="s">
        <v>9616</v>
      </c>
      <c r="B1449">
        <v>7942</v>
      </c>
      <c r="C1449" t="s">
        <v>9674</v>
      </c>
      <c r="D1449" t="s">
        <v>9619</v>
      </c>
      <c r="E1449" t="s">
        <v>9808</v>
      </c>
      <c r="F1449" t="s">
        <v>9527</v>
      </c>
    </row>
    <row r="1450" spans="1:6">
      <c r="A1450" t="s">
        <v>9616</v>
      </c>
      <c r="B1450">
        <v>7376</v>
      </c>
      <c r="C1450" t="s">
        <v>9674</v>
      </c>
      <c r="D1450" t="s">
        <v>9619</v>
      </c>
      <c r="E1450" t="s">
        <v>9808</v>
      </c>
      <c r="F1450" t="s">
        <v>9527</v>
      </c>
    </row>
    <row r="1451" spans="1:6">
      <c r="A1451" t="s">
        <v>9616</v>
      </c>
      <c r="B1451">
        <v>7377</v>
      </c>
      <c r="C1451" t="s">
        <v>9674</v>
      </c>
      <c r="D1451" t="s">
        <v>9619</v>
      </c>
      <c r="E1451" t="s">
        <v>9808</v>
      </c>
      <c r="F1451" t="s">
        <v>9527</v>
      </c>
    </row>
    <row r="1452" spans="1:6">
      <c r="A1452" t="s">
        <v>9616</v>
      </c>
      <c r="B1452">
        <v>7158</v>
      </c>
      <c r="C1452" t="s">
        <v>9674</v>
      </c>
      <c r="D1452" t="s">
        <v>9619</v>
      </c>
      <c r="E1452" t="s">
        <v>9808</v>
      </c>
      <c r="F1452" t="s">
        <v>9527</v>
      </c>
    </row>
    <row r="1453" spans="1:6">
      <c r="A1453" t="s">
        <v>9616</v>
      </c>
      <c r="B1453">
        <v>7979</v>
      </c>
      <c r="C1453" t="s">
        <v>9674</v>
      </c>
      <c r="D1453" t="s">
        <v>9619</v>
      </c>
      <c r="E1453" t="s">
        <v>9808</v>
      </c>
      <c r="F1453" t="s">
        <v>9527</v>
      </c>
    </row>
    <row r="1454" spans="1:6">
      <c r="A1454" t="s">
        <v>9616</v>
      </c>
      <c r="B1454">
        <v>7947</v>
      </c>
      <c r="C1454" t="s">
        <v>9674</v>
      </c>
      <c r="D1454" t="s">
        <v>9619</v>
      </c>
      <c r="E1454" t="s">
        <v>9808</v>
      </c>
      <c r="F1454" t="s">
        <v>9527</v>
      </c>
    </row>
    <row r="1455" spans="1:6">
      <c r="A1455" t="s">
        <v>9616</v>
      </c>
      <c r="B1455">
        <v>5454</v>
      </c>
      <c r="C1455" t="s">
        <v>9674</v>
      </c>
      <c r="D1455" t="s">
        <v>9619</v>
      </c>
      <c r="E1455" t="s">
        <v>9808</v>
      </c>
      <c r="F1455" t="s">
        <v>9527</v>
      </c>
    </row>
    <row r="1456" spans="1:6">
      <c r="A1456" t="s">
        <v>9616</v>
      </c>
      <c r="B1456">
        <v>7945</v>
      </c>
      <c r="C1456" t="s">
        <v>9674</v>
      </c>
      <c r="D1456" t="s">
        <v>9619</v>
      </c>
      <c r="E1456" t="s">
        <v>9808</v>
      </c>
      <c r="F1456" t="s">
        <v>9527</v>
      </c>
    </row>
    <row r="1457" spans="1:6">
      <c r="A1457" t="s">
        <v>9616</v>
      </c>
      <c r="B1457">
        <v>7949</v>
      </c>
      <c r="C1457" t="s">
        <v>9674</v>
      </c>
      <c r="D1457" t="s">
        <v>9619</v>
      </c>
      <c r="E1457" t="s">
        <v>9808</v>
      </c>
      <c r="F1457" t="s">
        <v>9527</v>
      </c>
    </row>
    <row r="1458" spans="1:6">
      <c r="A1458" t="s">
        <v>9616</v>
      </c>
      <c r="B1458">
        <v>5460</v>
      </c>
      <c r="C1458" t="s">
        <v>9674</v>
      </c>
      <c r="D1458" t="s">
        <v>9619</v>
      </c>
      <c r="E1458" t="s">
        <v>9808</v>
      </c>
      <c r="F1458" t="s">
        <v>9527</v>
      </c>
    </row>
    <row r="1459" spans="1:6">
      <c r="A1459" t="s">
        <v>9616</v>
      </c>
      <c r="B1459">
        <v>5466</v>
      </c>
      <c r="C1459" t="s">
        <v>9674</v>
      </c>
      <c r="D1459" t="s">
        <v>9619</v>
      </c>
      <c r="E1459" t="s">
        <v>9808</v>
      </c>
      <c r="F1459" t="s">
        <v>9527</v>
      </c>
    </row>
    <row r="1460" spans="1:6">
      <c r="A1460" t="s">
        <v>9616</v>
      </c>
      <c r="B1460">
        <v>7915</v>
      </c>
      <c r="C1460" t="s">
        <v>9674</v>
      </c>
      <c r="D1460" t="s">
        <v>9619</v>
      </c>
      <c r="E1460" t="s">
        <v>9808</v>
      </c>
      <c r="F1460" t="s">
        <v>9527</v>
      </c>
    </row>
    <row r="1461" spans="1:6">
      <c r="A1461" t="s">
        <v>9616</v>
      </c>
      <c r="B1461">
        <v>7980</v>
      </c>
      <c r="C1461" t="s">
        <v>9674</v>
      </c>
      <c r="D1461" t="s">
        <v>9619</v>
      </c>
      <c r="E1461" t="s">
        <v>9808</v>
      </c>
      <c r="F1461" t="s">
        <v>9527</v>
      </c>
    </row>
    <row r="1462" spans="1:6">
      <c r="A1462" t="s">
        <v>9616</v>
      </c>
      <c r="B1462">
        <v>6630</v>
      </c>
      <c r="C1462" t="s">
        <v>9674</v>
      </c>
      <c r="D1462" t="s">
        <v>9619</v>
      </c>
      <c r="E1462" t="s">
        <v>9808</v>
      </c>
      <c r="F1462" t="s">
        <v>9527</v>
      </c>
    </row>
    <row r="1463" spans="1:6">
      <c r="A1463" t="s">
        <v>9616</v>
      </c>
      <c r="B1463">
        <v>7943</v>
      </c>
      <c r="C1463" t="s">
        <v>9674</v>
      </c>
      <c r="D1463" t="s">
        <v>9619</v>
      </c>
      <c r="E1463" t="s">
        <v>9808</v>
      </c>
      <c r="F1463" t="s">
        <v>9527</v>
      </c>
    </row>
    <row r="1464" spans="1:6">
      <c r="A1464" t="s">
        <v>9616</v>
      </c>
      <c r="B1464">
        <v>7985</v>
      </c>
      <c r="C1464" t="s">
        <v>9674</v>
      </c>
      <c r="D1464" t="s">
        <v>9619</v>
      </c>
      <c r="E1464" t="s">
        <v>9808</v>
      </c>
      <c r="F1464" t="s">
        <v>9527</v>
      </c>
    </row>
    <row r="1465" spans="1:6">
      <c r="A1465" t="s">
        <v>9616</v>
      </c>
      <c r="B1465">
        <v>5462</v>
      </c>
      <c r="C1465" t="s">
        <v>9674</v>
      </c>
      <c r="D1465" t="s">
        <v>9619</v>
      </c>
      <c r="E1465" t="s">
        <v>9808</v>
      </c>
      <c r="F1465" t="s">
        <v>9527</v>
      </c>
    </row>
    <row r="1466" spans="1:6">
      <c r="A1466" t="s">
        <v>9616</v>
      </c>
      <c r="B1466">
        <v>5463</v>
      </c>
      <c r="C1466" t="s">
        <v>9674</v>
      </c>
      <c r="D1466" t="s">
        <v>9619</v>
      </c>
      <c r="E1466" t="s">
        <v>9808</v>
      </c>
      <c r="F1466" t="s">
        <v>9527</v>
      </c>
    </row>
    <row r="1467" spans="1:6">
      <c r="A1467" t="s">
        <v>9616</v>
      </c>
      <c r="B1467">
        <v>5495</v>
      </c>
      <c r="C1467" t="s">
        <v>9674</v>
      </c>
      <c r="D1467" t="s">
        <v>9619</v>
      </c>
      <c r="E1467" t="s">
        <v>9808</v>
      </c>
      <c r="F1467" t="s">
        <v>9527</v>
      </c>
    </row>
    <row r="1468" spans="1:6">
      <c r="A1468" t="s">
        <v>9616</v>
      </c>
      <c r="B1468">
        <v>9307</v>
      </c>
      <c r="C1468" t="s">
        <v>9674</v>
      </c>
      <c r="D1468" t="s">
        <v>9619</v>
      </c>
      <c r="E1468" t="s">
        <v>9808</v>
      </c>
      <c r="F1468" t="s">
        <v>9527</v>
      </c>
    </row>
    <row r="1469" spans="1:6">
      <c r="A1469" t="s">
        <v>9616</v>
      </c>
      <c r="B1469">
        <v>9306</v>
      </c>
      <c r="C1469" t="s">
        <v>9674</v>
      </c>
      <c r="D1469" t="s">
        <v>9619</v>
      </c>
      <c r="E1469" t="s">
        <v>9808</v>
      </c>
      <c r="F1469" t="s">
        <v>9527</v>
      </c>
    </row>
    <row r="1470" spans="1:6">
      <c r="A1470" t="s">
        <v>9616</v>
      </c>
      <c r="B1470">
        <v>8655</v>
      </c>
      <c r="C1470" t="s">
        <v>9674</v>
      </c>
      <c r="D1470" t="s">
        <v>9621</v>
      </c>
      <c r="E1470" t="s">
        <v>9831</v>
      </c>
      <c r="F1470" t="s">
        <v>9527</v>
      </c>
    </row>
    <row r="1471" spans="1:6">
      <c r="A1471" t="s">
        <v>9616</v>
      </c>
      <c r="B1471">
        <v>8836</v>
      </c>
      <c r="C1471" t="s">
        <v>9674</v>
      </c>
      <c r="D1471" t="s">
        <v>9621</v>
      </c>
      <c r="E1471" t="s">
        <v>9831</v>
      </c>
      <c r="F1471" t="s">
        <v>9527</v>
      </c>
    </row>
    <row r="1472" spans="1:6">
      <c r="A1472" t="s">
        <v>9616</v>
      </c>
      <c r="B1472">
        <v>8486</v>
      </c>
      <c r="C1472" t="s">
        <v>9674</v>
      </c>
      <c r="D1472" t="s">
        <v>9621</v>
      </c>
      <c r="E1472" t="s">
        <v>9831</v>
      </c>
      <c r="F1472" t="s">
        <v>9527</v>
      </c>
    </row>
    <row r="1473" spans="1:6">
      <c r="A1473" t="s">
        <v>9616</v>
      </c>
      <c r="B1473">
        <v>8478</v>
      </c>
      <c r="C1473" t="s">
        <v>9674</v>
      </c>
      <c r="D1473" t="s">
        <v>9621</v>
      </c>
      <c r="E1473" t="s">
        <v>9831</v>
      </c>
      <c r="F1473" t="s">
        <v>9527</v>
      </c>
    </row>
    <row r="1474" spans="1:6">
      <c r="A1474" t="s">
        <v>9616</v>
      </c>
      <c r="B1474">
        <v>8479</v>
      </c>
      <c r="C1474" t="s">
        <v>9674</v>
      </c>
      <c r="D1474" t="s">
        <v>9621</v>
      </c>
      <c r="E1474" t="s">
        <v>9831</v>
      </c>
      <c r="F1474" t="s">
        <v>9527</v>
      </c>
    </row>
    <row r="1475" spans="1:6">
      <c r="A1475" t="s">
        <v>9616</v>
      </c>
      <c r="B1475">
        <v>8480</v>
      </c>
      <c r="C1475" t="s">
        <v>9674</v>
      </c>
      <c r="D1475" t="s">
        <v>9621</v>
      </c>
      <c r="E1475" t="s">
        <v>9831</v>
      </c>
      <c r="F1475" t="s">
        <v>9527</v>
      </c>
    </row>
    <row r="1476" spans="1:6">
      <c r="A1476" t="s">
        <v>9616</v>
      </c>
      <c r="B1476">
        <v>8482</v>
      </c>
      <c r="C1476" t="s">
        <v>9674</v>
      </c>
      <c r="D1476" t="s">
        <v>9621</v>
      </c>
      <c r="E1476" t="s">
        <v>9831</v>
      </c>
      <c r="F1476" t="s">
        <v>9527</v>
      </c>
    </row>
    <row r="1477" spans="1:6">
      <c r="A1477" t="s">
        <v>9616</v>
      </c>
      <c r="B1477">
        <v>8487</v>
      </c>
      <c r="C1477" t="s">
        <v>9674</v>
      </c>
      <c r="D1477" t="s">
        <v>9621</v>
      </c>
      <c r="E1477" t="s">
        <v>9831</v>
      </c>
      <c r="F1477" t="s">
        <v>9527</v>
      </c>
    </row>
    <row r="1478" spans="1:6">
      <c r="A1478" t="s">
        <v>9616</v>
      </c>
      <c r="B1478">
        <v>8485</v>
      </c>
      <c r="C1478" t="s">
        <v>9674</v>
      </c>
      <c r="D1478" t="s">
        <v>9621</v>
      </c>
      <c r="E1478" t="s">
        <v>9831</v>
      </c>
      <c r="F1478" t="s">
        <v>9527</v>
      </c>
    </row>
    <row r="1479" spans="1:6">
      <c r="A1479" t="s">
        <v>9616</v>
      </c>
      <c r="B1479">
        <v>8490</v>
      </c>
      <c r="C1479" t="s">
        <v>9674</v>
      </c>
      <c r="D1479" t="s">
        <v>9621</v>
      </c>
      <c r="E1479" t="s">
        <v>9831</v>
      </c>
      <c r="F1479" t="s">
        <v>9527</v>
      </c>
    </row>
    <row r="1480" spans="1:6">
      <c r="A1480" t="s">
        <v>9616</v>
      </c>
      <c r="B1480">
        <v>8645</v>
      </c>
      <c r="C1480" t="s">
        <v>9674</v>
      </c>
      <c r="D1480" t="s">
        <v>9621</v>
      </c>
      <c r="E1480" t="s">
        <v>9831</v>
      </c>
      <c r="F1480" t="s">
        <v>9527</v>
      </c>
    </row>
    <row r="1481" spans="1:6">
      <c r="A1481" t="s">
        <v>9616</v>
      </c>
      <c r="B1481">
        <v>8646</v>
      </c>
      <c r="C1481" t="s">
        <v>9674</v>
      </c>
      <c r="D1481" t="s">
        <v>9621</v>
      </c>
      <c r="E1481" t="s">
        <v>9831</v>
      </c>
      <c r="F1481" t="s">
        <v>9527</v>
      </c>
    </row>
    <row r="1482" spans="1:6">
      <c r="A1482" t="s">
        <v>9616</v>
      </c>
      <c r="B1482">
        <v>8647</v>
      </c>
      <c r="C1482" t="s">
        <v>9674</v>
      </c>
      <c r="D1482" t="s">
        <v>9621</v>
      </c>
      <c r="E1482" t="s">
        <v>9831</v>
      </c>
      <c r="F1482" t="s">
        <v>9527</v>
      </c>
    </row>
    <row r="1483" spans="1:6">
      <c r="A1483" t="s">
        <v>9616</v>
      </c>
      <c r="B1483">
        <v>8649</v>
      </c>
      <c r="C1483" t="s">
        <v>9674</v>
      </c>
      <c r="D1483" t="s">
        <v>9621</v>
      </c>
      <c r="E1483" t="s">
        <v>9831</v>
      </c>
      <c r="F1483" t="s">
        <v>9527</v>
      </c>
    </row>
    <row r="1484" spans="1:6">
      <c r="A1484" t="s">
        <v>9616</v>
      </c>
      <c r="B1484">
        <v>8488</v>
      </c>
      <c r="C1484" t="s">
        <v>9674</v>
      </c>
      <c r="D1484" t="s">
        <v>9621</v>
      </c>
      <c r="E1484" t="s">
        <v>9831</v>
      </c>
      <c r="F1484" t="s">
        <v>9527</v>
      </c>
    </row>
    <row r="1485" spans="1:6">
      <c r="A1485" t="s">
        <v>9616</v>
      </c>
      <c r="B1485">
        <v>8648</v>
      </c>
      <c r="C1485" t="s">
        <v>9674</v>
      </c>
      <c r="D1485" t="s">
        <v>9621</v>
      </c>
      <c r="E1485" t="s">
        <v>9831</v>
      </c>
      <c r="F1485" t="s">
        <v>9527</v>
      </c>
    </row>
    <row r="1486" spans="1:6">
      <c r="A1486" t="s">
        <v>9616</v>
      </c>
      <c r="B1486">
        <v>8671</v>
      </c>
      <c r="C1486" t="s">
        <v>9674</v>
      </c>
      <c r="D1486" t="s">
        <v>9621</v>
      </c>
      <c r="E1486" t="s">
        <v>9831</v>
      </c>
      <c r="F1486" t="s">
        <v>9527</v>
      </c>
    </row>
    <row r="1487" spans="1:6">
      <c r="A1487" t="s">
        <v>9616</v>
      </c>
      <c r="B1487">
        <v>8841</v>
      </c>
      <c r="C1487" t="s">
        <v>9674</v>
      </c>
      <c r="D1487" t="s">
        <v>9621</v>
      </c>
      <c r="E1487" t="s">
        <v>9831</v>
      </c>
      <c r="F1487" t="s">
        <v>9527</v>
      </c>
    </row>
    <row r="1488" spans="1:6">
      <c r="A1488" t="s">
        <v>9616</v>
      </c>
      <c r="B1488">
        <v>8672</v>
      </c>
      <c r="C1488" t="s">
        <v>9674</v>
      </c>
      <c r="D1488" t="s">
        <v>9621</v>
      </c>
      <c r="E1488" t="s">
        <v>9831</v>
      </c>
      <c r="F1488" t="s">
        <v>9527</v>
      </c>
    </row>
    <row r="1489" spans="1:6">
      <c r="A1489" t="s">
        <v>9616</v>
      </c>
      <c r="B1489">
        <v>8673</v>
      </c>
      <c r="C1489" t="s">
        <v>9674</v>
      </c>
      <c r="D1489" t="s">
        <v>9621</v>
      </c>
      <c r="E1489" t="s">
        <v>9831</v>
      </c>
      <c r="F1489" t="s">
        <v>9527</v>
      </c>
    </row>
    <row r="1490" spans="1:6">
      <c r="A1490" t="s">
        <v>9616</v>
      </c>
      <c r="B1490">
        <v>8489</v>
      </c>
      <c r="C1490" t="s">
        <v>9674</v>
      </c>
      <c r="D1490" t="s">
        <v>9621</v>
      </c>
      <c r="E1490" t="s">
        <v>9831</v>
      </c>
      <c r="F1490" t="s">
        <v>9527</v>
      </c>
    </row>
    <row r="1491" spans="1:6">
      <c r="A1491" t="s">
        <v>9616</v>
      </c>
      <c r="B1491">
        <v>8491</v>
      </c>
      <c r="C1491" t="s">
        <v>9674</v>
      </c>
      <c r="D1491" t="s">
        <v>9621</v>
      </c>
      <c r="E1491" t="s">
        <v>9831</v>
      </c>
      <c r="F1491" t="s">
        <v>9527</v>
      </c>
    </row>
    <row r="1492" spans="1:6">
      <c r="A1492" t="s">
        <v>9616</v>
      </c>
      <c r="B1492">
        <v>8849</v>
      </c>
      <c r="C1492" t="s">
        <v>9674</v>
      </c>
      <c r="D1492" t="s">
        <v>9621</v>
      </c>
      <c r="E1492" t="s">
        <v>9831</v>
      </c>
      <c r="F1492" t="s">
        <v>9527</v>
      </c>
    </row>
    <row r="1493" spans="1:6">
      <c r="A1493" t="s">
        <v>9616</v>
      </c>
      <c r="B1493">
        <v>7969</v>
      </c>
      <c r="C1493" t="s">
        <v>9674</v>
      </c>
      <c r="D1493" t="s">
        <v>9621</v>
      </c>
      <c r="E1493" t="s">
        <v>9831</v>
      </c>
      <c r="F1493" t="s">
        <v>9527</v>
      </c>
    </row>
    <row r="1494" spans="1:6">
      <c r="A1494" t="s">
        <v>9616</v>
      </c>
      <c r="B1494">
        <v>8654</v>
      </c>
      <c r="C1494" t="s">
        <v>9674</v>
      </c>
      <c r="D1494" t="s">
        <v>9621</v>
      </c>
      <c r="E1494" t="s">
        <v>9831</v>
      </c>
      <c r="F1494" t="s">
        <v>9527</v>
      </c>
    </row>
    <row r="1495" spans="1:6">
      <c r="A1495" t="s">
        <v>9616</v>
      </c>
      <c r="B1495">
        <v>8675</v>
      </c>
      <c r="C1495" t="s">
        <v>9674</v>
      </c>
      <c r="D1495" t="s">
        <v>9621</v>
      </c>
      <c r="E1495" t="s">
        <v>9831</v>
      </c>
      <c r="F1495" t="s">
        <v>9527</v>
      </c>
    </row>
    <row r="1496" spans="1:6">
      <c r="A1496" t="s">
        <v>9616</v>
      </c>
      <c r="B1496">
        <v>8847</v>
      </c>
      <c r="C1496" t="s">
        <v>9674</v>
      </c>
      <c r="D1496" t="s">
        <v>9621</v>
      </c>
      <c r="E1496" t="s">
        <v>9831</v>
      </c>
      <c r="F1496" t="s">
        <v>9527</v>
      </c>
    </row>
    <row r="1497" spans="1:6">
      <c r="A1497" t="s">
        <v>9616</v>
      </c>
      <c r="B1497">
        <v>8840</v>
      </c>
      <c r="C1497" t="s">
        <v>9674</v>
      </c>
      <c r="D1497" t="s">
        <v>9621</v>
      </c>
      <c r="E1497" t="s">
        <v>9831</v>
      </c>
      <c r="F1497" t="s">
        <v>9527</v>
      </c>
    </row>
    <row r="1498" spans="1:6">
      <c r="A1498" t="s">
        <v>9616</v>
      </c>
      <c r="B1498">
        <v>8834</v>
      </c>
      <c r="C1498" t="s">
        <v>9674</v>
      </c>
      <c r="D1498" t="s">
        <v>9621</v>
      </c>
      <c r="E1498" t="s">
        <v>9831</v>
      </c>
      <c r="F1498" t="s">
        <v>9527</v>
      </c>
    </row>
    <row r="1499" spans="1:6">
      <c r="A1499" t="s">
        <v>9616</v>
      </c>
      <c r="B1499">
        <v>4348</v>
      </c>
      <c r="C1499" t="s">
        <v>9674</v>
      </c>
      <c r="D1499" t="s">
        <v>9621</v>
      </c>
      <c r="E1499" t="s">
        <v>9831</v>
      </c>
      <c r="F1499" t="s">
        <v>9527</v>
      </c>
    </row>
    <row r="1500" spans="1:6">
      <c r="A1500" t="s">
        <v>9616</v>
      </c>
      <c r="B1500">
        <v>4253</v>
      </c>
      <c r="C1500" t="s">
        <v>9674</v>
      </c>
      <c r="D1500" t="s">
        <v>9621</v>
      </c>
      <c r="E1500" t="s">
        <v>9831</v>
      </c>
      <c r="F1500" t="s">
        <v>9527</v>
      </c>
    </row>
    <row r="1501" spans="1:6">
      <c r="A1501" t="s">
        <v>9616</v>
      </c>
      <c r="B1501">
        <v>2582</v>
      </c>
      <c r="C1501" t="s">
        <v>9674</v>
      </c>
      <c r="D1501" t="s">
        <v>9621</v>
      </c>
      <c r="E1501" t="s">
        <v>9831</v>
      </c>
      <c r="F1501" t="s">
        <v>9527</v>
      </c>
    </row>
    <row r="1502" spans="1:6">
      <c r="A1502" t="s">
        <v>9616</v>
      </c>
      <c r="B1502">
        <v>5457</v>
      </c>
      <c r="C1502" t="s">
        <v>9674</v>
      </c>
      <c r="D1502" t="s">
        <v>9621</v>
      </c>
      <c r="E1502" t="s">
        <v>9831</v>
      </c>
      <c r="F1502" t="s">
        <v>9527</v>
      </c>
    </row>
    <row r="1503" spans="1:6">
      <c r="A1503" t="s">
        <v>9616</v>
      </c>
      <c r="B1503">
        <v>4347</v>
      </c>
      <c r="C1503" t="s">
        <v>9674</v>
      </c>
      <c r="D1503" t="s">
        <v>9621</v>
      </c>
      <c r="E1503" t="s">
        <v>9831</v>
      </c>
      <c r="F1503" t="s">
        <v>9527</v>
      </c>
    </row>
    <row r="1504" spans="1:6">
      <c r="A1504" t="s">
        <v>9616</v>
      </c>
      <c r="B1504">
        <v>4362</v>
      </c>
      <c r="C1504" t="s">
        <v>9674</v>
      </c>
      <c r="D1504" t="s">
        <v>9621</v>
      </c>
      <c r="E1504" t="s">
        <v>9831</v>
      </c>
      <c r="F1504" t="s">
        <v>9527</v>
      </c>
    </row>
    <row r="1505" spans="1:6">
      <c r="A1505" t="s">
        <v>9616</v>
      </c>
      <c r="B1505">
        <v>4363</v>
      </c>
      <c r="C1505" t="s">
        <v>9674</v>
      </c>
      <c r="D1505" t="s">
        <v>9621</v>
      </c>
      <c r="E1505" t="s">
        <v>9831</v>
      </c>
      <c r="F1505" t="s">
        <v>9527</v>
      </c>
    </row>
    <row r="1506" spans="1:6">
      <c r="A1506" t="s">
        <v>9616</v>
      </c>
      <c r="B1506">
        <v>4367</v>
      </c>
      <c r="C1506" t="s">
        <v>9674</v>
      </c>
      <c r="D1506" t="s">
        <v>9621</v>
      </c>
      <c r="E1506" t="s">
        <v>9831</v>
      </c>
      <c r="F1506" t="s">
        <v>9527</v>
      </c>
    </row>
    <row r="1507" spans="1:6">
      <c r="A1507" t="s">
        <v>9616</v>
      </c>
      <c r="B1507">
        <v>4368</v>
      </c>
      <c r="C1507" t="s">
        <v>9674</v>
      </c>
      <c r="D1507" t="s">
        <v>9621</v>
      </c>
      <c r="E1507" t="s">
        <v>9831</v>
      </c>
      <c r="F1507" t="s">
        <v>9527</v>
      </c>
    </row>
    <row r="1508" spans="1:6">
      <c r="A1508" t="s">
        <v>9616</v>
      </c>
      <c r="B1508">
        <v>7327</v>
      </c>
      <c r="C1508" t="s">
        <v>9674</v>
      </c>
      <c r="D1508" t="s">
        <v>9621</v>
      </c>
      <c r="E1508" t="s">
        <v>9831</v>
      </c>
      <c r="F1508" t="s">
        <v>9527</v>
      </c>
    </row>
    <row r="1509" spans="1:6">
      <c r="A1509" t="s">
        <v>9616</v>
      </c>
      <c r="B1509">
        <v>7328</v>
      </c>
      <c r="C1509" t="s">
        <v>9674</v>
      </c>
      <c r="D1509" t="s">
        <v>9621</v>
      </c>
      <c r="E1509" t="s">
        <v>9831</v>
      </c>
      <c r="F1509" t="s">
        <v>9527</v>
      </c>
    </row>
    <row r="1510" spans="1:6">
      <c r="A1510" t="s">
        <v>9616</v>
      </c>
      <c r="B1510">
        <v>4365</v>
      </c>
      <c r="C1510" t="s">
        <v>9674</v>
      </c>
      <c r="D1510" t="s">
        <v>9621</v>
      </c>
      <c r="E1510" t="s">
        <v>9831</v>
      </c>
      <c r="F1510" t="s">
        <v>9527</v>
      </c>
    </row>
    <row r="1511" spans="1:6">
      <c r="A1511" t="s">
        <v>9616</v>
      </c>
      <c r="B1511">
        <v>4364</v>
      </c>
      <c r="C1511" t="s">
        <v>9674</v>
      </c>
      <c r="D1511" t="s">
        <v>9621</v>
      </c>
      <c r="E1511" t="s">
        <v>9831</v>
      </c>
      <c r="F1511" t="s">
        <v>9527</v>
      </c>
    </row>
    <row r="1512" spans="1:6">
      <c r="A1512" t="s">
        <v>9616</v>
      </c>
      <c r="B1512">
        <v>4194</v>
      </c>
      <c r="C1512" t="s">
        <v>9674</v>
      </c>
      <c r="D1512" t="s">
        <v>9621</v>
      </c>
      <c r="E1512" t="s">
        <v>9831</v>
      </c>
      <c r="F1512" t="s">
        <v>9527</v>
      </c>
    </row>
    <row r="1513" spans="1:6">
      <c r="A1513" t="s">
        <v>9616</v>
      </c>
      <c r="B1513">
        <v>4190</v>
      </c>
      <c r="C1513" t="s">
        <v>9674</v>
      </c>
      <c r="D1513" t="s">
        <v>9621</v>
      </c>
      <c r="E1513" t="s">
        <v>9831</v>
      </c>
      <c r="F1513" t="s">
        <v>9527</v>
      </c>
    </row>
    <row r="1514" spans="1:6">
      <c r="A1514" t="s">
        <v>9616</v>
      </c>
      <c r="B1514">
        <v>4251</v>
      </c>
      <c r="C1514" t="s">
        <v>9674</v>
      </c>
      <c r="D1514" t="s">
        <v>9621</v>
      </c>
      <c r="E1514" t="s">
        <v>9831</v>
      </c>
      <c r="F1514" t="s">
        <v>9527</v>
      </c>
    </row>
    <row r="1515" spans="1:6">
      <c r="A1515" t="s">
        <v>9616</v>
      </c>
      <c r="B1515">
        <v>4252</v>
      </c>
      <c r="C1515" t="s">
        <v>9674</v>
      </c>
      <c r="D1515" t="s">
        <v>9621</v>
      </c>
      <c r="E1515" t="s">
        <v>9831</v>
      </c>
      <c r="F1515" t="s">
        <v>9527</v>
      </c>
    </row>
    <row r="1516" spans="1:6">
      <c r="A1516" t="s">
        <v>9616</v>
      </c>
      <c r="B1516">
        <v>2583</v>
      </c>
      <c r="C1516" t="s">
        <v>9674</v>
      </c>
      <c r="D1516" t="s">
        <v>9621</v>
      </c>
      <c r="E1516" t="s">
        <v>9831</v>
      </c>
      <c r="F1516" t="s">
        <v>9527</v>
      </c>
    </row>
    <row r="1517" spans="1:6">
      <c r="A1517" t="s">
        <v>9616</v>
      </c>
      <c r="B1517">
        <v>5458</v>
      </c>
      <c r="C1517" t="s">
        <v>9674</v>
      </c>
      <c r="D1517" t="s">
        <v>9621</v>
      </c>
      <c r="E1517" t="s">
        <v>9831</v>
      </c>
      <c r="F1517" t="s">
        <v>9527</v>
      </c>
    </row>
    <row r="1518" spans="1:6">
      <c r="A1518" t="s">
        <v>9616</v>
      </c>
      <c r="B1518">
        <v>7382</v>
      </c>
      <c r="C1518" t="s">
        <v>9674</v>
      </c>
      <c r="D1518" t="s">
        <v>9621</v>
      </c>
      <c r="E1518" t="s">
        <v>9831</v>
      </c>
      <c r="F1518" t="s">
        <v>9527</v>
      </c>
    </row>
    <row r="1519" spans="1:6">
      <c r="A1519" t="s">
        <v>9616</v>
      </c>
      <c r="B1519">
        <v>4192</v>
      </c>
      <c r="C1519" t="s">
        <v>9674</v>
      </c>
      <c r="D1519" t="s">
        <v>9621</v>
      </c>
      <c r="E1519" t="s">
        <v>9831</v>
      </c>
      <c r="F1519" t="s">
        <v>9527</v>
      </c>
    </row>
    <row r="1520" spans="1:6">
      <c r="A1520" t="s">
        <v>9616</v>
      </c>
      <c r="B1520">
        <v>4193</v>
      </c>
      <c r="C1520" t="s">
        <v>9674</v>
      </c>
      <c r="D1520" t="s">
        <v>9621</v>
      </c>
      <c r="E1520" t="s">
        <v>9831</v>
      </c>
      <c r="F1520" t="s">
        <v>9527</v>
      </c>
    </row>
    <row r="1521" spans="1:6">
      <c r="A1521" t="s">
        <v>9616</v>
      </c>
      <c r="B1521">
        <v>7973</v>
      </c>
      <c r="C1521" t="s">
        <v>9674</v>
      </c>
      <c r="D1521" t="s">
        <v>9621</v>
      </c>
      <c r="E1521" t="s">
        <v>9831</v>
      </c>
      <c r="F1521" t="s">
        <v>9527</v>
      </c>
    </row>
    <row r="1522" spans="1:6">
      <c r="A1522" t="s">
        <v>9616</v>
      </c>
      <c r="B1522">
        <v>7975</v>
      </c>
      <c r="C1522" t="s">
        <v>9674</v>
      </c>
      <c r="D1522" t="s">
        <v>9621</v>
      </c>
      <c r="E1522" t="s">
        <v>9831</v>
      </c>
      <c r="F1522" t="s">
        <v>9527</v>
      </c>
    </row>
    <row r="1523" spans="1:6">
      <c r="A1523" t="s">
        <v>9616</v>
      </c>
      <c r="B1523">
        <v>7974</v>
      </c>
      <c r="C1523" t="s">
        <v>9674</v>
      </c>
      <c r="D1523" t="s">
        <v>9621</v>
      </c>
      <c r="E1523" t="s">
        <v>9831</v>
      </c>
      <c r="F1523" t="s">
        <v>9527</v>
      </c>
    </row>
    <row r="1524" spans="1:6">
      <c r="A1524" t="s">
        <v>9616</v>
      </c>
      <c r="B1524">
        <v>7976</v>
      </c>
      <c r="C1524" t="s">
        <v>9674</v>
      </c>
      <c r="D1524" t="s">
        <v>9621</v>
      </c>
      <c r="E1524" t="s">
        <v>9831</v>
      </c>
      <c r="F1524" t="s">
        <v>9527</v>
      </c>
    </row>
    <row r="1525" spans="1:6">
      <c r="A1525" t="s">
        <v>9616</v>
      </c>
      <c r="B1525">
        <v>7836</v>
      </c>
      <c r="C1525" t="s">
        <v>9674</v>
      </c>
      <c r="D1525" t="s">
        <v>9621</v>
      </c>
      <c r="E1525" t="s">
        <v>9831</v>
      </c>
      <c r="F1525" t="s">
        <v>9527</v>
      </c>
    </row>
    <row r="1526" spans="1:6">
      <c r="A1526" t="s">
        <v>9616</v>
      </c>
      <c r="B1526">
        <v>7837</v>
      </c>
      <c r="C1526" t="s">
        <v>9674</v>
      </c>
      <c r="D1526" t="s">
        <v>9621</v>
      </c>
      <c r="E1526" t="s">
        <v>9831</v>
      </c>
      <c r="F1526" t="s">
        <v>9527</v>
      </c>
    </row>
    <row r="1527" spans="1:6">
      <c r="A1527" t="s">
        <v>9616</v>
      </c>
      <c r="B1527">
        <v>7379</v>
      </c>
      <c r="C1527" t="s">
        <v>9674</v>
      </c>
      <c r="D1527" t="s">
        <v>9621</v>
      </c>
      <c r="E1527" t="s">
        <v>9831</v>
      </c>
      <c r="F1527" t="s">
        <v>9527</v>
      </c>
    </row>
    <row r="1528" spans="1:6">
      <c r="A1528" t="s">
        <v>9616</v>
      </c>
      <c r="B1528">
        <v>7378</v>
      </c>
      <c r="C1528" t="s">
        <v>9674</v>
      </c>
      <c r="D1528" t="s">
        <v>9621</v>
      </c>
      <c r="E1528" t="s">
        <v>9831</v>
      </c>
      <c r="F1528" t="s">
        <v>9527</v>
      </c>
    </row>
    <row r="1529" spans="1:6">
      <c r="A1529" t="s">
        <v>9616</v>
      </c>
      <c r="B1529">
        <v>7948</v>
      </c>
      <c r="C1529" t="s">
        <v>9674</v>
      </c>
      <c r="D1529" t="s">
        <v>9621</v>
      </c>
      <c r="E1529" t="s">
        <v>9831</v>
      </c>
      <c r="F1529" t="s">
        <v>9527</v>
      </c>
    </row>
    <row r="1530" spans="1:6">
      <c r="A1530" t="s">
        <v>9616</v>
      </c>
      <c r="B1530">
        <v>7940</v>
      </c>
      <c r="C1530" t="s">
        <v>9674</v>
      </c>
      <c r="D1530" t="s">
        <v>9621</v>
      </c>
      <c r="E1530" t="s">
        <v>9831</v>
      </c>
      <c r="F1530" t="s">
        <v>9527</v>
      </c>
    </row>
    <row r="1531" spans="1:6">
      <c r="A1531" t="s">
        <v>9616</v>
      </c>
      <c r="B1531">
        <v>7941</v>
      </c>
      <c r="C1531" t="s">
        <v>9674</v>
      </c>
      <c r="D1531" t="s">
        <v>9621</v>
      </c>
      <c r="E1531" t="s">
        <v>9831</v>
      </c>
      <c r="F1531" t="s">
        <v>9527</v>
      </c>
    </row>
    <row r="1532" spans="1:6">
      <c r="A1532" t="s">
        <v>9616</v>
      </c>
      <c r="B1532">
        <v>7984</v>
      </c>
      <c r="C1532" t="s">
        <v>9674</v>
      </c>
      <c r="D1532" t="s">
        <v>9621</v>
      </c>
      <c r="E1532" t="s">
        <v>9831</v>
      </c>
      <c r="F1532" t="s">
        <v>9527</v>
      </c>
    </row>
    <row r="1533" spans="1:6">
      <c r="A1533" t="s">
        <v>9616</v>
      </c>
      <c r="B1533">
        <v>7158</v>
      </c>
      <c r="C1533" t="s">
        <v>9674</v>
      </c>
      <c r="D1533" t="s">
        <v>9621</v>
      </c>
      <c r="E1533" t="s">
        <v>9831</v>
      </c>
      <c r="F1533" t="s">
        <v>9527</v>
      </c>
    </row>
    <row r="1534" spans="1:6">
      <c r="A1534" t="s">
        <v>9616</v>
      </c>
      <c r="B1534">
        <v>7914</v>
      </c>
      <c r="C1534" t="s">
        <v>9674</v>
      </c>
      <c r="D1534" t="s">
        <v>9621</v>
      </c>
      <c r="E1534" t="s">
        <v>9831</v>
      </c>
      <c r="F1534" t="s">
        <v>9527</v>
      </c>
    </row>
    <row r="1535" spans="1:6">
      <c r="A1535" t="s">
        <v>9616</v>
      </c>
      <c r="B1535">
        <v>1911</v>
      </c>
      <c r="C1535" t="s">
        <v>9674</v>
      </c>
      <c r="D1535" t="s">
        <v>9614</v>
      </c>
      <c r="E1535" t="s">
        <v>9829</v>
      </c>
      <c r="F1535" t="s">
        <v>9527</v>
      </c>
    </row>
    <row r="1536" spans="1:6">
      <c r="A1536" t="s">
        <v>9616</v>
      </c>
      <c r="B1536">
        <v>7809</v>
      </c>
      <c r="C1536" t="s">
        <v>9674</v>
      </c>
      <c r="D1536" t="s">
        <v>9614</v>
      </c>
      <c r="E1536" t="s">
        <v>9829</v>
      </c>
      <c r="F1536" t="s">
        <v>9527</v>
      </c>
    </row>
    <row r="1537" spans="1:6">
      <c r="A1537" t="s">
        <v>9616</v>
      </c>
      <c r="B1537">
        <v>7870</v>
      </c>
      <c r="C1537" t="s">
        <v>9674</v>
      </c>
      <c r="D1537" t="s">
        <v>9614</v>
      </c>
      <c r="E1537" t="s">
        <v>9829</v>
      </c>
      <c r="F1537" t="s">
        <v>9527</v>
      </c>
    </row>
    <row r="1538" spans="1:6">
      <c r="A1538" t="s">
        <v>9616</v>
      </c>
      <c r="B1538">
        <v>7871</v>
      </c>
      <c r="C1538" t="s">
        <v>9674</v>
      </c>
      <c r="D1538" t="s">
        <v>9614</v>
      </c>
      <c r="E1538" t="s">
        <v>9829</v>
      </c>
      <c r="F1538" t="s">
        <v>9527</v>
      </c>
    </row>
    <row r="1539" spans="1:6">
      <c r="A1539" t="s">
        <v>9616</v>
      </c>
      <c r="B1539">
        <v>7872</v>
      </c>
      <c r="C1539" t="s">
        <v>9674</v>
      </c>
      <c r="D1539" t="s">
        <v>9614</v>
      </c>
      <c r="E1539" t="s">
        <v>9829</v>
      </c>
      <c r="F1539" t="s">
        <v>9527</v>
      </c>
    </row>
    <row r="1540" spans="1:6">
      <c r="A1540" t="s">
        <v>9616</v>
      </c>
      <c r="B1540">
        <v>7873</v>
      </c>
      <c r="C1540" t="s">
        <v>9674</v>
      </c>
      <c r="D1540" t="s">
        <v>9614</v>
      </c>
      <c r="E1540" t="s">
        <v>9829</v>
      </c>
      <c r="F1540" t="s">
        <v>9527</v>
      </c>
    </row>
    <row r="1541" spans="1:6">
      <c r="A1541" t="s">
        <v>9616</v>
      </c>
      <c r="B1541">
        <v>7875</v>
      </c>
      <c r="C1541" t="s">
        <v>9674</v>
      </c>
      <c r="D1541" t="s">
        <v>9614</v>
      </c>
      <c r="E1541" t="s">
        <v>9829</v>
      </c>
      <c r="F1541" t="s">
        <v>9527</v>
      </c>
    </row>
    <row r="1542" spans="1:6">
      <c r="A1542" t="s">
        <v>9616</v>
      </c>
      <c r="B1542">
        <v>7901</v>
      </c>
      <c r="C1542" t="s">
        <v>9674</v>
      </c>
      <c r="D1542" t="s">
        <v>9614</v>
      </c>
      <c r="E1542" t="s">
        <v>9829</v>
      </c>
      <c r="F1542" t="s">
        <v>9527</v>
      </c>
    </row>
    <row r="1543" spans="1:6">
      <c r="A1543" t="s">
        <v>9616</v>
      </c>
      <c r="B1543">
        <v>7902</v>
      </c>
      <c r="C1543" t="s">
        <v>9674</v>
      </c>
      <c r="D1543" t="s">
        <v>9614</v>
      </c>
      <c r="E1543" t="s">
        <v>9829</v>
      </c>
      <c r="F1543" t="s">
        <v>9527</v>
      </c>
    </row>
    <row r="1544" spans="1:6">
      <c r="A1544" t="s">
        <v>9616</v>
      </c>
      <c r="B1544">
        <v>7967</v>
      </c>
      <c r="C1544" t="s">
        <v>9674</v>
      </c>
      <c r="D1544" t="s">
        <v>9614</v>
      </c>
      <c r="E1544" t="s">
        <v>9829</v>
      </c>
      <c r="F1544" t="s">
        <v>9527</v>
      </c>
    </row>
    <row r="1545" spans="1:6">
      <c r="A1545" t="s">
        <v>9616</v>
      </c>
      <c r="B1545">
        <v>7971</v>
      </c>
      <c r="C1545" t="s">
        <v>9674</v>
      </c>
      <c r="D1545" t="s">
        <v>9614</v>
      </c>
      <c r="E1545" t="s">
        <v>9829</v>
      </c>
      <c r="F1545" t="s">
        <v>9527</v>
      </c>
    </row>
    <row r="1546" spans="1:6">
      <c r="A1546" t="s">
        <v>9616</v>
      </c>
      <c r="B1546">
        <v>7972</v>
      </c>
      <c r="C1546" t="s">
        <v>9674</v>
      </c>
      <c r="D1546" t="s">
        <v>9614</v>
      </c>
      <c r="E1546" t="s">
        <v>9829</v>
      </c>
      <c r="F1546" t="s">
        <v>9527</v>
      </c>
    </row>
    <row r="1547" spans="1:6">
      <c r="A1547" t="s">
        <v>9616</v>
      </c>
      <c r="B1547">
        <v>7981</v>
      </c>
      <c r="C1547" t="s">
        <v>9674</v>
      </c>
      <c r="D1547" t="s">
        <v>9614</v>
      </c>
      <c r="E1547" t="s">
        <v>9829</v>
      </c>
      <c r="F1547" t="s">
        <v>9527</v>
      </c>
    </row>
    <row r="1548" spans="1:6">
      <c r="A1548" t="s">
        <v>9616</v>
      </c>
      <c r="B1548">
        <v>7995</v>
      </c>
      <c r="C1548" t="s">
        <v>9674</v>
      </c>
      <c r="D1548" t="s">
        <v>9614</v>
      </c>
      <c r="E1548" t="s">
        <v>9829</v>
      </c>
      <c r="F1548" t="s">
        <v>9527</v>
      </c>
    </row>
    <row r="1549" spans="1:6">
      <c r="A1549" t="s">
        <v>9616</v>
      </c>
      <c r="B1549">
        <v>7996</v>
      </c>
      <c r="C1549" t="s">
        <v>9674</v>
      </c>
      <c r="D1549" t="s">
        <v>9614</v>
      </c>
      <c r="E1549" t="s">
        <v>9829</v>
      </c>
      <c r="F1549" t="s">
        <v>9527</v>
      </c>
    </row>
    <row r="1550" spans="1:6">
      <c r="A1550" t="s">
        <v>9616</v>
      </c>
      <c r="B1550">
        <v>8014</v>
      </c>
      <c r="C1550" t="s">
        <v>9674</v>
      </c>
      <c r="D1550" t="s">
        <v>9614</v>
      </c>
      <c r="E1550" t="s">
        <v>9829</v>
      </c>
      <c r="F1550" t="s">
        <v>9527</v>
      </c>
    </row>
    <row r="1551" spans="1:6">
      <c r="A1551" t="s">
        <v>9616</v>
      </c>
      <c r="B1551">
        <v>8028</v>
      </c>
      <c r="C1551" t="s">
        <v>9674</v>
      </c>
      <c r="D1551" t="s">
        <v>9614</v>
      </c>
      <c r="E1551" t="s">
        <v>9829</v>
      </c>
      <c r="F1551" t="s">
        <v>9527</v>
      </c>
    </row>
    <row r="1552" spans="1:6">
      <c r="A1552" t="s">
        <v>9616</v>
      </c>
      <c r="B1552">
        <v>8038</v>
      </c>
      <c r="C1552" t="s">
        <v>9674</v>
      </c>
      <c r="D1552" t="s">
        <v>9614</v>
      </c>
      <c r="E1552" t="s">
        <v>9829</v>
      </c>
      <c r="F1552" t="s">
        <v>9527</v>
      </c>
    </row>
    <row r="1553" spans="1:6">
      <c r="A1553" t="s">
        <v>9616</v>
      </c>
      <c r="B1553">
        <v>8667</v>
      </c>
      <c r="C1553" t="s">
        <v>9674</v>
      </c>
      <c r="D1553" t="s">
        <v>9614</v>
      </c>
      <c r="E1553" t="s">
        <v>9829</v>
      </c>
      <c r="F1553" t="s">
        <v>9527</v>
      </c>
    </row>
    <row r="1554" spans="1:6">
      <c r="A1554" t="s">
        <v>9616</v>
      </c>
      <c r="B1554">
        <v>8677</v>
      </c>
      <c r="C1554" t="s">
        <v>9674</v>
      </c>
      <c r="D1554" t="s">
        <v>9614</v>
      </c>
      <c r="E1554" t="s">
        <v>9829</v>
      </c>
      <c r="F1554" t="s">
        <v>9527</v>
      </c>
    </row>
    <row r="1555" spans="1:6">
      <c r="A1555" t="s">
        <v>9616</v>
      </c>
      <c r="B1555">
        <v>8678</v>
      </c>
      <c r="C1555" t="s">
        <v>9674</v>
      </c>
      <c r="D1555" t="s">
        <v>9614</v>
      </c>
      <c r="E1555" t="s">
        <v>9829</v>
      </c>
      <c r="F1555" t="s">
        <v>9527</v>
      </c>
    </row>
    <row r="1556" spans="1:6">
      <c r="A1556" t="s">
        <v>9616</v>
      </c>
      <c r="B1556">
        <v>8720</v>
      </c>
      <c r="C1556" t="s">
        <v>9674</v>
      </c>
      <c r="D1556" t="s">
        <v>9614</v>
      </c>
      <c r="E1556" t="s">
        <v>9829</v>
      </c>
      <c r="F1556" t="s">
        <v>9527</v>
      </c>
    </row>
    <row r="1557" spans="1:6">
      <c r="A1557" t="s">
        <v>9616</v>
      </c>
      <c r="B1557">
        <v>8730</v>
      </c>
      <c r="C1557" t="s">
        <v>9674</v>
      </c>
      <c r="D1557" t="s">
        <v>9614</v>
      </c>
      <c r="E1557" t="s">
        <v>9829</v>
      </c>
      <c r="F1557" t="s">
        <v>9527</v>
      </c>
    </row>
    <row r="1558" spans="1:6">
      <c r="A1558" t="s">
        <v>9616</v>
      </c>
      <c r="B1558">
        <v>8740</v>
      </c>
      <c r="C1558" t="s">
        <v>9674</v>
      </c>
      <c r="D1558" t="s">
        <v>9614</v>
      </c>
      <c r="E1558" t="s">
        <v>9829</v>
      </c>
      <c r="F1558" t="s">
        <v>9527</v>
      </c>
    </row>
    <row r="1559" spans="1:6">
      <c r="A1559" t="s">
        <v>9616</v>
      </c>
      <c r="B1559">
        <v>8750</v>
      </c>
      <c r="C1559" t="s">
        <v>9674</v>
      </c>
      <c r="D1559" t="s">
        <v>9614</v>
      </c>
      <c r="E1559" t="s">
        <v>9829</v>
      </c>
      <c r="F1559" t="s">
        <v>9527</v>
      </c>
    </row>
    <row r="1560" spans="1:6">
      <c r="A1560" t="s">
        <v>9616</v>
      </c>
      <c r="B1560">
        <v>8832</v>
      </c>
      <c r="C1560" t="s">
        <v>9674</v>
      </c>
      <c r="D1560" t="s">
        <v>9614</v>
      </c>
      <c r="E1560" t="s">
        <v>9829</v>
      </c>
      <c r="F1560" t="s">
        <v>9527</v>
      </c>
    </row>
    <row r="1561" spans="1:6">
      <c r="A1561" t="s">
        <v>9616</v>
      </c>
      <c r="B1561">
        <v>8839</v>
      </c>
      <c r="C1561" t="s">
        <v>9674</v>
      </c>
      <c r="D1561" t="s">
        <v>9614</v>
      </c>
      <c r="E1561" t="s">
        <v>9829</v>
      </c>
      <c r="F1561" t="s">
        <v>9527</v>
      </c>
    </row>
    <row r="1562" spans="1:6">
      <c r="A1562" t="s">
        <v>9616</v>
      </c>
      <c r="B1562">
        <v>8843</v>
      </c>
      <c r="C1562" t="s">
        <v>9674</v>
      </c>
      <c r="D1562" t="s">
        <v>9614</v>
      </c>
      <c r="E1562" t="s">
        <v>9829</v>
      </c>
      <c r="F1562" t="s">
        <v>9527</v>
      </c>
    </row>
    <row r="1563" spans="1:6">
      <c r="A1563" t="s">
        <v>9616</v>
      </c>
      <c r="B1563">
        <v>8850</v>
      </c>
      <c r="C1563" t="s">
        <v>9674</v>
      </c>
      <c r="D1563" t="s">
        <v>9614</v>
      </c>
      <c r="E1563" t="s">
        <v>9829</v>
      </c>
      <c r="F1563" t="s">
        <v>9527</v>
      </c>
    </row>
    <row r="1564" spans="1:6">
      <c r="A1564" t="s">
        <v>9616</v>
      </c>
      <c r="B1564">
        <v>8852</v>
      </c>
      <c r="C1564" t="s">
        <v>9674</v>
      </c>
      <c r="D1564" t="s">
        <v>9614</v>
      </c>
      <c r="E1564" t="s">
        <v>9829</v>
      </c>
      <c r="F1564" t="s">
        <v>9527</v>
      </c>
    </row>
    <row r="1565" spans="1:6">
      <c r="A1565" t="s">
        <v>9616</v>
      </c>
      <c r="B1565">
        <v>8853</v>
      </c>
      <c r="C1565" t="s">
        <v>9674</v>
      </c>
      <c r="D1565" t="s">
        <v>9614</v>
      </c>
      <c r="E1565" t="s">
        <v>9829</v>
      </c>
      <c r="F1565" t="s">
        <v>9527</v>
      </c>
    </row>
    <row r="1566" spans="1:6">
      <c r="A1566" t="s">
        <v>9616</v>
      </c>
      <c r="B1566">
        <v>8886</v>
      </c>
      <c r="C1566" t="s">
        <v>9674</v>
      </c>
      <c r="D1566" t="s">
        <v>9614</v>
      </c>
      <c r="E1566" t="s">
        <v>9829</v>
      </c>
      <c r="F1566" t="s">
        <v>9527</v>
      </c>
    </row>
    <row r="1567" spans="1:6">
      <c r="A1567" t="s">
        <v>9616</v>
      </c>
      <c r="B1567">
        <v>8721</v>
      </c>
      <c r="C1567" t="s">
        <v>9674</v>
      </c>
      <c r="D1567" t="s">
        <v>9617</v>
      </c>
      <c r="E1567" t="s">
        <v>9830</v>
      </c>
      <c r="F1567" t="s">
        <v>9527</v>
      </c>
    </row>
    <row r="1568" spans="1:6">
      <c r="A1568" t="s">
        <v>9616</v>
      </c>
      <c r="B1568">
        <v>8731</v>
      </c>
      <c r="C1568" t="s">
        <v>9674</v>
      </c>
      <c r="D1568" t="s">
        <v>9617</v>
      </c>
      <c r="E1568" t="s">
        <v>9830</v>
      </c>
      <c r="F1568" t="s">
        <v>9527</v>
      </c>
    </row>
    <row r="1569" spans="1:6">
      <c r="A1569" t="s">
        <v>9616</v>
      </c>
      <c r="B1569">
        <v>7906</v>
      </c>
      <c r="C1569" t="s">
        <v>9674</v>
      </c>
      <c r="D1569" t="s">
        <v>9617</v>
      </c>
      <c r="E1569" t="s">
        <v>9830</v>
      </c>
      <c r="F1569" t="s">
        <v>9527</v>
      </c>
    </row>
    <row r="1570" spans="1:6">
      <c r="A1570" t="s">
        <v>9616</v>
      </c>
      <c r="B1570">
        <v>7916</v>
      </c>
      <c r="C1570" t="s">
        <v>9674</v>
      </c>
      <c r="D1570" t="s">
        <v>9617</v>
      </c>
      <c r="E1570" t="s">
        <v>9830</v>
      </c>
      <c r="F1570" t="s">
        <v>9527</v>
      </c>
    </row>
    <row r="1571" spans="1:6">
      <c r="A1571" t="s">
        <v>9616</v>
      </c>
      <c r="B1571">
        <v>8737</v>
      </c>
      <c r="C1571" t="s">
        <v>9674</v>
      </c>
      <c r="D1571" t="s">
        <v>9617</v>
      </c>
      <c r="E1571" t="s">
        <v>9830</v>
      </c>
      <c r="F1571" t="s">
        <v>9527</v>
      </c>
    </row>
    <row r="1572" spans="1:6">
      <c r="A1572" t="s">
        <v>9616</v>
      </c>
      <c r="B1572">
        <v>7917</v>
      </c>
      <c r="C1572" t="s">
        <v>9674</v>
      </c>
      <c r="D1572" t="s">
        <v>9617</v>
      </c>
      <c r="E1572" t="s">
        <v>9830</v>
      </c>
      <c r="F1572" t="s">
        <v>9527</v>
      </c>
    </row>
    <row r="1573" spans="1:6">
      <c r="A1573" t="s">
        <v>9616</v>
      </c>
      <c r="B1573">
        <v>7903</v>
      </c>
      <c r="C1573" t="s">
        <v>9674</v>
      </c>
      <c r="D1573" t="s">
        <v>9617</v>
      </c>
      <c r="E1573" t="s">
        <v>9830</v>
      </c>
      <c r="F1573" t="s">
        <v>9527</v>
      </c>
    </row>
    <row r="1574" spans="1:6">
      <c r="A1574" t="s">
        <v>9616</v>
      </c>
      <c r="B1574">
        <v>5455</v>
      </c>
      <c r="C1574" t="s">
        <v>9674</v>
      </c>
      <c r="D1574" t="s">
        <v>9617</v>
      </c>
      <c r="E1574" t="s">
        <v>9830</v>
      </c>
      <c r="F1574" t="s">
        <v>9527</v>
      </c>
    </row>
    <row r="1575" spans="1:6">
      <c r="A1575" t="s">
        <v>9616</v>
      </c>
      <c r="B1575">
        <v>5456</v>
      </c>
      <c r="C1575" t="s">
        <v>9674</v>
      </c>
      <c r="D1575" t="s">
        <v>9617</v>
      </c>
      <c r="E1575" t="s">
        <v>9830</v>
      </c>
      <c r="F1575" t="s">
        <v>9527</v>
      </c>
    </row>
    <row r="1576" spans="1:6">
      <c r="A1576" t="s">
        <v>9616</v>
      </c>
      <c r="B1576">
        <v>6391</v>
      </c>
      <c r="C1576" t="s">
        <v>9674</v>
      </c>
      <c r="D1576" t="s">
        <v>9617</v>
      </c>
      <c r="E1576" t="s">
        <v>9830</v>
      </c>
      <c r="F1576" t="s">
        <v>9527</v>
      </c>
    </row>
    <row r="1577" spans="1:6">
      <c r="A1577" t="s">
        <v>9616</v>
      </c>
      <c r="B1577">
        <v>7912</v>
      </c>
      <c r="C1577" t="s">
        <v>9674</v>
      </c>
      <c r="D1577" t="s">
        <v>9617</v>
      </c>
      <c r="E1577" t="s">
        <v>9830</v>
      </c>
      <c r="F1577" t="s">
        <v>9527</v>
      </c>
    </row>
    <row r="1578" spans="1:6">
      <c r="A1578" t="s">
        <v>9616</v>
      </c>
      <c r="B1578">
        <v>7913</v>
      </c>
      <c r="C1578" t="s">
        <v>9674</v>
      </c>
      <c r="D1578" t="s">
        <v>9617</v>
      </c>
      <c r="E1578" t="s">
        <v>9830</v>
      </c>
      <c r="F1578" t="s">
        <v>9527</v>
      </c>
    </row>
    <row r="1579" spans="1:6">
      <c r="A1579" t="s">
        <v>9616</v>
      </c>
      <c r="B1579">
        <v>7918</v>
      </c>
      <c r="C1579" t="s">
        <v>9674</v>
      </c>
      <c r="D1579" t="s">
        <v>9617</v>
      </c>
      <c r="E1579" t="s">
        <v>9830</v>
      </c>
      <c r="F1579" t="s">
        <v>9527</v>
      </c>
    </row>
    <row r="1580" spans="1:6">
      <c r="A1580" t="s">
        <v>9616</v>
      </c>
      <c r="B1580">
        <v>7919</v>
      </c>
      <c r="C1580" t="s">
        <v>9674</v>
      </c>
      <c r="D1580" t="s">
        <v>9617</v>
      </c>
      <c r="E1580" t="s">
        <v>9830</v>
      </c>
      <c r="F1580" t="s">
        <v>9527</v>
      </c>
    </row>
    <row r="1581" spans="1:6">
      <c r="A1581" t="s">
        <v>9616</v>
      </c>
      <c r="B1581">
        <v>8685</v>
      </c>
      <c r="C1581" t="s">
        <v>9674</v>
      </c>
      <c r="D1581" t="s">
        <v>9617</v>
      </c>
      <c r="E1581" t="s">
        <v>9830</v>
      </c>
      <c r="F1581" t="s">
        <v>9527</v>
      </c>
    </row>
    <row r="1582" spans="1:6">
      <c r="A1582" t="s">
        <v>9616</v>
      </c>
      <c r="B1582">
        <v>8686</v>
      </c>
      <c r="C1582" t="s">
        <v>9674</v>
      </c>
      <c r="D1582" t="s">
        <v>9617</v>
      </c>
      <c r="E1582" t="s">
        <v>9830</v>
      </c>
      <c r="F1582" t="s">
        <v>9527</v>
      </c>
    </row>
    <row r="1583" spans="1:6">
      <c r="A1583" t="s">
        <v>9616</v>
      </c>
      <c r="B1583">
        <v>8861</v>
      </c>
      <c r="C1583" t="s">
        <v>9674</v>
      </c>
      <c r="D1583" t="s">
        <v>9617</v>
      </c>
      <c r="E1583" t="s">
        <v>9830</v>
      </c>
      <c r="F1583" t="s">
        <v>9527</v>
      </c>
    </row>
    <row r="1584" spans="1:6">
      <c r="A1584" t="s">
        <v>9616</v>
      </c>
      <c r="B1584">
        <v>8862</v>
      </c>
      <c r="C1584" t="s">
        <v>9674</v>
      </c>
      <c r="D1584" t="s">
        <v>9617</v>
      </c>
      <c r="E1584" t="s">
        <v>9830</v>
      </c>
      <c r="F1584" t="s">
        <v>9527</v>
      </c>
    </row>
    <row r="1585" spans="1:6">
      <c r="A1585" t="s">
        <v>9616</v>
      </c>
      <c r="B1585">
        <v>8863</v>
      </c>
      <c r="C1585" t="s">
        <v>9674</v>
      </c>
      <c r="D1585" t="s">
        <v>9617</v>
      </c>
      <c r="E1585" t="s">
        <v>9830</v>
      </c>
      <c r="F1585" t="s">
        <v>9527</v>
      </c>
    </row>
    <row r="1586" spans="1:6">
      <c r="A1586" t="s">
        <v>9616</v>
      </c>
      <c r="B1586">
        <v>8683</v>
      </c>
      <c r="C1586" t="s">
        <v>9674</v>
      </c>
      <c r="D1586" t="s">
        <v>9617</v>
      </c>
      <c r="E1586" t="s">
        <v>9830</v>
      </c>
      <c r="F1586" t="s">
        <v>9527</v>
      </c>
    </row>
    <row r="1587" spans="1:6">
      <c r="A1587" t="s">
        <v>9616</v>
      </c>
      <c r="B1587">
        <v>8687</v>
      </c>
      <c r="C1587" t="s">
        <v>9674</v>
      </c>
      <c r="D1587" t="s">
        <v>9617</v>
      </c>
      <c r="E1587" t="s">
        <v>9830</v>
      </c>
      <c r="F1587" t="s">
        <v>9527</v>
      </c>
    </row>
    <row r="1588" spans="1:6">
      <c r="A1588" t="s">
        <v>9616</v>
      </c>
      <c r="B1588">
        <v>8870</v>
      </c>
      <c r="C1588" t="s">
        <v>9674</v>
      </c>
      <c r="D1588" t="s">
        <v>9617</v>
      </c>
      <c r="E1588" t="s">
        <v>9830</v>
      </c>
      <c r="F1588" t="s">
        <v>9527</v>
      </c>
    </row>
    <row r="1589" spans="1:6">
      <c r="A1589" t="s">
        <v>9616</v>
      </c>
      <c r="B1589">
        <v>8688</v>
      </c>
      <c r="C1589" t="s">
        <v>9674</v>
      </c>
      <c r="D1589" t="s">
        <v>9617</v>
      </c>
      <c r="E1589" t="s">
        <v>9830</v>
      </c>
      <c r="F1589" t="s">
        <v>9527</v>
      </c>
    </row>
    <row r="1590" spans="1:6">
      <c r="A1590" t="s">
        <v>9616</v>
      </c>
      <c r="B1590">
        <v>8855</v>
      </c>
      <c r="C1590" t="s">
        <v>9674</v>
      </c>
      <c r="D1590" t="s">
        <v>9617</v>
      </c>
      <c r="E1590" t="s">
        <v>9830</v>
      </c>
      <c r="F1590" t="s">
        <v>9527</v>
      </c>
    </row>
    <row r="1591" spans="1:6">
      <c r="A1591" t="s">
        <v>9616</v>
      </c>
      <c r="B1591">
        <v>8872</v>
      </c>
      <c r="C1591" t="s">
        <v>9674</v>
      </c>
      <c r="D1591" t="s">
        <v>9617</v>
      </c>
      <c r="E1591" t="s">
        <v>9830</v>
      </c>
      <c r="F1591" t="s">
        <v>9527</v>
      </c>
    </row>
    <row r="1592" spans="1:6">
      <c r="A1592" t="s">
        <v>9616</v>
      </c>
      <c r="B1592">
        <v>8874</v>
      </c>
      <c r="C1592" t="s">
        <v>9674</v>
      </c>
      <c r="D1592" t="s">
        <v>9617</v>
      </c>
      <c r="E1592" t="s">
        <v>9830</v>
      </c>
      <c r="F1592" t="s">
        <v>9527</v>
      </c>
    </row>
    <row r="1593" spans="1:6">
      <c r="A1593" t="s">
        <v>9616</v>
      </c>
      <c r="B1593">
        <v>6385</v>
      </c>
      <c r="C1593" t="s">
        <v>9674</v>
      </c>
      <c r="D1593" t="s">
        <v>9617</v>
      </c>
      <c r="E1593" t="s">
        <v>9830</v>
      </c>
      <c r="F1593" t="s">
        <v>9527</v>
      </c>
    </row>
    <row r="1594" spans="1:6">
      <c r="A1594" t="s">
        <v>9616</v>
      </c>
      <c r="B1594">
        <v>6386</v>
      </c>
      <c r="C1594" t="s">
        <v>9674</v>
      </c>
      <c r="D1594" t="s">
        <v>9617</v>
      </c>
      <c r="E1594" t="s">
        <v>9830</v>
      </c>
      <c r="F1594" t="s">
        <v>9527</v>
      </c>
    </row>
    <row r="1595" spans="1:6">
      <c r="A1595" t="s">
        <v>9616</v>
      </c>
      <c r="B1595">
        <v>6388</v>
      </c>
      <c r="C1595" t="s">
        <v>9674</v>
      </c>
      <c r="D1595" t="s">
        <v>9617</v>
      </c>
      <c r="E1595" t="s">
        <v>9830</v>
      </c>
      <c r="F1595" t="s">
        <v>9527</v>
      </c>
    </row>
    <row r="1596" spans="1:6">
      <c r="A1596" t="s">
        <v>9616</v>
      </c>
      <c r="B1596">
        <v>6389</v>
      </c>
      <c r="C1596" t="s">
        <v>9674</v>
      </c>
      <c r="D1596" t="s">
        <v>9617</v>
      </c>
      <c r="E1596" t="s">
        <v>9830</v>
      </c>
      <c r="F1596" t="s">
        <v>9527</v>
      </c>
    </row>
    <row r="1597" spans="1:6">
      <c r="A1597" t="s">
        <v>9616</v>
      </c>
      <c r="B1597">
        <v>6390</v>
      </c>
      <c r="C1597" t="s">
        <v>9674</v>
      </c>
      <c r="D1597" t="s">
        <v>9617</v>
      </c>
      <c r="E1597" t="s">
        <v>9830</v>
      </c>
      <c r="F1597" t="s">
        <v>9527</v>
      </c>
    </row>
    <row r="1598" spans="1:6">
      <c r="A1598" t="s">
        <v>9616</v>
      </c>
      <c r="B1598">
        <v>7321</v>
      </c>
      <c r="C1598" t="s">
        <v>9674</v>
      </c>
      <c r="D1598" t="s">
        <v>9617</v>
      </c>
      <c r="E1598" t="s">
        <v>9830</v>
      </c>
      <c r="F1598" t="s">
        <v>9527</v>
      </c>
    </row>
    <row r="1599" spans="1:6">
      <c r="A1599" t="s">
        <v>9616</v>
      </c>
      <c r="B1599">
        <v>7831</v>
      </c>
      <c r="C1599" t="s">
        <v>9674</v>
      </c>
      <c r="D1599" t="s">
        <v>9617</v>
      </c>
      <c r="E1599" t="s">
        <v>9830</v>
      </c>
      <c r="F1599" t="s">
        <v>9527</v>
      </c>
    </row>
    <row r="1600" spans="1:6">
      <c r="A1600" t="s">
        <v>9616</v>
      </c>
      <c r="B1600">
        <v>7832</v>
      </c>
      <c r="C1600" t="s">
        <v>9674</v>
      </c>
      <c r="D1600" t="s">
        <v>9617</v>
      </c>
      <c r="E1600" t="s">
        <v>9830</v>
      </c>
      <c r="F1600" t="s">
        <v>9527</v>
      </c>
    </row>
    <row r="1601" spans="1:6">
      <c r="A1601" t="s">
        <v>9616</v>
      </c>
      <c r="B1601">
        <v>7833</v>
      </c>
      <c r="C1601" t="s">
        <v>9674</v>
      </c>
      <c r="D1601" t="s">
        <v>9617</v>
      </c>
      <c r="E1601" t="s">
        <v>9830</v>
      </c>
      <c r="F1601" t="s">
        <v>9527</v>
      </c>
    </row>
    <row r="1602" spans="1:6">
      <c r="A1602" t="s">
        <v>9616</v>
      </c>
      <c r="B1602">
        <v>7834</v>
      </c>
      <c r="C1602" t="s">
        <v>9674</v>
      </c>
      <c r="D1602" t="s">
        <v>9617</v>
      </c>
      <c r="E1602" t="s">
        <v>9830</v>
      </c>
      <c r="F1602" t="s">
        <v>9527</v>
      </c>
    </row>
    <row r="1603" spans="1:6">
      <c r="A1603" t="s">
        <v>9616</v>
      </c>
      <c r="B1603">
        <v>8722</v>
      </c>
      <c r="C1603" t="s">
        <v>9674</v>
      </c>
      <c r="D1603" t="s">
        <v>9617</v>
      </c>
      <c r="E1603" t="s">
        <v>9830</v>
      </c>
      <c r="F1603" t="s">
        <v>9527</v>
      </c>
    </row>
    <row r="1604" spans="1:6">
      <c r="A1604" t="s">
        <v>9616</v>
      </c>
      <c r="B1604">
        <v>8733</v>
      </c>
      <c r="C1604" t="s">
        <v>9674</v>
      </c>
      <c r="D1604" t="s">
        <v>9617</v>
      </c>
      <c r="E1604" t="s">
        <v>9830</v>
      </c>
      <c r="F1604" t="s">
        <v>9527</v>
      </c>
    </row>
    <row r="1605" spans="1:6">
      <c r="A1605" t="s">
        <v>9616</v>
      </c>
      <c r="B1605">
        <v>8752</v>
      </c>
      <c r="C1605" t="s">
        <v>9674</v>
      </c>
      <c r="D1605" t="s">
        <v>9617</v>
      </c>
      <c r="E1605" t="s">
        <v>9830</v>
      </c>
      <c r="F1605" t="s">
        <v>9527</v>
      </c>
    </row>
    <row r="1606" spans="1:6">
      <c r="A1606" t="s">
        <v>9616</v>
      </c>
      <c r="B1606">
        <v>6205</v>
      </c>
      <c r="C1606" t="s">
        <v>9674</v>
      </c>
      <c r="D1606" t="s">
        <v>9617</v>
      </c>
      <c r="E1606" t="s">
        <v>9830</v>
      </c>
      <c r="F1606" t="s">
        <v>9527</v>
      </c>
    </row>
    <row r="1607" spans="1:6">
      <c r="A1607" t="s">
        <v>9616</v>
      </c>
      <c r="B1607">
        <v>7163</v>
      </c>
      <c r="C1607" t="s">
        <v>9674</v>
      </c>
      <c r="D1607" t="s">
        <v>9617</v>
      </c>
      <c r="E1607" t="s">
        <v>9830</v>
      </c>
      <c r="F1607" t="s">
        <v>9527</v>
      </c>
    </row>
    <row r="1608" spans="1:6">
      <c r="A1608" t="s">
        <v>9616</v>
      </c>
      <c r="B1608">
        <v>8877</v>
      </c>
      <c r="C1608" t="s">
        <v>9674</v>
      </c>
      <c r="D1608" t="s">
        <v>9617</v>
      </c>
      <c r="E1608" t="s">
        <v>9830</v>
      </c>
      <c r="F1608" t="s">
        <v>9527</v>
      </c>
    </row>
    <row r="1609" spans="1:6">
      <c r="A1609" t="s">
        <v>9616</v>
      </c>
      <c r="B1609">
        <v>7164</v>
      </c>
      <c r="C1609" t="s">
        <v>9674</v>
      </c>
      <c r="D1609" t="s">
        <v>9617</v>
      </c>
      <c r="E1609" t="s">
        <v>9830</v>
      </c>
      <c r="F1609" t="s">
        <v>9527</v>
      </c>
    </row>
    <row r="1610" spans="1:6">
      <c r="A1610" t="s">
        <v>9616</v>
      </c>
      <c r="B1610">
        <v>8865</v>
      </c>
      <c r="C1610" t="s">
        <v>9674</v>
      </c>
      <c r="D1610" t="s">
        <v>9617</v>
      </c>
      <c r="E1610" t="s">
        <v>9830</v>
      </c>
      <c r="F1610" t="s">
        <v>9527</v>
      </c>
    </row>
    <row r="1611" spans="1:6">
      <c r="A1611" t="s">
        <v>9616</v>
      </c>
      <c r="B1611">
        <v>8866</v>
      </c>
      <c r="C1611" t="s">
        <v>9674</v>
      </c>
      <c r="D1611" t="s">
        <v>9617</v>
      </c>
      <c r="E1611" t="s">
        <v>9830</v>
      </c>
      <c r="F1611" t="s">
        <v>9527</v>
      </c>
    </row>
    <row r="1612" spans="1:6">
      <c r="A1612" t="s">
        <v>9616</v>
      </c>
      <c r="B1612">
        <v>8864</v>
      </c>
      <c r="C1612" t="s">
        <v>9674</v>
      </c>
      <c r="D1612" t="s">
        <v>9617</v>
      </c>
      <c r="E1612" t="s">
        <v>9830</v>
      </c>
      <c r="F1612" t="s">
        <v>9527</v>
      </c>
    </row>
    <row r="1613" spans="1:6">
      <c r="A1613" t="s">
        <v>9616</v>
      </c>
      <c r="B1613">
        <v>7141</v>
      </c>
      <c r="C1613" t="s">
        <v>9674</v>
      </c>
      <c r="D1613" t="s">
        <v>9617</v>
      </c>
      <c r="E1613" t="s">
        <v>9830</v>
      </c>
      <c r="F1613" t="s">
        <v>9527</v>
      </c>
    </row>
    <row r="1614" spans="1:6">
      <c r="A1614" t="s">
        <v>9616</v>
      </c>
      <c r="B1614">
        <v>7143</v>
      </c>
      <c r="C1614" t="s">
        <v>9674</v>
      </c>
      <c r="D1614" t="s">
        <v>9617</v>
      </c>
      <c r="E1614" t="s">
        <v>9830</v>
      </c>
      <c r="F1614" t="s">
        <v>9527</v>
      </c>
    </row>
    <row r="1615" spans="1:6">
      <c r="A1615" t="s">
        <v>9616</v>
      </c>
      <c r="B1615">
        <v>7145</v>
      </c>
      <c r="C1615" t="s">
        <v>9674</v>
      </c>
      <c r="D1615" t="s">
        <v>9617</v>
      </c>
      <c r="E1615" t="s">
        <v>9830</v>
      </c>
      <c r="F1615" t="s">
        <v>9527</v>
      </c>
    </row>
    <row r="1616" spans="1:6">
      <c r="A1616" t="s">
        <v>9616</v>
      </c>
      <c r="B1616">
        <v>7147</v>
      </c>
      <c r="C1616" t="s">
        <v>9674</v>
      </c>
      <c r="D1616" t="s">
        <v>9617</v>
      </c>
      <c r="E1616" t="s">
        <v>9830</v>
      </c>
      <c r="F1616" t="s">
        <v>9527</v>
      </c>
    </row>
    <row r="1617" spans="1:6">
      <c r="A1617" t="s">
        <v>9616</v>
      </c>
      <c r="B1617">
        <v>3837</v>
      </c>
      <c r="C1617" t="s">
        <v>9674</v>
      </c>
      <c r="D1617" t="s">
        <v>9617</v>
      </c>
      <c r="E1617" t="s">
        <v>9830</v>
      </c>
      <c r="F1617" t="s">
        <v>9527</v>
      </c>
    </row>
    <row r="1618" spans="1:6">
      <c r="A1618" t="s">
        <v>9616</v>
      </c>
      <c r="B1618">
        <v>8878</v>
      </c>
      <c r="C1618" t="s">
        <v>9674</v>
      </c>
      <c r="D1618" t="s">
        <v>9617</v>
      </c>
      <c r="E1618" t="s">
        <v>9830</v>
      </c>
      <c r="F1618" t="s">
        <v>9527</v>
      </c>
    </row>
    <row r="1619" spans="1:6">
      <c r="A1619" t="s">
        <v>9616</v>
      </c>
      <c r="B1619">
        <v>8879</v>
      </c>
      <c r="C1619" t="s">
        <v>9674</v>
      </c>
      <c r="D1619" t="s">
        <v>9617</v>
      </c>
      <c r="E1619" t="s">
        <v>9830</v>
      </c>
      <c r="F1619" t="s">
        <v>9527</v>
      </c>
    </row>
    <row r="1620" spans="1:6">
      <c r="A1620" t="s">
        <v>9616</v>
      </c>
      <c r="B1620">
        <v>7233</v>
      </c>
      <c r="C1620" t="s">
        <v>9674</v>
      </c>
      <c r="D1620" t="s">
        <v>9617</v>
      </c>
      <c r="E1620" t="s">
        <v>9830</v>
      </c>
      <c r="F1620" t="s">
        <v>9527</v>
      </c>
    </row>
    <row r="1621" spans="1:6">
      <c r="A1621" t="s">
        <v>9616</v>
      </c>
      <c r="B1621">
        <v>5464</v>
      </c>
      <c r="C1621" t="s">
        <v>9674</v>
      </c>
      <c r="D1621" t="s">
        <v>9617</v>
      </c>
      <c r="E1621" t="s">
        <v>9830</v>
      </c>
      <c r="F1621" t="s">
        <v>9527</v>
      </c>
    </row>
    <row r="1622" spans="1:6">
      <c r="A1622" t="s">
        <v>9616</v>
      </c>
      <c r="B1622">
        <v>9532</v>
      </c>
      <c r="C1622" t="s">
        <v>9674</v>
      </c>
      <c r="D1622" t="s">
        <v>9617</v>
      </c>
      <c r="E1622" t="s">
        <v>9830</v>
      </c>
      <c r="F1622" t="s">
        <v>9527</v>
      </c>
    </row>
    <row r="1623" spans="1:6">
      <c r="A1623" t="s">
        <v>9616</v>
      </c>
      <c r="B1623">
        <v>5465</v>
      </c>
      <c r="C1623" t="s">
        <v>9674</v>
      </c>
      <c r="D1623" t="s">
        <v>9617</v>
      </c>
      <c r="E1623" t="s">
        <v>9830</v>
      </c>
      <c r="F1623" t="s">
        <v>9527</v>
      </c>
    </row>
    <row r="1624" spans="1:6">
      <c r="A1624" t="s">
        <v>9616</v>
      </c>
      <c r="B1624">
        <v>5456</v>
      </c>
      <c r="C1624" t="s">
        <v>9674</v>
      </c>
      <c r="D1624" t="s">
        <v>9617</v>
      </c>
      <c r="E1624" t="s">
        <v>9830</v>
      </c>
      <c r="F1624" t="s">
        <v>9527</v>
      </c>
    </row>
    <row r="1625" spans="1:6">
      <c r="A1625" t="s">
        <v>9616</v>
      </c>
      <c r="B1625">
        <v>7148</v>
      </c>
      <c r="C1625" t="s">
        <v>9674</v>
      </c>
      <c r="D1625" t="s">
        <v>9617</v>
      </c>
      <c r="E1625" t="s">
        <v>9830</v>
      </c>
      <c r="F1625" t="s">
        <v>9527</v>
      </c>
    </row>
    <row r="1626" spans="1:6">
      <c r="A1626" t="s">
        <v>9616</v>
      </c>
      <c r="B1626">
        <v>7385</v>
      </c>
      <c r="C1626" t="s">
        <v>9674</v>
      </c>
      <c r="D1626" t="s">
        <v>9617</v>
      </c>
      <c r="E1626" t="s">
        <v>9830</v>
      </c>
      <c r="F1626" t="s">
        <v>9527</v>
      </c>
    </row>
    <row r="1627" spans="1:6">
      <c r="A1627" t="s">
        <v>9616</v>
      </c>
      <c r="B1627">
        <v>7162</v>
      </c>
      <c r="C1627" t="s">
        <v>9674</v>
      </c>
      <c r="D1627" t="s">
        <v>9617</v>
      </c>
      <c r="E1627" t="s">
        <v>9830</v>
      </c>
      <c r="F1627" t="s">
        <v>9527</v>
      </c>
    </row>
    <row r="1628" spans="1:6">
      <c r="A1628" t="s">
        <v>9616</v>
      </c>
      <c r="B1628">
        <v>6241</v>
      </c>
      <c r="C1628" t="s">
        <v>9674</v>
      </c>
      <c r="D1628" t="s">
        <v>9617</v>
      </c>
      <c r="E1628" t="s">
        <v>9830</v>
      </c>
      <c r="F1628" t="s">
        <v>9527</v>
      </c>
    </row>
    <row r="1629" spans="1:6">
      <c r="A1629" t="s">
        <v>9616</v>
      </c>
      <c r="B1629">
        <v>8835</v>
      </c>
      <c r="C1629" t="s">
        <v>9674</v>
      </c>
      <c r="D1629" t="s">
        <v>9619</v>
      </c>
      <c r="E1629" t="s">
        <v>9808</v>
      </c>
      <c r="F1629" t="s">
        <v>9527</v>
      </c>
    </row>
    <row r="1630" spans="1:6">
      <c r="A1630" t="s">
        <v>9616</v>
      </c>
      <c r="B1630">
        <v>8848</v>
      </c>
      <c r="C1630" t="s">
        <v>9674</v>
      </c>
      <c r="D1630" t="s">
        <v>9619</v>
      </c>
      <c r="E1630" t="s">
        <v>9808</v>
      </c>
      <c r="F1630" t="s">
        <v>9527</v>
      </c>
    </row>
    <row r="1631" spans="1:6">
      <c r="A1631" t="s">
        <v>9616</v>
      </c>
      <c r="B1631">
        <v>7992</v>
      </c>
      <c r="C1631" t="s">
        <v>9674</v>
      </c>
      <c r="D1631" t="s">
        <v>9619</v>
      </c>
      <c r="E1631" t="s">
        <v>9808</v>
      </c>
      <c r="F1631" t="s">
        <v>9527</v>
      </c>
    </row>
    <row r="1632" spans="1:6">
      <c r="A1632" t="s">
        <v>9616</v>
      </c>
      <c r="B1632">
        <v>8830</v>
      </c>
      <c r="C1632" t="s">
        <v>9674</v>
      </c>
      <c r="D1632" t="s">
        <v>9619</v>
      </c>
      <c r="E1632" t="s">
        <v>9808</v>
      </c>
      <c r="F1632" t="s">
        <v>9527</v>
      </c>
    </row>
    <row r="1633" spans="1:6">
      <c r="A1633" t="s">
        <v>9616</v>
      </c>
      <c r="B1633">
        <v>8837</v>
      </c>
      <c r="C1633" t="s">
        <v>9674</v>
      </c>
      <c r="D1633" t="s">
        <v>9619</v>
      </c>
      <c r="E1633" t="s">
        <v>9808</v>
      </c>
      <c r="F1633" t="s">
        <v>9527</v>
      </c>
    </row>
    <row r="1634" spans="1:6">
      <c r="A1634" t="s">
        <v>9616</v>
      </c>
      <c r="B1634">
        <v>8827</v>
      </c>
      <c r="C1634" t="s">
        <v>9674</v>
      </c>
      <c r="D1634" t="s">
        <v>9619</v>
      </c>
      <c r="E1634" t="s">
        <v>9808</v>
      </c>
      <c r="F1634" t="s">
        <v>9527</v>
      </c>
    </row>
    <row r="1635" spans="1:6">
      <c r="A1635" t="s">
        <v>9616</v>
      </c>
      <c r="B1635">
        <v>8670</v>
      </c>
      <c r="C1635" t="s">
        <v>9674</v>
      </c>
      <c r="D1635" t="s">
        <v>9619</v>
      </c>
      <c r="E1635" t="s">
        <v>9808</v>
      </c>
      <c r="F1635" t="s">
        <v>9527</v>
      </c>
    </row>
    <row r="1636" spans="1:6">
      <c r="A1636" t="s">
        <v>9616</v>
      </c>
      <c r="B1636">
        <v>7977</v>
      </c>
      <c r="C1636" t="s">
        <v>9674</v>
      </c>
      <c r="D1636" t="s">
        <v>9619</v>
      </c>
      <c r="E1636" t="s">
        <v>9808</v>
      </c>
      <c r="F1636" t="s">
        <v>9527</v>
      </c>
    </row>
    <row r="1637" spans="1:6">
      <c r="A1637" t="s">
        <v>9616</v>
      </c>
      <c r="B1637">
        <v>7839</v>
      </c>
      <c r="C1637" t="s">
        <v>9674</v>
      </c>
      <c r="D1637" t="s">
        <v>9619</v>
      </c>
      <c r="E1637" t="s">
        <v>9808</v>
      </c>
      <c r="F1637" t="s">
        <v>9527</v>
      </c>
    </row>
    <row r="1638" spans="1:6">
      <c r="A1638" t="s">
        <v>9616</v>
      </c>
      <c r="B1638">
        <v>7380</v>
      </c>
      <c r="C1638" t="s">
        <v>9674</v>
      </c>
      <c r="D1638" t="s">
        <v>9619</v>
      </c>
      <c r="E1638" t="s">
        <v>9808</v>
      </c>
      <c r="F1638" t="s">
        <v>9527</v>
      </c>
    </row>
    <row r="1639" spans="1:6">
      <c r="A1639" t="s">
        <v>9616</v>
      </c>
      <c r="B1639">
        <v>7383</v>
      </c>
      <c r="C1639" t="s">
        <v>9674</v>
      </c>
      <c r="D1639" t="s">
        <v>9619</v>
      </c>
      <c r="E1639" t="s">
        <v>9808</v>
      </c>
      <c r="F1639" t="s">
        <v>9527</v>
      </c>
    </row>
    <row r="1640" spans="1:6">
      <c r="A1640" t="s">
        <v>9616</v>
      </c>
      <c r="B1640">
        <v>7160</v>
      </c>
      <c r="C1640" t="s">
        <v>9674</v>
      </c>
      <c r="D1640" t="s">
        <v>9619</v>
      </c>
      <c r="E1640" t="s">
        <v>9808</v>
      </c>
      <c r="F1640" t="s">
        <v>9527</v>
      </c>
    </row>
    <row r="1641" spans="1:6">
      <c r="A1641" t="s">
        <v>9616</v>
      </c>
      <c r="B1641">
        <v>7946</v>
      </c>
      <c r="C1641" t="s">
        <v>9674</v>
      </c>
      <c r="D1641" t="s">
        <v>9619</v>
      </c>
      <c r="E1641" t="s">
        <v>9808</v>
      </c>
      <c r="F1641" t="s">
        <v>9527</v>
      </c>
    </row>
    <row r="1642" spans="1:6">
      <c r="A1642" t="s">
        <v>9616</v>
      </c>
      <c r="B1642">
        <v>7978</v>
      </c>
      <c r="C1642" t="s">
        <v>9674</v>
      </c>
      <c r="D1642" t="s">
        <v>9619</v>
      </c>
      <c r="E1642" t="s">
        <v>9808</v>
      </c>
      <c r="F1642" t="s">
        <v>9527</v>
      </c>
    </row>
    <row r="1643" spans="1:6">
      <c r="A1643" t="s">
        <v>9616</v>
      </c>
      <c r="B1643">
        <v>7944</v>
      </c>
      <c r="C1643" t="s">
        <v>9674</v>
      </c>
      <c r="D1643" t="s">
        <v>9619</v>
      </c>
      <c r="E1643" t="s">
        <v>9808</v>
      </c>
      <c r="F1643" t="s">
        <v>9527</v>
      </c>
    </row>
    <row r="1644" spans="1:6">
      <c r="A1644" t="s">
        <v>9616</v>
      </c>
      <c r="B1644">
        <v>7914</v>
      </c>
      <c r="C1644" t="s">
        <v>9674</v>
      </c>
      <c r="D1644" t="s">
        <v>9619</v>
      </c>
      <c r="E1644" t="s">
        <v>9808</v>
      </c>
      <c r="F1644" t="s">
        <v>9527</v>
      </c>
    </row>
    <row r="1645" spans="1:6">
      <c r="A1645" t="s">
        <v>9616</v>
      </c>
      <c r="B1645">
        <v>7942</v>
      </c>
      <c r="C1645" t="s">
        <v>9674</v>
      </c>
      <c r="D1645" t="s">
        <v>9619</v>
      </c>
      <c r="E1645" t="s">
        <v>9808</v>
      </c>
      <c r="F1645" t="s">
        <v>9527</v>
      </c>
    </row>
    <row r="1646" spans="1:6">
      <c r="A1646" t="s">
        <v>9616</v>
      </c>
      <c r="B1646">
        <v>7376</v>
      </c>
      <c r="C1646" t="s">
        <v>9674</v>
      </c>
      <c r="D1646" t="s">
        <v>9619</v>
      </c>
      <c r="E1646" t="s">
        <v>9808</v>
      </c>
      <c r="F1646" t="s">
        <v>9527</v>
      </c>
    </row>
    <row r="1647" spans="1:6">
      <c r="A1647" t="s">
        <v>9616</v>
      </c>
      <c r="B1647">
        <v>7377</v>
      </c>
      <c r="C1647" t="s">
        <v>9674</v>
      </c>
      <c r="D1647" t="s">
        <v>9619</v>
      </c>
      <c r="E1647" t="s">
        <v>9808</v>
      </c>
      <c r="F1647" t="s">
        <v>9527</v>
      </c>
    </row>
    <row r="1648" spans="1:6">
      <c r="A1648" t="s">
        <v>9616</v>
      </c>
      <c r="B1648">
        <v>7158</v>
      </c>
      <c r="C1648" t="s">
        <v>9674</v>
      </c>
      <c r="D1648" t="s">
        <v>9619</v>
      </c>
      <c r="E1648" t="s">
        <v>9808</v>
      </c>
      <c r="F1648" t="s">
        <v>9527</v>
      </c>
    </row>
    <row r="1649" spans="1:6">
      <c r="A1649" t="s">
        <v>9616</v>
      </c>
      <c r="B1649">
        <v>7979</v>
      </c>
      <c r="C1649" t="s">
        <v>9674</v>
      </c>
      <c r="D1649" t="s">
        <v>9619</v>
      </c>
      <c r="E1649" t="s">
        <v>9808</v>
      </c>
      <c r="F1649" t="s">
        <v>9527</v>
      </c>
    </row>
    <row r="1650" spans="1:6">
      <c r="A1650" t="s">
        <v>9616</v>
      </c>
      <c r="B1650">
        <v>7947</v>
      </c>
      <c r="C1650" t="s">
        <v>9674</v>
      </c>
      <c r="D1650" t="s">
        <v>9619</v>
      </c>
      <c r="E1650" t="s">
        <v>9808</v>
      </c>
      <c r="F1650" t="s">
        <v>9527</v>
      </c>
    </row>
    <row r="1651" spans="1:6">
      <c r="A1651" t="s">
        <v>9616</v>
      </c>
      <c r="B1651">
        <v>5454</v>
      </c>
      <c r="C1651" t="s">
        <v>9674</v>
      </c>
      <c r="D1651" t="s">
        <v>9619</v>
      </c>
      <c r="E1651" t="s">
        <v>9808</v>
      </c>
      <c r="F1651" t="s">
        <v>9527</v>
      </c>
    </row>
    <row r="1652" spans="1:6">
      <c r="A1652" t="s">
        <v>9616</v>
      </c>
      <c r="B1652">
        <v>7945</v>
      </c>
      <c r="C1652" t="s">
        <v>9674</v>
      </c>
      <c r="D1652" t="s">
        <v>9619</v>
      </c>
      <c r="E1652" t="s">
        <v>9808</v>
      </c>
      <c r="F1652" t="s">
        <v>9527</v>
      </c>
    </row>
    <row r="1653" spans="1:6">
      <c r="A1653" t="s">
        <v>9616</v>
      </c>
      <c r="B1653">
        <v>7949</v>
      </c>
      <c r="C1653" t="s">
        <v>9674</v>
      </c>
      <c r="D1653" t="s">
        <v>9619</v>
      </c>
      <c r="E1653" t="s">
        <v>9808</v>
      </c>
      <c r="F1653" t="s">
        <v>9527</v>
      </c>
    </row>
    <row r="1654" spans="1:6">
      <c r="A1654" t="s">
        <v>9616</v>
      </c>
      <c r="B1654">
        <v>5460</v>
      </c>
      <c r="C1654" t="s">
        <v>9674</v>
      </c>
      <c r="D1654" t="s">
        <v>9619</v>
      </c>
      <c r="E1654" t="s">
        <v>9808</v>
      </c>
      <c r="F1654" t="s">
        <v>9527</v>
      </c>
    </row>
    <row r="1655" spans="1:6">
      <c r="A1655" t="s">
        <v>9616</v>
      </c>
      <c r="B1655">
        <v>5466</v>
      </c>
      <c r="C1655" t="s">
        <v>9674</v>
      </c>
      <c r="D1655" t="s">
        <v>9619</v>
      </c>
      <c r="E1655" t="s">
        <v>9808</v>
      </c>
      <c r="F1655" t="s">
        <v>9527</v>
      </c>
    </row>
    <row r="1656" spans="1:6">
      <c r="A1656" t="s">
        <v>9616</v>
      </c>
      <c r="B1656">
        <v>7915</v>
      </c>
      <c r="C1656" t="s">
        <v>9674</v>
      </c>
      <c r="D1656" t="s">
        <v>9619</v>
      </c>
      <c r="E1656" t="s">
        <v>9808</v>
      </c>
      <c r="F1656" t="s">
        <v>9527</v>
      </c>
    </row>
    <row r="1657" spans="1:6">
      <c r="A1657" t="s">
        <v>9616</v>
      </c>
      <c r="B1657">
        <v>7980</v>
      </c>
      <c r="C1657" t="s">
        <v>9674</v>
      </c>
      <c r="D1657" t="s">
        <v>9619</v>
      </c>
      <c r="E1657" t="s">
        <v>9808</v>
      </c>
      <c r="F1657" t="s">
        <v>9527</v>
      </c>
    </row>
    <row r="1658" spans="1:6">
      <c r="A1658" t="s">
        <v>9616</v>
      </c>
      <c r="B1658">
        <v>6630</v>
      </c>
      <c r="C1658" t="s">
        <v>9674</v>
      </c>
      <c r="D1658" t="s">
        <v>9619</v>
      </c>
      <c r="E1658" t="s">
        <v>9808</v>
      </c>
      <c r="F1658" t="s">
        <v>9527</v>
      </c>
    </row>
    <row r="1659" spans="1:6">
      <c r="A1659" t="s">
        <v>9616</v>
      </c>
      <c r="B1659">
        <v>7943</v>
      </c>
      <c r="C1659" t="s">
        <v>9674</v>
      </c>
      <c r="D1659" t="s">
        <v>9619</v>
      </c>
      <c r="E1659" t="s">
        <v>9808</v>
      </c>
      <c r="F1659" t="s">
        <v>9527</v>
      </c>
    </row>
    <row r="1660" spans="1:6">
      <c r="A1660" t="s">
        <v>9616</v>
      </c>
      <c r="B1660">
        <v>7985</v>
      </c>
      <c r="C1660" t="s">
        <v>9674</v>
      </c>
      <c r="D1660" t="s">
        <v>9619</v>
      </c>
      <c r="E1660" t="s">
        <v>9808</v>
      </c>
      <c r="F1660" t="s">
        <v>9527</v>
      </c>
    </row>
    <row r="1661" spans="1:6">
      <c r="A1661" t="s">
        <v>9616</v>
      </c>
      <c r="B1661">
        <v>5462</v>
      </c>
      <c r="C1661" t="s">
        <v>9674</v>
      </c>
      <c r="D1661" t="s">
        <v>9619</v>
      </c>
      <c r="E1661" t="s">
        <v>9808</v>
      </c>
      <c r="F1661" t="s">
        <v>9527</v>
      </c>
    </row>
    <row r="1662" spans="1:6">
      <c r="A1662" t="s">
        <v>9616</v>
      </c>
      <c r="B1662">
        <v>5463</v>
      </c>
      <c r="C1662" t="s">
        <v>9674</v>
      </c>
      <c r="D1662" t="s">
        <v>9619</v>
      </c>
      <c r="E1662" t="s">
        <v>9808</v>
      </c>
      <c r="F1662" t="s">
        <v>9527</v>
      </c>
    </row>
    <row r="1663" spans="1:6">
      <c r="A1663" t="s">
        <v>9616</v>
      </c>
      <c r="B1663">
        <v>5495</v>
      </c>
      <c r="C1663" t="s">
        <v>9674</v>
      </c>
      <c r="D1663" t="s">
        <v>9619</v>
      </c>
      <c r="E1663" t="s">
        <v>9808</v>
      </c>
      <c r="F1663" t="s">
        <v>9527</v>
      </c>
    </row>
    <row r="1664" spans="1:6">
      <c r="A1664" t="s">
        <v>9616</v>
      </c>
      <c r="B1664">
        <v>9307</v>
      </c>
      <c r="C1664" t="s">
        <v>9674</v>
      </c>
      <c r="D1664" t="s">
        <v>9619</v>
      </c>
      <c r="E1664" t="s">
        <v>9808</v>
      </c>
      <c r="F1664" t="s">
        <v>9527</v>
      </c>
    </row>
    <row r="1665" spans="1:6">
      <c r="A1665" t="s">
        <v>9616</v>
      </c>
      <c r="B1665">
        <v>9306</v>
      </c>
      <c r="C1665" t="s">
        <v>9674</v>
      </c>
      <c r="D1665" t="s">
        <v>9619</v>
      </c>
      <c r="E1665" t="s">
        <v>9808</v>
      </c>
      <c r="F1665" t="s">
        <v>9527</v>
      </c>
    </row>
    <row r="1666" spans="1:6">
      <c r="A1666" t="s">
        <v>9616</v>
      </c>
      <c r="B1666">
        <v>8655</v>
      </c>
      <c r="C1666" t="s">
        <v>9674</v>
      </c>
      <c r="D1666" t="s">
        <v>9621</v>
      </c>
      <c r="E1666" t="s">
        <v>9831</v>
      </c>
      <c r="F1666" t="s">
        <v>9527</v>
      </c>
    </row>
    <row r="1667" spans="1:6">
      <c r="A1667" t="s">
        <v>9616</v>
      </c>
      <c r="B1667">
        <v>8836</v>
      </c>
      <c r="C1667" t="s">
        <v>9674</v>
      </c>
      <c r="D1667" t="s">
        <v>9621</v>
      </c>
      <c r="E1667" t="s">
        <v>9831</v>
      </c>
      <c r="F1667" t="s">
        <v>9527</v>
      </c>
    </row>
    <row r="1668" spans="1:6">
      <c r="A1668" t="s">
        <v>9616</v>
      </c>
      <c r="B1668">
        <v>8486</v>
      </c>
      <c r="C1668" t="s">
        <v>9674</v>
      </c>
      <c r="D1668" t="s">
        <v>9621</v>
      </c>
      <c r="E1668" t="s">
        <v>9831</v>
      </c>
      <c r="F1668" t="s">
        <v>9527</v>
      </c>
    </row>
    <row r="1669" spans="1:6">
      <c r="A1669" t="s">
        <v>9616</v>
      </c>
      <c r="B1669">
        <v>8478</v>
      </c>
      <c r="C1669" t="s">
        <v>9674</v>
      </c>
      <c r="D1669" t="s">
        <v>9621</v>
      </c>
      <c r="E1669" t="s">
        <v>9831</v>
      </c>
      <c r="F1669" t="s">
        <v>9527</v>
      </c>
    </row>
    <row r="1670" spans="1:6">
      <c r="A1670" t="s">
        <v>9616</v>
      </c>
      <c r="B1670">
        <v>8479</v>
      </c>
      <c r="C1670" t="s">
        <v>9674</v>
      </c>
      <c r="D1670" t="s">
        <v>9621</v>
      </c>
      <c r="E1670" t="s">
        <v>9831</v>
      </c>
      <c r="F1670" t="s">
        <v>9527</v>
      </c>
    </row>
    <row r="1671" spans="1:6">
      <c r="A1671" t="s">
        <v>9616</v>
      </c>
      <c r="B1671">
        <v>8480</v>
      </c>
      <c r="C1671" t="s">
        <v>9674</v>
      </c>
      <c r="D1671" t="s">
        <v>9621</v>
      </c>
      <c r="E1671" t="s">
        <v>9831</v>
      </c>
      <c r="F1671" t="s">
        <v>9527</v>
      </c>
    </row>
    <row r="1672" spans="1:6">
      <c r="A1672" t="s">
        <v>9616</v>
      </c>
      <c r="B1672">
        <v>8482</v>
      </c>
      <c r="C1672" t="s">
        <v>9674</v>
      </c>
      <c r="D1672" t="s">
        <v>9621</v>
      </c>
      <c r="E1672" t="s">
        <v>9831</v>
      </c>
      <c r="F1672" t="s">
        <v>9527</v>
      </c>
    </row>
    <row r="1673" spans="1:6">
      <c r="A1673" t="s">
        <v>9616</v>
      </c>
      <c r="B1673">
        <v>8487</v>
      </c>
      <c r="C1673" t="s">
        <v>9674</v>
      </c>
      <c r="D1673" t="s">
        <v>9621</v>
      </c>
      <c r="E1673" t="s">
        <v>9831</v>
      </c>
      <c r="F1673" t="s">
        <v>9527</v>
      </c>
    </row>
    <row r="1674" spans="1:6">
      <c r="A1674" t="s">
        <v>9616</v>
      </c>
      <c r="B1674">
        <v>8485</v>
      </c>
      <c r="C1674" t="s">
        <v>9674</v>
      </c>
      <c r="D1674" t="s">
        <v>9621</v>
      </c>
      <c r="E1674" t="s">
        <v>9831</v>
      </c>
      <c r="F1674" t="s">
        <v>9527</v>
      </c>
    </row>
    <row r="1675" spans="1:6">
      <c r="A1675" t="s">
        <v>9616</v>
      </c>
      <c r="B1675">
        <v>8490</v>
      </c>
      <c r="C1675" t="s">
        <v>9674</v>
      </c>
      <c r="D1675" t="s">
        <v>9621</v>
      </c>
      <c r="E1675" t="s">
        <v>9831</v>
      </c>
      <c r="F1675" t="s">
        <v>9527</v>
      </c>
    </row>
    <row r="1676" spans="1:6">
      <c r="A1676" t="s">
        <v>9616</v>
      </c>
      <c r="B1676">
        <v>8645</v>
      </c>
      <c r="C1676" t="s">
        <v>9674</v>
      </c>
      <c r="D1676" t="s">
        <v>9621</v>
      </c>
      <c r="E1676" t="s">
        <v>9831</v>
      </c>
      <c r="F1676" t="s">
        <v>9527</v>
      </c>
    </row>
    <row r="1677" spans="1:6">
      <c r="A1677" t="s">
        <v>9616</v>
      </c>
      <c r="B1677">
        <v>8646</v>
      </c>
      <c r="C1677" t="s">
        <v>9674</v>
      </c>
      <c r="D1677" t="s">
        <v>9621</v>
      </c>
      <c r="E1677" t="s">
        <v>9831</v>
      </c>
      <c r="F1677" t="s">
        <v>9527</v>
      </c>
    </row>
    <row r="1678" spans="1:6">
      <c r="A1678" t="s">
        <v>9616</v>
      </c>
      <c r="B1678">
        <v>8647</v>
      </c>
      <c r="C1678" t="s">
        <v>9674</v>
      </c>
      <c r="D1678" t="s">
        <v>9621</v>
      </c>
      <c r="E1678" t="s">
        <v>9831</v>
      </c>
      <c r="F1678" t="s">
        <v>9527</v>
      </c>
    </row>
    <row r="1679" spans="1:6">
      <c r="A1679" t="s">
        <v>9616</v>
      </c>
      <c r="B1679">
        <v>8649</v>
      </c>
      <c r="C1679" t="s">
        <v>9674</v>
      </c>
      <c r="D1679" t="s">
        <v>9621</v>
      </c>
      <c r="E1679" t="s">
        <v>9831</v>
      </c>
      <c r="F1679" t="s">
        <v>9527</v>
      </c>
    </row>
    <row r="1680" spans="1:6">
      <c r="A1680" t="s">
        <v>9616</v>
      </c>
      <c r="B1680">
        <v>8488</v>
      </c>
      <c r="C1680" t="s">
        <v>9674</v>
      </c>
      <c r="D1680" t="s">
        <v>9621</v>
      </c>
      <c r="E1680" t="s">
        <v>9831</v>
      </c>
      <c r="F1680" t="s">
        <v>9527</v>
      </c>
    </row>
    <row r="1681" spans="1:6">
      <c r="A1681" t="s">
        <v>9616</v>
      </c>
      <c r="B1681">
        <v>8648</v>
      </c>
      <c r="C1681" t="s">
        <v>9674</v>
      </c>
      <c r="D1681" t="s">
        <v>9621</v>
      </c>
      <c r="E1681" t="s">
        <v>9831</v>
      </c>
      <c r="F1681" t="s">
        <v>9527</v>
      </c>
    </row>
    <row r="1682" spans="1:6">
      <c r="A1682" t="s">
        <v>9616</v>
      </c>
      <c r="B1682">
        <v>8671</v>
      </c>
      <c r="C1682" t="s">
        <v>9674</v>
      </c>
      <c r="D1682" t="s">
        <v>9621</v>
      </c>
      <c r="E1682" t="s">
        <v>9831</v>
      </c>
      <c r="F1682" t="s">
        <v>9527</v>
      </c>
    </row>
    <row r="1683" spans="1:6">
      <c r="A1683" t="s">
        <v>9616</v>
      </c>
      <c r="B1683">
        <v>8841</v>
      </c>
      <c r="C1683" t="s">
        <v>9674</v>
      </c>
      <c r="D1683" t="s">
        <v>9621</v>
      </c>
      <c r="E1683" t="s">
        <v>9831</v>
      </c>
      <c r="F1683" t="s">
        <v>9527</v>
      </c>
    </row>
    <row r="1684" spans="1:6">
      <c r="A1684" t="s">
        <v>9616</v>
      </c>
      <c r="B1684">
        <v>8672</v>
      </c>
      <c r="C1684" t="s">
        <v>9674</v>
      </c>
      <c r="D1684" t="s">
        <v>9621</v>
      </c>
      <c r="E1684" t="s">
        <v>9831</v>
      </c>
      <c r="F1684" t="s">
        <v>9527</v>
      </c>
    </row>
    <row r="1685" spans="1:6">
      <c r="A1685" t="s">
        <v>9616</v>
      </c>
      <c r="B1685">
        <v>8673</v>
      </c>
      <c r="C1685" t="s">
        <v>9674</v>
      </c>
      <c r="D1685" t="s">
        <v>9621</v>
      </c>
      <c r="E1685" t="s">
        <v>9831</v>
      </c>
      <c r="F1685" t="s">
        <v>9527</v>
      </c>
    </row>
    <row r="1686" spans="1:6">
      <c r="A1686" t="s">
        <v>9616</v>
      </c>
      <c r="B1686">
        <v>8489</v>
      </c>
      <c r="C1686" t="s">
        <v>9674</v>
      </c>
      <c r="D1686" t="s">
        <v>9621</v>
      </c>
      <c r="E1686" t="s">
        <v>9831</v>
      </c>
      <c r="F1686" t="s">
        <v>9527</v>
      </c>
    </row>
    <row r="1687" spans="1:6">
      <c r="A1687" t="s">
        <v>9616</v>
      </c>
      <c r="B1687">
        <v>8491</v>
      </c>
      <c r="C1687" t="s">
        <v>9674</v>
      </c>
      <c r="D1687" t="s">
        <v>9621</v>
      </c>
      <c r="E1687" t="s">
        <v>9831</v>
      </c>
      <c r="F1687" t="s">
        <v>9527</v>
      </c>
    </row>
    <row r="1688" spans="1:6">
      <c r="A1688" t="s">
        <v>9616</v>
      </c>
      <c r="B1688">
        <v>8849</v>
      </c>
      <c r="C1688" t="s">
        <v>9674</v>
      </c>
      <c r="D1688" t="s">
        <v>9621</v>
      </c>
      <c r="E1688" t="s">
        <v>9831</v>
      </c>
      <c r="F1688" t="s">
        <v>9527</v>
      </c>
    </row>
    <row r="1689" spans="1:6">
      <c r="A1689" t="s">
        <v>9616</v>
      </c>
      <c r="B1689">
        <v>7969</v>
      </c>
      <c r="C1689" t="s">
        <v>9674</v>
      </c>
      <c r="D1689" t="s">
        <v>9621</v>
      </c>
      <c r="E1689" t="s">
        <v>9831</v>
      </c>
      <c r="F1689" t="s">
        <v>9527</v>
      </c>
    </row>
    <row r="1690" spans="1:6">
      <c r="A1690" t="s">
        <v>9616</v>
      </c>
      <c r="B1690">
        <v>8654</v>
      </c>
      <c r="C1690" t="s">
        <v>9674</v>
      </c>
      <c r="D1690" t="s">
        <v>9621</v>
      </c>
      <c r="E1690" t="s">
        <v>9831</v>
      </c>
      <c r="F1690" t="s">
        <v>9527</v>
      </c>
    </row>
    <row r="1691" spans="1:6">
      <c r="A1691" t="s">
        <v>9616</v>
      </c>
      <c r="B1691">
        <v>8675</v>
      </c>
      <c r="C1691" t="s">
        <v>9674</v>
      </c>
      <c r="D1691" t="s">
        <v>9621</v>
      </c>
      <c r="E1691" t="s">
        <v>9831</v>
      </c>
      <c r="F1691" t="s">
        <v>9527</v>
      </c>
    </row>
    <row r="1692" spans="1:6">
      <c r="A1692" t="s">
        <v>9616</v>
      </c>
      <c r="B1692">
        <v>8847</v>
      </c>
      <c r="C1692" t="s">
        <v>9674</v>
      </c>
      <c r="D1692" t="s">
        <v>9621</v>
      </c>
      <c r="E1692" t="s">
        <v>9831</v>
      </c>
      <c r="F1692" t="s">
        <v>9527</v>
      </c>
    </row>
    <row r="1693" spans="1:6">
      <c r="A1693" t="s">
        <v>9616</v>
      </c>
      <c r="B1693">
        <v>8840</v>
      </c>
      <c r="C1693" t="s">
        <v>9674</v>
      </c>
      <c r="D1693" t="s">
        <v>9621</v>
      </c>
      <c r="E1693" t="s">
        <v>9831</v>
      </c>
      <c r="F1693" t="s">
        <v>9527</v>
      </c>
    </row>
    <row r="1694" spans="1:6">
      <c r="A1694" t="s">
        <v>9616</v>
      </c>
      <c r="B1694">
        <v>8834</v>
      </c>
      <c r="C1694" t="s">
        <v>9674</v>
      </c>
      <c r="D1694" t="s">
        <v>9621</v>
      </c>
      <c r="E1694" t="s">
        <v>9831</v>
      </c>
      <c r="F1694" t="s">
        <v>9527</v>
      </c>
    </row>
    <row r="1695" spans="1:6">
      <c r="A1695" t="s">
        <v>9616</v>
      </c>
      <c r="B1695">
        <v>4348</v>
      </c>
      <c r="C1695" t="s">
        <v>9674</v>
      </c>
      <c r="D1695" t="s">
        <v>9621</v>
      </c>
      <c r="E1695" t="s">
        <v>9831</v>
      </c>
      <c r="F1695" t="s">
        <v>9527</v>
      </c>
    </row>
    <row r="1696" spans="1:6">
      <c r="A1696" t="s">
        <v>9616</v>
      </c>
      <c r="B1696">
        <v>4253</v>
      </c>
      <c r="C1696" t="s">
        <v>9674</v>
      </c>
      <c r="D1696" t="s">
        <v>9621</v>
      </c>
      <c r="E1696" t="s">
        <v>9831</v>
      </c>
      <c r="F1696" t="s">
        <v>9527</v>
      </c>
    </row>
    <row r="1697" spans="1:6">
      <c r="A1697" t="s">
        <v>9616</v>
      </c>
      <c r="B1697">
        <v>2582</v>
      </c>
      <c r="C1697" t="s">
        <v>9674</v>
      </c>
      <c r="D1697" t="s">
        <v>9621</v>
      </c>
      <c r="E1697" t="s">
        <v>9831</v>
      </c>
      <c r="F1697" t="s">
        <v>9527</v>
      </c>
    </row>
    <row r="1698" spans="1:6">
      <c r="A1698" t="s">
        <v>9616</v>
      </c>
      <c r="B1698">
        <v>5457</v>
      </c>
      <c r="C1698" t="s">
        <v>9674</v>
      </c>
      <c r="D1698" t="s">
        <v>9621</v>
      </c>
      <c r="E1698" t="s">
        <v>9831</v>
      </c>
      <c r="F1698" t="s">
        <v>9527</v>
      </c>
    </row>
    <row r="1699" spans="1:6">
      <c r="A1699" t="s">
        <v>9616</v>
      </c>
      <c r="B1699">
        <v>4347</v>
      </c>
      <c r="C1699" t="s">
        <v>9674</v>
      </c>
      <c r="D1699" t="s">
        <v>9621</v>
      </c>
      <c r="E1699" t="s">
        <v>9831</v>
      </c>
      <c r="F1699" t="s">
        <v>9527</v>
      </c>
    </row>
    <row r="1700" spans="1:6">
      <c r="A1700" t="s">
        <v>9616</v>
      </c>
      <c r="B1700">
        <v>4362</v>
      </c>
      <c r="C1700" t="s">
        <v>9674</v>
      </c>
      <c r="D1700" t="s">
        <v>9621</v>
      </c>
      <c r="E1700" t="s">
        <v>9831</v>
      </c>
      <c r="F1700" t="s">
        <v>9527</v>
      </c>
    </row>
    <row r="1701" spans="1:6">
      <c r="A1701" t="s">
        <v>9616</v>
      </c>
      <c r="B1701">
        <v>4363</v>
      </c>
      <c r="C1701" t="s">
        <v>9674</v>
      </c>
      <c r="D1701" t="s">
        <v>9621</v>
      </c>
      <c r="E1701" t="s">
        <v>9831</v>
      </c>
      <c r="F1701" t="s">
        <v>9527</v>
      </c>
    </row>
    <row r="1702" spans="1:6">
      <c r="A1702" t="s">
        <v>9616</v>
      </c>
      <c r="B1702">
        <v>4367</v>
      </c>
      <c r="C1702" t="s">
        <v>9674</v>
      </c>
      <c r="D1702" t="s">
        <v>9621</v>
      </c>
      <c r="E1702" t="s">
        <v>9831</v>
      </c>
      <c r="F1702" t="s">
        <v>9527</v>
      </c>
    </row>
    <row r="1703" spans="1:6">
      <c r="A1703" t="s">
        <v>9616</v>
      </c>
      <c r="B1703">
        <v>4368</v>
      </c>
      <c r="C1703" t="s">
        <v>9674</v>
      </c>
      <c r="D1703" t="s">
        <v>9621</v>
      </c>
      <c r="E1703" t="s">
        <v>9831</v>
      </c>
      <c r="F1703" t="s">
        <v>9527</v>
      </c>
    </row>
    <row r="1704" spans="1:6">
      <c r="A1704" t="s">
        <v>9616</v>
      </c>
      <c r="B1704">
        <v>7327</v>
      </c>
      <c r="C1704" t="s">
        <v>9674</v>
      </c>
      <c r="D1704" t="s">
        <v>9621</v>
      </c>
      <c r="E1704" t="s">
        <v>9831</v>
      </c>
      <c r="F1704" t="s">
        <v>9527</v>
      </c>
    </row>
    <row r="1705" spans="1:6">
      <c r="A1705" t="s">
        <v>9616</v>
      </c>
      <c r="B1705">
        <v>7328</v>
      </c>
      <c r="C1705" t="s">
        <v>9674</v>
      </c>
      <c r="D1705" t="s">
        <v>9621</v>
      </c>
      <c r="E1705" t="s">
        <v>9831</v>
      </c>
      <c r="F1705" t="s">
        <v>9527</v>
      </c>
    </row>
    <row r="1706" spans="1:6">
      <c r="A1706" t="s">
        <v>9616</v>
      </c>
      <c r="B1706">
        <v>4365</v>
      </c>
      <c r="C1706" t="s">
        <v>9674</v>
      </c>
      <c r="D1706" t="s">
        <v>9621</v>
      </c>
      <c r="E1706" t="s">
        <v>9831</v>
      </c>
      <c r="F1706" t="s">
        <v>9527</v>
      </c>
    </row>
    <row r="1707" spans="1:6">
      <c r="A1707" t="s">
        <v>9616</v>
      </c>
      <c r="B1707">
        <v>4364</v>
      </c>
      <c r="C1707" t="s">
        <v>9674</v>
      </c>
      <c r="D1707" t="s">
        <v>9621</v>
      </c>
      <c r="E1707" t="s">
        <v>9831</v>
      </c>
      <c r="F1707" t="s">
        <v>9527</v>
      </c>
    </row>
    <row r="1708" spans="1:6">
      <c r="A1708" t="s">
        <v>9616</v>
      </c>
      <c r="B1708">
        <v>4194</v>
      </c>
      <c r="C1708" t="s">
        <v>9674</v>
      </c>
      <c r="D1708" t="s">
        <v>9621</v>
      </c>
      <c r="E1708" t="s">
        <v>9831</v>
      </c>
      <c r="F1708" t="s">
        <v>9527</v>
      </c>
    </row>
    <row r="1709" spans="1:6">
      <c r="A1709" t="s">
        <v>9616</v>
      </c>
      <c r="B1709">
        <v>4190</v>
      </c>
      <c r="C1709" t="s">
        <v>9674</v>
      </c>
      <c r="D1709" t="s">
        <v>9621</v>
      </c>
      <c r="E1709" t="s">
        <v>9831</v>
      </c>
      <c r="F1709" t="s">
        <v>9527</v>
      </c>
    </row>
    <row r="1710" spans="1:6">
      <c r="A1710" t="s">
        <v>9616</v>
      </c>
      <c r="B1710">
        <v>4251</v>
      </c>
      <c r="C1710" t="s">
        <v>9674</v>
      </c>
      <c r="D1710" t="s">
        <v>9621</v>
      </c>
      <c r="E1710" t="s">
        <v>9831</v>
      </c>
      <c r="F1710" t="s">
        <v>9527</v>
      </c>
    </row>
    <row r="1711" spans="1:6">
      <c r="A1711" t="s">
        <v>9616</v>
      </c>
      <c r="B1711">
        <v>4252</v>
      </c>
      <c r="C1711" t="s">
        <v>9674</v>
      </c>
      <c r="D1711" t="s">
        <v>9621</v>
      </c>
      <c r="E1711" t="s">
        <v>9831</v>
      </c>
      <c r="F1711" t="s">
        <v>9527</v>
      </c>
    </row>
    <row r="1712" spans="1:6">
      <c r="A1712" t="s">
        <v>9616</v>
      </c>
      <c r="B1712">
        <v>2583</v>
      </c>
      <c r="C1712" t="s">
        <v>9674</v>
      </c>
      <c r="D1712" t="s">
        <v>9621</v>
      </c>
      <c r="E1712" t="s">
        <v>9831</v>
      </c>
      <c r="F1712" t="s">
        <v>9527</v>
      </c>
    </row>
    <row r="1713" spans="1:6">
      <c r="A1713" t="s">
        <v>9616</v>
      </c>
      <c r="B1713">
        <v>5458</v>
      </c>
      <c r="C1713" t="s">
        <v>9674</v>
      </c>
      <c r="D1713" t="s">
        <v>9621</v>
      </c>
      <c r="E1713" t="s">
        <v>9831</v>
      </c>
      <c r="F1713" t="s">
        <v>9527</v>
      </c>
    </row>
    <row r="1714" spans="1:6">
      <c r="A1714" t="s">
        <v>9616</v>
      </c>
      <c r="B1714">
        <v>7382</v>
      </c>
      <c r="C1714" t="s">
        <v>9674</v>
      </c>
      <c r="D1714" t="s">
        <v>9621</v>
      </c>
      <c r="E1714" t="s">
        <v>9831</v>
      </c>
      <c r="F1714" t="s">
        <v>9527</v>
      </c>
    </row>
    <row r="1715" spans="1:6">
      <c r="A1715" t="s">
        <v>9616</v>
      </c>
      <c r="B1715">
        <v>4192</v>
      </c>
      <c r="C1715" t="s">
        <v>9674</v>
      </c>
      <c r="D1715" t="s">
        <v>9621</v>
      </c>
      <c r="E1715" t="s">
        <v>9831</v>
      </c>
      <c r="F1715" t="s">
        <v>9527</v>
      </c>
    </row>
    <row r="1716" spans="1:6">
      <c r="A1716" t="s">
        <v>9616</v>
      </c>
      <c r="B1716">
        <v>4193</v>
      </c>
      <c r="C1716" t="s">
        <v>9674</v>
      </c>
      <c r="D1716" t="s">
        <v>9621</v>
      </c>
      <c r="E1716" t="s">
        <v>9831</v>
      </c>
      <c r="F1716" t="s">
        <v>9527</v>
      </c>
    </row>
    <row r="1717" spans="1:6">
      <c r="A1717" t="s">
        <v>9616</v>
      </c>
      <c r="B1717">
        <v>7973</v>
      </c>
      <c r="C1717" t="s">
        <v>9674</v>
      </c>
      <c r="D1717" t="s">
        <v>9621</v>
      </c>
      <c r="E1717" t="s">
        <v>9831</v>
      </c>
      <c r="F1717" t="s">
        <v>9527</v>
      </c>
    </row>
    <row r="1718" spans="1:6">
      <c r="A1718" t="s">
        <v>9616</v>
      </c>
      <c r="B1718">
        <v>7975</v>
      </c>
      <c r="C1718" t="s">
        <v>9674</v>
      </c>
      <c r="D1718" t="s">
        <v>9621</v>
      </c>
      <c r="E1718" t="s">
        <v>9831</v>
      </c>
      <c r="F1718" t="s">
        <v>9527</v>
      </c>
    </row>
    <row r="1719" spans="1:6">
      <c r="A1719" t="s">
        <v>9616</v>
      </c>
      <c r="B1719">
        <v>7974</v>
      </c>
      <c r="C1719" t="s">
        <v>9674</v>
      </c>
      <c r="D1719" t="s">
        <v>9621</v>
      </c>
      <c r="E1719" t="s">
        <v>9831</v>
      </c>
      <c r="F1719" t="s">
        <v>9527</v>
      </c>
    </row>
    <row r="1720" spans="1:6">
      <c r="A1720" t="s">
        <v>9616</v>
      </c>
      <c r="B1720">
        <v>7976</v>
      </c>
      <c r="C1720" t="s">
        <v>9674</v>
      </c>
      <c r="D1720" t="s">
        <v>9621</v>
      </c>
      <c r="E1720" t="s">
        <v>9831</v>
      </c>
      <c r="F1720" t="s">
        <v>9527</v>
      </c>
    </row>
    <row r="1721" spans="1:6">
      <c r="A1721" t="s">
        <v>9616</v>
      </c>
      <c r="B1721">
        <v>7836</v>
      </c>
      <c r="C1721" t="s">
        <v>9674</v>
      </c>
      <c r="D1721" t="s">
        <v>9621</v>
      </c>
      <c r="E1721" t="s">
        <v>9831</v>
      </c>
      <c r="F1721" t="s">
        <v>9527</v>
      </c>
    </row>
    <row r="1722" spans="1:6">
      <c r="A1722" t="s">
        <v>9616</v>
      </c>
      <c r="B1722">
        <v>7837</v>
      </c>
      <c r="C1722" t="s">
        <v>9674</v>
      </c>
      <c r="D1722" t="s">
        <v>9621</v>
      </c>
      <c r="E1722" t="s">
        <v>9831</v>
      </c>
      <c r="F1722" t="s">
        <v>9527</v>
      </c>
    </row>
    <row r="1723" spans="1:6">
      <c r="A1723" t="s">
        <v>9616</v>
      </c>
      <c r="B1723">
        <v>7379</v>
      </c>
      <c r="C1723" t="s">
        <v>9674</v>
      </c>
      <c r="D1723" t="s">
        <v>9621</v>
      </c>
      <c r="E1723" t="s">
        <v>9831</v>
      </c>
      <c r="F1723" t="s">
        <v>9527</v>
      </c>
    </row>
    <row r="1724" spans="1:6">
      <c r="A1724" t="s">
        <v>9616</v>
      </c>
      <c r="B1724">
        <v>7378</v>
      </c>
      <c r="C1724" t="s">
        <v>9674</v>
      </c>
      <c r="D1724" t="s">
        <v>9621</v>
      </c>
      <c r="E1724" t="s">
        <v>9831</v>
      </c>
      <c r="F1724" t="s">
        <v>9527</v>
      </c>
    </row>
    <row r="1725" spans="1:6">
      <c r="A1725" t="s">
        <v>9616</v>
      </c>
      <c r="B1725">
        <v>7948</v>
      </c>
      <c r="C1725" t="s">
        <v>9674</v>
      </c>
      <c r="D1725" t="s">
        <v>9621</v>
      </c>
      <c r="E1725" t="s">
        <v>9831</v>
      </c>
      <c r="F1725" t="s">
        <v>9527</v>
      </c>
    </row>
    <row r="1726" spans="1:6">
      <c r="A1726" t="s">
        <v>9616</v>
      </c>
      <c r="B1726">
        <v>7940</v>
      </c>
      <c r="C1726" t="s">
        <v>9674</v>
      </c>
      <c r="D1726" t="s">
        <v>9621</v>
      </c>
      <c r="E1726" t="s">
        <v>9831</v>
      </c>
      <c r="F1726" t="s">
        <v>9527</v>
      </c>
    </row>
    <row r="1727" spans="1:6">
      <c r="A1727" t="s">
        <v>9616</v>
      </c>
      <c r="B1727">
        <v>7941</v>
      </c>
      <c r="C1727" t="s">
        <v>9674</v>
      </c>
      <c r="D1727" t="s">
        <v>9621</v>
      </c>
      <c r="E1727" t="s">
        <v>9831</v>
      </c>
      <c r="F1727" t="s">
        <v>9527</v>
      </c>
    </row>
    <row r="1728" spans="1:6">
      <c r="A1728" t="s">
        <v>9616</v>
      </c>
      <c r="B1728">
        <v>7984</v>
      </c>
      <c r="C1728" t="s">
        <v>9674</v>
      </c>
      <c r="D1728" t="s">
        <v>9621</v>
      </c>
      <c r="E1728" t="s">
        <v>9831</v>
      </c>
      <c r="F1728" t="s">
        <v>9527</v>
      </c>
    </row>
    <row r="1729" spans="1:6">
      <c r="A1729" t="s">
        <v>9616</v>
      </c>
      <c r="B1729">
        <v>7158</v>
      </c>
      <c r="C1729" t="s">
        <v>9674</v>
      </c>
      <c r="D1729" t="s">
        <v>9621</v>
      </c>
      <c r="E1729" t="s">
        <v>9831</v>
      </c>
      <c r="F1729" t="s">
        <v>9527</v>
      </c>
    </row>
    <row r="1730" spans="1:6">
      <c r="A1730" t="s">
        <v>9616</v>
      </c>
      <c r="B1730">
        <v>7914</v>
      </c>
      <c r="C1730" t="s">
        <v>9674</v>
      </c>
      <c r="D1730" t="s">
        <v>9621</v>
      </c>
      <c r="E1730" t="s">
        <v>9831</v>
      </c>
      <c r="F1730" t="s">
        <v>9527</v>
      </c>
    </row>
    <row r="1731" spans="1:6">
      <c r="A1731" t="s">
        <v>9638</v>
      </c>
      <c r="B1731">
        <v>1911</v>
      </c>
      <c r="C1731" t="s">
        <v>9674</v>
      </c>
      <c r="D1731" t="s">
        <v>9636</v>
      </c>
      <c r="E1731" t="s">
        <v>9835</v>
      </c>
      <c r="F1731" t="s">
        <v>9527</v>
      </c>
    </row>
    <row r="1732" spans="1:6">
      <c r="A1732" t="s">
        <v>9638</v>
      </c>
      <c r="B1732">
        <v>7809</v>
      </c>
      <c r="C1732" t="s">
        <v>9674</v>
      </c>
      <c r="D1732" t="s">
        <v>9636</v>
      </c>
      <c r="E1732" t="s">
        <v>9835</v>
      </c>
      <c r="F1732" t="s">
        <v>9527</v>
      </c>
    </row>
    <row r="1733" spans="1:6">
      <c r="A1733" t="s">
        <v>9638</v>
      </c>
      <c r="B1733">
        <v>7870</v>
      </c>
      <c r="C1733" t="s">
        <v>9674</v>
      </c>
      <c r="D1733" t="s">
        <v>9636</v>
      </c>
      <c r="E1733" t="s">
        <v>9835</v>
      </c>
      <c r="F1733" t="s">
        <v>9527</v>
      </c>
    </row>
    <row r="1734" spans="1:6">
      <c r="A1734" t="s">
        <v>9638</v>
      </c>
      <c r="B1734">
        <v>7871</v>
      </c>
      <c r="C1734" t="s">
        <v>9674</v>
      </c>
      <c r="D1734" t="s">
        <v>9636</v>
      </c>
      <c r="E1734" t="s">
        <v>9835</v>
      </c>
      <c r="F1734" t="s">
        <v>9527</v>
      </c>
    </row>
    <row r="1735" spans="1:6">
      <c r="A1735" t="s">
        <v>9638</v>
      </c>
      <c r="B1735">
        <v>7872</v>
      </c>
      <c r="C1735" t="s">
        <v>9674</v>
      </c>
      <c r="D1735" t="s">
        <v>9636</v>
      </c>
      <c r="E1735" t="s">
        <v>9835</v>
      </c>
      <c r="F1735" t="s">
        <v>9527</v>
      </c>
    </row>
    <row r="1736" spans="1:6">
      <c r="A1736" t="s">
        <v>9638</v>
      </c>
      <c r="B1736">
        <v>7873</v>
      </c>
      <c r="C1736" t="s">
        <v>9674</v>
      </c>
      <c r="D1736" t="s">
        <v>9636</v>
      </c>
      <c r="E1736" t="s">
        <v>9835</v>
      </c>
      <c r="F1736" t="s">
        <v>9527</v>
      </c>
    </row>
    <row r="1737" spans="1:6">
      <c r="A1737" t="s">
        <v>9638</v>
      </c>
      <c r="B1737">
        <v>7875</v>
      </c>
      <c r="C1737" t="s">
        <v>9674</v>
      </c>
      <c r="D1737" t="s">
        <v>9636</v>
      </c>
      <c r="E1737" t="s">
        <v>9835</v>
      </c>
      <c r="F1737" t="s">
        <v>9527</v>
      </c>
    </row>
    <row r="1738" spans="1:6">
      <c r="A1738" t="s">
        <v>9638</v>
      </c>
      <c r="B1738">
        <v>7901</v>
      </c>
      <c r="C1738" t="s">
        <v>9674</v>
      </c>
      <c r="D1738" t="s">
        <v>9636</v>
      </c>
      <c r="E1738" t="s">
        <v>9835</v>
      </c>
      <c r="F1738" t="s">
        <v>9527</v>
      </c>
    </row>
    <row r="1739" spans="1:6">
      <c r="A1739" t="s">
        <v>9638</v>
      </c>
      <c r="B1739">
        <v>7902</v>
      </c>
      <c r="C1739" t="s">
        <v>9674</v>
      </c>
      <c r="D1739" t="s">
        <v>9636</v>
      </c>
      <c r="E1739" t="s">
        <v>9835</v>
      </c>
      <c r="F1739" t="s">
        <v>9527</v>
      </c>
    </row>
    <row r="1740" spans="1:6">
      <c r="A1740" t="s">
        <v>9638</v>
      </c>
      <c r="B1740">
        <v>7967</v>
      </c>
      <c r="C1740" t="s">
        <v>9674</v>
      </c>
      <c r="D1740" t="s">
        <v>9636</v>
      </c>
      <c r="E1740" t="s">
        <v>9835</v>
      </c>
      <c r="F1740" t="s">
        <v>9527</v>
      </c>
    </row>
    <row r="1741" spans="1:6">
      <c r="A1741" t="s">
        <v>9638</v>
      </c>
      <c r="B1741">
        <v>7971</v>
      </c>
      <c r="C1741" t="s">
        <v>9674</v>
      </c>
      <c r="D1741" t="s">
        <v>9636</v>
      </c>
      <c r="E1741" t="s">
        <v>9835</v>
      </c>
      <c r="F1741" t="s">
        <v>9527</v>
      </c>
    </row>
    <row r="1742" spans="1:6">
      <c r="A1742" t="s">
        <v>9638</v>
      </c>
      <c r="B1742">
        <v>7972</v>
      </c>
      <c r="C1742" t="s">
        <v>9674</v>
      </c>
      <c r="D1742" t="s">
        <v>9636</v>
      </c>
      <c r="E1742" t="s">
        <v>9835</v>
      </c>
      <c r="F1742" t="s">
        <v>9527</v>
      </c>
    </row>
    <row r="1743" spans="1:6">
      <c r="A1743" t="s">
        <v>9638</v>
      </c>
      <c r="B1743">
        <v>7981</v>
      </c>
      <c r="C1743" t="s">
        <v>9674</v>
      </c>
      <c r="D1743" t="s">
        <v>9636</v>
      </c>
      <c r="E1743" t="s">
        <v>9835</v>
      </c>
      <c r="F1743" t="s">
        <v>9527</v>
      </c>
    </row>
    <row r="1744" spans="1:6">
      <c r="A1744" t="s">
        <v>9638</v>
      </c>
      <c r="B1744">
        <v>7995</v>
      </c>
      <c r="C1744" t="s">
        <v>9674</v>
      </c>
      <c r="D1744" t="s">
        <v>9636</v>
      </c>
      <c r="E1744" t="s">
        <v>9835</v>
      </c>
      <c r="F1744" t="s">
        <v>9527</v>
      </c>
    </row>
    <row r="1745" spans="1:6">
      <c r="A1745" t="s">
        <v>9638</v>
      </c>
      <c r="B1745">
        <v>7996</v>
      </c>
      <c r="C1745" t="s">
        <v>9674</v>
      </c>
      <c r="D1745" t="s">
        <v>9636</v>
      </c>
      <c r="E1745" t="s">
        <v>9835</v>
      </c>
      <c r="F1745" t="s">
        <v>9527</v>
      </c>
    </row>
    <row r="1746" spans="1:6">
      <c r="A1746" t="s">
        <v>9638</v>
      </c>
      <c r="B1746">
        <v>8014</v>
      </c>
      <c r="C1746" t="s">
        <v>9674</v>
      </c>
      <c r="D1746" t="s">
        <v>9636</v>
      </c>
      <c r="E1746" t="s">
        <v>9835</v>
      </c>
      <c r="F1746" t="s">
        <v>9527</v>
      </c>
    </row>
    <row r="1747" spans="1:6">
      <c r="A1747" t="s">
        <v>9638</v>
      </c>
      <c r="B1747">
        <v>8028</v>
      </c>
      <c r="C1747" t="s">
        <v>9674</v>
      </c>
      <c r="D1747" t="s">
        <v>9636</v>
      </c>
      <c r="E1747" t="s">
        <v>9835</v>
      </c>
      <c r="F1747" t="s">
        <v>9527</v>
      </c>
    </row>
    <row r="1748" spans="1:6">
      <c r="A1748" t="s">
        <v>9638</v>
      </c>
      <c r="B1748">
        <v>8038</v>
      </c>
      <c r="C1748" t="s">
        <v>9674</v>
      </c>
      <c r="D1748" t="s">
        <v>9636</v>
      </c>
      <c r="E1748" t="s">
        <v>9835</v>
      </c>
      <c r="F1748" t="s">
        <v>9527</v>
      </c>
    </row>
    <row r="1749" spans="1:6">
      <c r="A1749" t="s">
        <v>9638</v>
      </c>
      <c r="B1749">
        <v>8667</v>
      </c>
      <c r="C1749" t="s">
        <v>9674</v>
      </c>
      <c r="D1749" t="s">
        <v>9636</v>
      </c>
      <c r="E1749" t="s">
        <v>9835</v>
      </c>
      <c r="F1749" t="s">
        <v>9527</v>
      </c>
    </row>
    <row r="1750" spans="1:6">
      <c r="A1750" t="s">
        <v>9638</v>
      </c>
      <c r="B1750">
        <v>8677</v>
      </c>
      <c r="C1750" t="s">
        <v>9674</v>
      </c>
      <c r="D1750" t="s">
        <v>9636</v>
      </c>
      <c r="E1750" t="s">
        <v>9835</v>
      </c>
      <c r="F1750" t="s">
        <v>9527</v>
      </c>
    </row>
    <row r="1751" spans="1:6">
      <c r="A1751" t="s">
        <v>9638</v>
      </c>
      <c r="B1751">
        <v>8678</v>
      </c>
      <c r="C1751" t="s">
        <v>9674</v>
      </c>
      <c r="D1751" t="s">
        <v>9636</v>
      </c>
      <c r="E1751" t="s">
        <v>9835</v>
      </c>
      <c r="F1751" t="s">
        <v>9527</v>
      </c>
    </row>
    <row r="1752" spans="1:6">
      <c r="A1752" t="s">
        <v>9638</v>
      </c>
      <c r="B1752">
        <v>8720</v>
      </c>
      <c r="C1752" t="s">
        <v>9674</v>
      </c>
      <c r="D1752" t="s">
        <v>9636</v>
      </c>
      <c r="E1752" t="s">
        <v>9835</v>
      </c>
      <c r="F1752" t="s">
        <v>9527</v>
      </c>
    </row>
    <row r="1753" spans="1:6">
      <c r="A1753" t="s">
        <v>9638</v>
      </c>
      <c r="B1753">
        <v>8730</v>
      </c>
      <c r="C1753" t="s">
        <v>9674</v>
      </c>
      <c r="D1753" t="s">
        <v>9636</v>
      </c>
      <c r="E1753" t="s">
        <v>9835</v>
      </c>
      <c r="F1753" t="s">
        <v>9527</v>
      </c>
    </row>
    <row r="1754" spans="1:6">
      <c r="A1754" t="s">
        <v>9638</v>
      </c>
      <c r="B1754">
        <v>8740</v>
      </c>
      <c r="C1754" t="s">
        <v>9674</v>
      </c>
      <c r="D1754" t="s">
        <v>9636</v>
      </c>
      <c r="E1754" t="s">
        <v>9835</v>
      </c>
      <c r="F1754" t="s">
        <v>9527</v>
      </c>
    </row>
    <row r="1755" spans="1:6">
      <c r="A1755" t="s">
        <v>9638</v>
      </c>
      <c r="B1755">
        <v>8750</v>
      </c>
      <c r="C1755" t="s">
        <v>9674</v>
      </c>
      <c r="D1755" t="s">
        <v>9636</v>
      </c>
      <c r="E1755" t="s">
        <v>9835</v>
      </c>
      <c r="F1755" t="s">
        <v>9527</v>
      </c>
    </row>
    <row r="1756" spans="1:6">
      <c r="A1756" t="s">
        <v>9638</v>
      </c>
      <c r="B1756">
        <v>8832</v>
      </c>
      <c r="C1756" t="s">
        <v>9674</v>
      </c>
      <c r="D1756" t="s">
        <v>9636</v>
      </c>
      <c r="E1756" t="s">
        <v>9835</v>
      </c>
      <c r="F1756" t="s">
        <v>9527</v>
      </c>
    </row>
    <row r="1757" spans="1:6">
      <c r="A1757" t="s">
        <v>9638</v>
      </c>
      <c r="B1757">
        <v>8839</v>
      </c>
      <c r="C1757" t="s">
        <v>9674</v>
      </c>
      <c r="D1757" t="s">
        <v>9636</v>
      </c>
      <c r="E1757" t="s">
        <v>9835</v>
      </c>
      <c r="F1757" t="s">
        <v>9527</v>
      </c>
    </row>
    <row r="1758" spans="1:6">
      <c r="A1758" t="s">
        <v>9638</v>
      </c>
      <c r="B1758">
        <v>8843</v>
      </c>
      <c r="C1758" t="s">
        <v>9674</v>
      </c>
      <c r="D1758" t="s">
        <v>9636</v>
      </c>
      <c r="E1758" t="s">
        <v>9835</v>
      </c>
      <c r="F1758" t="s">
        <v>9527</v>
      </c>
    </row>
    <row r="1759" spans="1:6">
      <c r="A1759" t="s">
        <v>9638</v>
      </c>
      <c r="B1759">
        <v>8850</v>
      </c>
      <c r="C1759" t="s">
        <v>9674</v>
      </c>
      <c r="D1759" t="s">
        <v>9636</v>
      </c>
      <c r="E1759" t="s">
        <v>9835</v>
      </c>
      <c r="F1759" t="s">
        <v>9527</v>
      </c>
    </row>
    <row r="1760" spans="1:6">
      <c r="A1760" t="s">
        <v>9638</v>
      </c>
      <c r="B1760">
        <v>8852</v>
      </c>
      <c r="C1760" t="s">
        <v>9674</v>
      </c>
      <c r="D1760" t="s">
        <v>9636</v>
      </c>
      <c r="E1760" t="s">
        <v>9835</v>
      </c>
      <c r="F1760" t="s">
        <v>9527</v>
      </c>
    </row>
    <row r="1761" spans="1:6">
      <c r="A1761" t="s">
        <v>9638</v>
      </c>
      <c r="B1761">
        <v>8853</v>
      </c>
      <c r="C1761" t="s">
        <v>9674</v>
      </c>
      <c r="D1761" t="s">
        <v>9636</v>
      </c>
      <c r="E1761" t="s">
        <v>9835</v>
      </c>
      <c r="F1761" t="s">
        <v>9527</v>
      </c>
    </row>
    <row r="1762" spans="1:6">
      <c r="A1762" t="s">
        <v>9638</v>
      </c>
      <c r="B1762">
        <v>8886</v>
      </c>
      <c r="C1762" t="s">
        <v>9674</v>
      </c>
      <c r="D1762" t="s">
        <v>9636</v>
      </c>
      <c r="E1762" t="s">
        <v>9835</v>
      </c>
      <c r="F1762" t="s">
        <v>9527</v>
      </c>
    </row>
    <row r="1763" spans="1:6">
      <c r="A1763" t="s">
        <v>9638</v>
      </c>
      <c r="B1763">
        <v>8721</v>
      </c>
      <c r="C1763" t="s">
        <v>9674</v>
      </c>
      <c r="D1763" t="s">
        <v>9639</v>
      </c>
      <c r="E1763" t="s">
        <v>9836</v>
      </c>
      <c r="F1763" t="s">
        <v>9527</v>
      </c>
    </row>
    <row r="1764" spans="1:6">
      <c r="A1764" t="s">
        <v>9638</v>
      </c>
      <c r="B1764">
        <v>8731</v>
      </c>
      <c r="C1764" t="s">
        <v>9674</v>
      </c>
      <c r="D1764" t="s">
        <v>9639</v>
      </c>
      <c r="E1764" t="s">
        <v>9836</v>
      </c>
      <c r="F1764" t="s">
        <v>9527</v>
      </c>
    </row>
    <row r="1765" spans="1:6">
      <c r="A1765" t="s">
        <v>9638</v>
      </c>
      <c r="B1765">
        <v>7906</v>
      </c>
      <c r="C1765" t="s">
        <v>9674</v>
      </c>
      <c r="D1765" t="s">
        <v>9639</v>
      </c>
      <c r="E1765" t="s">
        <v>9836</v>
      </c>
      <c r="F1765" t="s">
        <v>9527</v>
      </c>
    </row>
    <row r="1766" spans="1:6">
      <c r="A1766" t="s">
        <v>9638</v>
      </c>
      <c r="B1766">
        <v>7916</v>
      </c>
      <c r="C1766" t="s">
        <v>9674</v>
      </c>
      <c r="D1766" t="s">
        <v>9639</v>
      </c>
      <c r="E1766" t="s">
        <v>9836</v>
      </c>
      <c r="F1766" t="s">
        <v>9527</v>
      </c>
    </row>
    <row r="1767" spans="1:6">
      <c r="A1767" t="s">
        <v>9638</v>
      </c>
      <c r="B1767">
        <v>8737</v>
      </c>
      <c r="C1767" t="s">
        <v>9674</v>
      </c>
      <c r="D1767" t="s">
        <v>9639</v>
      </c>
      <c r="E1767" t="s">
        <v>9836</v>
      </c>
      <c r="F1767" t="s">
        <v>9527</v>
      </c>
    </row>
    <row r="1768" spans="1:6">
      <c r="A1768" t="s">
        <v>9638</v>
      </c>
      <c r="B1768">
        <v>7917</v>
      </c>
      <c r="C1768" t="s">
        <v>9674</v>
      </c>
      <c r="D1768" t="s">
        <v>9639</v>
      </c>
      <c r="E1768" t="s">
        <v>9836</v>
      </c>
      <c r="F1768" t="s">
        <v>9527</v>
      </c>
    </row>
    <row r="1769" spans="1:6">
      <c r="A1769" t="s">
        <v>9638</v>
      </c>
      <c r="B1769">
        <v>7903</v>
      </c>
      <c r="C1769" t="s">
        <v>9674</v>
      </c>
      <c r="D1769" t="s">
        <v>9639</v>
      </c>
      <c r="E1769" t="s">
        <v>9836</v>
      </c>
      <c r="F1769" t="s">
        <v>9527</v>
      </c>
    </row>
    <row r="1770" spans="1:6">
      <c r="A1770" t="s">
        <v>9638</v>
      </c>
      <c r="B1770">
        <v>5455</v>
      </c>
      <c r="C1770" t="s">
        <v>9674</v>
      </c>
      <c r="D1770" t="s">
        <v>9639</v>
      </c>
      <c r="E1770" t="s">
        <v>9836</v>
      </c>
      <c r="F1770" t="s">
        <v>9527</v>
      </c>
    </row>
    <row r="1771" spans="1:6">
      <c r="A1771" t="s">
        <v>9638</v>
      </c>
      <c r="B1771">
        <v>5456</v>
      </c>
      <c r="C1771" t="s">
        <v>9674</v>
      </c>
      <c r="D1771" t="s">
        <v>9639</v>
      </c>
      <c r="E1771" t="s">
        <v>9836</v>
      </c>
      <c r="F1771" t="s">
        <v>9527</v>
      </c>
    </row>
    <row r="1772" spans="1:6">
      <c r="A1772" t="s">
        <v>9638</v>
      </c>
      <c r="B1772">
        <v>6391</v>
      </c>
      <c r="C1772" t="s">
        <v>9674</v>
      </c>
      <c r="D1772" t="s">
        <v>9639</v>
      </c>
      <c r="E1772" t="s">
        <v>9836</v>
      </c>
      <c r="F1772" t="s">
        <v>9527</v>
      </c>
    </row>
    <row r="1773" spans="1:6">
      <c r="A1773" t="s">
        <v>9638</v>
      </c>
      <c r="B1773">
        <v>7912</v>
      </c>
      <c r="C1773" t="s">
        <v>9674</v>
      </c>
      <c r="D1773" t="s">
        <v>9639</v>
      </c>
      <c r="E1773" t="s">
        <v>9836</v>
      </c>
      <c r="F1773" t="s">
        <v>9527</v>
      </c>
    </row>
    <row r="1774" spans="1:6">
      <c r="A1774" t="s">
        <v>9638</v>
      </c>
      <c r="B1774">
        <v>7913</v>
      </c>
      <c r="C1774" t="s">
        <v>9674</v>
      </c>
      <c r="D1774" t="s">
        <v>9639</v>
      </c>
      <c r="E1774" t="s">
        <v>9836</v>
      </c>
      <c r="F1774" t="s">
        <v>9527</v>
      </c>
    </row>
    <row r="1775" spans="1:6">
      <c r="A1775" t="s">
        <v>9638</v>
      </c>
      <c r="B1775">
        <v>7918</v>
      </c>
      <c r="C1775" t="s">
        <v>9674</v>
      </c>
      <c r="D1775" t="s">
        <v>9639</v>
      </c>
      <c r="E1775" t="s">
        <v>9836</v>
      </c>
      <c r="F1775" t="s">
        <v>9527</v>
      </c>
    </row>
    <row r="1776" spans="1:6">
      <c r="A1776" t="s">
        <v>9638</v>
      </c>
      <c r="B1776">
        <v>7919</v>
      </c>
      <c r="C1776" t="s">
        <v>9674</v>
      </c>
      <c r="D1776" t="s">
        <v>9639</v>
      </c>
      <c r="E1776" t="s">
        <v>9836</v>
      </c>
      <c r="F1776" t="s">
        <v>9527</v>
      </c>
    </row>
    <row r="1777" spans="1:6">
      <c r="A1777" t="s">
        <v>9638</v>
      </c>
      <c r="B1777">
        <v>8685</v>
      </c>
      <c r="C1777" t="s">
        <v>9674</v>
      </c>
      <c r="D1777" t="s">
        <v>9639</v>
      </c>
      <c r="E1777" t="s">
        <v>9836</v>
      </c>
      <c r="F1777" t="s">
        <v>9527</v>
      </c>
    </row>
    <row r="1778" spans="1:6">
      <c r="A1778" t="s">
        <v>9638</v>
      </c>
      <c r="B1778">
        <v>8686</v>
      </c>
      <c r="C1778" t="s">
        <v>9674</v>
      </c>
      <c r="D1778" t="s">
        <v>9639</v>
      </c>
      <c r="E1778" t="s">
        <v>9836</v>
      </c>
      <c r="F1778" t="s">
        <v>9527</v>
      </c>
    </row>
    <row r="1779" spans="1:6">
      <c r="A1779" t="s">
        <v>9638</v>
      </c>
      <c r="B1779">
        <v>8861</v>
      </c>
      <c r="C1779" t="s">
        <v>9674</v>
      </c>
      <c r="D1779" t="s">
        <v>9639</v>
      </c>
      <c r="E1779" t="s">
        <v>9836</v>
      </c>
      <c r="F1779" t="s">
        <v>9527</v>
      </c>
    </row>
    <row r="1780" spans="1:6">
      <c r="A1780" t="s">
        <v>9638</v>
      </c>
      <c r="B1780">
        <v>8862</v>
      </c>
      <c r="C1780" t="s">
        <v>9674</v>
      </c>
      <c r="D1780" t="s">
        <v>9639</v>
      </c>
      <c r="E1780" t="s">
        <v>9836</v>
      </c>
      <c r="F1780" t="s">
        <v>9527</v>
      </c>
    </row>
    <row r="1781" spans="1:6">
      <c r="A1781" t="s">
        <v>9638</v>
      </c>
      <c r="B1781">
        <v>8863</v>
      </c>
      <c r="C1781" t="s">
        <v>9674</v>
      </c>
      <c r="D1781" t="s">
        <v>9639</v>
      </c>
      <c r="E1781" t="s">
        <v>9836</v>
      </c>
      <c r="F1781" t="s">
        <v>9527</v>
      </c>
    </row>
    <row r="1782" spans="1:6">
      <c r="A1782" t="s">
        <v>9638</v>
      </c>
      <c r="B1782">
        <v>8683</v>
      </c>
      <c r="C1782" t="s">
        <v>9674</v>
      </c>
      <c r="D1782" t="s">
        <v>9639</v>
      </c>
      <c r="E1782" t="s">
        <v>9836</v>
      </c>
      <c r="F1782" t="s">
        <v>9527</v>
      </c>
    </row>
    <row r="1783" spans="1:6">
      <c r="A1783" t="s">
        <v>9638</v>
      </c>
      <c r="B1783">
        <v>8687</v>
      </c>
      <c r="C1783" t="s">
        <v>9674</v>
      </c>
      <c r="D1783" t="s">
        <v>9639</v>
      </c>
      <c r="E1783" t="s">
        <v>9836</v>
      </c>
      <c r="F1783" t="s">
        <v>9527</v>
      </c>
    </row>
    <row r="1784" spans="1:6">
      <c r="A1784" t="s">
        <v>9638</v>
      </c>
      <c r="B1784">
        <v>8870</v>
      </c>
      <c r="C1784" t="s">
        <v>9674</v>
      </c>
      <c r="D1784" t="s">
        <v>9639</v>
      </c>
      <c r="E1784" t="s">
        <v>9836</v>
      </c>
      <c r="F1784" t="s">
        <v>9527</v>
      </c>
    </row>
    <row r="1785" spans="1:6">
      <c r="A1785" t="s">
        <v>9638</v>
      </c>
      <c r="B1785">
        <v>8688</v>
      </c>
      <c r="C1785" t="s">
        <v>9674</v>
      </c>
      <c r="D1785" t="s">
        <v>9639</v>
      </c>
      <c r="E1785" t="s">
        <v>9836</v>
      </c>
      <c r="F1785" t="s">
        <v>9527</v>
      </c>
    </row>
    <row r="1786" spans="1:6">
      <c r="A1786" t="s">
        <v>9638</v>
      </c>
      <c r="B1786">
        <v>8855</v>
      </c>
      <c r="C1786" t="s">
        <v>9674</v>
      </c>
      <c r="D1786" t="s">
        <v>9639</v>
      </c>
      <c r="E1786" t="s">
        <v>9836</v>
      </c>
      <c r="F1786" t="s">
        <v>9527</v>
      </c>
    </row>
    <row r="1787" spans="1:6">
      <c r="A1787" t="s">
        <v>9638</v>
      </c>
      <c r="B1787">
        <v>8872</v>
      </c>
      <c r="C1787" t="s">
        <v>9674</v>
      </c>
      <c r="D1787" t="s">
        <v>9639</v>
      </c>
      <c r="E1787" t="s">
        <v>9836</v>
      </c>
      <c r="F1787" t="s">
        <v>9527</v>
      </c>
    </row>
    <row r="1788" spans="1:6">
      <c r="A1788" t="s">
        <v>9638</v>
      </c>
      <c r="B1788">
        <v>8874</v>
      </c>
      <c r="C1788" t="s">
        <v>9674</v>
      </c>
      <c r="D1788" t="s">
        <v>9639</v>
      </c>
      <c r="E1788" t="s">
        <v>9836</v>
      </c>
      <c r="F1788" t="s">
        <v>9527</v>
      </c>
    </row>
    <row r="1789" spans="1:6">
      <c r="A1789" t="s">
        <v>9638</v>
      </c>
      <c r="B1789">
        <v>6385</v>
      </c>
      <c r="C1789" t="s">
        <v>9674</v>
      </c>
      <c r="D1789" t="s">
        <v>9639</v>
      </c>
      <c r="E1789" t="s">
        <v>9836</v>
      </c>
      <c r="F1789" t="s">
        <v>9527</v>
      </c>
    </row>
    <row r="1790" spans="1:6">
      <c r="A1790" t="s">
        <v>9638</v>
      </c>
      <c r="B1790">
        <v>6386</v>
      </c>
      <c r="C1790" t="s">
        <v>9674</v>
      </c>
      <c r="D1790" t="s">
        <v>9639</v>
      </c>
      <c r="E1790" t="s">
        <v>9836</v>
      </c>
      <c r="F1790" t="s">
        <v>9527</v>
      </c>
    </row>
    <row r="1791" spans="1:6">
      <c r="A1791" t="s">
        <v>9638</v>
      </c>
      <c r="B1791">
        <v>6388</v>
      </c>
      <c r="C1791" t="s">
        <v>9674</v>
      </c>
      <c r="D1791" t="s">
        <v>9639</v>
      </c>
      <c r="E1791" t="s">
        <v>9836</v>
      </c>
      <c r="F1791" t="s">
        <v>9527</v>
      </c>
    </row>
    <row r="1792" spans="1:6">
      <c r="A1792" t="s">
        <v>9638</v>
      </c>
      <c r="B1792">
        <v>6389</v>
      </c>
      <c r="C1792" t="s">
        <v>9674</v>
      </c>
      <c r="D1792" t="s">
        <v>9639</v>
      </c>
      <c r="E1792" t="s">
        <v>9836</v>
      </c>
      <c r="F1792" t="s">
        <v>9527</v>
      </c>
    </row>
    <row r="1793" spans="1:6">
      <c r="A1793" t="s">
        <v>9638</v>
      </c>
      <c r="B1793">
        <v>6390</v>
      </c>
      <c r="C1793" t="s">
        <v>9674</v>
      </c>
      <c r="D1793" t="s">
        <v>9639</v>
      </c>
      <c r="E1793" t="s">
        <v>9836</v>
      </c>
      <c r="F1793" t="s">
        <v>9527</v>
      </c>
    </row>
    <row r="1794" spans="1:6">
      <c r="A1794" t="s">
        <v>9638</v>
      </c>
      <c r="B1794">
        <v>7321</v>
      </c>
      <c r="C1794" t="s">
        <v>9674</v>
      </c>
      <c r="D1794" t="s">
        <v>9639</v>
      </c>
      <c r="E1794" t="s">
        <v>9836</v>
      </c>
      <c r="F1794" t="s">
        <v>9527</v>
      </c>
    </row>
    <row r="1795" spans="1:6">
      <c r="A1795" t="s">
        <v>9638</v>
      </c>
      <c r="B1795">
        <v>7831</v>
      </c>
      <c r="C1795" t="s">
        <v>9674</v>
      </c>
      <c r="D1795" t="s">
        <v>9639</v>
      </c>
      <c r="E1795" t="s">
        <v>9836</v>
      </c>
      <c r="F1795" t="s">
        <v>9527</v>
      </c>
    </row>
    <row r="1796" spans="1:6">
      <c r="A1796" t="s">
        <v>9638</v>
      </c>
      <c r="B1796">
        <v>7832</v>
      </c>
      <c r="C1796" t="s">
        <v>9674</v>
      </c>
      <c r="D1796" t="s">
        <v>9639</v>
      </c>
      <c r="E1796" t="s">
        <v>9836</v>
      </c>
      <c r="F1796" t="s">
        <v>9527</v>
      </c>
    </row>
    <row r="1797" spans="1:6">
      <c r="A1797" t="s">
        <v>9638</v>
      </c>
      <c r="B1797">
        <v>7833</v>
      </c>
      <c r="C1797" t="s">
        <v>9674</v>
      </c>
      <c r="D1797" t="s">
        <v>9639</v>
      </c>
      <c r="E1797" t="s">
        <v>9836</v>
      </c>
      <c r="F1797" t="s">
        <v>9527</v>
      </c>
    </row>
    <row r="1798" spans="1:6">
      <c r="A1798" t="s">
        <v>9638</v>
      </c>
      <c r="B1798">
        <v>7834</v>
      </c>
      <c r="C1798" t="s">
        <v>9674</v>
      </c>
      <c r="D1798" t="s">
        <v>9639</v>
      </c>
      <c r="E1798" t="s">
        <v>9836</v>
      </c>
      <c r="F1798" t="s">
        <v>9527</v>
      </c>
    </row>
    <row r="1799" spans="1:6">
      <c r="A1799" t="s">
        <v>9638</v>
      </c>
      <c r="B1799">
        <v>8722</v>
      </c>
      <c r="C1799" t="s">
        <v>9674</v>
      </c>
      <c r="D1799" t="s">
        <v>9639</v>
      </c>
      <c r="E1799" t="s">
        <v>9836</v>
      </c>
      <c r="F1799" t="s">
        <v>9527</v>
      </c>
    </row>
    <row r="1800" spans="1:6">
      <c r="A1800" t="s">
        <v>9638</v>
      </c>
      <c r="B1800">
        <v>8733</v>
      </c>
      <c r="C1800" t="s">
        <v>9674</v>
      </c>
      <c r="D1800" t="s">
        <v>9639</v>
      </c>
      <c r="E1800" t="s">
        <v>9836</v>
      </c>
      <c r="F1800" t="s">
        <v>9527</v>
      </c>
    </row>
    <row r="1801" spans="1:6">
      <c r="A1801" t="s">
        <v>9638</v>
      </c>
      <c r="B1801">
        <v>8752</v>
      </c>
      <c r="C1801" t="s">
        <v>9674</v>
      </c>
      <c r="D1801" t="s">
        <v>9639</v>
      </c>
      <c r="E1801" t="s">
        <v>9836</v>
      </c>
      <c r="F1801" t="s">
        <v>9527</v>
      </c>
    </row>
    <row r="1802" spans="1:6">
      <c r="A1802" t="s">
        <v>9638</v>
      </c>
      <c r="B1802">
        <v>6205</v>
      </c>
      <c r="C1802" t="s">
        <v>9674</v>
      </c>
      <c r="D1802" t="s">
        <v>9639</v>
      </c>
      <c r="E1802" t="s">
        <v>9836</v>
      </c>
      <c r="F1802" t="s">
        <v>9527</v>
      </c>
    </row>
    <row r="1803" spans="1:6">
      <c r="A1803" t="s">
        <v>9638</v>
      </c>
      <c r="B1803">
        <v>7163</v>
      </c>
      <c r="C1803" t="s">
        <v>9674</v>
      </c>
      <c r="D1803" t="s">
        <v>9639</v>
      </c>
      <c r="E1803" t="s">
        <v>9836</v>
      </c>
      <c r="F1803" t="s">
        <v>9527</v>
      </c>
    </row>
    <row r="1804" spans="1:6">
      <c r="A1804" t="s">
        <v>9638</v>
      </c>
      <c r="B1804">
        <v>8877</v>
      </c>
      <c r="C1804" t="s">
        <v>9674</v>
      </c>
      <c r="D1804" t="s">
        <v>9639</v>
      </c>
      <c r="E1804" t="s">
        <v>9836</v>
      </c>
      <c r="F1804" t="s">
        <v>9527</v>
      </c>
    </row>
    <row r="1805" spans="1:6">
      <c r="A1805" t="s">
        <v>9638</v>
      </c>
      <c r="B1805">
        <v>7164</v>
      </c>
      <c r="C1805" t="s">
        <v>9674</v>
      </c>
      <c r="D1805" t="s">
        <v>9639</v>
      </c>
      <c r="E1805" t="s">
        <v>9836</v>
      </c>
      <c r="F1805" t="s">
        <v>9527</v>
      </c>
    </row>
    <row r="1806" spans="1:6">
      <c r="A1806" t="s">
        <v>9638</v>
      </c>
      <c r="B1806">
        <v>8865</v>
      </c>
      <c r="C1806" t="s">
        <v>9674</v>
      </c>
      <c r="D1806" t="s">
        <v>9639</v>
      </c>
      <c r="E1806" t="s">
        <v>9836</v>
      </c>
      <c r="F1806" t="s">
        <v>9527</v>
      </c>
    </row>
    <row r="1807" spans="1:6">
      <c r="A1807" t="s">
        <v>9638</v>
      </c>
      <c r="B1807">
        <v>8866</v>
      </c>
      <c r="C1807" t="s">
        <v>9674</v>
      </c>
      <c r="D1807" t="s">
        <v>9639</v>
      </c>
      <c r="E1807" t="s">
        <v>9836</v>
      </c>
      <c r="F1807" t="s">
        <v>9527</v>
      </c>
    </row>
    <row r="1808" spans="1:6">
      <c r="A1808" t="s">
        <v>9638</v>
      </c>
      <c r="B1808">
        <v>8864</v>
      </c>
      <c r="C1808" t="s">
        <v>9674</v>
      </c>
      <c r="D1808" t="s">
        <v>9639</v>
      </c>
      <c r="E1808" t="s">
        <v>9836</v>
      </c>
      <c r="F1808" t="s">
        <v>9527</v>
      </c>
    </row>
    <row r="1809" spans="1:6">
      <c r="A1809" t="s">
        <v>9638</v>
      </c>
      <c r="B1809">
        <v>7141</v>
      </c>
      <c r="C1809" t="s">
        <v>9674</v>
      </c>
      <c r="D1809" t="s">
        <v>9639</v>
      </c>
      <c r="E1809" t="s">
        <v>9836</v>
      </c>
      <c r="F1809" t="s">
        <v>9527</v>
      </c>
    </row>
    <row r="1810" spans="1:6">
      <c r="A1810" t="s">
        <v>9638</v>
      </c>
      <c r="B1810">
        <v>7143</v>
      </c>
      <c r="C1810" t="s">
        <v>9674</v>
      </c>
      <c r="D1810" t="s">
        <v>9639</v>
      </c>
      <c r="E1810" t="s">
        <v>9836</v>
      </c>
      <c r="F1810" t="s">
        <v>9527</v>
      </c>
    </row>
    <row r="1811" spans="1:6">
      <c r="A1811" t="s">
        <v>9638</v>
      </c>
      <c r="B1811">
        <v>7145</v>
      </c>
      <c r="C1811" t="s">
        <v>9674</v>
      </c>
      <c r="D1811" t="s">
        <v>9639</v>
      </c>
      <c r="E1811" t="s">
        <v>9836</v>
      </c>
      <c r="F1811" t="s">
        <v>9527</v>
      </c>
    </row>
    <row r="1812" spans="1:6">
      <c r="A1812" t="s">
        <v>9638</v>
      </c>
      <c r="B1812">
        <v>7147</v>
      </c>
      <c r="C1812" t="s">
        <v>9674</v>
      </c>
      <c r="D1812" t="s">
        <v>9639</v>
      </c>
      <c r="E1812" t="s">
        <v>9836</v>
      </c>
      <c r="F1812" t="s">
        <v>9527</v>
      </c>
    </row>
    <row r="1813" spans="1:6">
      <c r="A1813" t="s">
        <v>9638</v>
      </c>
      <c r="B1813">
        <v>3837</v>
      </c>
      <c r="C1813" t="s">
        <v>9674</v>
      </c>
      <c r="D1813" t="s">
        <v>9639</v>
      </c>
      <c r="E1813" t="s">
        <v>9836</v>
      </c>
      <c r="F1813" t="s">
        <v>9527</v>
      </c>
    </row>
    <row r="1814" spans="1:6">
      <c r="A1814" t="s">
        <v>9638</v>
      </c>
      <c r="B1814">
        <v>8878</v>
      </c>
      <c r="C1814" t="s">
        <v>9674</v>
      </c>
      <c r="D1814" t="s">
        <v>9639</v>
      </c>
      <c r="E1814" t="s">
        <v>9836</v>
      </c>
      <c r="F1814" t="s">
        <v>9527</v>
      </c>
    </row>
    <row r="1815" spans="1:6">
      <c r="A1815" t="s">
        <v>9638</v>
      </c>
      <c r="B1815">
        <v>8879</v>
      </c>
      <c r="C1815" t="s">
        <v>9674</v>
      </c>
      <c r="D1815" t="s">
        <v>9639</v>
      </c>
      <c r="E1815" t="s">
        <v>9836</v>
      </c>
      <c r="F1815" t="s">
        <v>9527</v>
      </c>
    </row>
    <row r="1816" spans="1:6">
      <c r="A1816" t="s">
        <v>9638</v>
      </c>
      <c r="B1816">
        <v>7233</v>
      </c>
      <c r="C1816" t="s">
        <v>9674</v>
      </c>
      <c r="D1816" t="s">
        <v>9639</v>
      </c>
      <c r="E1816" t="s">
        <v>9836</v>
      </c>
      <c r="F1816" t="s">
        <v>9527</v>
      </c>
    </row>
    <row r="1817" spans="1:6">
      <c r="A1817" t="s">
        <v>9638</v>
      </c>
      <c r="B1817">
        <v>5464</v>
      </c>
      <c r="C1817" t="s">
        <v>9674</v>
      </c>
      <c r="D1817" t="s">
        <v>9639</v>
      </c>
      <c r="E1817" t="s">
        <v>9836</v>
      </c>
      <c r="F1817" t="s">
        <v>9527</v>
      </c>
    </row>
    <row r="1818" spans="1:6">
      <c r="A1818" t="s">
        <v>9638</v>
      </c>
      <c r="B1818">
        <v>9532</v>
      </c>
      <c r="C1818" t="s">
        <v>9674</v>
      </c>
      <c r="D1818" t="s">
        <v>9639</v>
      </c>
      <c r="E1818" t="s">
        <v>9836</v>
      </c>
      <c r="F1818" t="s">
        <v>9527</v>
      </c>
    </row>
    <row r="1819" spans="1:6">
      <c r="A1819" t="s">
        <v>9638</v>
      </c>
      <c r="B1819">
        <v>5465</v>
      </c>
      <c r="C1819" t="s">
        <v>9674</v>
      </c>
      <c r="D1819" t="s">
        <v>9639</v>
      </c>
      <c r="E1819" t="s">
        <v>9836</v>
      </c>
      <c r="F1819" t="s">
        <v>9527</v>
      </c>
    </row>
    <row r="1820" spans="1:6">
      <c r="A1820" t="s">
        <v>9638</v>
      </c>
      <c r="B1820">
        <v>5456</v>
      </c>
      <c r="C1820" t="s">
        <v>9674</v>
      </c>
      <c r="D1820" t="s">
        <v>9639</v>
      </c>
      <c r="E1820" t="s">
        <v>9836</v>
      </c>
      <c r="F1820" t="s">
        <v>9527</v>
      </c>
    </row>
    <row r="1821" spans="1:6">
      <c r="A1821" t="s">
        <v>9638</v>
      </c>
      <c r="B1821">
        <v>7148</v>
      </c>
      <c r="C1821" t="s">
        <v>9674</v>
      </c>
      <c r="D1821" t="s">
        <v>9639</v>
      </c>
      <c r="E1821" t="s">
        <v>9836</v>
      </c>
      <c r="F1821" t="s">
        <v>9527</v>
      </c>
    </row>
    <row r="1822" spans="1:6">
      <c r="A1822" t="s">
        <v>9638</v>
      </c>
      <c r="B1822">
        <v>7385</v>
      </c>
      <c r="C1822" t="s">
        <v>9674</v>
      </c>
      <c r="D1822" t="s">
        <v>9639</v>
      </c>
      <c r="E1822" t="s">
        <v>9836</v>
      </c>
      <c r="F1822" t="s">
        <v>9527</v>
      </c>
    </row>
    <row r="1823" spans="1:6">
      <c r="A1823" t="s">
        <v>9638</v>
      </c>
      <c r="B1823">
        <v>7162</v>
      </c>
      <c r="C1823" t="s">
        <v>9674</v>
      </c>
      <c r="D1823" t="s">
        <v>9639</v>
      </c>
      <c r="E1823" t="s">
        <v>9836</v>
      </c>
      <c r="F1823" t="s">
        <v>9527</v>
      </c>
    </row>
    <row r="1824" spans="1:6">
      <c r="A1824" t="s">
        <v>9638</v>
      </c>
      <c r="B1824">
        <v>6241</v>
      </c>
      <c r="C1824" t="s">
        <v>9674</v>
      </c>
      <c r="D1824" t="s">
        <v>9639</v>
      </c>
      <c r="E1824" t="s">
        <v>9836</v>
      </c>
      <c r="F1824" t="s">
        <v>9527</v>
      </c>
    </row>
    <row r="1825" spans="1:6">
      <c r="A1825" t="s">
        <v>9638</v>
      </c>
      <c r="B1825">
        <v>8835</v>
      </c>
      <c r="C1825" t="s">
        <v>9674</v>
      </c>
      <c r="D1825" t="s">
        <v>9641</v>
      </c>
      <c r="E1825" t="s">
        <v>9800</v>
      </c>
      <c r="F1825" t="s">
        <v>9527</v>
      </c>
    </row>
    <row r="1826" spans="1:6">
      <c r="A1826" t="s">
        <v>9638</v>
      </c>
      <c r="B1826">
        <v>8848</v>
      </c>
      <c r="C1826" t="s">
        <v>9674</v>
      </c>
      <c r="D1826" t="s">
        <v>9641</v>
      </c>
      <c r="E1826" t="s">
        <v>9800</v>
      </c>
      <c r="F1826" t="s">
        <v>9527</v>
      </c>
    </row>
    <row r="1827" spans="1:6">
      <c r="A1827" t="s">
        <v>9638</v>
      </c>
      <c r="B1827">
        <v>7992</v>
      </c>
      <c r="C1827" t="s">
        <v>9674</v>
      </c>
      <c r="D1827" t="s">
        <v>9641</v>
      </c>
      <c r="E1827" t="s">
        <v>9800</v>
      </c>
      <c r="F1827" t="s">
        <v>9527</v>
      </c>
    </row>
    <row r="1828" spans="1:6">
      <c r="A1828" t="s">
        <v>9638</v>
      </c>
      <c r="B1828">
        <v>8830</v>
      </c>
      <c r="C1828" t="s">
        <v>9674</v>
      </c>
      <c r="D1828" t="s">
        <v>9641</v>
      </c>
      <c r="E1828" t="s">
        <v>9800</v>
      </c>
      <c r="F1828" t="s">
        <v>9527</v>
      </c>
    </row>
    <row r="1829" spans="1:6">
      <c r="A1829" t="s">
        <v>9638</v>
      </c>
      <c r="B1829">
        <v>8837</v>
      </c>
      <c r="C1829" t="s">
        <v>9674</v>
      </c>
      <c r="D1829" t="s">
        <v>9641</v>
      </c>
      <c r="E1829" t="s">
        <v>9800</v>
      </c>
      <c r="F1829" t="s">
        <v>9527</v>
      </c>
    </row>
    <row r="1830" spans="1:6">
      <c r="A1830" t="s">
        <v>9638</v>
      </c>
      <c r="B1830">
        <v>8827</v>
      </c>
      <c r="C1830" t="s">
        <v>9674</v>
      </c>
      <c r="D1830" t="s">
        <v>9641</v>
      </c>
      <c r="E1830" t="s">
        <v>9800</v>
      </c>
      <c r="F1830" t="s">
        <v>9527</v>
      </c>
    </row>
    <row r="1831" spans="1:6">
      <c r="A1831" t="s">
        <v>9638</v>
      </c>
      <c r="B1831">
        <v>8670</v>
      </c>
      <c r="C1831" t="s">
        <v>9674</v>
      </c>
      <c r="D1831" t="s">
        <v>9641</v>
      </c>
      <c r="E1831" t="s">
        <v>9800</v>
      </c>
      <c r="F1831" t="s">
        <v>9527</v>
      </c>
    </row>
    <row r="1832" spans="1:6">
      <c r="A1832" t="s">
        <v>9638</v>
      </c>
      <c r="B1832">
        <v>7977</v>
      </c>
      <c r="C1832" t="s">
        <v>9674</v>
      </c>
      <c r="D1832" t="s">
        <v>9641</v>
      </c>
      <c r="E1832" t="s">
        <v>9800</v>
      </c>
      <c r="F1832" t="s">
        <v>9527</v>
      </c>
    </row>
    <row r="1833" spans="1:6">
      <c r="A1833" t="s">
        <v>9638</v>
      </c>
      <c r="B1833">
        <v>7839</v>
      </c>
      <c r="C1833" t="s">
        <v>9674</v>
      </c>
      <c r="D1833" t="s">
        <v>9641</v>
      </c>
      <c r="E1833" t="s">
        <v>9800</v>
      </c>
      <c r="F1833" t="s">
        <v>9527</v>
      </c>
    </row>
    <row r="1834" spans="1:6">
      <c r="A1834" t="s">
        <v>9638</v>
      </c>
      <c r="B1834">
        <v>7380</v>
      </c>
      <c r="C1834" t="s">
        <v>9674</v>
      </c>
      <c r="D1834" t="s">
        <v>9641</v>
      </c>
      <c r="E1834" t="s">
        <v>9800</v>
      </c>
      <c r="F1834" t="s">
        <v>9527</v>
      </c>
    </row>
    <row r="1835" spans="1:6">
      <c r="A1835" t="s">
        <v>9638</v>
      </c>
      <c r="B1835">
        <v>7383</v>
      </c>
      <c r="C1835" t="s">
        <v>9674</v>
      </c>
      <c r="D1835" t="s">
        <v>9641</v>
      </c>
      <c r="E1835" t="s">
        <v>9800</v>
      </c>
      <c r="F1835" t="s">
        <v>9527</v>
      </c>
    </row>
    <row r="1836" spans="1:6">
      <c r="A1836" t="s">
        <v>9638</v>
      </c>
      <c r="B1836">
        <v>7160</v>
      </c>
      <c r="C1836" t="s">
        <v>9674</v>
      </c>
      <c r="D1836" t="s">
        <v>9641</v>
      </c>
      <c r="E1836" t="s">
        <v>9800</v>
      </c>
      <c r="F1836" t="s">
        <v>9527</v>
      </c>
    </row>
    <row r="1837" spans="1:6">
      <c r="A1837" t="s">
        <v>9638</v>
      </c>
      <c r="B1837">
        <v>7946</v>
      </c>
      <c r="C1837" t="s">
        <v>9674</v>
      </c>
      <c r="D1837" t="s">
        <v>9641</v>
      </c>
      <c r="E1837" t="s">
        <v>9800</v>
      </c>
      <c r="F1837" t="s">
        <v>9527</v>
      </c>
    </row>
    <row r="1838" spans="1:6">
      <c r="A1838" t="s">
        <v>9638</v>
      </c>
      <c r="B1838">
        <v>7978</v>
      </c>
      <c r="C1838" t="s">
        <v>9674</v>
      </c>
      <c r="D1838" t="s">
        <v>9641</v>
      </c>
      <c r="E1838" t="s">
        <v>9800</v>
      </c>
      <c r="F1838" t="s">
        <v>9527</v>
      </c>
    </row>
    <row r="1839" spans="1:6">
      <c r="A1839" t="s">
        <v>9638</v>
      </c>
      <c r="B1839">
        <v>7944</v>
      </c>
      <c r="C1839" t="s">
        <v>9674</v>
      </c>
      <c r="D1839" t="s">
        <v>9641</v>
      </c>
      <c r="E1839" t="s">
        <v>9800</v>
      </c>
      <c r="F1839" t="s">
        <v>9527</v>
      </c>
    </row>
    <row r="1840" spans="1:6">
      <c r="A1840" t="s">
        <v>9638</v>
      </c>
      <c r="B1840">
        <v>7914</v>
      </c>
      <c r="C1840" t="s">
        <v>9674</v>
      </c>
      <c r="D1840" t="s">
        <v>9641</v>
      </c>
      <c r="E1840" t="s">
        <v>9800</v>
      </c>
      <c r="F1840" t="s">
        <v>9527</v>
      </c>
    </row>
    <row r="1841" spans="1:6">
      <c r="A1841" t="s">
        <v>9638</v>
      </c>
      <c r="B1841">
        <v>7942</v>
      </c>
      <c r="C1841" t="s">
        <v>9674</v>
      </c>
      <c r="D1841" t="s">
        <v>9641</v>
      </c>
      <c r="E1841" t="s">
        <v>9800</v>
      </c>
      <c r="F1841" t="s">
        <v>9527</v>
      </c>
    </row>
    <row r="1842" spans="1:6">
      <c r="A1842" t="s">
        <v>9638</v>
      </c>
      <c r="B1842">
        <v>7376</v>
      </c>
      <c r="C1842" t="s">
        <v>9674</v>
      </c>
      <c r="D1842" t="s">
        <v>9641</v>
      </c>
      <c r="E1842" t="s">
        <v>9800</v>
      </c>
      <c r="F1842" t="s">
        <v>9527</v>
      </c>
    </row>
    <row r="1843" spans="1:6">
      <c r="A1843" t="s">
        <v>9638</v>
      </c>
      <c r="B1843">
        <v>7377</v>
      </c>
      <c r="C1843" t="s">
        <v>9674</v>
      </c>
      <c r="D1843" t="s">
        <v>9641</v>
      </c>
      <c r="E1843" t="s">
        <v>9800</v>
      </c>
      <c r="F1843" t="s">
        <v>9527</v>
      </c>
    </row>
    <row r="1844" spans="1:6">
      <c r="A1844" t="s">
        <v>9638</v>
      </c>
      <c r="B1844">
        <v>7158</v>
      </c>
      <c r="C1844" t="s">
        <v>9674</v>
      </c>
      <c r="D1844" t="s">
        <v>9641</v>
      </c>
      <c r="E1844" t="s">
        <v>9800</v>
      </c>
      <c r="F1844" t="s">
        <v>9527</v>
      </c>
    </row>
    <row r="1845" spans="1:6">
      <c r="A1845" t="s">
        <v>9638</v>
      </c>
      <c r="B1845">
        <v>7979</v>
      </c>
      <c r="C1845" t="s">
        <v>9674</v>
      </c>
      <c r="D1845" t="s">
        <v>9641</v>
      </c>
      <c r="E1845" t="s">
        <v>9800</v>
      </c>
      <c r="F1845" t="s">
        <v>9527</v>
      </c>
    </row>
    <row r="1846" spans="1:6">
      <c r="A1846" t="s">
        <v>9638</v>
      </c>
      <c r="B1846">
        <v>7947</v>
      </c>
      <c r="C1846" t="s">
        <v>9674</v>
      </c>
      <c r="D1846" t="s">
        <v>9641</v>
      </c>
      <c r="E1846" t="s">
        <v>9800</v>
      </c>
      <c r="F1846" t="s">
        <v>9527</v>
      </c>
    </row>
    <row r="1847" spans="1:6">
      <c r="A1847" t="s">
        <v>9638</v>
      </c>
      <c r="B1847">
        <v>5454</v>
      </c>
      <c r="C1847" t="s">
        <v>9674</v>
      </c>
      <c r="D1847" t="s">
        <v>9641</v>
      </c>
      <c r="E1847" t="s">
        <v>9800</v>
      </c>
      <c r="F1847" t="s">
        <v>9527</v>
      </c>
    </row>
    <row r="1848" spans="1:6">
      <c r="A1848" t="s">
        <v>9638</v>
      </c>
      <c r="B1848">
        <v>7945</v>
      </c>
      <c r="C1848" t="s">
        <v>9674</v>
      </c>
      <c r="D1848" t="s">
        <v>9641</v>
      </c>
      <c r="E1848" t="s">
        <v>9800</v>
      </c>
      <c r="F1848" t="s">
        <v>9527</v>
      </c>
    </row>
    <row r="1849" spans="1:6">
      <c r="A1849" t="s">
        <v>9638</v>
      </c>
      <c r="B1849">
        <v>7949</v>
      </c>
      <c r="C1849" t="s">
        <v>9674</v>
      </c>
      <c r="D1849" t="s">
        <v>9641</v>
      </c>
      <c r="E1849" t="s">
        <v>9800</v>
      </c>
      <c r="F1849" t="s">
        <v>9527</v>
      </c>
    </row>
    <row r="1850" spans="1:6">
      <c r="A1850" t="s">
        <v>9638</v>
      </c>
      <c r="B1850">
        <v>5460</v>
      </c>
      <c r="C1850" t="s">
        <v>9674</v>
      </c>
      <c r="D1850" t="s">
        <v>9641</v>
      </c>
      <c r="E1850" t="s">
        <v>9800</v>
      </c>
      <c r="F1850" t="s">
        <v>9527</v>
      </c>
    </row>
    <row r="1851" spans="1:6">
      <c r="A1851" t="s">
        <v>9638</v>
      </c>
      <c r="B1851">
        <v>5466</v>
      </c>
      <c r="C1851" t="s">
        <v>9674</v>
      </c>
      <c r="D1851" t="s">
        <v>9641</v>
      </c>
      <c r="E1851" t="s">
        <v>9800</v>
      </c>
      <c r="F1851" t="s">
        <v>9527</v>
      </c>
    </row>
    <row r="1852" spans="1:6">
      <c r="A1852" t="s">
        <v>9638</v>
      </c>
      <c r="B1852">
        <v>7915</v>
      </c>
      <c r="C1852" t="s">
        <v>9674</v>
      </c>
      <c r="D1852" t="s">
        <v>9641</v>
      </c>
      <c r="E1852" t="s">
        <v>9800</v>
      </c>
      <c r="F1852" t="s">
        <v>9527</v>
      </c>
    </row>
    <row r="1853" spans="1:6">
      <c r="A1853" t="s">
        <v>9638</v>
      </c>
      <c r="B1853">
        <v>7980</v>
      </c>
      <c r="C1853" t="s">
        <v>9674</v>
      </c>
      <c r="D1853" t="s">
        <v>9641</v>
      </c>
      <c r="E1853" t="s">
        <v>9800</v>
      </c>
      <c r="F1853" t="s">
        <v>9527</v>
      </c>
    </row>
    <row r="1854" spans="1:6">
      <c r="A1854" t="s">
        <v>9638</v>
      </c>
      <c r="B1854">
        <v>6630</v>
      </c>
      <c r="C1854" t="s">
        <v>9674</v>
      </c>
      <c r="D1854" t="s">
        <v>9641</v>
      </c>
      <c r="E1854" t="s">
        <v>9800</v>
      </c>
      <c r="F1854" t="s">
        <v>9527</v>
      </c>
    </row>
    <row r="1855" spans="1:6">
      <c r="A1855" t="s">
        <v>9638</v>
      </c>
      <c r="B1855">
        <v>7943</v>
      </c>
      <c r="C1855" t="s">
        <v>9674</v>
      </c>
      <c r="D1855" t="s">
        <v>9641</v>
      </c>
      <c r="E1855" t="s">
        <v>9800</v>
      </c>
      <c r="F1855" t="s">
        <v>9527</v>
      </c>
    </row>
    <row r="1856" spans="1:6">
      <c r="A1856" t="s">
        <v>9638</v>
      </c>
      <c r="B1856">
        <v>7985</v>
      </c>
      <c r="C1856" t="s">
        <v>9674</v>
      </c>
      <c r="D1856" t="s">
        <v>9641</v>
      </c>
      <c r="E1856" t="s">
        <v>9800</v>
      </c>
      <c r="F1856" t="s">
        <v>9527</v>
      </c>
    </row>
    <row r="1857" spans="1:6">
      <c r="A1857" t="s">
        <v>9638</v>
      </c>
      <c r="B1857">
        <v>5462</v>
      </c>
      <c r="C1857" t="s">
        <v>9674</v>
      </c>
      <c r="D1857" t="s">
        <v>9641</v>
      </c>
      <c r="E1857" t="s">
        <v>9800</v>
      </c>
      <c r="F1857" t="s">
        <v>9527</v>
      </c>
    </row>
    <row r="1858" spans="1:6">
      <c r="A1858" t="s">
        <v>9638</v>
      </c>
      <c r="B1858">
        <v>5463</v>
      </c>
      <c r="C1858" t="s">
        <v>9674</v>
      </c>
      <c r="D1858" t="s">
        <v>9641</v>
      </c>
      <c r="E1858" t="s">
        <v>9800</v>
      </c>
      <c r="F1858" t="s">
        <v>9527</v>
      </c>
    </row>
    <row r="1859" spans="1:6">
      <c r="A1859" t="s">
        <v>9638</v>
      </c>
      <c r="B1859">
        <v>5495</v>
      </c>
      <c r="C1859" t="s">
        <v>9674</v>
      </c>
      <c r="D1859" t="s">
        <v>9641</v>
      </c>
      <c r="E1859" t="s">
        <v>9800</v>
      </c>
      <c r="F1859" t="s">
        <v>9527</v>
      </c>
    </row>
    <row r="1860" spans="1:6">
      <c r="A1860" t="s">
        <v>9638</v>
      </c>
      <c r="B1860">
        <v>9307</v>
      </c>
      <c r="C1860" t="s">
        <v>9674</v>
      </c>
      <c r="D1860" t="s">
        <v>9641</v>
      </c>
      <c r="E1860" t="s">
        <v>9800</v>
      </c>
      <c r="F1860" t="s">
        <v>9527</v>
      </c>
    </row>
    <row r="1861" spans="1:6">
      <c r="A1861" t="s">
        <v>9638</v>
      </c>
      <c r="B1861">
        <v>9306</v>
      </c>
      <c r="C1861" t="s">
        <v>9674</v>
      </c>
      <c r="D1861" t="s">
        <v>9641</v>
      </c>
      <c r="E1861" t="s">
        <v>9800</v>
      </c>
      <c r="F1861" t="s">
        <v>9527</v>
      </c>
    </row>
    <row r="1862" spans="1:6">
      <c r="A1862" t="s">
        <v>9638</v>
      </c>
      <c r="B1862">
        <v>8655</v>
      </c>
      <c r="C1862" t="s">
        <v>9674</v>
      </c>
      <c r="D1862" t="s">
        <v>9643</v>
      </c>
      <c r="E1862" t="s">
        <v>9837</v>
      </c>
      <c r="F1862" t="s">
        <v>9527</v>
      </c>
    </row>
    <row r="1863" spans="1:6">
      <c r="A1863" t="s">
        <v>9638</v>
      </c>
      <c r="B1863">
        <v>8836</v>
      </c>
      <c r="C1863" t="s">
        <v>9674</v>
      </c>
      <c r="D1863" t="s">
        <v>9643</v>
      </c>
      <c r="E1863" t="s">
        <v>9837</v>
      </c>
      <c r="F1863" t="s">
        <v>9527</v>
      </c>
    </row>
    <row r="1864" spans="1:6">
      <c r="A1864" t="s">
        <v>9638</v>
      </c>
      <c r="B1864">
        <v>8486</v>
      </c>
      <c r="C1864" t="s">
        <v>9674</v>
      </c>
      <c r="D1864" t="s">
        <v>9643</v>
      </c>
      <c r="E1864" t="s">
        <v>9837</v>
      </c>
      <c r="F1864" t="s">
        <v>9527</v>
      </c>
    </row>
    <row r="1865" spans="1:6">
      <c r="A1865" t="s">
        <v>9638</v>
      </c>
      <c r="B1865">
        <v>8478</v>
      </c>
      <c r="C1865" t="s">
        <v>9674</v>
      </c>
      <c r="D1865" t="s">
        <v>9643</v>
      </c>
      <c r="E1865" t="s">
        <v>9837</v>
      </c>
      <c r="F1865" t="s">
        <v>9527</v>
      </c>
    </row>
    <row r="1866" spans="1:6">
      <c r="A1866" t="s">
        <v>9638</v>
      </c>
      <c r="B1866">
        <v>8479</v>
      </c>
      <c r="C1866" t="s">
        <v>9674</v>
      </c>
      <c r="D1866" t="s">
        <v>9643</v>
      </c>
      <c r="E1866" t="s">
        <v>9837</v>
      </c>
      <c r="F1866" t="s">
        <v>9527</v>
      </c>
    </row>
    <row r="1867" spans="1:6">
      <c r="A1867" t="s">
        <v>9638</v>
      </c>
      <c r="B1867">
        <v>8480</v>
      </c>
      <c r="C1867" t="s">
        <v>9674</v>
      </c>
      <c r="D1867" t="s">
        <v>9643</v>
      </c>
      <c r="E1867" t="s">
        <v>9837</v>
      </c>
      <c r="F1867" t="s">
        <v>9527</v>
      </c>
    </row>
    <row r="1868" spans="1:6">
      <c r="A1868" t="s">
        <v>9638</v>
      </c>
      <c r="B1868">
        <v>8482</v>
      </c>
      <c r="C1868" t="s">
        <v>9674</v>
      </c>
      <c r="D1868" t="s">
        <v>9643</v>
      </c>
      <c r="E1868" t="s">
        <v>9837</v>
      </c>
      <c r="F1868" t="s">
        <v>9527</v>
      </c>
    </row>
    <row r="1869" spans="1:6">
      <c r="A1869" t="s">
        <v>9638</v>
      </c>
      <c r="B1869">
        <v>8487</v>
      </c>
      <c r="C1869" t="s">
        <v>9674</v>
      </c>
      <c r="D1869" t="s">
        <v>9643</v>
      </c>
      <c r="E1869" t="s">
        <v>9837</v>
      </c>
      <c r="F1869" t="s">
        <v>9527</v>
      </c>
    </row>
    <row r="1870" spans="1:6">
      <c r="A1870" t="s">
        <v>9638</v>
      </c>
      <c r="B1870">
        <v>8485</v>
      </c>
      <c r="C1870" t="s">
        <v>9674</v>
      </c>
      <c r="D1870" t="s">
        <v>9643</v>
      </c>
      <c r="E1870" t="s">
        <v>9837</v>
      </c>
      <c r="F1870" t="s">
        <v>9527</v>
      </c>
    </row>
    <row r="1871" spans="1:6">
      <c r="A1871" t="s">
        <v>9638</v>
      </c>
      <c r="B1871">
        <v>8490</v>
      </c>
      <c r="C1871" t="s">
        <v>9674</v>
      </c>
      <c r="D1871" t="s">
        <v>9643</v>
      </c>
      <c r="E1871" t="s">
        <v>9837</v>
      </c>
      <c r="F1871" t="s">
        <v>9527</v>
      </c>
    </row>
    <row r="1872" spans="1:6">
      <c r="A1872" t="s">
        <v>9638</v>
      </c>
      <c r="B1872">
        <v>8645</v>
      </c>
      <c r="C1872" t="s">
        <v>9674</v>
      </c>
      <c r="D1872" t="s">
        <v>9643</v>
      </c>
      <c r="E1872" t="s">
        <v>9837</v>
      </c>
      <c r="F1872" t="s">
        <v>9527</v>
      </c>
    </row>
    <row r="1873" spans="1:6">
      <c r="A1873" t="s">
        <v>9638</v>
      </c>
      <c r="B1873">
        <v>8646</v>
      </c>
      <c r="C1873" t="s">
        <v>9674</v>
      </c>
      <c r="D1873" t="s">
        <v>9643</v>
      </c>
      <c r="E1873" t="s">
        <v>9837</v>
      </c>
      <c r="F1873" t="s">
        <v>9527</v>
      </c>
    </row>
    <row r="1874" spans="1:6">
      <c r="A1874" t="s">
        <v>9638</v>
      </c>
      <c r="B1874">
        <v>8647</v>
      </c>
      <c r="C1874" t="s">
        <v>9674</v>
      </c>
      <c r="D1874" t="s">
        <v>9643</v>
      </c>
      <c r="E1874" t="s">
        <v>9837</v>
      </c>
      <c r="F1874" t="s">
        <v>9527</v>
      </c>
    </row>
    <row r="1875" spans="1:6">
      <c r="A1875" t="s">
        <v>9638</v>
      </c>
      <c r="B1875">
        <v>8649</v>
      </c>
      <c r="C1875" t="s">
        <v>9674</v>
      </c>
      <c r="D1875" t="s">
        <v>9643</v>
      </c>
      <c r="E1875" t="s">
        <v>9837</v>
      </c>
      <c r="F1875" t="s">
        <v>9527</v>
      </c>
    </row>
    <row r="1876" spans="1:6">
      <c r="A1876" t="s">
        <v>9638</v>
      </c>
      <c r="B1876">
        <v>8488</v>
      </c>
      <c r="C1876" t="s">
        <v>9674</v>
      </c>
      <c r="D1876" t="s">
        <v>9643</v>
      </c>
      <c r="E1876" t="s">
        <v>9837</v>
      </c>
      <c r="F1876" t="s">
        <v>9527</v>
      </c>
    </row>
    <row r="1877" spans="1:6">
      <c r="A1877" t="s">
        <v>9638</v>
      </c>
      <c r="B1877">
        <v>8648</v>
      </c>
      <c r="C1877" t="s">
        <v>9674</v>
      </c>
      <c r="D1877" t="s">
        <v>9643</v>
      </c>
      <c r="E1877" t="s">
        <v>9837</v>
      </c>
      <c r="F1877" t="s">
        <v>9527</v>
      </c>
    </row>
    <row r="1878" spans="1:6">
      <c r="A1878" t="s">
        <v>9638</v>
      </c>
      <c r="B1878">
        <v>8671</v>
      </c>
      <c r="C1878" t="s">
        <v>9674</v>
      </c>
      <c r="D1878" t="s">
        <v>9643</v>
      </c>
      <c r="E1878" t="s">
        <v>9837</v>
      </c>
      <c r="F1878" t="s">
        <v>9527</v>
      </c>
    </row>
    <row r="1879" spans="1:6">
      <c r="A1879" t="s">
        <v>9638</v>
      </c>
      <c r="B1879">
        <v>8841</v>
      </c>
      <c r="C1879" t="s">
        <v>9674</v>
      </c>
      <c r="D1879" t="s">
        <v>9643</v>
      </c>
      <c r="E1879" t="s">
        <v>9837</v>
      </c>
      <c r="F1879" t="s">
        <v>9527</v>
      </c>
    </row>
    <row r="1880" spans="1:6">
      <c r="A1880" t="s">
        <v>9638</v>
      </c>
      <c r="B1880">
        <v>8672</v>
      </c>
      <c r="C1880" t="s">
        <v>9674</v>
      </c>
      <c r="D1880" t="s">
        <v>9643</v>
      </c>
      <c r="E1880" t="s">
        <v>9837</v>
      </c>
      <c r="F1880" t="s">
        <v>9527</v>
      </c>
    </row>
    <row r="1881" spans="1:6">
      <c r="A1881" t="s">
        <v>9638</v>
      </c>
      <c r="B1881">
        <v>8673</v>
      </c>
      <c r="C1881" t="s">
        <v>9674</v>
      </c>
      <c r="D1881" t="s">
        <v>9643</v>
      </c>
      <c r="E1881" t="s">
        <v>9837</v>
      </c>
      <c r="F1881" t="s">
        <v>9527</v>
      </c>
    </row>
    <row r="1882" spans="1:6">
      <c r="A1882" t="s">
        <v>9638</v>
      </c>
      <c r="B1882">
        <v>8489</v>
      </c>
      <c r="C1882" t="s">
        <v>9674</v>
      </c>
      <c r="D1882" t="s">
        <v>9643</v>
      </c>
      <c r="E1882" t="s">
        <v>9837</v>
      </c>
      <c r="F1882" t="s">
        <v>9527</v>
      </c>
    </row>
    <row r="1883" spans="1:6">
      <c r="A1883" t="s">
        <v>9638</v>
      </c>
      <c r="B1883">
        <v>8491</v>
      </c>
      <c r="C1883" t="s">
        <v>9674</v>
      </c>
      <c r="D1883" t="s">
        <v>9643</v>
      </c>
      <c r="E1883" t="s">
        <v>9837</v>
      </c>
      <c r="F1883" t="s">
        <v>9527</v>
      </c>
    </row>
    <row r="1884" spans="1:6">
      <c r="A1884" t="s">
        <v>9638</v>
      </c>
      <c r="B1884">
        <v>8849</v>
      </c>
      <c r="C1884" t="s">
        <v>9674</v>
      </c>
      <c r="D1884" t="s">
        <v>9643</v>
      </c>
      <c r="E1884" t="s">
        <v>9837</v>
      </c>
      <c r="F1884" t="s">
        <v>9527</v>
      </c>
    </row>
    <row r="1885" spans="1:6">
      <c r="A1885" t="s">
        <v>9638</v>
      </c>
      <c r="B1885">
        <v>7969</v>
      </c>
      <c r="C1885" t="s">
        <v>9674</v>
      </c>
      <c r="D1885" t="s">
        <v>9643</v>
      </c>
      <c r="E1885" t="s">
        <v>9837</v>
      </c>
      <c r="F1885" t="s">
        <v>9527</v>
      </c>
    </row>
    <row r="1886" spans="1:6">
      <c r="A1886" t="s">
        <v>9638</v>
      </c>
      <c r="B1886">
        <v>8654</v>
      </c>
      <c r="C1886" t="s">
        <v>9674</v>
      </c>
      <c r="D1886" t="s">
        <v>9643</v>
      </c>
      <c r="E1886" t="s">
        <v>9837</v>
      </c>
      <c r="F1886" t="s">
        <v>9527</v>
      </c>
    </row>
    <row r="1887" spans="1:6">
      <c r="A1887" t="s">
        <v>9638</v>
      </c>
      <c r="B1887">
        <v>8675</v>
      </c>
      <c r="C1887" t="s">
        <v>9674</v>
      </c>
      <c r="D1887" t="s">
        <v>9643</v>
      </c>
      <c r="E1887" t="s">
        <v>9837</v>
      </c>
      <c r="F1887" t="s">
        <v>9527</v>
      </c>
    </row>
    <row r="1888" spans="1:6">
      <c r="A1888" t="s">
        <v>9638</v>
      </c>
      <c r="B1888">
        <v>8847</v>
      </c>
      <c r="C1888" t="s">
        <v>9674</v>
      </c>
      <c r="D1888" t="s">
        <v>9643</v>
      </c>
      <c r="E1888" t="s">
        <v>9837</v>
      </c>
      <c r="F1888" t="s">
        <v>9527</v>
      </c>
    </row>
    <row r="1889" spans="1:6">
      <c r="A1889" t="s">
        <v>9638</v>
      </c>
      <c r="B1889">
        <v>8840</v>
      </c>
      <c r="C1889" t="s">
        <v>9674</v>
      </c>
      <c r="D1889" t="s">
        <v>9643</v>
      </c>
      <c r="E1889" t="s">
        <v>9837</v>
      </c>
      <c r="F1889" t="s">
        <v>9527</v>
      </c>
    </row>
    <row r="1890" spans="1:6">
      <c r="A1890" t="s">
        <v>9638</v>
      </c>
      <c r="B1890">
        <v>8834</v>
      </c>
      <c r="C1890" t="s">
        <v>9674</v>
      </c>
      <c r="D1890" t="s">
        <v>9643</v>
      </c>
      <c r="E1890" t="s">
        <v>9837</v>
      </c>
      <c r="F1890" t="s">
        <v>9527</v>
      </c>
    </row>
    <row r="1891" spans="1:6">
      <c r="A1891" t="s">
        <v>9638</v>
      </c>
      <c r="B1891">
        <v>4348</v>
      </c>
      <c r="C1891" t="s">
        <v>9674</v>
      </c>
      <c r="D1891" t="s">
        <v>9643</v>
      </c>
      <c r="E1891" t="s">
        <v>9837</v>
      </c>
      <c r="F1891" t="s">
        <v>9527</v>
      </c>
    </row>
    <row r="1892" spans="1:6">
      <c r="A1892" t="s">
        <v>9638</v>
      </c>
      <c r="B1892">
        <v>4253</v>
      </c>
      <c r="C1892" t="s">
        <v>9674</v>
      </c>
      <c r="D1892" t="s">
        <v>9643</v>
      </c>
      <c r="E1892" t="s">
        <v>9837</v>
      </c>
      <c r="F1892" t="s">
        <v>9527</v>
      </c>
    </row>
    <row r="1893" spans="1:6">
      <c r="A1893" t="s">
        <v>9638</v>
      </c>
      <c r="B1893">
        <v>2582</v>
      </c>
      <c r="C1893" t="s">
        <v>9674</v>
      </c>
      <c r="D1893" t="s">
        <v>9643</v>
      </c>
      <c r="E1893" t="s">
        <v>9837</v>
      </c>
      <c r="F1893" t="s">
        <v>9527</v>
      </c>
    </row>
    <row r="1894" spans="1:6">
      <c r="A1894" t="s">
        <v>9638</v>
      </c>
      <c r="B1894">
        <v>5457</v>
      </c>
      <c r="C1894" t="s">
        <v>9674</v>
      </c>
      <c r="D1894" t="s">
        <v>9643</v>
      </c>
      <c r="E1894" t="s">
        <v>9837</v>
      </c>
      <c r="F1894" t="s">
        <v>9527</v>
      </c>
    </row>
    <row r="1895" spans="1:6">
      <c r="A1895" t="s">
        <v>9638</v>
      </c>
      <c r="B1895">
        <v>4347</v>
      </c>
      <c r="C1895" t="s">
        <v>9674</v>
      </c>
      <c r="D1895" t="s">
        <v>9643</v>
      </c>
      <c r="E1895" t="s">
        <v>9837</v>
      </c>
      <c r="F1895" t="s">
        <v>9527</v>
      </c>
    </row>
    <row r="1896" spans="1:6">
      <c r="A1896" t="s">
        <v>9638</v>
      </c>
      <c r="B1896">
        <v>4362</v>
      </c>
      <c r="C1896" t="s">
        <v>9674</v>
      </c>
      <c r="D1896" t="s">
        <v>9643</v>
      </c>
      <c r="E1896" t="s">
        <v>9837</v>
      </c>
      <c r="F1896" t="s">
        <v>9527</v>
      </c>
    </row>
    <row r="1897" spans="1:6">
      <c r="A1897" t="s">
        <v>9638</v>
      </c>
      <c r="B1897">
        <v>4363</v>
      </c>
      <c r="C1897" t="s">
        <v>9674</v>
      </c>
      <c r="D1897" t="s">
        <v>9643</v>
      </c>
      <c r="E1897" t="s">
        <v>9837</v>
      </c>
      <c r="F1897" t="s">
        <v>9527</v>
      </c>
    </row>
    <row r="1898" spans="1:6">
      <c r="A1898" t="s">
        <v>9638</v>
      </c>
      <c r="B1898">
        <v>4367</v>
      </c>
      <c r="C1898" t="s">
        <v>9674</v>
      </c>
      <c r="D1898" t="s">
        <v>9643</v>
      </c>
      <c r="E1898" t="s">
        <v>9837</v>
      </c>
      <c r="F1898" t="s">
        <v>9527</v>
      </c>
    </row>
    <row r="1899" spans="1:6">
      <c r="A1899" t="s">
        <v>9638</v>
      </c>
      <c r="B1899">
        <v>4368</v>
      </c>
      <c r="C1899" t="s">
        <v>9674</v>
      </c>
      <c r="D1899" t="s">
        <v>9643</v>
      </c>
      <c r="E1899" t="s">
        <v>9837</v>
      </c>
      <c r="F1899" t="s">
        <v>9527</v>
      </c>
    </row>
    <row r="1900" spans="1:6">
      <c r="A1900" t="s">
        <v>9638</v>
      </c>
      <c r="B1900">
        <v>7327</v>
      </c>
      <c r="C1900" t="s">
        <v>9674</v>
      </c>
      <c r="D1900" t="s">
        <v>9643</v>
      </c>
      <c r="E1900" t="s">
        <v>9837</v>
      </c>
      <c r="F1900" t="s">
        <v>9527</v>
      </c>
    </row>
    <row r="1901" spans="1:6">
      <c r="A1901" t="s">
        <v>9638</v>
      </c>
      <c r="B1901">
        <v>7328</v>
      </c>
      <c r="C1901" t="s">
        <v>9674</v>
      </c>
      <c r="D1901" t="s">
        <v>9643</v>
      </c>
      <c r="E1901" t="s">
        <v>9837</v>
      </c>
      <c r="F1901" t="s">
        <v>9527</v>
      </c>
    </row>
    <row r="1902" spans="1:6">
      <c r="A1902" t="s">
        <v>9638</v>
      </c>
      <c r="B1902">
        <v>4365</v>
      </c>
      <c r="C1902" t="s">
        <v>9674</v>
      </c>
      <c r="D1902" t="s">
        <v>9643</v>
      </c>
      <c r="E1902" t="s">
        <v>9837</v>
      </c>
      <c r="F1902" t="s">
        <v>9527</v>
      </c>
    </row>
    <row r="1903" spans="1:6">
      <c r="A1903" t="s">
        <v>9638</v>
      </c>
      <c r="B1903">
        <v>4364</v>
      </c>
      <c r="C1903" t="s">
        <v>9674</v>
      </c>
      <c r="D1903" t="s">
        <v>9643</v>
      </c>
      <c r="E1903" t="s">
        <v>9837</v>
      </c>
      <c r="F1903" t="s">
        <v>9527</v>
      </c>
    </row>
    <row r="1904" spans="1:6">
      <c r="A1904" t="s">
        <v>9638</v>
      </c>
      <c r="B1904">
        <v>4194</v>
      </c>
      <c r="C1904" t="s">
        <v>9674</v>
      </c>
      <c r="D1904" t="s">
        <v>9643</v>
      </c>
      <c r="E1904" t="s">
        <v>9837</v>
      </c>
      <c r="F1904" t="s">
        <v>9527</v>
      </c>
    </row>
    <row r="1905" spans="1:6">
      <c r="A1905" t="s">
        <v>9638</v>
      </c>
      <c r="B1905">
        <v>4190</v>
      </c>
      <c r="C1905" t="s">
        <v>9674</v>
      </c>
      <c r="D1905" t="s">
        <v>9643</v>
      </c>
      <c r="E1905" t="s">
        <v>9837</v>
      </c>
      <c r="F1905" t="s">
        <v>9527</v>
      </c>
    </row>
    <row r="1906" spans="1:6">
      <c r="A1906" t="s">
        <v>9638</v>
      </c>
      <c r="B1906">
        <v>4251</v>
      </c>
      <c r="C1906" t="s">
        <v>9674</v>
      </c>
      <c r="D1906" t="s">
        <v>9643</v>
      </c>
      <c r="E1906" t="s">
        <v>9837</v>
      </c>
      <c r="F1906" t="s">
        <v>9527</v>
      </c>
    </row>
    <row r="1907" spans="1:6">
      <c r="A1907" t="s">
        <v>9638</v>
      </c>
      <c r="B1907">
        <v>4252</v>
      </c>
      <c r="C1907" t="s">
        <v>9674</v>
      </c>
      <c r="D1907" t="s">
        <v>9643</v>
      </c>
      <c r="E1907" t="s">
        <v>9837</v>
      </c>
      <c r="F1907" t="s">
        <v>9527</v>
      </c>
    </row>
    <row r="1908" spans="1:6">
      <c r="A1908" t="s">
        <v>9638</v>
      </c>
      <c r="B1908">
        <v>2583</v>
      </c>
      <c r="C1908" t="s">
        <v>9674</v>
      </c>
      <c r="D1908" t="s">
        <v>9643</v>
      </c>
      <c r="E1908" t="s">
        <v>9837</v>
      </c>
      <c r="F1908" t="s">
        <v>9527</v>
      </c>
    </row>
    <row r="1909" spans="1:6">
      <c r="A1909" t="s">
        <v>9638</v>
      </c>
      <c r="B1909">
        <v>5458</v>
      </c>
      <c r="C1909" t="s">
        <v>9674</v>
      </c>
      <c r="D1909" t="s">
        <v>9643</v>
      </c>
      <c r="E1909" t="s">
        <v>9837</v>
      </c>
      <c r="F1909" t="s">
        <v>9527</v>
      </c>
    </row>
    <row r="1910" spans="1:6">
      <c r="A1910" t="s">
        <v>9638</v>
      </c>
      <c r="B1910">
        <v>7382</v>
      </c>
      <c r="C1910" t="s">
        <v>9674</v>
      </c>
      <c r="D1910" t="s">
        <v>9643</v>
      </c>
      <c r="E1910" t="s">
        <v>9837</v>
      </c>
      <c r="F1910" t="s">
        <v>9527</v>
      </c>
    </row>
    <row r="1911" spans="1:6">
      <c r="A1911" t="s">
        <v>9638</v>
      </c>
      <c r="B1911">
        <v>4192</v>
      </c>
      <c r="C1911" t="s">
        <v>9674</v>
      </c>
      <c r="D1911" t="s">
        <v>9643</v>
      </c>
      <c r="E1911" t="s">
        <v>9837</v>
      </c>
      <c r="F1911" t="s">
        <v>9527</v>
      </c>
    </row>
    <row r="1912" spans="1:6">
      <c r="A1912" t="s">
        <v>9638</v>
      </c>
      <c r="B1912">
        <v>4193</v>
      </c>
      <c r="C1912" t="s">
        <v>9674</v>
      </c>
      <c r="D1912" t="s">
        <v>9643</v>
      </c>
      <c r="E1912" t="s">
        <v>9837</v>
      </c>
      <c r="F1912" t="s">
        <v>9527</v>
      </c>
    </row>
    <row r="1913" spans="1:6">
      <c r="A1913" t="s">
        <v>9638</v>
      </c>
      <c r="B1913">
        <v>7973</v>
      </c>
      <c r="C1913" t="s">
        <v>9674</v>
      </c>
      <c r="D1913" t="s">
        <v>9643</v>
      </c>
      <c r="E1913" t="s">
        <v>9837</v>
      </c>
      <c r="F1913" t="s">
        <v>9527</v>
      </c>
    </row>
    <row r="1914" spans="1:6">
      <c r="A1914" t="s">
        <v>9638</v>
      </c>
      <c r="B1914">
        <v>7975</v>
      </c>
      <c r="C1914" t="s">
        <v>9674</v>
      </c>
      <c r="D1914" t="s">
        <v>9643</v>
      </c>
      <c r="E1914" t="s">
        <v>9837</v>
      </c>
      <c r="F1914" t="s">
        <v>9527</v>
      </c>
    </row>
    <row r="1915" spans="1:6">
      <c r="A1915" t="s">
        <v>9638</v>
      </c>
      <c r="B1915">
        <v>7974</v>
      </c>
      <c r="C1915" t="s">
        <v>9674</v>
      </c>
      <c r="D1915" t="s">
        <v>9643</v>
      </c>
      <c r="E1915" t="s">
        <v>9837</v>
      </c>
      <c r="F1915" t="s">
        <v>9527</v>
      </c>
    </row>
    <row r="1916" spans="1:6">
      <c r="A1916" t="s">
        <v>9638</v>
      </c>
      <c r="B1916">
        <v>7976</v>
      </c>
      <c r="C1916" t="s">
        <v>9674</v>
      </c>
      <c r="D1916" t="s">
        <v>9643</v>
      </c>
      <c r="E1916" t="s">
        <v>9837</v>
      </c>
      <c r="F1916" t="s">
        <v>9527</v>
      </c>
    </row>
    <row r="1917" spans="1:6">
      <c r="A1917" t="s">
        <v>9638</v>
      </c>
      <c r="B1917">
        <v>7836</v>
      </c>
      <c r="C1917" t="s">
        <v>9674</v>
      </c>
      <c r="D1917" t="s">
        <v>9643</v>
      </c>
      <c r="E1917" t="s">
        <v>9837</v>
      </c>
      <c r="F1917" t="s">
        <v>9527</v>
      </c>
    </row>
    <row r="1918" spans="1:6">
      <c r="A1918" t="s">
        <v>9638</v>
      </c>
      <c r="B1918">
        <v>7837</v>
      </c>
      <c r="C1918" t="s">
        <v>9674</v>
      </c>
      <c r="D1918" t="s">
        <v>9643</v>
      </c>
      <c r="E1918" t="s">
        <v>9837</v>
      </c>
      <c r="F1918" t="s">
        <v>9527</v>
      </c>
    </row>
    <row r="1919" spans="1:6">
      <c r="A1919" t="s">
        <v>9638</v>
      </c>
      <c r="B1919">
        <v>7379</v>
      </c>
      <c r="C1919" t="s">
        <v>9674</v>
      </c>
      <c r="D1919" t="s">
        <v>9643</v>
      </c>
      <c r="E1919" t="s">
        <v>9837</v>
      </c>
      <c r="F1919" t="s">
        <v>9527</v>
      </c>
    </row>
    <row r="1920" spans="1:6">
      <c r="A1920" t="s">
        <v>9638</v>
      </c>
      <c r="B1920">
        <v>7378</v>
      </c>
      <c r="C1920" t="s">
        <v>9674</v>
      </c>
      <c r="D1920" t="s">
        <v>9643</v>
      </c>
      <c r="E1920" t="s">
        <v>9837</v>
      </c>
      <c r="F1920" t="s">
        <v>9527</v>
      </c>
    </row>
    <row r="1921" spans="1:6">
      <c r="A1921" t="s">
        <v>9638</v>
      </c>
      <c r="B1921">
        <v>7948</v>
      </c>
      <c r="C1921" t="s">
        <v>9674</v>
      </c>
      <c r="D1921" t="s">
        <v>9643</v>
      </c>
      <c r="E1921" t="s">
        <v>9837</v>
      </c>
      <c r="F1921" t="s">
        <v>9527</v>
      </c>
    </row>
    <row r="1922" spans="1:6">
      <c r="A1922" t="s">
        <v>9638</v>
      </c>
      <c r="B1922">
        <v>7940</v>
      </c>
      <c r="C1922" t="s">
        <v>9674</v>
      </c>
      <c r="D1922" t="s">
        <v>9643</v>
      </c>
      <c r="E1922" t="s">
        <v>9837</v>
      </c>
      <c r="F1922" t="s">
        <v>9527</v>
      </c>
    </row>
    <row r="1923" spans="1:6">
      <c r="A1923" t="s">
        <v>9638</v>
      </c>
      <c r="B1923">
        <v>7941</v>
      </c>
      <c r="C1923" t="s">
        <v>9674</v>
      </c>
      <c r="D1923" t="s">
        <v>9643</v>
      </c>
      <c r="E1923" t="s">
        <v>9837</v>
      </c>
      <c r="F1923" t="s">
        <v>9527</v>
      </c>
    </row>
    <row r="1924" spans="1:6">
      <c r="A1924" t="s">
        <v>9638</v>
      </c>
      <c r="B1924">
        <v>7984</v>
      </c>
      <c r="C1924" t="s">
        <v>9674</v>
      </c>
      <c r="D1924" t="s">
        <v>9643</v>
      </c>
      <c r="E1924" t="s">
        <v>9837</v>
      </c>
      <c r="F1924" t="s">
        <v>9527</v>
      </c>
    </row>
    <row r="1925" spans="1:6">
      <c r="A1925" t="s">
        <v>9638</v>
      </c>
      <c r="B1925">
        <v>1723</v>
      </c>
      <c r="C1925" t="s">
        <v>9674</v>
      </c>
      <c r="D1925" t="s">
        <v>9643</v>
      </c>
      <c r="E1925" t="s">
        <v>9837</v>
      </c>
      <c r="F1925" t="s">
        <v>9527</v>
      </c>
    </row>
    <row r="1926" spans="1:6">
      <c r="A1926" t="s">
        <v>9638</v>
      </c>
      <c r="B1926">
        <v>1911</v>
      </c>
      <c r="C1926" t="s">
        <v>9674</v>
      </c>
      <c r="D1926" t="s">
        <v>9636</v>
      </c>
      <c r="E1926" t="s">
        <v>9835</v>
      </c>
      <c r="F1926" t="s">
        <v>9527</v>
      </c>
    </row>
    <row r="1927" spans="1:6">
      <c r="A1927" t="s">
        <v>9638</v>
      </c>
      <c r="B1927">
        <v>7809</v>
      </c>
      <c r="C1927" t="s">
        <v>9674</v>
      </c>
      <c r="D1927" t="s">
        <v>9636</v>
      </c>
      <c r="E1927" t="s">
        <v>9835</v>
      </c>
      <c r="F1927" t="s">
        <v>9527</v>
      </c>
    </row>
    <row r="1928" spans="1:6">
      <c r="A1928" t="s">
        <v>9638</v>
      </c>
      <c r="B1928">
        <v>7870</v>
      </c>
      <c r="C1928" t="s">
        <v>9674</v>
      </c>
      <c r="D1928" t="s">
        <v>9636</v>
      </c>
      <c r="E1928" t="s">
        <v>9835</v>
      </c>
      <c r="F1928" t="s">
        <v>9527</v>
      </c>
    </row>
    <row r="1929" spans="1:6">
      <c r="A1929" t="s">
        <v>9638</v>
      </c>
      <c r="B1929">
        <v>7871</v>
      </c>
      <c r="C1929" t="s">
        <v>9674</v>
      </c>
      <c r="D1929" t="s">
        <v>9636</v>
      </c>
      <c r="E1929" t="s">
        <v>9835</v>
      </c>
      <c r="F1929" t="s">
        <v>9527</v>
      </c>
    </row>
    <row r="1930" spans="1:6">
      <c r="A1930" t="s">
        <v>9638</v>
      </c>
      <c r="B1930">
        <v>7872</v>
      </c>
      <c r="C1930" t="s">
        <v>9674</v>
      </c>
      <c r="D1930" t="s">
        <v>9636</v>
      </c>
      <c r="E1930" t="s">
        <v>9835</v>
      </c>
      <c r="F1930" t="s">
        <v>9527</v>
      </c>
    </row>
    <row r="1931" spans="1:6">
      <c r="A1931" t="s">
        <v>9638</v>
      </c>
      <c r="B1931">
        <v>7873</v>
      </c>
      <c r="C1931" t="s">
        <v>9674</v>
      </c>
      <c r="D1931" t="s">
        <v>9636</v>
      </c>
      <c r="E1931" t="s">
        <v>9835</v>
      </c>
      <c r="F1931" t="s">
        <v>9527</v>
      </c>
    </row>
    <row r="1932" spans="1:6">
      <c r="A1932" t="s">
        <v>9638</v>
      </c>
      <c r="B1932">
        <v>7875</v>
      </c>
      <c r="C1932" t="s">
        <v>9674</v>
      </c>
      <c r="D1932" t="s">
        <v>9636</v>
      </c>
      <c r="E1932" t="s">
        <v>9835</v>
      </c>
      <c r="F1932" t="s">
        <v>9527</v>
      </c>
    </row>
    <row r="1933" spans="1:6">
      <c r="A1933" t="s">
        <v>9638</v>
      </c>
      <c r="B1933">
        <v>7901</v>
      </c>
      <c r="C1933" t="s">
        <v>9674</v>
      </c>
      <c r="D1933" t="s">
        <v>9636</v>
      </c>
      <c r="E1933" t="s">
        <v>9835</v>
      </c>
      <c r="F1933" t="s">
        <v>9527</v>
      </c>
    </row>
    <row r="1934" spans="1:6">
      <c r="A1934" t="s">
        <v>9638</v>
      </c>
      <c r="B1934">
        <v>7902</v>
      </c>
      <c r="C1934" t="s">
        <v>9674</v>
      </c>
      <c r="D1934" t="s">
        <v>9636</v>
      </c>
      <c r="E1934" t="s">
        <v>9835</v>
      </c>
      <c r="F1934" t="s">
        <v>9527</v>
      </c>
    </row>
    <row r="1935" spans="1:6">
      <c r="A1935" t="s">
        <v>9638</v>
      </c>
      <c r="B1935">
        <v>7967</v>
      </c>
      <c r="C1935" t="s">
        <v>9674</v>
      </c>
      <c r="D1935" t="s">
        <v>9636</v>
      </c>
      <c r="E1935" t="s">
        <v>9835</v>
      </c>
      <c r="F1935" t="s">
        <v>9527</v>
      </c>
    </row>
    <row r="1936" spans="1:6">
      <c r="A1936" t="s">
        <v>9638</v>
      </c>
      <c r="B1936">
        <v>7971</v>
      </c>
      <c r="C1936" t="s">
        <v>9674</v>
      </c>
      <c r="D1936" t="s">
        <v>9636</v>
      </c>
      <c r="E1936" t="s">
        <v>9835</v>
      </c>
      <c r="F1936" t="s">
        <v>9527</v>
      </c>
    </row>
    <row r="1937" spans="1:6">
      <c r="A1937" t="s">
        <v>9638</v>
      </c>
      <c r="B1937">
        <v>7972</v>
      </c>
      <c r="C1937" t="s">
        <v>9674</v>
      </c>
      <c r="D1937" t="s">
        <v>9636</v>
      </c>
      <c r="E1937" t="s">
        <v>9835</v>
      </c>
      <c r="F1937" t="s">
        <v>9527</v>
      </c>
    </row>
    <row r="1938" spans="1:6">
      <c r="A1938" t="s">
        <v>9638</v>
      </c>
      <c r="B1938">
        <v>7981</v>
      </c>
      <c r="C1938" t="s">
        <v>9674</v>
      </c>
      <c r="D1938" t="s">
        <v>9636</v>
      </c>
      <c r="E1938" t="s">
        <v>9835</v>
      </c>
      <c r="F1938" t="s">
        <v>9527</v>
      </c>
    </row>
    <row r="1939" spans="1:6">
      <c r="A1939" t="s">
        <v>9638</v>
      </c>
      <c r="B1939">
        <v>7995</v>
      </c>
      <c r="C1939" t="s">
        <v>9674</v>
      </c>
      <c r="D1939" t="s">
        <v>9636</v>
      </c>
      <c r="E1939" t="s">
        <v>9835</v>
      </c>
      <c r="F1939" t="s">
        <v>9527</v>
      </c>
    </row>
    <row r="1940" spans="1:6">
      <c r="A1940" t="s">
        <v>9638</v>
      </c>
      <c r="B1940">
        <v>7996</v>
      </c>
      <c r="C1940" t="s">
        <v>9674</v>
      </c>
      <c r="D1940" t="s">
        <v>9636</v>
      </c>
      <c r="E1940" t="s">
        <v>9835</v>
      </c>
      <c r="F1940" t="s">
        <v>9527</v>
      </c>
    </row>
    <row r="1941" spans="1:6">
      <c r="A1941" t="s">
        <v>9638</v>
      </c>
      <c r="B1941">
        <v>8014</v>
      </c>
      <c r="C1941" t="s">
        <v>9674</v>
      </c>
      <c r="D1941" t="s">
        <v>9636</v>
      </c>
      <c r="E1941" t="s">
        <v>9835</v>
      </c>
      <c r="F1941" t="s">
        <v>9527</v>
      </c>
    </row>
    <row r="1942" spans="1:6">
      <c r="A1942" t="s">
        <v>9638</v>
      </c>
      <c r="B1942">
        <v>8028</v>
      </c>
      <c r="C1942" t="s">
        <v>9674</v>
      </c>
      <c r="D1942" t="s">
        <v>9636</v>
      </c>
      <c r="E1942" t="s">
        <v>9835</v>
      </c>
      <c r="F1942" t="s">
        <v>9527</v>
      </c>
    </row>
    <row r="1943" spans="1:6">
      <c r="A1943" t="s">
        <v>9638</v>
      </c>
      <c r="B1943">
        <v>8038</v>
      </c>
      <c r="C1943" t="s">
        <v>9674</v>
      </c>
      <c r="D1943" t="s">
        <v>9636</v>
      </c>
      <c r="E1943" t="s">
        <v>9835</v>
      </c>
      <c r="F1943" t="s">
        <v>9527</v>
      </c>
    </row>
    <row r="1944" spans="1:6">
      <c r="A1944" t="s">
        <v>9638</v>
      </c>
      <c r="B1944">
        <v>8667</v>
      </c>
      <c r="C1944" t="s">
        <v>9674</v>
      </c>
      <c r="D1944" t="s">
        <v>9636</v>
      </c>
      <c r="E1944" t="s">
        <v>9835</v>
      </c>
      <c r="F1944" t="s">
        <v>9527</v>
      </c>
    </row>
    <row r="1945" spans="1:6">
      <c r="A1945" t="s">
        <v>9638</v>
      </c>
      <c r="B1945">
        <v>8677</v>
      </c>
      <c r="C1945" t="s">
        <v>9674</v>
      </c>
      <c r="D1945" t="s">
        <v>9636</v>
      </c>
      <c r="E1945" t="s">
        <v>9835</v>
      </c>
      <c r="F1945" t="s">
        <v>9527</v>
      </c>
    </row>
    <row r="1946" spans="1:6">
      <c r="A1946" t="s">
        <v>9638</v>
      </c>
      <c r="B1946">
        <v>8678</v>
      </c>
      <c r="C1946" t="s">
        <v>9674</v>
      </c>
      <c r="D1946" t="s">
        <v>9636</v>
      </c>
      <c r="E1946" t="s">
        <v>9835</v>
      </c>
      <c r="F1946" t="s">
        <v>9527</v>
      </c>
    </row>
    <row r="1947" spans="1:6">
      <c r="A1947" t="s">
        <v>9638</v>
      </c>
      <c r="B1947">
        <v>8720</v>
      </c>
      <c r="C1947" t="s">
        <v>9674</v>
      </c>
      <c r="D1947" t="s">
        <v>9636</v>
      </c>
      <c r="E1947" t="s">
        <v>9835</v>
      </c>
      <c r="F1947" t="s">
        <v>9527</v>
      </c>
    </row>
    <row r="1948" spans="1:6">
      <c r="A1948" t="s">
        <v>9638</v>
      </c>
      <c r="B1948">
        <v>8730</v>
      </c>
      <c r="C1948" t="s">
        <v>9674</v>
      </c>
      <c r="D1948" t="s">
        <v>9636</v>
      </c>
      <c r="E1948" t="s">
        <v>9835</v>
      </c>
      <c r="F1948" t="s">
        <v>9527</v>
      </c>
    </row>
    <row r="1949" spans="1:6">
      <c r="A1949" t="s">
        <v>9638</v>
      </c>
      <c r="B1949">
        <v>8740</v>
      </c>
      <c r="C1949" t="s">
        <v>9674</v>
      </c>
      <c r="D1949" t="s">
        <v>9636</v>
      </c>
      <c r="E1949" t="s">
        <v>9835</v>
      </c>
      <c r="F1949" t="s">
        <v>9527</v>
      </c>
    </row>
    <row r="1950" spans="1:6">
      <c r="A1950" t="s">
        <v>9638</v>
      </c>
      <c r="B1950">
        <v>8750</v>
      </c>
      <c r="C1950" t="s">
        <v>9674</v>
      </c>
      <c r="D1950" t="s">
        <v>9636</v>
      </c>
      <c r="E1950" t="s">
        <v>9835</v>
      </c>
      <c r="F1950" t="s">
        <v>9527</v>
      </c>
    </row>
    <row r="1951" spans="1:6">
      <c r="A1951" t="s">
        <v>9638</v>
      </c>
      <c r="B1951">
        <v>8832</v>
      </c>
      <c r="C1951" t="s">
        <v>9674</v>
      </c>
      <c r="D1951" t="s">
        <v>9636</v>
      </c>
      <c r="E1951" t="s">
        <v>9835</v>
      </c>
      <c r="F1951" t="s">
        <v>9527</v>
      </c>
    </row>
    <row r="1952" spans="1:6">
      <c r="A1952" t="s">
        <v>9638</v>
      </c>
      <c r="B1952">
        <v>8839</v>
      </c>
      <c r="C1952" t="s">
        <v>9674</v>
      </c>
      <c r="D1952" t="s">
        <v>9636</v>
      </c>
      <c r="E1952" t="s">
        <v>9835</v>
      </c>
      <c r="F1952" t="s">
        <v>9527</v>
      </c>
    </row>
    <row r="1953" spans="1:6">
      <c r="A1953" t="s">
        <v>9638</v>
      </c>
      <c r="B1953">
        <v>8843</v>
      </c>
      <c r="C1953" t="s">
        <v>9674</v>
      </c>
      <c r="D1953" t="s">
        <v>9636</v>
      </c>
      <c r="E1953" t="s">
        <v>9835</v>
      </c>
      <c r="F1953" t="s">
        <v>9527</v>
      </c>
    </row>
    <row r="1954" spans="1:6">
      <c r="A1954" t="s">
        <v>9638</v>
      </c>
      <c r="B1954">
        <v>8850</v>
      </c>
      <c r="C1954" t="s">
        <v>9674</v>
      </c>
      <c r="D1954" t="s">
        <v>9636</v>
      </c>
      <c r="E1954" t="s">
        <v>9835</v>
      </c>
      <c r="F1954" t="s">
        <v>9527</v>
      </c>
    </row>
    <row r="1955" spans="1:6">
      <c r="A1955" t="s">
        <v>9638</v>
      </c>
      <c r="B1955">
        <v>8852</v>
      </c>
      <c r="C1955" t="s">
        <v>9674</v>
      </c>
      <c r="D1955" t="s">
        <v>9636</v>
      </c>
      <c r="E1955" t="s">
        <v>9835</v>
      </c>
      <c r="F1955" t="s">
        <v>9527</v>
      </c>
    </row>
    <row r="1956" spans="1:6">
      <c r="A1956" t="s">
        <v>9638</v>
      </c>
      <c r="B1956">
        <v>8853</v>
      </c>
      <c r="C1956" t="s">
        <v>9674</v>
      </c>
      <c r="D1956" t="s">
        <v>9636</v>
      </c>
      <c r="E1956" t="s">
        <v>9835</v>
      </c>
      <c r="F1956" t="s">
        <v>9527</v>
      </c>
    </row>
    <row r="1957" spans="1:6">
      <c r="A1957" t="s">
        <v>9638</v>
      </c>
      <c r="B1957">
        <v>8886</v>
      </c>
      <c r="C1957" t="s">
        <v>9674</v>
      </c>
      <c r="D1957" t="s">
        <v>9636</v>
      </c>
      <c r="E1957" t="s">
        <v>9835</v>
      </c>
      <c r="F1957" t="s">
        <v>9527</v>
      </c>
    </row>
    <row r="1958" spans="1:6">
      <c r="A1958" t="s">
        <v>9638</v>
      </c>
      <c r="B1958">
        <v>8721</v>
      </c>
      <c r="C1958" t="s">
        <v>9674</v>
      </c>
      <c r="D1958" t="s">
        <v>9639</v>
      </c>
      <c r="E1958" t="s">
        <v>9836</v>
      </c>
      <c r="F1958" t="s">
        <v>9527</v>
      </c>
    </row>
    <row r="1959" spans="1:6">
      <c r="A1959" t="s">
        <v>9638</v>
      </c>
      <c r="B1959">
        <v>8731</v>
      </c>
      <c r="C1959" t="s">
        <v>9674</v>
      </c>
      <c r="D1959" t="s">
        <v>9639</v>
      </c>
      <c r="E1959" t="s">
        <v>9836</v>
      </c>
      <c r="F1959" t="s">
        <v>9527</v>
      </c>
    </row>
    <row r="1960" spans="1:6">
      <c r="A1960" t="s">
        <v>9638</v>
      </c>
      <c r="B1960">
        <v>7906</v>
      </c>
      <c r="C1960" t="s">
        <v>9674</v>
      </c>
      <c r="D1960" t="s">
        <v>9639</v>
      </c>
      <c r="E1960" t="s">
        <v>9836</v>
      </c>
      <c r="F1960" t="s">
        <v>9527</v>
      </c>
    </row>
    <row r="1961" spans="1:6">
      <c r="A1961" t="s">
        <v>9638</v>
      </c>
      <c r="B1961">
        <v>7916</v>
      </c>
      <c r="C1961" t="s">
        <v>9674</v>
      </c>
      <c r="D1961" t="s">
        <v>9639</v>
      </c>
      <c r="E1961" t="s">
        <v>9836</v>
      </c>
      <c r="F1961" t="s">
        <v>9527</v>
      </c>
    </row>
    <row r="1962" spans="1:6">
      <c r="A1962" t="s">
        <v>9638</v>
      </c>
      <c r="B1962">
        <v>8737</v>
      </c>
      <c r="C1962" t="s">
        <v>9674</v>
      </c>
      <c r="D1962" t="s">
        <v>9639</v>
      </c>
      <c r="E1962" t="s">
        <v>9836</v>
      </c>
      <c r="F1962" t="s">
        <v>9527</v>
      </c>
    </row>
    <row r="1963" spans="1:6">
      <c r="A1963" t="s">
        <v>9638</v>
      </c>
      <c r="B1963">
        <v>7917</v>
      </c>
      <c r="C1963" t="s">
        <v>9674</v>
      </c>
      <c r="D1963" t="s">
        <v>9639</v>
      </c>
      <c r="E1963" t="s">
        <v>9836</v>
      </c>
      <c r="F1963" t="s">
        <v>9527</v>
      </c>
    </row>
    <row r="1964" spans="1:6">
      <c r="A1964" t="s">
        <v>9638</v>
      </c>
      <c r="B1964">
        <v>7903</v>
      </c>
      <c r="C1964" t="s">
        <v>9674</v>
      </c>
      <c r="D1964" t="s">
        <v>9639</v>
      </c>
      <c r="E1964" t="s">
        <v>9836</v>
      </c>
      <c r="F1964" t="s">
        <v>9527</v>
      </c>
    </row>
    <row r="1965" spans="1:6">
      <c r="A1965" t="s">
        <v>9638</v>
      </c>
      <c r="B1965">
        <v>5455</v>
      </c>
      <c r="C1965" t="s">
        <v>9674</v>
      </c>
      <c r="D1965" t="s">
        <v>9639</v>
      </c>
      <c r="E1965" t="s">
        <v>9836</v>
      </c>
      <c r="F1965" t="s">
        <v>9527</v>
      </c>
    </row>
    <row r="1966" spans="1:6">
      <c r="A1966" t="s">
        <v>9638</v>
      </c>
      <c r="B1966">
        <v>5456</v>
      </c>
      <c r="C1966" t="s">
        <v>9674</v>
      </c>
      <c r="D1966" t="s">
        <v>9639</v>
      </c>
      <c r="E1966" t="s">
        <v>9836</v>
      </c>
      <c r="F1966" t="s">
        <v>9527</v>
      </c>
    </row>
    <row r="1967" spans="1:6">
      <c r="A1967" t="s">
        <v>9638</v>
      </c>
      <c r="B1967">
        <v>6391</v>
      </c>
      <c r="C1967" t="s">
        <v>9674</v>
      </c>
      <c r="D1967" t="s">
        <v>9639</v>
      </c>
      <c r="E1967" t="s">
        <v>9836</v>
      </c>
      <c r="F1967" t="s">
        <v>9527</v>
      </c>
    </row>
    <row r="1968" spans="1:6">
      <c r="A1968" t="s">
        <v>9638</v>
      </c>
      <c r="B1968">
        <v>7912</v>
      </c>
      <c r="C1968" t="s">
        <v>9674</v>
      </c>
      <c r="D1968" t="s">
        <v>9639</v>
      </c>
      <c r="E1968" t="s">
        <v>9836</v>
      </c>
      <c r="F1968" t="s">
        <v>9527</v>
      </c>
    </row>
    <row r="1969" spans="1:6">
      <c r="A1969" t="s">
        <v>9638</v>
      </c>
      <c r="B1969">
        <v>7913</v>
      </c>
      <c r="C1969" t="s">
        <v>9674</v>
      </c>
      <c r="D1969" t="s">
        <v>9639</v>
      </c>
      <c r="E1969" t="s">
        <v>9836</v>
      </c>
      <c r="F1969" t="s">
        <v>9527</v>
      </c>
    </row>
    <row r="1970" spans="1:6">
      <c r="A1970" t="s">
        <v>9638</v>
      </c>
      <c r="B1970">
        <v>7918</v>
      </c>
      <c r="C1970" t="s">
        <v>9674</v>
      </c>
      <c r="D1970" t="s">
        <v>9639</v>
      </c>
      <c r="E1970" t="s">
        <v>9836</v>
      </c>
      <c r="F1970" t="s">
        <v>9527</v>
      </c>
    </row>
    <row r="1971" spans="1:6">
      <c r="A1971" t="s">
        <v>9638</v>
      </c>
      <c r="B1971">
        <v>7919</v>
      </c>
      <c r="C1971" t="s">
        <v>9674</v>
      </c>
      <c r="D1971" t="s">
        <v>9639</v>
      </c>
      <c r="E1971" t="s">
        <v>9836</v>
      </c>
      <c r="F1971" t="s">
        <v>9527</v>
      </c>
    </row>
    <row r="1972" spans="1:6">
      <c r="A1972" t="s">
        <v>9638</v>
      </c>
      <c r="B1972">
        <v>8685</v>
      </c>
      <c r="C1972" t="s">
        <v>9674</v>
      </c>
      <c r="D1972" t="s">
        <v>9639</v>
      </c>
      <c r="E1972" t="s">
        <v>9836</v>
      </c>
      <c r="F1972" t="s">
        <v>9527</v>
      </c>
    </row>
    <row r="1973" spans="1:6">
      <c r="A1973" t="s">
        <v>9638</v>
      </c>
      <c r="B1973">
        <v>8686</v>
      </c>
      <c r="C1973" t="s">
        <v>9674</v>
      </c>
      <c r="D1973" t="s">
        <v>9639</v>
      </c>
      <c r="E1973" t="s">
        <v>9836</v>
      </c>
      <c r="F1973" t="s">
        <v>9527</v>
      </c>
    </row>
    <row r="1974" spans="1:6">
      <c r="A1974" t="s">
        <v>9638</v>
      </c>
      <c r="B1974">
        <v>8861</v>
      </c>
      <c r="C1974" t="s">
        <v>9674</v>
      </c>
      <c r="D1974" t="s">
        <v>9639</v>
      </c>
      <c r="E1974" t="s">
        <v>9836</v>
      </c>
      <c r="F1974" t="s">
        <v>9527</v>
      </c>
    </row>
    <row r="1975" spans="1:6">
      <c r="A1975" t="s">
        <v>9638</v>
      </c>
      <c r="B1975">
        <v>8862</v>
      </c>
      <c r="C1975" t="s">
        <v>9674</v>
      </c>
      <c r="D1975" t="s">
        <v>9639</v>
      </c>
      <c r="E1975" t="s">
        <v>9836</v>
      </c>
      <c r="F1975" t="s">
        <v>9527</v>
      </c>
    </row>
    <row r="1976" spans="1:6">
      <c r="A1976" t="s">
        <v>9638</v>
      </c>
      <c r="B1976">
        <v>8863</v>
      </c>
      <c r="C1976" t="s">
        <v>9674</v>
      </c>
      <c r="D1976" t="s">
        <v>9639</v>
      </c>
      <c r="E1976" t="s">
        <v>9836</v>
      </c>
      <c r="F1976" t="s">
        <v>9527</v>
      </c>
    </row>
    <row r="1977" spans="1:6">
      <c r="A1977" t="s">
        <v>9638</v>
      </c>
      <c r="B1977">
        <v>8683</v>
      </c>
      <c r="C1977" t="s">
        <v>9674</v>
      </c>
      <c r="D1977" t="s">
        <v>9639</v>
      </c>
      <c r="E1977" t="s">
        <v>9836</v>
      </c>
      <c r="F1977" t="s">
        <v>9527</v>
      </c>
    </row>
    <row r="1978" spans="1:6">
      <c r="A1978" t="s">
        <v>9638</v>
      </c>
      <c r="B1978">
        <v>8687</v>
      </c>
      <c r="C1978" t="s">
        <v>9674</v>
      </c>
      <c r="D1978" t="s">
        <v>9639</v>
      </c>
      <c r="E1978" t="s">
        <v>9836</v>
      </c>
      <c r="F1978" t="s">
        <v>9527</v>
      </c>
    </row>
    <row r="1979" spans="1:6">
      <c r="A1979" t="s">
        <v>9638</v>
      </c>
      <c r="B1979">
        <v>8870</v>
      </c>
      <c r="C1979" t="s">
        <v>9674</v>
      </c>
      <c r="D1979" t="s">
        <v>9639</v>
      </c>
      <c r="E1979" t="s">
        <v>9836</v>
      </c>
      <c r="F1979" t="s">
        <v>9527</v>
      </c>
    </row>
    <row r="1980" spans="1:6">
      <c r="A1980" t="s">
        <v>9638</v>
      </c>
      <c r="B1980">
        <v>8688</v>
      </c>
      <c r="C1980" t="s">
        <v>9674</v>
      </c>
      <c r="D1980" t="s">
        <v>9639</v>
      </c>
      <c r="E1980" t="s">
        <v>9836</v>
      </c>
      <c r="F1980" t="s">
        <v>9527</v>
      </c>
    </row>
    <row r="1981" spans="1:6">
      <c r="A1981" t="s">
        <v>9638</v>
      </c>
      <c r="B1981">
        <v>8855</v>
      </c>
      <c r="C1981" t="s">
        <v>9674</v>
      </c>
      <c r="D1981" t="s">
        <v>9639</v>
      </c>
      <c r="E1981" t="s">
        <v>9836</v>
      </c>
      <c r="F1981" t="s">
        <v>9527</v>
      </c>
    </row>
    <row r="1982" spans="1:6">
      <c r="A1982" t="s">
        <v>9638</v>
      </c>
      <c r="B1982">
        <v>8872</v>
      </c>
      <c r="C1982" t="s">
        <v>9674</v>
      </c>
      <c r="D1982" t="s">
        <v>9639</v>
      </c>
      <c r="E1982" t="s">
        <v>9836</v>
      </c>
      <c r="F1982" t="s">
        <v>9527</v>
      </c>
    </row>
    <row r="1983" spans="1:6">
      <c r="A1983" t="s">
        <v>9638</v>
      </c>
      <c r="B1983">
        <v>8874</v>
      </c>
      <c r="C1983" t="s">
        <v>9674</v>
      </c>
      <c r="D1983" t="s">
        <v>9639</v>
      </c>
      <c r="E1983" t="s">
        <v>9836</v>
      </c>
      <c r="F1983" t="s">
        <v>9527</v>
      </c>
    </row>
    <row r="1984" spans="1:6">
      <c r="A1984" t="s">
        <v>9638</v>
      </c>
      <c r="B1984">
        <v>6385</v>
      </c>
      <c r="C1984" t="s">
        <v>9674</v>
      </c>
      <c r="D1984" t="s">
        <v>9639</v>
      </c>
      <c r="E1984" t="s">
        <v>9836</v>
      </c>
      <c r="F1984" t="s">
        <v>9527</v>
      </c>
    </row>
    <row r="1985" spans="1:6">
      <c r="A1985" t="s">
        <v>9638</v>
      </c>
      <c r="B1985">
        <v>6386</v>
      </c>
      <c r="C1985" t="s">
        <v>9674</v>
      </c>
      <c r="D1985" t="s">
        <v>9639</v>
      </c>
      <c r="E1985" t="s">
        <v>9836</v>
      </c>
      <c r="F1985" t="s">
        <v>9527</v>
      </c>
    </row>
    <row r="1986" spans="1:6">
      <c r="A1986" t="s">
        <v>9638</v>
      </c>
      <c r="B1986">
        <v>6388</v>
      </c>
      <c r="C1986" t="s">
        <v>9674</v>
      </c>
      <c r="D1986" t="s">
        <v>9639</v>
      </c>
      <c r="E1986" t="s">
        <v>9836</v>
      </c>
      <c r="F1986" t="s">
        <v>9527</v>
      </c>
    </row>
    <row r="1987" spans="1:6">
      <c r="A1987" t="s">
        <v>9638</v>
      </c>
      <c r="B1987">
        <v>6389</v>
      </c>
      <c r="C1987" t="s">
        <v>9674</v>
      </c>
      <c r="D1987" t="s">
        <v>9639</v>
      </c>
      <c r="E1987" t="s">
        <v>9836</v>
      </c>
      <c r="F1987" t="s">
        <v>9527</v>
      </c>
    </row>
    <row r="1988" spans="1:6">
      <c r="A1988" t="s">
        <v>9638</v>
      </c>
      <c r="B1988">
        <v>6390</v>
      </c>
      <c r="C1988" t="s">
        <v>9674</v>
      </c>
      <c r="D1988" t="s">
        <v>9639</v>
      </c>
      <c r="E1988" t="s">
        <v>9836</v>
      </c>
      <c r="F1988" t="s">
        <v>9527</v>
      </c>
    </row>
    <row r="1989" spans="1:6">
      <c r="A1989" t="s">
        <v>9638</v>
      </c>
      <c r="B1989">
        <v>7321</v>
      </c>
      <c r="C1989" t="s">
        <v>9674</v>
      </c>
      <c r="D1989" t="s">
        <v>9639</v>
      </c>
      <c r="E1989" t="s">
        <v>9836</v>
      </c>
      <c r="F1989" t="s">
        <v>9527</v>
      </c>
    </row>
    <row r="1990" spans="1:6">
      <c r="A1990" t="s">
        <v>9638</v>
      </c>
      <c r="B1990">
        <v>7831</v>
      </c>
      <c r="C1990" t="s">
        <v>9674</v>
      </c>
      <c r="D1990" t="s">
        <v>9639</v>
      </c>
      <c r="E1990" t="s">
        <v>9836</v>
      </c>
      <c r="F1990" t="s">
        <v>9527</v>
      </c>
    </row>
    <row r="1991" spans="1:6">
      <c r="A1991" t="s">
        <v>9638</v>
      </c>
      <c r="B1991">
        <v>7832</v>
      </c>
      <c r="C1991" t="s">
        <v>9674</v>
      </c>
      <c r="D1991" t="s">
        <v>9639</v>
      </c>
      <c r="E1991" t="s">
        <v>9836</v>
      </c>
      <c r="F1991" t="s">
        <v>9527</v>
      </c>
    </row>
    <row r="1992" spans="1:6">
      <c r="A1992" t="s">
        <v>9638</v>
      </c>
      <c r="B1992">
        <v>7833</v>
      </c>
      <c r="C1992" t="s">
        <v>9674</v>
      </c>
      <c r="D1992" t="s">
        <v>9639</v>
      </c>
      <c r="E1992" t="s">
        <v>9836</v>
      </c>
      <c r="F1992" t="s">
        <v>9527</v>
      </c>
    </row>
    <row r="1993" spans="1:6">
      <c r="A1993" t="s">
        <v>9638</v>
      </c>
      <c r="B1993">
        <v>7834</v>
      </c>
      <c r="C1993" t="s">
        <v>9674</v>
      </c>
      <c r="D1993" t="s">
        <v>9639</v>
      </c>
      <c r="E1993" t="s">
        <v>9836</v>
      </c>
      <c r="F1993" t="s">
        <v>9527</v>
      </c>
    </row>
    <row r="1994" spans="1:6">
      <c r="A1994" t="s">
        <v>9638</v>
      </c>
      <c r="B1994">
        <v>8722</v>
      </c>
      <c r="C1994" t="s">
        <v>9674</v>
      </c>
      <c r="D1994" t="s">
        <v>9639</v>
      </c>
      <c r="E1994" t="s">
        <v>9836</v>
      </c>
      <c r="F1994" t="s">
        <v>9527</v>
      </c>
    </row>
    <row r="1995" spans="1:6">
      <c r="A1995" t="s">
        <v>9638</v>
      </c>
      <c r="B1995">
        <v>8733</v>
      </c>
      <c r="C1995" t="s">
        <v>9674</v>
      </c>
      <c r="D1995" t="s">
        <v>9639</v>
      </c>
      <c r="E1995" t="s">
        <v>9836</v>
      </c>
      <c r="F1995" t="s">
        <v>9527</v>
      </c>
    </row>
    <row r="1996" spans="1:6">
      <c r="A1996" t="s">
        <v>9638</v>
      </c>
      <c r="B1996">
        <v>8752</v>
      </c>
      <c r="C1996" t="s">
        <v>9674</v>
      </c>
      <c r="D1996" t="s">
        <v>9639</v>
      </c>
      <c r="E1996" t="s">
        <v>9836</v>
      </c>
      <c r="F1996" t="s">
        <v>9527</v>
      </c>
    </row>
    <row r="1997" spans="1:6">
      <c r="A1997" t="s">
        <v>9638</v>
      </c>
      <c r="B1997">
        <v>6205</v>
      </c>
      <c r="C1997" t="s">
        <v>9674</v>
      </c>
      <c r="D1997" t="s">
        <v>9639</v>
      </c>
      <c r="E1997" t="s">
        <v>9836</v>
      </c>
      <c r="F1997" t="s">
        <v>9527</v>
      </c>
    </row>
    <row r="1998" spans="1:6">
      <c r="A1998" t="s">
        <v>9638</v>
      </c>
      <c r="B1998">
        <v>7163</v>
      </c>
      <c r="C1998" t="s">
        <v>9674</v>
      </c>
      <c r="D1998" t="s">
        <v>9639</v>
      </c>
      <c r="E1998" t="s">
        <v>9836</v>
      </c>
      <c r="F1998" t="s">
        <v>9527</v>
      </c>
    </row>
    <row r="1999" spans="1:6">
      <c r="A1999" t="s">
        <v>9638</v>
      </c>
      <c r="B1999">
        <v>8877</v>
      </c>
      <c r="C1999" t="s">
        <v>9674</v>
      </c>
      <c r="D1999" t="s">
        <v>9639</v>
      </c>
      <c r="E1999" t="s">
        <v>9836</v>
      </c>
      <c r="F1999" t="s">
        <v>9527</v>
      </c>
    </row>
    <row r="2000" spans="1:6">
      <c r="A2000" t="s">
        <v>9638</v>
      </c>
      <c r="B2000">
        <v>7164</v>
      </c>
      <c r="C2000" t="s">
        <v>9674</v>
      </c>
      <c r="D2000" t="s">
        <v>9639</v>
      </c>
      <c r="E2000" t="s">
        <v>9836</v>
      </c>
      <c r="F2000" t="s">
        <v>9527</v>
      </c>
    </row>
    <row r="2001" spans="1:6">
      <c r="A2001" t="s">
        <v>9638</v>
      </c>
      <c r="B2001">
        <v>8865</v>
      </c>
      <c r="C2001" t="s">
        <v>9674</v>
      </c>
      <c r="D2001" t="s">
        <v>9639</v>
      </c>
      <c r="E2001" t="s">
        <v>9836</v>
      </c>
      <c r="F2001" t="s">
        <v>9527</v>
      </c>
    </row>
    <row r="2002" spans="1:6">
      <c r="A2002" t="s">
        <v>9638</v>
      </c>
      <c r="B2002">
        <v>8866</v>
      </c>
      <c r="C2002" t="s">
        <v>9674</v>
      </c>
      <c r="D2002" t="s">
        <v>9639</v>
      </c>
      <c r="E2002" t="s">
        <v>9836</v>
      </c>
      <c r="F2002" t="s">
        <v>9527</v>
      </c>
    </row>
    <row r="2003" spans="1:6">
      <c r="A2003" t="s">
        <v>9638</v>
      </c>
      <c r="B2003">
        <v>8864</v>
      </c>
      <c r="C2003" t="s">
        <v>9674</v>
      </c>
      <c r="D2003" t="s">
        <v>9639</v>
      </c>
      <c r="E2003" t="s">
        <v>9836</v>
      </c>
      <c r="F2003" t="s">
        <v>9527</v>
      </c>
    </row>
    <row r="2004" spans="1:6">
      <c r="A2004" t="s">
        <v>9638</v>
      </c>
      <c r="B2004">
        <v>7141</v>
      </c>
      <c r="C2004" t="s">
        <v>9674</v>
      </c>
      <c r="D2004" t="s">
        <v>9639</v>
      </c>
      <c r="E2004" t="s">
        <v>9836</v>
      </c>
      <c r="F2004" t="s">
        <v>9527</v>
      </c>
    </row>
    <row r="2005" spans="1:6">
      <c r="A2005" t="s">
        <v>9638</v>
      </c>
      <c r="B2005">
        <v>7143</v>
      </c>
      <c r="C2005" t="s">
        <v>9674</v>
      </c>
      <c r="D2005" t="s">
        <v>9639</v>
      </c>
      <c r="E2005" t="s">
        <v>9836</v>
      </c>
      <c r="F2005" t="s">
        <v>9527</v>
      </c>
    </row>
    <row r="2006" spans="1:6">
      <c r="A2006" t="s">
        <v>9638</v>
      </c>
      <c r="B2006">
        <v>7145</v>
      </c>
      <c r="C2006" t="s">
        <v>9674</v>
      </c>
      <c r="D2006" t="s">
        <v>9639</v>
      </c>
      <c r="E2006" t="s">
        <v>9836</v>
      </c>
      <c r="F2006" t="s">
        <v>9527</v>
      </c>
    </row>
    <row r="2007" spans="1:6">
      <c r="A2007" t="s">
        <v>9638</v>
      </c>
      <c r="B2007">
        <v>7147</v>
      </c>
      <c r="C2007" t="s">
        <v>9674</v>
      </c>
      <c r="D2007" t="s">
        <v>9639</v>
      </c>
      <c r="E2007" t="s">
        <v>9836</v>
      </c>
      <c r="F2007" t="s">
        <v>9527</v>
      </c>
    </row>
    <row r="2008" spans="1:6">
      <c r="A2008" t="s">
        <v>9638</v>
      </c>
      <c r="B2008">
        <v>3837</v>
      </c>
      <c r="C2008" t="s">
        <v>9674</v>
      </c>
      <c r="D2008" t="s">
        <v>9639</v>
      </c>
      <c r="E2008" t="s">
        <v>9836</v>
      </c>
      <c r="F2008" t="s">
        <v>9527</v>
      </c>
    </row>
    <row r="2009" spans="1:6">
      <c r="A2009" t="s">
        <v>9638</v>
      </c>
      <c r="B2009">
        <v>8878</v>
      </c>
      <c r="C2009" t="s">
        <v>9674</v>
      </c>
      <c r="D2009" t="s">
        <v>9639</v>
      </c>
      <c r="E2009" t="s">
        <v>9836</v>
      </c>
      <c r="F2009" t="s">
        <v>9527</v>
      </c>
    </row>
    <row r="2010" spans="1:6">
      <c r="A2010" t="s">
        <v>9638</v>
      </c>
      <c r="B2010">
        <v>8879</v>
      </c>
      <c r="C2010" t="s">
        <v>9674</v>
      </c>
      <c r="D2010" t="s">
        <v>9639</v>
      </c>
      <c r="E2010" t="s">
        <v>9836</v>
      </c>
      <c r="F2010" t="s">
        <v>9527</v>
      </c>
    </row>
    <row r="2011" spans="1:6">
      <c r="A2011" t="s">
        <v>9638</v>
      </c>
      <c r="B2011">
        <v>7233</v>
      </c>
      <c r="C2011" t="s">
        <v>9674</v>
      </c>
      <c r="D2011" t="s">
        <v>9639</v>
      </c>
      <c r="E2011" t="s">
        <v>9836</v>
      </c>
      <c r="F2011" t="s">
        <v>9527</v>
      </c>
    </row>
    <row r="2012" spans="1:6">
      <c r="A2012" t="s">
        <v>9638</v>
      </c>
      <c r="B2012">
        <v>5464</v>
      </c>
      <c r="C2012" t="s">
        <v>9674</v>
      </c>
      <c r="D2012" t="s">
        <v>9639</v>
      </c>
      <c r="E2012" t="s">
        <v>9836</v>
      </c>
      <c r="F2012" t="s">
        <v>9527</v>
      </c>
    </row>
    <row r="2013" spans="1:6">
      <c r="A2013" t="s">
        <v>9638</v>
      </c>
      <c r="B2013">
        <v>9532</v>
      </c>
      <c r="C2013" t="s">
        <v>9674</v>
      </c>
      <c r="D2013" t="s">
        <v>9639</v>
      </c>
      <c r="E2013" t="s">
        <v>9836</v>
      </c>
      <c r="F2013" t="s">
        <v>9527</v>
      </c>
    </row>
    <row r="2014" spans="1:6">
      <c r="A2014" t="s">
        <v>9638</v>
      </c>
      <c r="B2014">
        <v>5465</v>
      </c>
      <c r="C2014" t="s">
        <v>9674</v>
      </c>
      <c r="D2014" t="s">
        <v>9639</v>
      </c>
      <c r="E2014" t="s">
        <v>9836</v>
      </c>
      <c r="F2014" t="s">
        <v>9527</v>
      </c>
    </row>
    <row r="2015" spans="1:6">
      <c r="A2015" t="s">
        <v>9638</v>
      </c>
      <c r="B2015">
        <v>5456</v>
      </c>
      <c r="C2015" t="s">
        <v>9674</v>
      </c>
      <c r="D2015" t="s">
        <v>9639</v>
      </c>
      <c r="E2015" t="s">
        <v>9836</v>
      </c>
      <c r="F2015" t="s">
        <v>9527</v>
      </c>
    </row>
    <row r="2016" spans="1:6">
      <c r="A2016" t="s">
        <v>9638</v>
      </c>
      <c r="B2016">
        <v>7148</v>
      </c>
      <c r="C2016" t="s">
        <v>9674</v>
      </c>
      <c r="D2016" t="s">
        <v>9639</v>
      </c>
      <c r="E2016" t="s">
        <v>9836</v>
      </c>
      <c r="F2016" t="s">
        <v>9527</v>
      </c>
    </row>
    <row r="2017" spans="1:6">
      <c r="A2017" t="s">
        <v>9638</v>
      </c>
      <c r="B2017">
        <v>7385</v>
      </c>
      <c r="C2017" t="s">
        <v>9674</v>
      </c>
      <c r="D2017" t="s">
        <v>9639</v>
      </c>
      <c r="E2017" t="s">
        <v>9836</v>
      </c>
      <c r="F2017" t="s">
        <v>9527</v>
      </c>
    </row>
    <row r="2018" spans="1:6">
      <c r="A2018" t="s">
        <v>9638</v>
      </c>
      <c r="B2018">
        <v>7162</v>
      </c>
      <c r="C2018" t="s">
        <v>9674</v>
      </c>
      <c r="D2018" t="s">
        <v>9639</v>
      </c>
      <c r="E2018" t="s">
        <v>9836</v>
      </c>
      <c r="F2018" t="s">
        <v>9527</v>
      </c>
    </row>
    <row r="2019" spans="1:6">
      <c r="A2019" t="s">
        <v>9638</v>
      </c>
      <c r="B2019">
        <v>6241</v>
      </c>
      <c r="C2019" t="s">
        <v>9674</v>
      </c>
      <c r="D2019" t="s">
        <v>9639</v>
      </c>
      <c r="E2019" t="s">
        <v>9836</v>
      </c>
      <c r="F2019" t="s">
        <v>9527</v>
      </c>
    </row>
    <row r="2020" spans="1:6">
      <c r="A2020" t="s">
        <v>9638</v>
      </c>
      <c r="B2020">
        <v>8835</v>
      </c>
      <c r="C2020" t="s">
        <v>9674</v>
      </c>
      <c r="D2020" t="s">
        <v>9641</v>
      </c>
      <c r="E2020" t="s">
        <v>9800</v>
      </c>
      <c r="F2020" t="s">
        <v>9527</v>
      </c>
    </row>
    <row r="2021" spans="1:6">
      <c r="A2021" t="s">
        <v>9638</v>
      </c>
      <c r="B2021">
        <v>8848</v>
      </c>
      <c r="C2021" t="s">
        <v>9674</v>
      </c>
      <c r="D2021" t="s">
        <v>9641</v>
      </c>
      <c r="E2021" t="s">
        <v>9800</v>
      </c>
      <c r="F2021" t="s">
        <v>9527</v>
      </c>
    </row>
    <row r="2022" spans="1:6">
      <c r="A2022" t="s">
        <v>9638</v>
      </c>
      <c r="B2022">
        <v>7992</v>
      </c>
      <c r="C2022" t="s">
        <v>9674</v>
      </c>
      <c r="D2022" t="s">
        <v>9641</v>
      </c>
      <c r="E2022" t="s">
        <v>9800</v>
      </c>
      <c r="F2022" t="s">
        <v>9527</v>
      </c>
    </row>
    <row r="2023" spans="1:6">
      <c r="A2023" t="s">
        <v>9638</v>
      </c>
      <c r="B2023">
        <v>8830</v>
      </c>
      <c r="C2023" t="s">
        <v>9674</v>
      </c>
      <c r="D2023" t="s">
        <v>9641</v>
      </c>
      <c r="E2023" t="s">
        <v>9800</v>
      </c>
      <c r="F2023" t="s">
        <v>9527</v>
      </c>
    </row>
    <row r="2024" spans="1:6">
      <c r="A2024" t="s">
        <v>9638</v>
      </c>
      <c r="B2024">
        <v>8837</v>
      </c>
      <c r="C2024" t="s">
        <v>9674</v>
      </c>
      <c r="D2024" t="s">
        <v>9641</v>
      </c>
      <c r="E2024" t="s">
        <v>9800</v>
      </c>
      <c r="F2024" t="s">
        <v>9527</v>
      </c>
    </row>
    <row r="2025" spans="1:6">
      <c r="A2025" t="s">
        <v>9638</v>
      </c>
      <c r="B2025">
        <v>8827</v>
      </c>
      <c r="C2025" t="s">
        <v>9674</v>
      </c>
      <c r="D2025" t="s">
        <v>9641</v>
      </c>
      <c r="E2025" t="s">
        <v>9800</v>
      </c>
      <c r="F2025" t="s">
        <v>9527</v>
      </c>
    </row>
    <row r="2026" spans="1:6">
      <c r="A2026" t="s">
        <v>9638</v>
      </c>
      <c r="B2026">
        <v>8670</v>
      </c>
      <c r="C2026" t="s">
        <v>9674</v>
      </c>
      <c r="D2026" t="s">
        <v>9641</v>
      </c>
      <c r="E2026" t="s">
        <v>9800</v>
      </c>
      <c r="F2026" t="s">
        <v>9527</v>
      </c>
    </row>
    <row r="2027" spans="1:6">
      <c r="A2027" t="s">
        <v>9638</v>
      </c>
      <c r="B2027">
        <v>7977</v>
      </c>
      <c r="C2027" t="s">
        <v>9674</v>
      </c>
      <c r="D2027" t="s">
        <v>9641</v>
      </c>
      <c r="E2027" t="s">
        <v>9800</v>
      </c>
      <c r="F2027" t="s">
        <v>9527</v>
      </c>
    </row>
    <row r="2028" spans="1:6">
      <c r="A2028" t="s">
        <v>9638</v>
      </c>
      <c r="B2028">
        <v>7839</v>
      </c>
      <c r="C2028" t="s">
        <v>9674</v>
      </c>
      <c r="D2028" t="s">
        <v>9641</v>
      </c>
      <c r="E2028" t="s">
        <v>9800</v>
      </c>
      <c r="F2028" t="s">
        <v>9527</v>
      </c>
    </row>
    <row r="2029" spans="1:6">
      <c r="A2029" t="s">
        <v>9638</v>
      </c>
      <c r="B2029">
        <v>7380</v>
      </c>
      <c r="C2029" t="s">
        <v>9674</v>
      </c>
      <c r="D2029" t="s">
        <v>9641</v>
      </c>
      <c r="E2029" t="s">
        <v>9800</v>
      </c>
      <c r="F2029" t="s">
        <v>9527</v>
      </c>
    </row>
    <row r="2030" spans="1:6">
      <c r="A2030" t="s">
        <v>9638</v>
      </c>
      <c r="B2030">
        <v>7383</v>
      </c>
      <c r="C2030" t="s">
        <v>9674</v>
      </c>
      <c r="D2030" t="s">
        <v>9641</v>
      </c>
      <c r="E2030" t="s">
        <v>9800</v>
      </c>
      <c r="F2030" t="s">
        <v>9527</v>
      </c>
    </row>
    <row r="2031" spans="1:6">
      <c r="A2031" t="s">
        <v>9638</v>
      </c>
      <c r="B2031">
        <v>7160</v>
      </c>
      <c r="C2031" t="s">
        <v>9674</v>
      </c>
      <c r="D2031" t="s">
        <v>9641</v>
      </c>
      <c r="E2031" t="s">
        <v>9800</v>
      </c>
      <c r="F2031" t="s">
        <v>9527</v>
      </c>
    </row>
    <row r="2032" spans="1:6">
      <c r="A2032" t="s">
        <v>9638</v>
      </c>
      <c r="B2032">
        <v>7946</v>
      </c>
      <c r="C2032" t="s">
        <v>9674</v>
      </c>
      <c r="D2032" t="s">
        <v>9641</v>
      </c>
      <c r="E2032" t="s">
        <v>9800</v>
      </c>
      <c r="F2032" t="s">
        <v>9527</v>
      </c>
    </row>
    <row r="2033" spans="1:6">
      <c r="A2033" t="s">
        <v>9638</v>
      </c>
      <c r="B2033">
        <v>7978</v>
      </c>
      <c r="C2033" t="s">
        <v>9674</v>
      </c>
      <c r="D2033" t="s">
        <v>9641</v>
      </c>
      <c r="E2033" t="s">
        <v>9800</v>
      </c>
      <c r="F2033" t="s">
        <v>9527</v>
      </c>
    </row>
    <row r="2034" spans="1:6">
      <c r="A2034" t="s">
        <v>9638</v>
      </c>
      <c r="B2034">
        <v>7944</v>
      </c>
      <c r="C2034" t="s">
        <v>9674</v>
      </c>
      <c r="D2034" t="s">
        <v>9641</v>
      </c>
      <c r="E2034" t="s">
        <v>9800</v>
      </c>
      <c r="F2034" t="s">
        <v>9527</v>
      </c>
    </row>
    <row r="2035" spans="1:6">
      <c r="A2035" t="s">
        <v>9638</v>
      </c>
      <c r="B2035">
        <v>7914</v>
      </c>
      <c r="C2035" t="s">
        <v>9674</v>
      </c>
      <c r="D2035" t="s">
        <v>9641</v>
      </c>
      <c r="E2035" t="s">
        <v>9800</v>
      </c>
      <c r="F2035" t="s">
        <v>9527</v>
      </c>
    </row>
    <row r="2036" spans="1:6">
      <c r="A2036" t="s">
        <v>9638</v>
      </c>
      <c r="B2036">
        <v>7942</v>
      </c>
      <c r="C2036" t="s">
        <v>9674</v>
      </c>
      <c r="D2036" t="s">
        <v>9641</v>
      </c>
      <c r="E2036" t="s">
        <v>9800</v>
      </c>
      <c r="F2036" t="s">
        <v>9527</v>
      </c>
    </row>
    <row r="2037" spans="1:6">
      <c r="A2037" t="s">
        <v>9638</v>
      </c>
      <c r="B2037">
        <v>7376</v>
      </c>
      <c r="C2037" t="s">
        <v>9674</v>
      </c>
      <c r="D2037" t="s">
        <v>9641</v>
      </c>
      <c r="E2037" t="s">
        <v>9800</v>
      </c>
      <c r="F2037" t="s">
        <v>9527</v>
      </c>
    </row>
    <row r="2038" spans="1:6">
      <c r="A2038" t="s">
        <v>9638</v>
      </c>
      <c r="B2038">
        <v>7377</v>
      </c>
      <c r="C2038" t="s">
        <v>9674</v>
      </c>
      <c r="D2038" t="s">
        <v>9641</v>
      </c>
      <c r="E2038" t="s">
        <v>9800</v>
      </c>
      <c r="F2038" t="s">
        <v>9527</v>
      </c>
    </row>
    <row r="2039" spans="1:6">
      <c r="A2039" t="s">
        <v>9638</v>
      </c>
      <c r="B2039">
        <v>7158</v>
      </c>
      <c r="C2039" t="s">
        <v>9674</v>
      </c>
      <c r="D2039" t="s">
        <v>9641</v>
      </c>
      <c r="E2039" t="s">
        <v>9800</v>
      </c>
      <c r="F2039" t="s">
        <v>9527</v>
      </c>
    </row>
    <row r="2040" spans="1:6">
      <c r="A2040" t="s">
        <v>9638</v>
      </c>
      <c r="B2040">
        <v>7979</v>
      </c>
      <c r="C2040" t="s">
        <v>9674</v>
      </c>
      <c r="D2040" t="s">
        <v>9641</v>
      </c>
      <c r="E2040" t="s">
        <v>9800</v>
      </c>
      <c r="F2040" t="s">
        <v>9527</v>
      </c>
    </row>
    <row r="2041" spans="1:6">
      <c r="A2041" t="s">
        <v>9638</v>
      </c>
      <c r="B2041">
        <v>7947</v>
      </c>
      <c r="C2041" t="s">
        <v>9674</v>
      </c>
      <c r="D2041" t="s">
        <v>9641</v>
      </c>
      <c r="E2041" t="s">
        <v>9800</v>
      </c>
      <c r="F2041" t="s">
        <v>9527</v>
      </c>
    </row>
    <row r="2042" spans="1:6">
      <c r="A2042" t="s">
        <v>9638</v>
      </c>
      <c r="B2042">
        <v>5454</v>
      </c>
      <c r="C2042" t="s">
        <v>9674</v>
      </c>
      <c r="D2042" t="s">
        <v>9641</v>
      </c>
      <c r="E2042" t="s">
        <v>9800</v>
      </c>
      <c r="F2042" t="s">
        <v>9527</v>
      </c>
    </row>
    <row r="2043" spans="1:6">
      <c r="A2043" t="s">
        <v>9638</v>
      </c>
      <c r="B2043">
        <v>7945</v>
      </c>
      <c r="C2043" t="s">
        <v>9674</v>
      </c>
      <c r="D2043" t="s">
        <v>9641</v>
      </c>
      <c r="E2043" t="s">
        <v>9800</v>
      </c>
      <c r="F2043" t="s">
        <v>9527</v>
      </c>
    </row>
    <row r="2044" spans="1:6">
      <c r="A2044" t="s">
        <v>9638</v>
      </c>
      <c r="B2044">
        <v>7949</v>
      </c>
      <c r="C2044" t="s">
        <v>9674</v>
      </c>
      <c r="D2044" t="s">
        <v>9641</v>
      </c>
      <c r="E2044" t="s">
        <v>9800</v>
      </c>
      <c r="F2044" t="s">
        <v>9527</v>
      </c>
    </row>
    <row r="2045" spans="1:6">
      <c r="A2045" t="s">
        <v>9638</v>
      </c>
      <c r="B2045">
        <v>5460</v>
      </c>
      <c r="C2045" t="s">
        <v>9674</v>
      </c>
      <c r="D2045" t="s">
        <v>9641</v>
      </c>
      <c r="E2045" t="s">
        <v>9800</v>
      </c>
      <c r="F2045" t="s">
        <v>9527</v>
      </c>
    </row>
    <row r="2046" spans="1:6">
      <c r="A2046" t="s">
        <v>9638</v>
      </c>
      <c r="B2046">
        <v>5466</v>
      </c>
      <c r="C2046" t="s">
        <v>9674</v>
      </c>
      <c r="D2046" t="s">
        <v>9641</v>
      </c>
      <c r="E2046" t="s">
        <v>9800</v>
      </c>
      <c r="F2046" t="s">
        <v>9527</v>
      </c>
    </row>
    <row r="2047" spans="1:6">
      <c r="A2047" t="s">
        <v>9638</v>
      </c>
      <c r="B2047">
        <v>7915</v>
      </c>
      <c r="C2047" t="s">
        <v>9674</v>
      </c>
      <c r="D2047" t="s">
        <v>9641</v>
      </c>
      <c r="E2047" t="s">
        <v>9800</v>
      </c>
      <c r="F2047" t="s">
        <v>9527</v>
      </c>
    </row>
    <row r="2048" spans="1:6">
      <c r="A2048" t="s">
        <v>9638</v>
      </c>
      <c r="B2048">
        <v>7980</v>
      </c>
      <c r="C2048" t="s">
        <v>9674</v>
      </c>
      <c r="D2048" t="s">
        <v>9641</v>
      </c>
      <c r="E2048" t="s">
        <v>9800</v>
      </c>
      <c r="F2048" t="s">
        <v>9527</v>
      </c>
    </row>
    <row r="2049" spans="1:6">
      <c r="A2049" t="s">
        <v>9638</v>
      </c>
      <c r="B2049">
        <v>6630</v>
      </c>
      <c r="C2049" t="s">
        <v>9674</v>
      </c>
      <c r="D2049" t="s">
        <v>9641</v>
      </c>
      <c r="E2049" t="s">
        <v>9800</v>
      </c>
      <c r="F2049" t="s">
        <v>9527</v>
      </c>
    </row>
    <row r="2050" spans="1:6">
      <c r="A2050" t="s">
        <v>9638</v>
      </c>
      <c r="B2050">
        <v>7943</v>
      </c>
      <c r="C2050" t="s">
        <v>9674</v>
      </c>
      <c r="D2050" t="s">
        <v>9641</v>
      </c>
      <c r="E2050" t="s">
        <v>9800</v>
      </c>
      <c r="F2050" t="s">
        <v>9527</v>
      </c>
    </row>
    <row r="2051" spans="1:6">
      <c r="A2051" t="s">
        <v>9638</v>
      </c>
      <c r="B2051">
        <v>7985</v>
      </c>
      <c r="C2051" t="s">
        <v>9674</v>
      </c>
      <c r="D2051" t="s">
        <v>9641</v>
      </c>
      <c r="E2051" t="s">
        <v>9800</v>
      </c>
      <c r="F2051" t="s">
        <v>9527</v>
      </c>
    </row>
    <row r="2052" spans="1:6">
      <c r="A2052" t="s">
        <v>9638</v>
      </c>
      <c r="B2052">
        <v>5462</v>
      </c>
      <c r="C2052" t="s">
        <v>9674</v>
      </c>
      <c r="D2052" t="s">
        <v>9641</v>
      </c>
      <c r="E2052" t="s">
        <v>9800</v>
      </c>
      <c r="F2052" t="s">
        <v>9527</v>
      </c>
    </row>
    <row r="2053" spans="1:6">
      <c r="A2053" t="s">
        <v>9638</v>
      </c>
      <c r="B2053">
        <v>5463</v>
      </c>
      <c r="C2053" t="s">
        <v>9674</v>
      </c>
      <c r="D2053" t="s">
        <v>9641</v>
      </c>
      <c r="E2053" t="s">
        <v>9800</v>
      </c>
      <c r="F2053" t="s">
        <v>9527</v>
      </c>
    </row>
    <row r="2054" spans="1:6">
      <c r="A2054" t="s">
        <v>9638</v>
      </c>
      <c r="B2054">
        <v>5495</v>
      </c>
      <c r="C2054" t="s">
        <v>9674</v>
      </c>
      <c r="D2054" t="s">
        <v>9641</v>
      </c>
      <c r="E2054" t="s">
        <v>9800</v>
      </c>
      <c r="F2054" t="s">
        <v>9527</v>
      </c>
    </row>
    <row r="2055" spans="1:6">
      <c r="A2055" t="s">
        <v>9638</v>
      </c>
      <c r="B2055">
        <v>9307</v>
      </c>
      <c r="C2055" t="s">
        <v>9674</v>
      </c>
      <c r="D2055" t="s">
        <v>9641</v>
      </c>
      <c r="E2055" t="s">
        <v>9800</v>
      </c>
      <c r="F2055" t="s">
        <v>9527</v>
      </c>
    </row>
    <row r="2056" spans="1:6">
      <c r="A2056" t="s">
        <v>9638</v>
      </c>
      <c r="B2056">
        <v>9306</v>
      </c>
      <c r="C2056" t="s">
        <v>9674</v>
      </c>
      <c r="D2056" t="s">
        <v>9641</v>
      </c>
      <c r="E2056" t="s">
        <v>9800</v>
      </c>
      <c r="F2056" t="s">
        <v>9527</v>
      </c>
    </row>
    <row r="2057" spans="1:6">
      <c r="A2057" t="s">
        <v>9638</v>
      </c>
      <c r="B2057">
        <v>8655</v>
      </c>
      <c r="C2057" t="s">
        <v>9674</v>
      </c>
      <c r="D2057" t="s">
        <v>9643</v>
      </c>
      <c r="E2057" t="s">
        <v>9837</v>
      </c>
      <c r="F2057" t="s">
        <v>9527</v>
      </c>
    </row>
    <row r="2058" spans="1:6">
      <c r="A2058" t="s">
        <v>9638</v>
      </c>
      <c r="B2058">
        <v>8836</v>
      </c>
      <c r="C2058" t="s">
        <v>9674</v>
      </c>
      <c r="D2058" t="s">
        <v>9643</v>
      </c>
      <c r="E2058" t="s">
        <v>9837</v>
      </c>
      <c r="F2058" t="s">
        <v>9527</v>
      </c>
    </row>
    <row r="2059" spans="1:6">
      <c r="A2059" t="s">
        <v>9638</v>
      </c>
      <c r="B2059">
        <v>8486</v>
      </c>
      <c r="C2059" t="s">
        <v>9674</v>
      </c>
      <c r="D2059" t="s">
        <v>9643</v>
      </c>
      <c r="E2059" t="s">
        <v>9837</v>
      </c>
      <c r="F2059" t="s">
        <v>9527</v>
      </c>
    </row>
    <row r="2060" spans="1:6">
      <c r="A2060" t="s">
        <v>9638</v>
      </c>
      <c r="B2060">
        <v>8478</v>
      </c>
      <c r="C2060" t="s">
        <v>9674</v>
      </c>
      <c r="D2060" t="s">
        <v>9643</v>
      </c>
      <c r="E2060" t="s">
        <v>9837</v>
      </c>
      <c r="F2060" t="s">
        <v>9527</v>
      </c>
    </row>
    <row r="2061" spans="1:6">
      <c r="A2061" t="s">
        <v>9638</v>
      </c>
      <c r="B2061">
        <v>8479</v>
      </c>
      <c r="C2061" t="s">
        <v>9674</v>
      </c>
      <c r="D2061" t="s">
        <v>9643</v>
      </c>
      <c r="E2061" t="s">
        <v>9837</v>
      </c>
      <c r="F2061" t="s">
        <v>9527</v>
      </c>
    </row>
    <row r="2062" spans="1:6">
      <c r="A2062" t="s">
        <v>9638</v>
      </c>
      <c r="B2062">
        <v>8480</v>
      </c>
      <c r="C2062" t="s">
        <v>9674</v>
      </c>
      <c r="D2062" t="s">
        <v>9643</v>
      </c>
      <c r="E2062" t="s">
        <v>9837</v>
      </c>
      <c r="F2062" t="s">
        <v>9527</v>
      </c>
    </row>
    <row r="2063" spans="1:6">
      <c r="A2063" t="s">
        <v>9638</v>
      </c>
      <c r="B2063">
        <v>8482</v>
      </c>
      <c r="C2063" t="s">
        <v>9674</v>
      </c>
      <c r="D2063" t="s">
        <v>9643</v>
      </c>
      <c r="E2063" t="s">
        <v>9837</v>
      </c>
      <c r="F2063" t="s">
        <v>9527</v>
      </c>
    </row>
    <row r="2064" spans="1:6">
      <c r="A2064" t="s">
        <v>9638</v>
      </c>
      <c r="B2064">
        <v>8487</v>
      </c>
      <c r="C2064" t="s">
        <v>9674</v>
      </c>
      <c r="D2064" t="s">
        <v>9643</v>
      </c>
      <c r="E2064" t="s">
        <v>9837</v>
      </c>
      <c r="F2064" t="s">
        <v>9527</v>
      </c>
    </row>
    <row r="2065" spans="1:6">
      <c r="A2065" t="s">
        <v>9638</v>
      </c>
      <c r="B2065">
        <v>8485</v>
      </c>
      <c r="C2065" t="s">
        <v>9674</v>
      </c>
      <c r="D2065" t="s">
        <v>9643</v>
      </c>
      <c r="E2065" t="s">
        <v>9837</v>
      </c>
      <c r="F2065" t="s">
        <v>9527</v>
      </c>
    </row>
    <row r="2066" spans="1:6">
      <c r="A2066" t="s">
        <v>9638</v>
      </c>
      <c r="B2066">
        <v>8490</v>
      </c>
      <c r="C2066" t="s">
        <v>9674</v>
      </c>
      <c r="D2066" t="s">
        <v>9643</v>
      </c>
      <c r="E2066" t="s">
        <v>9837</v>
      </c>
      <c r="F2066" t="s">
        <v>9527</v>
      </c>
    </row>
    <row r="2067" spans="1:6">
      <c r="A2067" t="s">
        <v>9638</v>
      </c>
      <c r="B2067">
        <v>8645</v>
      </c>
      <c r="C2067" t="s">
        <v>9674</v>
      </c>
      <c r="D2067" t="s">
        <v>9643</v>
      </c>
      <c r="E2067" t="s">
        <v>9837</v>
      </c>
      <c r="F2067" t="s">
        <v>9527</v>
      </c>
    </row>
    <row r="2068" spans="1:6">
      <c r="A2068" t="s">
        <v>9638</v>
      </c>
      <c r="B2068">
        <v>8646</v>
      </c>
      <c r="C2068" t="s">
        <v>9674</v>
      </c>
      <c r="D2068" t="s">
        <v>9643</v>
      </c>
      <c r="E2068" t="s">
        <v>9837</v>
      </c>
      <c r="F2068" t="s">
        <v>9527</v>
      </c>
    </row>
    <row r="2069" spans="1:6">
      <c r="A2069" t="s">
        <v>9638</v>
      </c>
      <c r="B2069">
        <v>8647</v>
      </c>
      <c r="C2069" t="s">
        <v>9674</v>
      </c>
      <c r="D2069" t="s">
        <v>9643</v>
      </c>
      <c r="E2069" t="s">
        <v>9837</v>
      </c>
      <c r="F2069" t="s">
        <v>9527</v>
      </c>
    </row>
    <row r="2070" spans="1:6">
      <c r="A2070" t="s">
        <v>9638</v>
      </c>
      <c r="B2070">
        <v>8649</v>
      </c>
      <c r="C2070" t="s">
        <v>9674</v>
      </c>
      <c r="D2070" t="s">
        <v>9643</v>
      </c>
      <c r="E2070" t="s">
        <v>9837</v>
      </c>
      <c r="F2070" t="s">
        <v>9527</v>
      </c>
    </row>
    <row r="2071" spans="1:6">
      <c r="A2071" t="s">
        <v>9638</v>
      </c>
      <c r="B2071">
        <v>8488</v>
      </c>
      <c r="C2071" t="s">
        <v>9674</v>
      </c>
      <c r="D2071" t="s">
        <v>9643</v>
      </c>
      <c r="E2071" t="s">
        <v>9837</v>
      </c>
      <c r="F2071" t="s">
        <v>9527</v>
      </c>
    </row>
    <row r="2072" spans="1:6">
      <c r="A2072" t="s">
        <v>9638</v>
      </c>
      <c r="B2072">
        <v>8648</v>
      </c>
      <c r="C2072" t="s">
        <v>9674</v>
      </c>
      <c r="D2072" t="s">
        <v>9643</v>
      </c>
      <c r="E2072" t="s">
        <v>9837</v>
      </c>
      <c r="F2072" t="s">
        <v>9527</v>
      </c>
    </row>
    <row r="2073" spans="1:6">
      <c r="A2073" t="s">
        <v>9638</v>
      </c>
      <c r="B2073">
        <v>8671</v>
      </c>
      <c r="C2073" t="s">
        <v>9674</v>
      </c>
      <c r="D2073" t="s">
        <v>9643</v>
      </c>
      <c r="E2073" t="s">
        <v>9837</v>
      </c>
      <c r="F2073" t="s">
        <v>9527</v>
      </c>
    </row>
    <row r="2074" spans="1:6">
      <c r="A2074" t="s">
        <v>9638</v>
      </c>
      <c r="B2074">
        <v>8841</v>
      </c>
      <c r="C2074" t="s">
        <v>9674</v>
      </c>
      <c r="D2074" t="s">
        <v>9643</v>
      </c>
      <c r="E2074" t="s">
        <v>9837</v>
      </c>
      <c r="F2074" t="s">
        <v>9527</v>
      </c>
    </row>
    <row r="2075" spans="1:6">
      <c r="A2075" t="s">
        <v>9638</v>
      </c>
      <c r="B2075">
        <v>8672</v>
      </c>
      <c r="C2075" t="s">
        <v>9674</v>
      </c>
      <c r="D2075" t="s">
        <v>9643</v>
      </c>
      <c r="E2075" t="s">
        <v>9837</v>
      </c>
      <c r="F2075" t="s">
        <v>9527</v>
      </c>
    </row>
    <row r="2076" spans="1:6">
      <c r="A2076" t="s">
        <v>9638</v>
      </c>
      <c r="B2076">
        <v>8673</v>
      </c>
      <c r="C2076" t="s">
        <v>9674</v>
      </c>
      <c r="D2076" t="s">
        <v>9643</v>
      </c>
      <c r="E2076" t="s">
        <v>9837</v>
      </c>
      <c r="F2076" t="s">
        <v>9527</v>
      </c>
    </row>
    <row r="2077" spans="1:6">
      <c r="A2077" t="s">
        <v>9638</v>
      </c>
      <c r="B2077">
        <v>8489</v>
      </c>
      <c r="C2077" t="s">
        <v>9674</v>
      </c>
      <c r="D2077" t="s">
        <v>9643</v>
      </c>
      <c r="E2077" t="s">
        <v>9837</v>
      </c>
      <c r="F2077" t="s">
        <v>9527</v>
      </c>
    </row>
    <row r="2078" spans="1:6">
      <c r="A2078" t="s">
        <v>9638</v>
      </c>
      <c r="B2078">
        <v>8491</v>
      </c>
      <c r="C2078" t="s">
        <v>9674</v>
      </c>
      <c r="D2078" t="s">
        <v>9643</v>
      </c>
      <c r="E2078" t="s">
        <v>9837</v>
      </c>
      <c r="F2078" t="s">
        <v>9527</v>
      </c>
    </row>
    <row r="2079" spans="1:6">
      <c r="A2079" t="s">
        <v>9638</v>
      </c>
      <c r="B2079">
        <v>8849</v>
      </c>
      <c r="C2079" t="s">
        <v>9674</v>
      </c>
      <c r="D2079" t="s">
        <v>9643</v>
      </c>
      <c r="E2079" t="s">
        <v>9837</v>
      </c>
      <c r="F2079" t="s">
        <v>9527</v>
      </c>
    </row>
    <row r="2080" spans="1:6">
      <c r="A2080" t="s">
        <v>9638</v>
      </c>
      <c r="B2080">
        <v>7969</v>
      </c>
      <c r="C2080" t="s">
        <v>9674</v>
      </c>
      <c r="D2080" t="s">
        <v>9643</v>
      </c>
      <c r="E2080" t="s">
        <v>9837</v>
      </c>
      <c r="F2080" t="s">
        <v>9527</v>
      </c>
    </row>
    <row r="2081" spans="1:6">
      <c r="A2081" t="s">
        <v>9638</v>
      </c>
      <c r="B2081">
        <v>8654</v>
      </c>
      <c r="C2081" t="s">
        <v>9674</v>
      </c>
      <c r="D2081" t="s">
        <v>9643</v>
      </c>
      <c r="E2081" t="s">
        <v>9837</v>
      </c>
      <c r="F2081" t="s">
        <v>9527</v>
      </c>
    </row>
    <row r="2082" spans="1:6">
      <c r="A2082" t="s">
        <v>9638</v>
      </c>
      <c r="B2082">
        <v>8675</v>
      </c>
      <c r="C2082" t="s">
        <v>9674</v>
      </c>
      <c r="D2082" t="s">
        <v>9643</v>
      </c>
      <c r="E2082" t="s">
        <v>9837</v>
      </c>
      <c r="F2082" t="s">
        <v>9527</v>
      </c>
    </row>
    <row r="2083" spans="1:6">
      <c r="A2083" t="s">
        <v>9638</v>
      </c>
      <c r="B2083">
        <v>8847</v>
      </c>
      <c r="C2083" t="s">
        <v>9674</v>
      </c>
      <c r="D2083" t="s">
        <v>9643</v>
      </c>
      <c r="E2083" t="s">
        <v>9837</v>
      </c>
      <c r="F2083" t="s">
        <v>9527</v>
      </c>
    </row>
    <row r="2084" spans="1:6">
      <c r="A2084" t="s">
        <v>9638</v>
      </c>
      <c r="B2084">
        <v>8840</v>
      </c>
      <c r="C2084" t="s">
        <v>9674</v>
      </c>
      <c r="D2084" t="s">
        <v>9643</v>
      </c>
      <c r="E2084" t="s">
        <v>9837</v>
      </c>
      <c r="F2084" t="s">
        <v>9527</v>
      </c>
    </row>
    <row r="2085" spans="1:6">
      <c r="A2085" t="s">
        <v>9638</v>
      </c>
      <c r="B2085">
        <v>8834</v>
      </c>
      <c r="C2085" t="s">
        <v>9674</v>
      </c>
      <c r="D2085" t="s">
        <v>9643</v>
      </c>
      <c r="E2085" t="s">
        <v>9837</v>
      </c>
      <c r="F2085" t="s">
        <v>9527</v>
      </c>
    </row>
    <row r="2086" spans="1:6">
      <c r="A2086" t="s">
        <v>9638</v>
      </c>
      <c r="B2086">
        <v>4348</v>
      </c>
      <c r="C2086" t="s">
        <v>9674</v>
      </c>
      <c r="D2086" t="s">
        <v>9643</v>
      </c>
      <c r="E2086" t="s">
        <v>9837</v>
      </c>
      <c r="F2086" t="s">
        <v>9527</v>
      </c>
    </row>
    <row r="2087" spans="1:6">
      <c r="A2087" t="s">
        <v>9638</v>
      </c>
      <c r="B2087">
        <v>4253</v>
      </c>
      <c r="C2087" t="s">
        <v>9674</v>
      </c>
      <c r="D2087" t="s">
        <v>9643</v>
      </c>
      <c r="E2087" t="s">
        <v>9837</v>
      </c>
      <c r="F2087" t="s">
        <v>9527</v>
      </c>
    </row>
    <row r="2088" spans="1:6">
      <c r="A2088" t="s">
        <v>9638</v>
      </c>
      <c r="B2088">
        <v>2582</v>
      </c>
      <c r="C2088" t="s">
        <v>9674</v>
      </c>
      <c r="D2088" t="s">
        <v>9643</v>
      </c>
      <c r="E2088" t="s">
        <v>9837</v>
      </c>
      <c r="F2088" t="s">
        <v>9527</v>
      </c>
    </row>
    <row r="2089" spans="1:6">
      <c r="A2089" t="s">
        <v>9638</v>
      </c>
      <c r="B2089">
        <v>5457</v>
      </c>
      <c r="C2089" t="s">
        <v>9674</v>
      </c>
      <c r="D2089" t="s">
        <v>9643</v>
      </c>
      <c r="E2089" t="s">
        <v>9837</v>
      </c>
      <c r="F2089" t="s">
        <v>9527</v>
      </c>
    </row>
    <row r="2090" spans="1:6">
      <c r="A2090" t="s">
        <v>9638</v>
      </c>
      <c r="B2090">
        <v>4347</v>
      </c>
      <c r="C2090" t="s">
        <v>9674</v>
      </c>
      <c r="D2090" t="s">
        <v>9643</v>
      </c>
      <c r="E2090" t="s">
        <v>9837</v>
      </c>
      <c r="F2090" t="s">
        <v>9527</v>
      </c>
    </row>
    <row r="2091" spans="1:6">
      <c r="A2091" t="s">
        <v>9638</v>
      </c>
      <c r="B2091">
        <v>4362</v>
      </c>
      <c r="C2091" t="s">
        <v>9674</v>
      </c>
      <c r="D2091" t="s">
        <v>9643</v>
      </c>
      <c r="E2091" t="s">
        <v>9837</v>
      </c>
      <c r="F2091" t="s">
        <v>9527</v>
      </c>
    </row>
    <row r="2092" spans="1:6">
      <c r="A2092" t="s">
        <v>9638</v>
      </c>
      <c r="B2092">
        <v>4363</v>
      </c>
      <c r="C2092" t="s">
        <v>9674</v>
      </c>
      <c r="D2092" t="s">
        <v>9643</v>
      </c>
      <c r="E2092" t="s">
        <v>9837</v>
      </c>
      <c r="F2092" t="s">
        <v>9527</v>
      </c>
    </row>
    <row r="2093" spans="1:6">
      <c r="A2093" t="s">
        <v>9638</v>
      </c>
      <c r="B2093">
        <v>4367</v>
      </c>
      <c r="C2093" t="s">
        <v>9674</v>
      </c>
      <c r="D2093" t="s">
        <v>9643</v>
      </c>
      <c r="E2093" t="s">
        <v>9837</v>
      </c>
      <c r="F2093" t="s">
        <v>9527</v>
      </c>
    </row>
    <row r="2094" spans="1:6">
      <c r="A2094" t="s">
        <v>9638</v>
      </c>
      <c r="B2094">
        <v>4368</v>
      </c>
      <c r="C2094" t="s">
        <v>9674</v>
      </c>
      <c r="D2094" t="s">
        <v>9643</v>
      </c>
      <c r="E2094" t="s">
        <v>9837</v>
      </c>
      <c r="F2094" t="s">
        <v>9527</v>
      </c>
    </row>
    <row r="2095" spans="1:6">
      <c r="A2095" t="s">
        <v>9638</v>
      </c>
      <c r="B2095">
        <v>7327</v>
      </c>
      <c r="C2095" t="s">
        <v>9674</v>
      </c>
      <c r="D2095" t="s">
        <v>9643</v>
      </c>
      <c r="E2095" t="s">
        <v>9837</v>
      </c>
      <c r="F2095" t="s">
        <v>9527</v>
      </c>
    </row>
    <row r="2096" spans="1:6">
      <c r="A2096" t="s">
        <v>9638</v>
      </c>
      <c r="B2096">
        <v>7328</v>
      </c>
      <c r="C2096" t="s">
        <v>9674</v>
      </c>
      <c r="D2096" t="s">
        <v>9643</v>
      </c>
      <c r="E2096" t="s">
        <v>9837</v>
      </c>
      <c r="F2096" t="s">
        <v>9527</v>
      </c>
    </row>
    <row r="2097" spans="1:6">
      <c r="A2097" t="s">
        <v>9638</v>
      </c>
      <c r="B2097">
        <v>4365</v>
      </c>
      <c r="C2097" t="s">
        <v>9674</v>
      </c>
      <c r="D2097" t="s">
        <v>9643</v>
      </c>
      <c r="E2097" t="s">
        <v>9837</v>
      </c>
      <c r="F2097" t="s">
        <v>9527</v>
      </c>
    </row>
    <row r="2098" spans="1:6">
      <c r="A2098" t="s">
        <v>9638</v>
      </c>
      <c r="B2098">
        <v>4364</v>
      </c>
      <c r="C2098" t="s">
        <v>9674</v>
      </c>
      <c r="D2098" t="s">
        <v>9643</v>
      </c>
      <c r="E2098" t="s">
        <v>9837</v>
      </c>
      <c r="F2098" t="s">
        <v>9527</v>
      </c>
    </row>
    <row r="2099" spans="1:6">
      <c r="A2099" t="s">
        <v>9638</v>
      </c>
      <c r="B2099">
        <v>4194</v>
      </c>
      <c r="C2099" t="s">
        <v>9674</v>
      </c>
      <c r="D2099" t="s">
        <v>9643</v>
      </c>
      <c r="E2099" t="s">
        <v>9837</v>
      </c>
      <c r="F2099" t="s">
        <v>9527</v>
      </c>
    </row>
    <row r="2100" spans="1:6">
      <c r="A2100" t="s">
        <v>9638</v>
      </c>
      <c r="B2100">
        <v>4190</v>
      </c>
      <c r="C2100" t="s">
        <v>9674</v>
      </c>
      <c r="D2100" t="s">
        <v>9643</v>
      </c>
      <c r="E2100" t="s">
        <v>9837</v>
      </c>
      <c r="F2100" t="s">
        <v>9527</v>
      </c>
    </row>
    <row r="2101" spans="1:6">
      <c r="A2101" t="s">
        <v>9638</v>
      </c>
      <c r="B2101">
        <v>4251</v>
      </c>
      <c r="C2101" t="s">
        <v>9674</v>
      </c>
      <c r="D2101" t="s">
        <v>9643</v>
      </c>
      <c r="E2101" t="s">
        <v>9837</v>
      </c>
      <c r="F2101" t="s">
        <v>9527</v>
      </c>
    </row>
    <row r="2102" spans="1:6">
      <c r="A2102" t="s">
        <v>9638</v>
      </c>
      <c r="B2102">
        <v>4252</v>
      </c>
      <c r="C2102" t="s">
        <v>9674</v>
      </c>
      <c r="D2102" t="s">
        <v>9643</v>
      </c>
      <c r="E2102" t="s">
        <v>9837</v>
      </c>
      <c r="F2102" t="s">
        <v>9527</v>
      </c>
    </row>
    <row r="2103" spans="1:6">
      <c r="A2103" t="s">
        <v>9638</v>
      </c>
      <c r="B2103">
        <v>2583</v>
      </c>
      <c r="C2103" t="s">
        <v>9674</v>
      </c>
      <c r="D2103" t="s">
        <v>9643</v>
      </c>
      <c r="E2103" t="s">
        <v>9837</v>
      </c>
      <c r="F2103" t="s">
        <v>9527</v>
      </c>
    </row>
    <row r="2104" spans="1:6">
      <c r="A2104" t="s">
        <v>9638</v>
      </c>
      <c r="B2104">
        <v>5458</v>
      </c>
      <c r="C2104" t="s">
        <v>9674</v>
      </c>
      <c r="D2104" t="s">
        <v>9643</v>
      </c>
      <c r="E2104" t="s">
        <v>9837</v>
      </c>
      <c r="F2104" t="s">
        <v>9527</v>
      </c>
    </row>
    <row r="2105" spans="1:6">
      <c r="A2105" t="s">
        <v>9638</v>
      </c>
      <c r="B2105">
        <v>7382</v>
      </c>
      <c r="C2105" t="s">
        <v>9674</v>
      </c>
      <c r="D2105" t="s">
        <v>9643</v>
      </c>
      <c r="E2105" t="s">
        <v>9837</v>
      </c>
      <c r="F2105" t="s">
        <v>9527</v>
      </c>
    </row>
    <row r="2106" spans="1:6">
      <c r="A2106" t="s">
        <v>9638</v>
      </c>
      <c r="B2106">
        <v>4192</v>
      </c>
      <c r="C2106" t="s">
        <v>9674</v>
      </c>
      <c r="D2106" t="s">
        <v>9643</v>
      </c>
      <c r="E2106" t="s">
        <v>9837</v>
      </c>
      <c r="F2106" t="s">
        <v>9527</v>
      </c>
    </row>
    <row r="2107" spans="1:6">
      <c r="A2107" t="s">
        <v>9638</v>
      </c>
      <c r="B2107">
        <v>4193</v>
      </c>
      <c r="C2107" t="s">
        <v>9674</v>
      </c>
      <c r="D2107" t="s">
        <v>9643</v>
      </c>
      <c r="E2107" t="s">
        <v>9837</v>
      </c>
      <c r="F2107" t="s">
        <v>9527</v>
      </c>
    </row>
    <row r="2108" spans="1:6">
      <c r="A2108" t="s">
        <v>9638</v>
      </c>
      <c r="B2108">
        <v>7973</v>
      </c>
      <c r="C2108" t="s">
        <v>9674</v>
      </c>
      <c r="D2108" t="s">
        <v>9643</v>
      </c>
      <c r="E2108" t="s">
        <v>9837</v>
      </c>
      <c r="F2108" t="s">
        <v>9527</v>
      </c>
    </row>
    <row r="2109" spans="1:6">
      <c r="A2109" t="s">
        <v>9638</v>
      </c>
      <c r="B2109">
        <v>7975</v>
      </c>
      <c r="C2109" t="s">
        <v>9674</v>
      </c>
      <c r="D2109" t="s">
        <v>9643</v>
      </c>
      <c r="E2109" t="s">
        <v>9837</v>
      </c>
      <c r="F2109" t="s">
        <v>9527</v>
      </c>
    </row>
    <row r="2110" spans="1:6">
      <c r="A2110" t="s">
        <v>9638</v>
      </c>
      <c r="B2110">
        <v>7974</v>
      </c>
      <c r="C2110" t="s">
        <v>9674</v>
      </c>
      <c r="D2110" t="s">
        <v>9643</v>
      </c>
      <c r="E2110" t="s">
        <v>9837</v>
      </c>
      <c r="F2110" t="s">
        <v>9527</v>
      </c>
    </row>
    <row r="2111" spans="1:6">
      <c r="A2111" t="s">
        <v>9638</v>
      </c>
      <c r="B2111">
        <v>7976</v>
      </c>
      <c r="C2111" t="s">
        <v>9674</v>
      </c>
      <c r="D2111" t="s">
        <v>9643</v>
      </c>
      <c r="E2111" t="s">
        <v>9837</v>
      </c>
      <c r="F2111" t="s">
        <v>9527</v>
      </c>
    </row>
    <row r="2112" spans="1:6">
      <c r="A2112" t="s">
        <v>9638</v>
      </c>
      <c r="B2112">
        <v>7836</v>
      </c>
      <c r="C2112" t="s">
        <v>9674</v>
      </c>
      <c r="D2112" t="s">
        <v>9643</v>
      </c>
      <c r="E2112" t="s">
        <v>9837</v>
      </c>
      <c r="F2112" t="s">
        <v>9527</v>
      </c>
    </row>
    <row r="2113" spans="1:6">
      <c r="A2113" t="s">
        <v>9638</v>
      </c>
      <c r="B2113">
        <v>7837</v>
      </c>
      <c r="C2113" t="s">
        <v>9674</v>
      </c>
      <c r="D2113" t="s">
        <v>9643</v>
      </c>
      <c r="E2113" t="s">
        <v>9837</v>
      </c>
      <c r="F2113" t="s">
        <v>9527</v>
      </c>
    </row>
    <row r="2114" spans="1:6">
      <c r="A2114" t="s">
        <v>9638</v>
      </c>
      <c r="B2114">
        <v>7379</v>
      </c>
      <c r="C2114" t="s">
        <v>9674</v>
      </c>
      <c r="D2114" t="s">
        <v>9643</v>
      </c>
      <c r="E2114" t="s">
        <v>9837</v>
      </c>
      <c r="F2114" t="s">
        <v>9527</v>
      </c>
    </row>
    <row r="2115" spans="1:6">
      <c r="A2115" t="s">
        <v>9638</v>
      </c>
      <c r="B2115">
        <v>7378</v>
      </c>
      <c r="C2115" t="s">
        <v>9674</v>
      </c>
      <c r="D2115" t="s">
        <v>9643</v>
      </c>
      <c r="E2115" t="s">
        <v>9837</v>
      </c>
      <c r="F2115" t="s">
        <v>9527</v>
      </c>
    </row>
    <row r="2116" spans="1:6">
      <c r="A2116" t="s">
        <v>9638</v>
      </c>
      <c r="B2116">
        <v>7948</v>
      </c>
      <c r="C2116" t="s">
        <v>9674</v>
      </c>
      <c r="D2116" t="s">
        <v>9643</v>
      </c>
      <c r="E2116" t="s">
        <v>9837</v>
      </c>
      <c r="F2116" t="s">
        <v>9527</v>
      </c>
    </row>
    <row r="2117" spans="1:6">
      <c r="A2117" t="s">
        <v>9638</v>
      </c>
      <c r="B2117">
        <v>7940</v>
      </c>
      <c r="C2117" t="s">
        <v>9674</v>
      </c>
      <c r="D2117" t="s">
        <v>9643</v>
      </c>
      <c r="E2117" t="s">
        <v>9837</v>
      </c>
      <c r="F2117" t="s">
        <v>9527</v>
      </c>
    </row>
    <row r="2118" spans="1:6">
      <c r="A2118" t="s">
        <v>9638</v>
      </c>
      <c r="B2118">
        <v>7941</v>
      </c>
      <c r="C2118" t="s">
        <v>9674</v>
      </c>
      <c r="D2118" t="s">
        <v>9643</v>
      </c>
      <c r="E2118" t="s">
        <v>9837</v>
      </c>
      <c r="F2118" t="s">
        <v>9527</v>
      </c>
    </row>
    <row r="2119" spans="1:6">
      <c r="A2119" t="s">
        <v>9638</v>
      </c>
      <c r="B2119">
        <v>7984</v>
      </c>
      <c r="C2119" t="s">
        <v>9674</v>
      </c>
      <c r="D2119" t="s">
        <v>9643</v>
      </c>
      <c r="E2119" t="s">
        <v>9837</v>
      </c>
      <c r="F2119" t="s">
        <v>9527</v>
      </c>
    </row>
    <row r="2120" spans="1:6">
      <c r="A2120" t="s">
        <v>9638</v>
      </c>
      <c r="B2120">
        <v>1723</v>
      </c>
      <c r="C2120" t="s">
        <v>9674</v>
      </c>
      <c r="D2120" t="s">
        <v>9643</v>
      </c>
      <c r="E2120" t="s">
        <v>9837</v>
      </c>
      <c r="F2120" t="s">
        <v>9527</v>
      </c>
    </row>
    <row r="2121" spans="1:6">
      <c r="A2121" t="s">
        <v>9627</v>
      </c>
      <c r="B2121">
        <v>1911</v>
      </c>
      <c r="C2121" t="s">
        <v>9674</v>
      </c>
      <c r="D2121" t="s">
        <v>9625</v>
      </c>
      <c r="E2121" t="s">
        <v>9832</v>
      </c>
      <c r="F2121" t="s">
        <v>9545</v>
      </c>
    </row>
    <row r="2122" spans="1:6">
      <c r="A2122" t="s">
        <v>9627</v>
      </c>
      <c r="B2122">
        <v>7809</v>
      </c>
      <c r="C2122" t="s">
        <v>9674</v>
      </c>
      <c r="D2122" t="s">
        <v>9625</v>
      </c>
      <c r="E2122" t="s">
        <v>9832</v>
      </c>
      <c r="F2122" t="s">
        <v>9545</v>
      </c>
    </row>
    <row r="2123" spans="1:6">
      <c r="A2123" t="s">
        <v>9627</v>
      </c>
      <c r="B2123">
        <v>7870</v>
      </c>
      <c r="C2123" t="s">
        <v>9674</v>
      </c>
      <c r="D2123" t="s">
        <v>9625</v>
      </c>
      <c r="E2123" t="s">
        <v>9832</v>
      </c>
      <c r="F2123" t="s">
        <v>9545</v>
      </c>
    </row>
    <row r="2124" spans="1:6">
      <c r="A2124" t="s">
        <v>9627</v>
      </c>
      <c r="B2124">
        <v>7871</v>
      </c>
      <c r="C2124" t="s">
        <v>9674</v>
      </c>
      <c r="D2124" t="s">
        <v>9625</v>
      </c>
      <c r="E2124" t="s">
        <v>9832</v>
      </c>
      <c r="F2124" t="s">
        <v>9545</v>
      </c>
    </row>
    <row r="2125" spans="1:6">
      <c r="A2125" t="s">
        <v>9627</v>
      </c>
      <c r="B2125">
        <v>7872</v>
      </c>
      <c r="C2125" t="s">
        <v>9674</v>
      </c>
      <c r="D2125" t="s">
        <v>9625</v>
      </c>
      <c r="E2125" t="s">
        <v>9832</v>
      </c>
      <c r="F2125" t="s">
        <v>9545</v>
      </c>
    </row>
    <row r="2126" spans="1:6">
      <c r="A2126" t="s">
        <v>9627</v>
      </c>
      <c r="B2126">
        <v>7873</v>
      </c>
      <c r="C2126" t="s">
        <v>9674</v>
      </c>
      <c r="D2126" t="s">
        <v>9625</v>
      </c>
      <c r="E2126" t="s">
        <v>9832</v>
      </c>
      <c r="F2126" t="s">
        <v>9545</v>
      </c>
    </row>
    <row r="2127" spans="1:6">
      <c r="A2127" t="s">
        <v>9627</v>
      </c>
      <c r="B2127">
        <v>7875</v>
      </c>
      <c r="C2127" t="s">
        <v>9674</v>
      </c>
      <c r="D2127" t="s">
        <v>9625</v>
      </c>
      <c r="E2127" t="s">
        <v>9832</v>
      </c>
      <c r="F2127" t="s">
        <v>9545</v>
      </c>
    </row>
    <row r="2128" spans="1:6">
      <c r="A2128" t="s">
        <v>9627</v>
      </c>
      <c r="B2128">
        <v>7901</v>
      </c>
      <c r="C2128" t="s">
        <v>9674</v>
      </c>
      <c r="D2128" t="s">
        <v>9625</v>
      </c>
      <c r="E2128" t="s">
        <v>9832</v>
      </c>
      <c r="F2128" t="s">
        <v>9545</v>
      </c>
    </row>
    <row r="2129" spans="1:6">
      <c r="A2129" t="s">
        <v>9627</v>
      </c>
      <c r="B2129">
        <v>7902</v>
      </c>
      <c r="C2129" t="s">
        <v>9674</v>
      </c>
      <c r="D2129" t="s">
        <v>9625</v>
      </c>
      <c r="E2129" t="s">
        <v>9832</v>
      </c>
      <c r="F2129" t="s">
        <v>9545</v>
      </c>
    </row>
    <row r="2130" spans="1:6">
      <c r="A2130" t="s">
        <v>9627</v>
      </c>
      <c r="B2130">
        <v>7967</v>
      </c>
      <c r="C2130" t="s">
        <v>9674</v>
      </c>
      <c r="D2130" t="s">
        <v>9625</v>
      </c>
      <c r="E2130" t="s">
        <v>9832</v>
      </c>
      <c r="F2130" t="s">
        <v>9545</v>
      </c>
    </row>
    <row r="2131" spans="1:6">
      <c r="A2131" t="s">
        <v>9627</v>
      </c>
      <c r="B2131">
        <v>7971</v>
      </c>
      <c r="C2131" t="s">
        <v>9674</v>
      </c>
      <c r="D2131" t="s">
        <v>9625</v>
      </c>
      <c r="E2131" t="s">
        <v>9832</v>
      </c>
      <c r="F2131" t="s">
        <v>9545</v>
      </c>
    </row>
    <row r="2132" spans="1:6">
      <c r="A2132" t="s">
        <v>9627</v>
      </c>
      <c r="B2132">
        <v>7972</v>
      </c>
      <c r="C2132" t="s">
        <v>9674</v>
      </c>
      <c r="D2132" t="s">
        <v>9625</v>
      </c>
      <c r="E2132" t="s">
        <v>9832</v>
      </c>
      <c r="F2132" t="s">
        <v>9545</v>
      </c>
    </row>
    <row r="2133" spans="1:6">
      <c r="A2133" t="s">
        <v>9627</v>
      </c>
      <c r="B2133">
        <v>7981</v>
      </c>
      <c r="C2133" t="s">
        <v>9674</v>
      </c>
      <c r="D2133" t="s">
        <v>9625</v>
      </c>
      <c r="E2133" t="s">
        <v>9832</v>
      </c>
      <c r="F2133" t="s">
        <v>9545</v>
      </c>
    </row>
    <row r="2134" spans="1:6">
      <c r="A2134" t="s">
        <v>9627</v>
      </c>
      <c r="B2134">
        <v>7995</v>
      </c>
      <c r="C2134" t="s">
        <v>9674</v>
      </c>
      <c r="D2134" t="s">
        <v>9625</v>
      </c>
      <c r="E2134" t="s">
        <v>9832</v>
      </c>
      <c r="F2134" t="s">
        <v>9545</v>
      </c>
    </row>
    <row r="2135" spans="1:6">
      <c r="A2135" t="s">
        <v>9627</v>
      </c>
      <c r="B2135">
        <v>7996</v>
      </c>
      <c r="C2135" t="s">
        <v>9674</v>
      </c>
      <c r="D2135" t="s">
        <v>9625</v>
      </c>
      <c r="E2135" t="s">
        <v>9832</v>
      </c>
      <c r="F2135" t="s">
        <v>9545</v>
      </c>
    </row>
    <row r="2136" spans="1:6">
      <c r="A2136" t="s">
        <v>9627</v>
      </c>
      <c r="B2136">
        <v>8014</v>
      </c>
      <c r="C2136" t="s">
        <v>9674</v>
      </c>
      <c r="D2136" t="s">
        <v>9625</v>
      </c>
      <c r="E2136" t="s">
        <v>9832</v>
      </c>
      <c r="F2136" t="s">
        <v>9545</v>
      </c>
    </row>
    <row r="2137" spans="1:6">
      <c r="A2137" t="s">
        <v>9627</v>
      </c>
      <c r="B2137">
        <v>8028</v>
      </c>
      <c r="C2137" t="s">
        <v>9674</v>
      </c>
      <c r="D2137" t="s">
        <v>9625</v>
      </c>
      <c r="E2137" t="s">
        <v>9832</v>
      </c>
      <c r="F2137" t="s">
        <v>9545</v>
      </c>
    </row>
    <row r="2138" spans="1:6">
      <c r="A2138" t="s">
        <v>9627</v>
      </c>
      <c r="B2138">
        <v>8038</v>
      </c>
      <c r="C2138" t="s">
        <v>9674</v>
      </c>
      <c r="D2138" t="s">
        <v>9625</v>
      </c>
      <c r="E2138" t="s">
        <v>9832</v>
      </c>
      <c r="F2138" t="s">
        <v>9545</v>
      </c>
    </row>
    <row r="2139" spans="1:6">
      <c r="A2139" t="s">
        <v>9627</v>
      </c>
      <c r="B2139">
        <v>8667</v>
      </c>
      <c r="C2139" t="s">
        <v>9674</v>
      </c>
      <c r="D2139" t="s">
        <v>9625</v>
      </c>
      <c r="E2139" t="s">
        <v>9832</v>
      </c>
      <c r="F2139" t="s">
        <v>9545</v>
      </c>
    </row>
    <row r="2140" spans="1:6">
      <c r="A2140" t="s">
        <v>9627</v>
      </c>
      <c r="B2140">
        <v>8677</v>
      </c>
      <c r="C2140" t="s">
        <v>9674</v>
      </c>
      <c r="D2140" t="s">
        <v>9625</v>
      </c>
      <c r="E2140" t="s">
        <v>9832</v>
      </c>
      <c r="F2140" t="s">
        <v>9545</v>
      </c>
    </row>
    <row r="2141" spans="1:6">
      <c r="A2141" t="s">
        <v>9627</v>
      </c>
      <c r="B2141">
        <v>8678</v>
      </c>
      <c r="C2141" t="s">
        <v>9674</v>
      </c>
      <c r="D2141" t="s">
        <v>9625</v>
      </c>
      <c r="E2141" t="s">
        <v>9832</v>
      </c>
      <c r="F2141" t="s">
        <v>9545</v>
      </c>
    </row>
    <row r="2142" spans="1:6">
      <c r="A2142" t="s">
        <v>9627</v>
      </c>
      <c r="B2142">
        <v>8720</v>
      </c>
      <c r="C2142" t="s">
        <v>9674</v>
      </c>
      <c r="D2142" t="s">
        <v>9625</v>
      </c>
      <c r="E2142" t="s">
        <v>9832</v>
      </c>
      <c r="F2142" t="s">
        <v>9545</v>
      </c>
    </row>
    <row r="2143" spans="1:6">
      <c r="A2143" t="s">
        <v>9627</v>
      </c>
      <c r="B2143">
        <v>8730</v>
      </c>
      <c r="C2143" t="s">
        <v>9674</v>
      </c>
      <c r="D2143" t="s">
        <v>9625</v>
      </c>
      <c r="E2143" t="s">
        <v>9832</v>
      </c>
      <c r="F2143" t="s">
        <v>9545</v>
      </c>
    </row>
    <row r="2144" spans="1:6">
      <c r="A2144" t="s">
        <v>9627</v>
      </c>
      <c r="B2144">
        <v>8740</v>
      </c>
      <c r="C2144" t="s">
        <v>9674</v>
      </c>
      <c r="D2144" t="s">
        <v>9625</v>
      </c>
      <c r="E2144" t="s">
        <v>9832</v>
      </c>
      <c r="F2144" t="s">
        <v>9545</v>
      </c>
    </row>
    <row r="2145" spans="1:6">
      <c r="A2145" t="s">
        <v>9627</v>
      </c>
      <c r="B2145">
        <v>8750</v>
      </c>
      <c r="C2145" t="s">
        <v>9674</v>
      </c>
      <c r="D2145" t="s">
        <v>9625</v>
      </c>
      <c r="E2145" t="s">
        <v>9832</v>
      </c>
      <c r="F2145" t="s">
        <v>9545</v>
      </c>
    </row>
    <row r="2146" spans="1:6">
      <c r="A2146" t="s">
        <v>9627</v>
      </c>
      <c r="B2146">
        <v>8832</v>
      </c>
      <c r="C2146" t="s">
        <v>9674</v>
      </c>
      <c r="D2146" t="s">
        <v>9625</v>
      </c>
      <c r="E2146" t="s">
        <v>9832</v>
      </c>
      <c r="F2146" t="s">
        <v>9545</v>
      </c>
    </row>
    <row r="2147" spans="1:6">
      <c r="A2147" t="s">
        <v>9627</v>
      </c>
      <c r="B2147">
        <v>8839</v>
      </c>
      <c r="C2147" t="s">
        <v>9674</v>
      </c>
      <c r="D2147" t="s">
        <v>9625</v>
      </c>
      <c r="E2147" t="s">
        <v>9832</v>
      </c>
      <c r="F2147" t="s">
        <v>9545</v>
      </c>
    </row>
    <row r="2148" spans="1:6">
      <c r="A2148" t="s">
        <v>9627</v>
      </c>
      <c r="B2148">
        <v>8843</v>
      </c>
      <c r="C2148" t="s">
        <v>9674</v>
      </c>
      <c r="D2148" t="s">
        <v>9625</v>
      </c>
      <c r="E2148" t="s">
        <v>9832</v>
      </c>
      <c r="F2148" t="s">
        <v>9545</v>
      </c>
    </row>
    <row r="2149" spans="1:6">
      <c r="A2149" t="s">
        <v>9627</v>
      </c>
      <c r="B2149">
        <v>8850</v>
      </c>
      <c r="C2149" t="s">
        <v>9674</v>
      </c>
      <c r="D2149" t="s">
        <v>9625</v>
      </c>
      <c r="E2149" t="s">
        <v>9832</v>
      </c>
      <c r="F2149" t="s">
        <v>9545</v>
      </c>
    </row>
    <row r="2150" spans="1:6">
      <c r="A2150" t="s">
        <v>9627</v>
      </c>
      <c r="B2150">
        <v>8852</v>
      </c>
      <c r="C2150" t="s">
        <v>9674</v>
      </c>
      <c r="D2150" t="s">
        <v>9625</v>
      </c>
      <c r="E2150" t="s">
        <v>9832</v>
      </c>
      <c r="F2150" t="s">
        <v>9545</v>
      </c>
    </row>
    <row r="2151" spans="1:6">
      <c r="A2151" t="s">
        <v>9627</v>
      </c>
      <c r="B2151">
        <v>8853</v>
      </c>
      <c r="C2151" t="s">
        <v>9674</v>
      </c>
      <c r="D2151" t="s">
        <v>9625</v>
      </c>
      <c r="E2151" t="s">
        <v>9832</v>
      </c>
      <c r="F2151" t="s">
        <v>9545</v>
      </c>
    </row>
    <row r="2152" spans="1:6">
      <c r="A2152" t="s">
        <v>9627</v>
      </c>
      <c r="B2152">
        <v>8886</v>
      </c>
      <c r="C2152" t="s">
        <v>9674</v>
      </c>
      <c r="D2152" t="s">
        <v>9625</v>
      </c>
      <c r="E2152" t="s">
        <v>9832</v>
      </c>
      <c r="F2152" t="s">
        <v>9545</v>
      </c>
    </row>
    <row r="2153" spans="1:6">
      <c r="A2153" t="s">
        <v>9627</v>
      </c>
      <c r="B2153">
        <v>8721</v>
      </c>
      <c r="C2153" t="s">
        <v>9674</v>
      </c>
      <c r="D2153" t="s">
        <v>9628</v>
      </c>
      <c r="E2153" t="s">
        <v>9833</v>
      </c>
      <c r="F2153" t="s">
        <v>9545</v>
      </c>
    </row>
    <row r="2154" spans="1:6">
      <c r="A2154" t="s">
        <v>9627</v>
      </c>
      <c r="B2154">
        <v>8731</v>
      </c>
      <c r="C2154" t="s">
        <v>9674</v>
      </c>
      <c r="D2154" t="s">
        <v>9628</v>
      </c>
      <c r="E2154" t="s">
        <v>9833</v>
      </c>
      <c r="F2154" t="s">
        <v>9545</v>
      </c>
    </row>
    <row r="2155" spans="1:6">
      <c r="A2155" t="s">
        <v>9627</v>
      </c>
      <c r="B2155">
        <v>7906</v>
      </c>
      <c r="C2155" t="s">
        <v>9674</v>
      </c>
      <c r="D2155" t="s">
        <v>9628</v>
      </c>
      <c r="E2155" t="s">
        <v>9833</v>
      </c>
      <c r="F2155" t="s">
        <v>9545</v>
      </c>
    </row>
    <row r="2156" spans="1:6">
      <c r="A2156" t="s">
        <v>9627</v>
      </c>
      <c r="B2156">
        <v>7916</v>
      </c>
      <c r="C2156" t="s">
        <v>9674</v>
      </c>
      <c r="D2156" t="s">
        <v>9628</v>
      </c>
      <c r="E2156" t="s">
        <v>9833</v>
      </c>
      <c r="F2156" t="s">
        <v>9545</v>
      </c>
    </row>
    <row r="2157" spans="1:6">
      <c r="A2157" t="s">
        <v>9627</v>
      </c>
      <c r="B2157">
        <v>8737</v>
      </c>
      <c r="C2157" t="s">
        <v>9674</v>
      </c>
      <c r="D2157" t="s">
        <v>9628</v>
      </c>
      <c r="E2157" t="s">
        <v>9833</v>
      </c>
      <c r="F2157" t="s">
        <v>9545</v>
      </c>
    </row>
    <row r="2158" spans="1:6">
      <c r="A2158" t="s">
        <v>9627</v>
      </c>
      <c r="B2158">
        <v>7917</v>
      </c>
      <c r="C2158" t="s">
        <v>9674</v>
      </c>
      <c r="D2158" t="s">
        <v>9628</v>
      </c>
      <c r="E2158" t="s">
        <v>9833</v>
      </c>
      <c r="F2158" t="s">
        <v>9545</v>
      </c>
    </row>
    <row r="2159" spans="1:6">
      <c r="A2159" t="s">
        <v>9627</v>
      </c>
      <c r="B2159">
        <v>7903</v>
      </c>
      <c r="C2159" t="s">
        <v>9674</v>
      </c>
      <c r="D2159" t="s">
        <v>9628</v>
      </c>
      <c r="E2159" t="s">
        <v>9833</v>
      </c>
      <c r="F2159" t="s">
        <v>9545</v>
      </c>
    </row>
    <row r="2160" spans="1:6">
      <c r="A2160" t="s">
        <v>9627</v>
      </c>
      <c r="B2160">
        <v>5455</v>
      </c>
      <c r="C2160" t="s">
        <v>9674</v>
      </c>
      <c r="D2160" t="s">
        <v>9628</v>
      </c>
      <c r="E2160" t="s">
        <v>9833</v>
      </c>
      <c r="F2160" t="s">
        <v>9545</v>
      </c>
    </row>
    <row r="2161" spans="1:6">
      <c r="A2161" t="s">
        <v>9627</v>
      </c>
      <c r="B2161">
        <v>5456</v>
      </c>
      <c r="C2161" t="s">
        <v>9674</v>
      </c>
      <c r="D2161" t="s">
        <v>9628</v>
      </c>
      <c r="E2161" t="s">
        <v>9833</v>
      </c>
      <c r="F2161" t="s">
        <v>9545</v>
      </c>
    </row>
    <row r="2162" spans="1:6">
      <c r="A2162" t="s">
        <v>9627</v>
      </c>
      <c r="B2162">
        <v>6391</v>
      </c>
      <c r="C2162" t="s">
        <v>9674</v>
      </c>
      <c r="D2162" t="s">
        <v>9628</v>
      </c>
      <c r="E2162" t="s">
        <v>9833</v>
      </c>
      <c r="F2162" t="s">
        <v>9545</v>
      </c>
    </row>
    <row r="2163" spans="1:6">
      <c r="A2163" t="s">
        <v>9627</v>
      </c>
      <c r="B2163">
        <v>7912</v>
      </c>
      <c r="C2163" t="s">
        <v>9674</v>
      </c>
      <c r="D2163" t="s">
        <v>9628</v>
      </c>
      <c r="E2163" t="s">
        <v>9833</v>
      </c>
      <c r="F2163" t="s">
        <v>9545</v>
      </c>
    </row>
    <row r="2164" spans="1:6">
      <c r="A2164" t="s">
        <v>9627</v>
      </c>
      <c r="B2164">
        <v>7913</v>
      </c>
      <c r="C2164" t="s">
        <v>9674</v>
      </c>
      <c r="D2164" t="s">
        <v>9628</v>
      </c>
      <c r="E2164" t="s">
        <v>9833</v>
      </c>
      <c r="F2164" t="s">
        <v>9545</v>
      </c>
    </row>
    <row r="2165" spans="1:6">
      <c r="A2165" t="s">
        <v>9627</v>
      </c>
      <c r="B2165">
        <v>7918</v>
      </c>
      <c r="C2165" t="s">
        <v>9674</v>
      </c>
      <c r="D2165" t="s">
        <v>9628</v>
      </c>
      <c r="E2165" t="s">
        <v>9833</v>
      </c>
      <c r="F2165" t="s">
        <v>9545</v>
      </c>
    </row>
    <row r="2166" spans="1:6">
      <c r="A2166" t="s">
        <v>9627</v>
      </c>
      <c r="B2166">
        <v>7919</v>
      </c>
      <c r="C2166" t="s">
        <v>9674</v>
      </c>
      <c r="D2166" t="s">
        <v>9628</v>
      </c>
      <c r="E2166" t="s">
        <v>9833</v>
      </c>
      <c r="F2166" t="s">
        <v>9545</v>
      </c>
    </row>
    <row r="2167" spans="1:6">
      <c r="A2167" t="s">
        <v>9627</v>
      </c>
      <c r="B2167">
        <v>8685</v>
      </c>
      <c r="C2167" t="s">
        <v>9674</v>
      </c>
      <c r="D2167" t="s">
        <v>9628</v>
      </c>
      <c r="E2167" t="s">
        <v>9833</v>
      </c>
      <c r="F2167" t="s">
        <v>9545</v>
      </c>
    </row>
    <row r="2168" spans="1:6">
      <c r="A2168" t="s">
        <v>9627</v>
      </c>
      <c r="B2168">
        <v>8686</v>
      </c>
      <c r="C2168" t="s">
        <v>9674</v>
      </c>
      <c r="D2168" t="s">
        <v>9628</v>
      </c>
      <c r="E2168" t="s">
        <v>9833</v>
      </c>
      <c r="F2168" t="s">
        <v>9545</v>
      </c>
    </row>
    <row r="2169" spans="1:6">
      <c r="A2169" t="s">
        <v>9627</v>
      </c>
      <c r="B2169">
        <v>8861</v>
      </c>
      <c r="C2169" t="s">
        <v>9674</v>
      </c>
      <c r="D2169" t="s">
        <v>9628</v>
      </c>
      <c r="E2169" t="s">
        <v>9833</v>
      </c>
      <c r="F2169" t="s">
        <v>9545</v>
      </c>
    </row>
    <row r="2170" spans="1:6">
      <c r="A2170" t="s">
        <v>9627</v>
      </c>
      <c r="B2170">
        <v>8862</v>
      </c>
      <c r="C2170" t="s">
        <v>9674</v>
      </c>
      <c r="D2170" t="s">
        <v>9628</v>
      </c>
      <c r="E2170" t="s">
        <v>9833</v>
      </c>
      <c r="F2170" t="s">
        <v>9545</v>
      </c>
    </row>
    <row r="2171" spans="1:6">
      <c r="A2171" t="s">
        <v>9627</v>
      </c>
      <c r="B2171">
        <v>8863</v>
      </c>
      <c r="C2171" t="s">
        <v>9674</v>
      </c>
      <c r="D2171" t="s">
        <v>9628</v>
      </c>
      <c r="E2171" t="s">
        <v>9833</v>
      </c>
      <c r="F2171" t="s">
        <v>9545</v>
      </c>
    </row>
    <row r="2172" spans="1:6">
      <c r="A2172" t="s">
        <v>9627</v>
      </c>
      <c r="B2172">
        <v>8683</v>
      </c>
      <c r="C2172" t="s">
        <v>9674</v>
      </c>
      <c r="D2172" t="s">
        <v>9628</v>
      </c>
      <c r="E2172" t="s">
        <v>9833</v>
      </c>
      <c r="F2172" t="s">
        <v>9545</v>
      </c>
    </row>
    <row r="2173" spans="1:6">
      <c r="A2173" t="s">
        <v>9627</v>
      </c>
      <c r="B2173">
        <v>8687</v>
      </c>
      <c r="C2173" t="s">
        <v>9674</v>
      </c>
      <c r="D2173" t="s">
        <v>9628</v>
      </c>
      <c r="E2173" t="s">
        <v>9833</v>
      </c>
      <c r="F2173" t="s">
        <v>9545</v>
      </c>
    </row>
    <row r="2174" spans="1:6">
      <c r="A2174" t="s">
        <v>9627</v>
      </c>
      <c r="B2174">
        <v>8870</v>
      </c>
      <c r="C2174" t="s">
        <v>9674</v>
      </c>
      <c r="D2174" t="s">
        <v>9628</v>
      </c>
      <c r="E2174" t="s">
        <v>9833</v>
      </c>
      <c r="F2174" t="s">
        <v>9545</v>
      </c>
    </row>
    <row r="2175" spans="1:6">
      <c r="A2175" t="s">
        <v>9627</v>
      </c>
      <c r="B2175">
        <v>8688</v>
      </c>
      <c r="C2175" t="s">
        <v>9674</v>
      </c>
      <c r="D2175" t="s">
        <v>9628</v>
      </c>
      <c r="E2175" t="s">
        <v>9833</v>
      </c>
      <c r="F2175" t="s">
        <v>9545</v>
      </c>
    </row>
    <row r="2176" spans="1:6">
      <c r="A2176" t="s">
        <v>9627</v>
      </c>
      <c r="B2176">
        <v>8855</v>
      </c>
      <c r="C2176" t="s">
        <v>9674</v>
      </c>
      <c r="D2176" t="s">
        <v>9628</v>
      </c>
      <c r="E2176" t="s">
        <v>9833</v>
      </c>
      <c r="F2176" t="s">
        <v>9545</v>
      </c>
    </row>
    <row r="2177" spans="1:6">
      <c r="A2177" t="s">
        <v>9627</v>
      </c>
      <c r="B2177">
        <v>8872</v>
      </c>
      <c r="C2177" t="s">
        <v>9674</v>
      </c>
      <c r="D2177" t="s">
        <v>9628</v>
      </c>
      <c r="E2177" t="s">
        <v>9833</v>
      </c>
      <c r="F2177" t="s">
        <v>9545</v>
      </c>
    </row>
    <row r="2178" spans="1:6">
      <c r="A2178" t="s">
        <v>9627</v>
      </c>
      <c r="B2178">
        <v>8874</v>
      </c>
      <c r="C2178" t="s">
        <v>9674</v>
      </c>
      <c r="D2178" t="s">
        <v>9628</v>
      </c>
      <c r="E2178" t="s">
        <v>9833</v>
      </c>
      <c r="F2178" t="s">
        <v>9545</v>
      </c>
    </row>
    <row r="2179" spans="1:6">
      <c r="A2179" t="s">
        <v>9627</v>
      </c>
      <c r="B2179">
        <v>6385</v>
      </c>
      <c r="C2179" t="s">
        <v>9674</v>
      </c>
      <c r="D2179" t="s">
        <v>9628</v>
      </c>
      <c r="E2179" t="s">
        <v>9833</v>
      </c>
      <c r="F2179" t="s">
        <v>9545</v>
      </c>
    </row>
    <row r="2180" spans="1:6">
      <c r="A2180" t="s">
        <v>9627</v>
      </c>
      <c r="B2180">
        <v>6386</v>
      </c>
      <c r="C2180" t="s">
        <v>9674</v>
      </c>
      <c r="D2180" t="s">
        <v>9628</v>
      </c>
      <c r="E2180" t="s">
        <v>9833</v>
      </c>
      <c r="F2180" t="s">
        <v>9545</v>
      </c>
    </row>
    <row r="2181" spans="1:6">
      <c r="A2181" t="s">
        <v>9627</v>
      </c>
      <c r="B2181">
        <v>6388</v>
      </c>
      <c r="C2181" t="s">
        <v>9674</v>
      </c>
      <c r="D2181" t="s">
        <v>9628</v>
      </c>
      <c r="E2181" t="s">
        <v>9833</v>
      </c>
      <c r="F2181" t="s">
        <v>9545</v>
      </c>
    </row>
    <row r="2182" spans="1:6">
      <c r="A2182" t="s">
        <v>9627</v>
      </c>
      <c r="B2182">
        <v>6389</v>
      </c>
      <c r="C2182" t="s">
        <v>9674</v>
      </c>
      <c r="D2182" t="s">
        <v>9628</v>
      </c>
      <c r="E2182" t="s">
        <v>9833</v>
      </c>
      <c r="F2182" t="s">
        <v>9545</v>
      </c>
    </row>
    <row r="2183" spans="1:6">
      <c r="A2183" t="s">
        <v>9627</v>
      </c>
      <c r="B2183">
        <v>6390</v>
      </c>
      <c r="C2183" t="s">
        <v>9674</v>
      </c>
      <c r="D2183" t="s">
        <v>9628</v>
      </c>
      <c r="E2183" t="s">
        <v>9833</v>
      </c>
      <c r="F2183" t="s">
        <v>9545</v>
      </c>
    </row>
    <row r="2184" spans="1:6">
      <c r="A2184" t="s">
        <v>9627</v>
      </c>
      <c r="B2184">
        <v>7321</v>
      </c>
      <c r="C2184" t="s">
        <v>9674</v>
      </c>
      <c r="D2184" t="s">
        <v>9628</v>
      </c>
      <c r="E2184" t="s">
        <v>9833</v>
      </c>
      <c r="F2184" t="s">
        <v>9545</v>
      </c>
    </row>
    <row r="2185" spans="1:6">
      <c r="A2185" t="s">
        <v>9627</v>
      </c>
      <c r="B2185">
        <v>7831</v>
      </c>
      <c r="C2185" t="s">
        <v>9674</v>
      </c>
      <c r="D2185" t="s">
        <v>9628</v>
      </c>
      <c r="E2185" t="s">
        <v>9833</v>
      </c>
      <c r="F2185" t="s">
        <v>9545</v>
      </c>
    </row>
    <row r="2186" spans="1:6">
      <c r="A2186" t="s">
        <v>9627</v>
      </c>
      <c r="B2186">
        <v>7832</v>
      </c>
      <c r="C2186" t="s">
        <v>9674</v>
      </c>
      <c r="D2186" t="s">
        <v>9628</v>
      </c>
      <c r="E2186" t="s">
        <v>9833</v>
      </c>
      <c r="F2186" t="s">
        <v>9545</v>
      </c>
    </row>
    <row r="2187" spans="1:6">
      <c r="A2187" t="s">
        <v>9627</v>
      </c>
      <c r="B2187">
        <v>7833</v>
      </c>
      <c r="C2187" t="s">
        <v>9674</v>
      </c>
      <c r="D2187" t="s">
        <v>9628</v>
      </c>
      <c r="E2187" t="s">
        <v>9833</v>
      </c>
      <c r="F2187" t="s">
        <v>9545</v>
      </c>
    </row>
    <row r="2188" spans="1:6">
      <c r="A2188" t="s">
        <v>9627</v>
      </c>
      <c r="B2188">
        <v>7834</v>
      </c>
      <c r="C2188" t="s">
        <v>9674</v>
      </c>
      <c r="D2188" t="s">
        <v>9628</v>
      </c>
      <c r="E2188" t="s">
        <v>9833</v>
      </c>
      <c r="F2188" t="s">
        <v>9545</v>
      </c>
    </row>
    <row r="2189" spans="1:6">
      <c r="A2189" t="s">
        <v>9627</v>
      </c>
      <c r="B2189">
        <v>8722</v>
      </c>
      <c r="C2189" t="s">
        <v>9674</v>
      </c>
      <c r="D2189" t="s">
        <v>9628</v>
      </c>
      <c r="E2189" t="s">
        <v>9833</v>
      </c>
      <c r="F2189" t="s">
        <v>9545</v>
      </c>
    </row>
    <row r="2190" spans="1:6">
      <c r="A2190" t="s">
        <v>9627</v>
      </c>
      <c r="B2190">
        <v>8733</v>
      </c>
      <c r="C2190" t="s">
        <v>9674</v>
      </c>
      <c r="D2190" t="s">
        <v>9628</v>
      </c>
      <c r="E2190" t="s">
        <v>9833</v>
      </c>
      <c r="F2190" t="s">
        <v>9545</v>
      </c>
    </row>
    <row r="2191" spans="1:6">
      <c r="A2191" t="s">
        <v>9627</v>
      </c>
      <c r="B2191">
        <v>8752</v>
      </c>
      <c r="C2191" t="s">
        <v>9674</v>
      </c>
      <c r="D2191" t="s">
        <v>9628</v>
      </c>
      <c r="E2191" t="s">
        <v>9833</v>
      </c>
      <c r="F2191" t="s">
        <v>9545</v>
      </c>
    </row>
    <row r="2192" spans="1:6">
      <c r="A2192" t="s">
        <v>9627</v>
      </c>
      <c r="B2192">
        <v>6205</v>
      </c>
      <c r="C2192" t="s">
        <v>9674</v>
      </c>
      <c r="D2192" t="s">
        <v>9628</v>
      </c>
      <c r="E2192" t="s">
        <v>9833</v>
      </c>
      <c r="F2192" t="s">
        <v>9545</v>
      </c>
    </row>
    <row r="2193" spans="1:6">
      <c r="A2193" t="s">
        <v>9627</v>
      </c>
      <c r="B2193">
        <v>7163</v>
      </c>
      <c r="C2193" t="s">
        <v>9674</v>
      </c>
      <c r="D2193" t="s">
        <v>9628</v>
      </c>
      <c r="E2193" t="s">
        <v>9833</v>
      </c>
      <c r="F2193" t="s">
        <v>9545</v>
      </c>
    </row>
    <row r="2194" spans="1:6">
      <c r="A2194" t="s">
        <v>9627</v>
      </c>
      <c r="B2194">
        <v>8877</v>
      </c>
      <c r="C2194" t="s">
        <v>9674</v>
      </c>
      <c r="D2194" t="s">
        <v>9628</v>
      </c>
      <c r="E2194" t="s">
        <v>9833</v>
      </c>
      <c r="F2194" t="s">
        <v>9545</v>
      </c>
    </row>
    <row r="2195" spans="1:6">
      <c r="A2195" t="s">
        <v>9627</v>
      </c>
      <c r="B2195">
        <v>7164</v>
      </c>
      <c r="C2195" t="s">
        <v>9674</v>
      </c>
      <c r="D2195" t="s">
        <v>9628</v>
      </c>
      <c r="E2195" t="s">
        <v>9833</v>
      </c>
      <c r="F2195" t="s">
        <v>9545</v>
      </c>
    </row>
    <row r="2196" spans="1:6">
      <c r="A2196" t="s">
        <v>9627</v>
      </c>
      <c r="B2196">
        <v>8865</v>
      </c>
      <c r="C2196" t="s">
        <v>9674</v>
      </c>
      <c r="D2196" t="s">
        <v>9628</v>
      </c>
      <c r="E2196" t="s">
        <v>9833</v>
      </c>
      <c r="F2196" t="s">
        <v>9545</v>
      </c>
    </row>
    <row r="2197" spans="1:6">
      <c r="A2197" t="s">
        <v>9627</v>
      </c>
      <c r="B2197">
        <v>8866</v>
      </c>
      <c r="C2197" t="s">
        <v>9674</v>
      </c>
      <c r="D2197" t="s">
        <v>9628</v>
      </c>
      <c r="E2197" t="s">
        <v>9833</v>
      </c>
      <c r="F2197" t="s">
        <v>9545</v>
      </c>
    </row>
    <row r="2198" spans="1:6">
      <c r="A2198" t="s">
        <v>9627</v>
      </c>
      <c r="B2198">
        <v>8864</v>
      </c>
      <c r="C2198" t="s">
        <v>9674</v>
      </c>
      <c r="D2198" t="s">
        <v>9628</v>
      </c>
      <c r="E2198" t="s">
        <v>9833</v>
      </c>
      <c r="F2198" t="s">
        <v>9545</v>
      </c>
    </row>
    <row r="2199" spans="1:6">
      <c r="A2199" t="s">
        <v>9627</v>
      </c>
      <c r="B2199">
        <v>7141</v>
      </c>
      <c r="C2199" t="s">
        <v>9674</v>
      </c>
      <c r="D2199" t="s">
        <v>9628</v>
      </c>
      <c r="E2199" t="s">
        <v>9833</v>
      </c>
      <c r="F2199" t="s">
        <v>9545</v>
      </c>
    </row>
    <row r="2200" spans="1:6">
      <c r="A2200" t="s">
        <v>9627</v>
      </c>
      <c r="B2200">
        <v>7143</v>
      </c>
      <c r="C2200" t="s">
        <v>9674</v>
      </c>
      <c r="D2200" t="s">
        <v>9628</v>
      </c>
      <c r="E2200" t="s">
        <v>9833</v>
      </c>
      <c r="F2200" t="s">
        <v>9545</v>
      </c>
    </row>
    <row r="2201" spans="1:6">
      <c r="A2201" t="s">
        <v>9627</v>
      </c>
      <c r="B2201">
        <v>7145</v>
      </c>
      <c r="C2201" t="s">
        <v>9674</v>
      </c>
      <c r="D2201" t="s">
        <v>9628</v>
      </c>
      <c r="E2201" t="s">
        <v>9833</v>
      </c>
      <c r="F2201" t="s">
        <v>9545</v>
      </c>
    </row>
    <row r="2202" spans="1:6">
      <c r="A2202" t="s">
        <v>9627</v>
      </c>
      <c r="B2202">
        <v>7147</v>
      </c>
      <c r="C2202" t="s">
        <v>9674</v>
      </c>
      <c r="D2202" t="s">
        <v>9628</v>
      </c>
      <c r="E2202" t="s">
        <v>9833</v>
      </c>
      <c r="F2202" t="s">
        <v>9545</v>
      </c>
    </row>
    <row r="2203" spans="1:6">
      <c r="A2203" t="s">
        <v>9627</v>
      </c>
      <c r="B2203">
        <v>3837</v>
      </c>
      <c r="C2203" t="s">
        <v>9674</v>
      </c>
      <c r="D2203" t="s">
        <v>9628</v>
      </c>
      <c r="E2203" t="s">
        <v>9833</v>
      </c>
      <c r="F2203" t="s">
        <v>9545</v>
      </c>
    </row>
    <row r="2204" spans="1:6">
      <c r="A2204" t="s">
        <v>9627</v>
      </c>
      <c r="B2204">
        <v>8878</v>
      </c>
      <c r="C2204" t="s">
        <v>9674</v>
      </c>
      <c r="D2204" t="s">
        <v>9628</v>
      </c>
      <c r="E2204" t="s">
        <v>9833</v>
      </c>
      <c r="F2204" t="s">
        <v>9545</v>
      </c>
    </row>
    <row r="2205" spans="1:6">
      <c r="A2205" t="s">
        <v>9627</v>
      </c>
      <c r="B2205">
        <v>8879</v>
      </c>
      <c r="C2205" t="s">
        <v>9674</v>
      </c>
      <c r="D2205" t="s">
        <v>9628</v>
      </c>
      <c r="E2205" t="s">
        <v>9833</v>
      </c>
      <c r="F2205" t="s">
        <v>9545</v>
      </c>
    </row>
    <row r="2206" spans="1:6">
      <c r="A2206" t="s">
        <v>9627</v>
      </c>
      <c r="B2206">
        <v>7233</v>
      </c>
      <c r="C2206" t="s">
        <v>9674</v>
      </c>
      <c r="D2206" t="s">
        <v>9628</v>
      </c>
      <c r="E2206" t="s">
        <v>9833</v>
      </c>
      <c r="F2206" t="s">
        <v>9545</v>
      </c>
    </row>
    <row r="2207" spans="1:6">
      <c r="A2207" t="s">
        <v>9627</v>
      </c>
      <c r="B2207">
        <v>5464</v>
      </c>
      <c r="C2207" t="s">
        <v>9674</v>
      </c>
      <c r="D2207" t="s">
        <v>9628</v>
      </c>
      <c r="E2207" t="s">
        <v>9833</v>
      </c>
      <c r="F2207" t="s">
        <v>9545</v>
      </c>
    </row>
    <row r="2208" spans="1:6">
      <c r="A2208" t="s">
        <v>9627</v>
      </c>
      <c r="B2208">
        <v>9532</v>
      </c>
      <c r="C2208" t="s">
        <v>9674</v>
      </c>
      <c r="D2208" t="s">
        <v>9628</v>
      </c>
      <c r="E2208" t="s">
        <v>9833</v>
      </c>
      <c r="F2208" t="s">
        <v>9545</v>
      </c>
    </row>
    <row r="2209" spans="1:6">
      <c r="A2209" t="s">
        <v>9627</v>
      </c>
      <c r="B2209">
        <v>5465</v>
      </c>
      <c r="C2209" t="s">
        <v>9674</v>
      </c>
      <c r="D2209" t="s">
        <v>9628</v>
      </c>
      <c r="E2209" t="s">
        <v>9833</v>
      </c>
      <c r="F2209" t="s">
        <v>9545</v>
      </c>
    </row>
    <row r="2210" spans="1:6">
      <c r="A2210" t="s">
        <v>9627</v>
      </c>
      <c r="B2210">
        <v>5456</v>
      </c>
      <c r="C2210" t="s">
        <v>9674</v>
      </c>
      <c r="D2210" t="s">
        <v>9628</v>
      </c>
      <c r="E2210" t="s">
        <v>9833</v>
      </c>
      <c r="F2210" t="s">
        <v>9545</v>
      </c>
    </row>
    <row r="2211" spans="1:6">
      <c r="A2211" t="s">
        <v>9627</v>
      </c>
      <c r="B2211">
        <v>7148</v>
      </c>
      <c r="C2211" t="s">
        <v>9674</v>
      </c>
      <c r="D2211" t="s">
        <v>9628</v>
      </c>
      <c r="E2211" t="s">
        <v>9833</v>
      </c>
      <c r="F2211" t="s">
        <v>9545</v>
      </c>
    </row>
    <row r="2212" spans="1:6">
      <c r="A2212" t="s">
        <v>9627</v>
      </c>
      <c r="B2212">
        <v>7385</v>
      </c>
      <c r="C2212" t="s">
        <v>9674</v>
      </c>
      <c r="D2212" t="s">
        <v>9628</v>
      </c>
      <c r="E2212" t="s">
        <v>9833</v>
      </c>
      <c r="F2212" t="s">
        <v>9545</v>
      </c>
    </row>
    <row r="2213" spans="1:6">
      <c r="A2213" t="s">
        <v>9627</v>
      </c>
      <c r="B2213">
        <v>7162</v>
      </c>
      <c r="C2213" t="s">
        <v>9674</v>
      </c>
      <c r="D2213" t="s">
        <v>9628</v>
      </c>
      <c r="E2213" t="s">
        <v>9833</v>
      </c>
      <c r="F2213" t="s">
        <v>9545</v>
      </c>
    </row>
    <row r="2214" spans="1:6">
      <c r="A2214" t="s">
        <v>9627</v>
      </c>
      <c r="B2214">
        <v>6241</v>
      </c>
      <c r="C2214" t="s">
        <v>9674</v>
      </c>
      <c r="D2214" t="s">
        <v>9628</v>
      </c>
      <c r="E2214" t="s">
        <v>9833</v>
      </c>
      <c r="F2214" t="s">
        <v>9545</v>
      </c>
    </row>
    <row r="2215" spans="1:6">
      <c r="A2215" t="s">
        <v>9627</v>
      </c>
      <c r="B2215">
        <v>8835</v>
      </c>
      <c r="C2215" t="s">
        <v>9674</v>
      </c>
      <c r="D2215" t="s">
        <v>9630</v>
      </c>
      <c r="E2215" t="s">
        <v>9812</v>
      </c>
      <c r="F2215" t="s">
        <v>9545</v>
      </c>
    </row>
    <row r="2216" spans="1:6">
      <c r="A2216" t="s">
        <v>9627</v>
      </c>
      <c r="B2216">
        <v>8848</v>
      </c>
      <c r="C2216" t="s">
        <v>9674</v>
      </c>
      <c r="D2216" t="s">
        <v>9630</v>
      </c>
      <c r="E2216" t="s">
        <v>9812</v>
      </c>
      <c r="F2216" t="s">
        <v>9545</v>
      </c>
    </row>
    <row r="2217" spans="1:6">
      <c r="A2217" t="s">
        <v>9627</v>
      </c>
      <c r="B2217">
        <v>7992</v>
      </c>
      <c r="C2217" t="s">
        <v>9674</v>
      </c>
      <c r="D2217" t="s">
        <v>9630</v>
      </c>
      <c r="E2217" t="s">
        <v>9812</v>
      </c>
      <c r="F2217" t="s">
        <v>9545</v>
      </c>
    </row>
    <row r="2218" spans="1:6">
      <c r="A2218" t="s">
        <v>9627</v>
      </c>
      <c r="B2218">
        <v>8830</v>
      </c>
      <c r="C2218" t="s">
        <v>9674</v>
      </c>
      <c r="D2218" t="s">
        <v>9630</v>
      </c>
      <c r="E2218" t="s">
        <v>9812</v>
      </c>
      <c r="F2218" t="s">
        <v>9545</v>
      </c>
    </row>
    <row r="2219" spans="1:6">
      <c r="A2219" t="s">
        <v>9627</v>
      </c>
      <c r="B2219">
        <v>8837</v>
      </c>
      <c r="C2219" t="s">
        <v>9674</v>
      </c>
      <c r="D2219" t="s">
        <v>9630</v>
      </c>
      <c r="E2219" t="s">
        <v>9812</v>
      </c>
      <c r="F2219" t="s">
        <v>9545</v>
      </c>
    </row>
    <row r="2220" spans="1:6">
      <c r="A2220" t="s">
        <v>9627</v>
      </c>
      <c r="B2220">
        <v>8827</v>
      </c>
      <c r="C2220" t="s">
        <v>9674</v>
      </c>
      <c r="D2220" t="s">
        <v>9630</v>
      </c>
      <c r="E2220" t="s">
        <v>9812</v>
      </c>
      <c r="F2220" t="s">
        <v>9545</v>
      </c>
    </row>
    <row r="2221" spans="1:6">
      <c r="A2221" t="s">
        <v>9627</v>
      </c>
      <c r="B2221">
        <v>8670</v>
      </c>
      <c r="C2221" t="s">
        <v>9674</v>
      </c>
      <c r="D2221" t="s">
        <v>9630</v>
      </c>
      <c r="E2221" t="s">
        <v>9812</v>
      </c>
      <c r="F2221" t="s">
        <v>9545</v>
      </c>
    </row>
    <row r="2222" spans="1:6">
      <c r="A2222" t="s">
        <v>9627</v>
      </c>
      <c r="B2222">
        <v>7977</v>
      </c>
      <c r="C2222" t="s">
        <v>9674</v>
      </c>
      <c r="D2222" t="s">
        <v>9630</v>
      </c>
      <c r="E2222" t="s">
        <v>9812</v>
      </c>
      <c r="F2222" t="s">
        <v>9545</v>
      </c>
    </row>
    <row r="2223" spans="1:6">
      <c r="A2223" t="s">
        <v>9627</v>
      </c>
      <c r="B2223">
        <v>7839</v>
      </c>
      <c r="C2223" t="s">
        <v>9674</v>
      </c>
      <c r="D2223" t="s">
        <v>9630</v>
      </c>
      <c r="E2223" t="s">
        <v>9812</v>
      </c>
      <c r="F2223" t="s">
        <v>9545</v>
      </c>
    </row>
    <row r="2224" spans="1:6">
      <c r="A2224" t="s">
        <v>9627</v>
      </c>
      <c r="B2224">
        <v>7380</v>
      </c>
      <c r="C2224" t="s">
        <v>9674</v>
      </c>
      <c r="D2224" t="s">
        <v>9630</v>
      </c>
      <c r="E2224" t="s">
        <v>9812</v>
      </c>
      <c r="F2224" t="s">
        <v>9545</v>
      </c>
    </row>
    <row r="2225" spans="1:6">
      <c r="A2225" t="s">
        <v>9627</v>
      </c>
      <c r="B2225">
        <v>7383</v>
      </c>
      <c r="C2225" t="s">
        <v>9674</v>
      </c>
      <c r="D2225" t="s">
        <v>9630</v>
      </c>
      <c r="E2225" t="s">
        <v>9812</v>
      </c>
      <c r="F2225" t="s">
        <v>9545</v>
      </c>
    </row>
    <row r="2226" spans="1:6">
      <c r="A2226" t="s">
        <v>9627</v>
      </c>
      <c r="B2226">
        <v>7160</v>
      </c>
      <c r="C2226" t="s">
        <v>9674</v>
      </c>
      <c r="D2226" t="s">
        <v>9630</v>
      </c>
      <c r="E2226" t="s">
        <v>9812</v>
      </c>
      <c r="F2226" t="s">
        <v>9545</v>
      </c>
    </row>
    <row r="2227" spans="1:6">
      <c r="A2227" t="s">
        <v>9627</v>
      </c>
      <c r="B2227">
        <v>7946</v>
      </c>
      <c r="C2227" t="s">
        <v>9674</v>
      </c>
      <c r="D2227" t="s">
        <v>9630</v>
      </c>
      <c r="E2227" t="s">
        <v>9812</v>
      </c>
      <c r="F2227" t="s">
        <v>9545</v>
      </c>
    </row>
    <row r="2228" spans="1:6">
      <c r="A2228" t="s">
        <v>9627</v>
      </c>
      <c r="B2228">
        <v>7978</v>
      </c>
      <c r="C2228" t="s">
        <v>9674</v>
      </c>
      <c r="D2228" t="s">
        <v>9630</v>
      </c>
      <c r="E2228" t="s">
        <v>9812</v>
      </c>
      <c r="F2228" t="s">
        <v>9545</v>
      </c>
    </row>
    <row r="2229" spans="1:6">
      <c r="A2229" t="s">
        <v>9627</v>
      </c>
      <c r="B2229">
        <v>7944</v>
      </c>
      <c r="C2229" t="s">
        <v>9674</v>
      </c>
      <c r="D2229" t="s">
        <v>9630</v>
      </c>
      <c r="E2229" t="s">
        <v>9812</v>
      </c>
      <c r="F2229" t="s">
        <v>9545</v>
      </c>
    </row>
    <row r="2230" spans="1:6">
      <c r="A2230" t="s">
        <v>9627</v>
      </c>
      <c r="B2230">
        <v>7914</v>
      </c>
      <c r="C2230" t="s">
        <v>9674</v>
      </c>
      <c r="D2230" t="s">
        <v>9630</v>
      </c>
      <c r="E2230" t="s">
        <v>9812</v>
      </c>
      <c r="F2230" t="s">
        <v>9545</v>
      </c>
    </row>
    <row r="2231" spans="1:6">
      <c r="A2231" t="s">
        <v>9627</v>
      </c>
      <c r="B2231">
        <v>7942</v>
      </c>
      <c r="C2231" t="s">
        <v>9674</v>
      </c>
      <c r="D2231" t="s">
        <v>9630</v>
      </c>
      <c r="E2231" t="s">
        <v>9812</v>
      </c>
      <c r="F2231" t="s">
        <v>9545</v>
      </c>
    </row>
    <row r="2232" spans="1:6">
      <c r="A2232" t="s">
        <v>9627</v>
      </c>
      <c r="B2232">
        <v>7376</v>
      </c>
      <c r="C2232" t="s">
        <v>9674</v>
      </c>
      <c r="D2232" t="s">
        <v>9630</v>
      </c>
      <c r="E2232" t="s">
        <v>9812</v>
      </c>
      <c r="F2232" t="s">
        <v>9545</v>
      </c>
    </row>
    <row r="2233" spans="1:6">
      <c r="A2233" t="s">
        <v>9627</v>
      </c>
      <c r="B2233">
        <v>7377</v>
      </c>
      <c r="C2233" t="s">
        <v>9674</v>
      </c>
      <c r="D2233" t="s">
        <v>9630</v>
      </c>
      <c r="E2233" t="s">
        <v>9812</v>
      </c>
      <c r="F2233" t="s">
        <v>9545</v>
      </c>
    </row>
    <row r="2234" spans="1:6">
      <c r="A2234" t="s">
        <v>9627</v>
      </c>
      <c r="B2234">
        <v>7158</v>
      </c>
      <c r="C2234" t="s">
        <v>9674</v>
      </c>
      <c r="D2234" t="s">
        <v>9630</v>
      </c>
      <c r="E2234" t="s">
        <v>9812</v>
      </c>
      <c r="F2234" t="s">
        <v>9545</v>
      </c>
    </row>
    <row r="2235" spans="1:6">
      <c r="A2235" t="s">
        <v>9627</v>
      </c>
      <c r="B2235">
        <v>7979</v>
      </c>
      <c r="C2235" t="s">
        <v>9674</v>
      </c>
      <c r="D2235" t="s">
        <v>9630</v>
      </c>
      <c r="E2235" t="s">
        <v>9812</v>
      </c>
      <c r="F2235" t="s">
        <v>9545</v>
      </c>
    </row>
    <row r="2236" spans="1:6">
      <c r="A2236" t="s">
        <v>9627</v>
      </c>
      <c r="B2236">
        <v>7947</v>
      </c>
      <c r="C2236" t="s">
        <v>9674</v>
      </c>
      <c r="D2236" t="s">
        <v>9630</v>
      </c>
      <c r="E2236" t="s">
        <v>9812</v>
      </c>
      <c r="F2236" t="s">
        <v>9545</v>
      </c>
    </row>
    <row r="2237" spans="1:6">
      <c r="A2237" t="s">
        <v>9627</v>
      </c>
      <c r="B2237">
        <v>5454</v>
      </c>
      <c r="C2237" t="s">
        <v>9674</v>
      </c>
      <c r="D2237" t="s">
        <v>9630</v>
      </c>
      <c r="E2237" t="s">
        <v>9812</v>
      </c>
      <c r="F2237" t="s">
        <v>9545</v>
      </c>
    </row>
    <row r="2238" spans="1:6">
      <c r="A2238" t="s">
        <v>9627</v>
      </c>
      <c r="B2238">
        <v>7945</v>
      </c>
      <c r="C2238" t="s">
        <v>9674</v>
      </c>
      <c r="D2238" t="s">
        <v>9630</v>
      </c>
      <c r="E2238" t="s">
        <v>9812</v>
      </c>
      <c r="F2238" t="s">
        <v>9545</v>
      </c>
    </row>
    <row r="2239" spans="1:6">
      <c r="A2239" t="s">
        <v>9627</v>
      </c>
      <c r="B2239">
        <v>7949</v>
      </c>
      <c r="C2239" t="s">
        <v>9674</v>
      </c>
      <c r="D2239" t="s">
        <v>9630</v>
      </c>
      <c r="E2239" t="s">
        <v>9812</v>
      </c>
      <c r="F2239" t="s">
        <v>9545</v>
      </c>
    </row>
    <row r="2240" spans="1:6">
      <c r="A2240" t="s">
        <v>9627</v>
      </c>
      <c r="B2240">
        <v>5460</v>
      </c>
      <c r="C2240" t="s">
        <v>9674</v>
      </c>
      <c r="D2240" t="s">
        <v>9630</v>
      </c>
      <c r="E2240" t="s">
        <v>9812</v>
      </c>
      <c r="F2240" t="s">
        <v>9545</v>
      </c>
    </row>
    <row r="2241" spans="1:6">
      <c r="A2241" t="s">
        <v>9627</v>
      </c>
      <c r="B2241">
        <v>5466</v>
      </c>
      <c r="C2241" t="s">
        <v>9674</v>
      </c>
      <c r="D2241" t="s">
        <v>9630</v>
      </c>
      <c r="E2241" t="s">
        <v>9812</v>
      </c>
      <c r="F2241" t="s">
        <v>9545</v>
      </c>
    </row>
    <row r="2242" spans="1:6">
      <c r="A2242" t="s">
        <v>9627</v>
      </c>
      <c r="B2242">
        <v>7915</v>
      </c>
      <c r="C2242" t="s">
        <v>9674</v>
      </c>
      <c r="D2242" t="s">
        <v>9630</v>
      </c>
      <c r="E2242" t="s">
        <v>9812</v>
      </c>
      <c r="F2242" t="s">
        <v>9545</v>
      </c>
    </row>
    <row r="2243" spans="1:6">
      <c r="A2243" t="s">
        <v>9627</v>
      </c>
      <c r="B2243">
        <v>7980</v>
      </c>
      <c r="C2243" t="s">
        <v>9674</v>
      </c>
      <c r="D2243" t="s">
        <v>9630</v>
      </c>
      <c r="E2243" t="s">
        <v>9812</v>
      </c>
      <c r="F2243" t="s">
        <v>9545</v>
      </c>
    </row>
    <row r="2244" spans="1:6">
      <c r="A2244" t="s">
        <v>9627</v>
      </c>
      <c r="B2244">
        <v>6630</v>
      </c>
      <c r="C2244" t="s">
        <v>9674</v>
      </c>
      <c r="D2244" t="s">
        <v>9630</v>
      </c>
      <c r="E2244" t="s">
        <v>9812</v>
      </c>
      <c r="F2244" t="s">
        <v>9545</v>
      </c>
    </row>
    <row r="2245" spans="1:6">
      <c r="A2245" t="s">
        <v>9627</v>
      </c>
      <c r="B2245">
        <v>7943</v>
      </c>
      <c r="C2245" t="s">
        <v>9674</v>
      </c>
      <c r="D2245" t="s">
        <v>9630</v>
      </c>
      <c r="E2245" t="s">
        <v>9812</v>
      </c>
      <c r="F2245" t="s">
        <v>9545</v>
      </c>
    </row>
    <row r="2246" spans="1:6">
      <c r="A2246" t="s">
        <v>9627</v>
      </c>
      <c r="B2246">
        <v>7985</v>
      </c>
      <c r="C2246" t="s">
        <v>9674</v>
      </c>
      <c r="D2246" t="s">
        <v>9630</v>
      </c>
      <c r="E2246" t="s">
        <v>9812</v>
      </c>
      <c r="F2246" t="s">
        <v>9545</v>
      </c>
    </row>
    <row r="2247" spans="1:6">
      <c r="A2247" t="s">
        <v>9627</v>
      </c>
      <c r="B2247">
        <v>5462</v>
      </c>
      <c r="C2247" t="s">
        <v>9674</v>
      </c>
      <c r="D2247" t="s">
        <v>9630</v>
      </c>
      <c r="E2247" t="s">
        <v>9812</v>
      </c>
      <c r="F2247" t="s">
        <v>9545</v>
      </c>
    </row>
    <row r="2248" spans="1:6">
      <c r="A2248" t="s">
        <v>9627</v>
      </c>
      <c r="B2248">
        <v>5463</v>
      </c>
      <c r="C2248" t="s">
        <v>9674</v>
      </c>
      <c r="D2248" t="s">
        <v>9630</v>
      </c>
      <c r="E2248" t="s">
        <v>9812</v>
      </c>
      <c r="F2248" t="s">
        <v>9545</v>
      </c>
    </row>
    <row r="2249" spans="1:6">
      <c r="A2249" t="s">
        <v>9627</v>
      </c>
      <c r="B2249">
        <v>5495</v>
      </c>
      <c r="C2249" t="s">
        <v>9674</v>
      </c>
      <c r="D2249" t="s">
        <v>9630</v>
      </c>
      <c r="E2249" t="s">
        <v>9812</v>
      </c>
      <c r="F2249" t="s">
        <v>9545</v>
      </c>
    </row>
    <row r="2250" spans="1:6">
      <c r="A2250" t="s">
        <v>9627</v>
      </c>
      <c r="B2250">
        <v>9307</v>
      </c>
      <c r="C2250" t="s">
        <v>9674</v>
      </c>
      <c r="D2250" t="s">
        <v>9630</v>
      </c>
      <c r="E2250" t="s">
        <v>9812</v>
      </c>
      <c r="F2250" t="s">
        <v>9545</v>
      </c>
    </row>
    <row r="2251" spans="1:6">
      <c r="A2251" t="s">
        <v>9627</v>
      </c>
      <c r="B2251">
        <v>9306</v>
      </c>
      <c r="C2251" t="s">
        <v>9674</v>
      </c>
      <c r="D2251" t="s">
        <v>9630</v>
      </c>
      <c r="E2251" t="s">
        <v>9812</v>
      </c>
      <c r="F2251" t="s">
        <v>9545</v>
      </c>
    </row>
    <row r="2252" spans="1:6">
      <c r="A2252" t="s">
        <v>9627</v>
      </c>
      <c r="B2252">
        <v>8655</v>
      </c>
      <c r="C2252" t="s">
        <v>9674</v>
      </c>
      <c r="D2252" t="s">
        <v>9632</v>
      </c>
      <c r="E2252" t="s">
        <v>9834</v>
      </c>
      <c r="F2252" t="s">
        <v>9545</v>
      </c>
    </row>
    <row r="2253" spans="1:6">
      <c r="A2253" t="s">
        <v>9627</v>
      </c>
      <c r="B2253">
        <v>8836</v>
      </c>
      <c r="C2253" t="s">
        <v>9674</v>
      </c>
      <c r="D2253" t="s">
        <v>9632</v>
      </c>
      <c r="E2253" t="s">
        <v>9834</v>
      </c>
      <c r="F2253" t="s">
        <v>9545</v>
      </c>
    </row>
    <row r="2254" spans="1:6">
      <c r="A2254" t="s">
        <v>9627</v>
      </c>
      <c r="B2254">
        <v>8486</v>
      </c>
      <c r="C2254" t="s">
        <v>9674</v>
      </c>
      <c r="D2254" t="s">
        <v>9632</v>
      </c>
      <c r="E2254" t="s">
        <v>9834</v>
      </c>
      <c r="F2254" t="s">
        <v>9545</v>
      </c>
    </row>
    <row r="2255" spans="1:6">
      <c r="A2255" t="s">
        <v>9627</v>
      </c>
      <c r="B2255">
        <v>8478</v>
      </c>
      <c r="C2255" t="s">
        <v>9674</v>
      </c>
      <c r="D2255" t="s">
        <v>9632</v>
      </c>
      <c r="E2255" t="s">
        <v>9834</v>
      </c>
      <c r="F2255" t="s">
        <v>9545</v>
      </c>
    </row>
    <row r="2256" spans="1:6">
      <c r="A2256" t="s">
        <v>9627</v>
      </c>
      <c r="B2256">
        <v>8479</v>
      </c>
      <c r="C2256" t="s">
        <v>9674</v>
      </c>
      <c r="D2256" t="s">
        <v>9632</v>
      </c>
      <c r="E2256" t="s">
        <v>9834</v>
      </c>
      <c r="F2256" t="s">
        <v>9545</v>
      </c>
    </row>
    <row r="2257" spans="1:6">
      <c r="A2257" t="s">
        <v>9627</v>
      </c>
      <c r="B2257">
        <v>8480</v>
      </c>
      <c r="C2257" t="s">
        <v>9674</v>
      </c>
      <c r="D2257" t="s">
        <v>9632</v>
      </c>
      <c r="E2257" t="s">
        <v>9834</v>
      </c>
      <c r="F2257" t="s">
        <v>9545</v>
      </c>
    </row>
    <row r="2258" spans="1:6">
      <c r="A2258" t="s">
        <v>9627</v>
      </c>
      <c r="B2258">
        <v>8482</v>
      </c>
      <c r="C2258" t="s">
        <v>9674</v>
      </c>
      <c r="D2258" t="s">
        <v>9632</v>
      </c>
      <c r="E2258" t="s">
        <v>9834</v>
      </c>
      <c r="F2258" t="s">
        <v>9545</v>
      </c>
    </row>
    <row r="2259" spans="1:6">
      <c r="A2259" t="s">
        <v>9627</v>
      </c>
      <c r="B2259">
        <v>8487</v>
      </c>
      <c r="C2259" t="s">
        <v>9674</v>
      </c>
      <c r="D2259" t="s">
        <v>9632</v>
      </c>
      <c r="E2259" t="s">
        <v>9834</v>
      </c>
      <c r="F2259" t="s">
        <v>9545</v>
      </c>
    </row>
    <row r="2260" spans="1:6">
      <c r="A2260" t="s">
        <v>9627</v>
      </c>
      <c r="B2260">
        <v>8485</v>
      </c>
      <c r="C2260" t="s">
        <v>9674</v>
      </c>
      <c r="D2260" t="s">
        <v>9632</v>
      </c>
      <c r="E2260" t="s">
        <v>9834</v>
      </c>
      <c r="F2260" t="s">
        <v>9545</v>
      </c>
    </row>
    <row r="2261" spans="1:6">
      <c r="A2261" t="s">
        <v>9627</v>
      </c>
      <c r="B2261">
        <v>8490</v>
      </c>
      <c r="C2261" t="s">
        <v>9674</v>
      </c>
      <c r="D2261" t="s">
        <v>9632</v>
      </c>
      <c r="E2261" t="s">
        <v>9834</v>
      </c>
      <c r="F2261" t="s">
        <v>9545</v>
      </c>
    </row>
    <row r="2262" spans="1:6">
      <c r="A2262" t="s">
        <v>9627</v>
      </c>
      <c r="B2262">
        <v>8645</v>
      </c>
      <c r="C2262" t="s">
        <v>9674</v>
      </c>
      <c r="D2262" t="s">
        <v>9632</v>
      </c>
      <c r="E2262" t="s">
        <v>9834</v>
      </c>
      <c r="F2262" t="s">
        <v>9545</v>
      </c>
    </row>
    <row r="2263" spans="1:6">
      <c r="A2263" t="s">
        <v>9627</v>
      </c>
      <c r="B2263">
        <v>8646</v>
      </c>
      <c r="C2263" t="s">
        <v>9674</v>
      </c>
      <c r="D2263" t="s">
        <v>9632</v>
      </c>
      <c r="E2263" t="s">
        <v>9834</v>
      </c>
      <c r="F2263" t="s">
        <v>9545</v>
      </c>
    </row>
    <row r="2264" spans="1:6">
      <c r="A2264" t="s">
        <v>9627</v>
      </c>
      <c r="B2264">
        <v>8647</v>
      </c>
      <c r="C2264" t="s">
        <v>9674</v>
      </c>
      <c r="D2264" t="s">
        <v>9632</v>
      </c>
      <c r="E2264" t="s">
        <v>9834</v>
      </c>
      <c r="F2264" t="s">
        <v>9545</v>
      </c>
    </row>
    <row r="2265" spans="1:6">
      <c r="A2265" t="s">
        <v>9627</v>
      </c>
      <c r="B2265">
        <v>8649</v>
      </c>
      <c r="C2265" t="s">
        <v>9674</v>
      </c>
      <c r="D2265" t="s">
        <v>9632</v>
      </c>
      <c r="E2265" t="s">
        <v>9834</v>
      </c>
      <c r="F2265" t="s">
        <v>9545</v>
      </c>
    </row>
    <row r="2266" spans="1:6">
      <c r="A2266" t="s">
        <v>9627</v>
      </c>
      <c r="B2266">
        <v>8488</v>
      </c>
      <c r="C2266" t="s">
        <v>9674</v>
      </c>
      <c r="D2266" t="s">
        <v>9632</v>
      </c>
      <c r="E2266" t="s">
        <v>9834</v>
      </c>
      <c r="F2266" t="s">
        <v>9545</v>
      </c>
    </row>
    <row r="2267" spans="1:6">
      <c r="A2267" t="s">
        <v>9627</v>
      </c>
      <c r="B2267">
        <v>8648</v>
      </c>
      <c r="C2267" t="s">
        <v>9674</v>
      </c>
      <c r="D2267" t="s">
        <v>9632</v>
      </c>
      <c r="E2267" t="s">
        <v>9834</v>
      </c>
      <c r="F2267" t="s">
        <v>9545</v>
      </c>
    </row>
    <row r="2268" spans="1:6">
      <c r="A2268" t="s">
        <v>9627</v>
      </c>
      <c r="B2268">
        <v>8671</v>
      </c>
      <c r="C2268" t="s">
        <v>9674</v>
      </c>
      <c r="D2268" t="s">
        <v>9632</v>
      </c>
      <c r="E2268" t="s">
        <v>9834</v>
      </c>
      <c r="F2268" t="s">
        <v>9545</v>
      </c>
    </row>
    <row r="2269" spans="1:6">
      <c r="A2269" t="s">
        <v>9627</v>
      </c>
      <c r="B2269">
        <v>8841</v>
      </c>
      <c r="C2269" t="s">
        <v>9674</v>
      </c>
      <c r="D2269" t="s">
        <v>9632</v>
      </c>
      <c r="E2269" t="s">
        <v>9834</v>
      </c>
      <c r="F2269" t="s">
        <v>9545</v>
      </c>
    </row>
    <row r="2270" spans="1:6">
      <c r="A2270" t="s">
        <v>9627</v>
      </c>
      <c r="B2270">
        <v>8672</v>
      </c>
      <c r="C2270" t="s">
        <v>9674</v>
      </c>
      <c r="D2270" t="s">
        <v>9632</v>
      </c>
      <c r="E2270" t="s">
        <v>9834</v>
      </c>
      <c r="F2270" t="s">
        <v>9545</v>
      </c>
    </row>
    <row r="2271" spans="1:6">
      <c r="A2271" t="s">
        <v>9627</v>
      </c>
      <c r="B2271">
        <v>8673</v>
      </c>
      <c r="C2271" t="s">
        <v>9674</v>
      </c>
      <c r="D2271" t="s">
        <v>9632</v>
      </c>
      <c r="E2271" t="s">
        <v>9834</v>
      </c>
      <c r="F2271" t="s">
        <v>9545</v>
      </c>
    </row>
    <row r="2272" spans="1:6">
      <c r="A2272" t="s">
        <v>9627</v>
      </c>
      <c r="B2272">
        <v>8489</v>
      </c>
      <c r="C2272" t="s">
        <v>9674</v>
      </c>
      <c r="D2272" t="s">
        <v>9632</v>
      </c>
      <c r="E2272" t="s">
        <v>9834</v>
      </c>
      <c r="F2272" t="s">
        <v>9545</v>
      </c>
    </row>
    <row r="2273" spans="1:6">
      <c r="A2273" t="s">
        <v>9627</v>
      </c>
      <c r="B2273">
        <v>8491</v>
      </c>
      <c r="C2273" t="s">
        <v>9674</v>
      </c>
      <c r="D2273" t="s">
        <v>9632</v>
      </c>
      <c r="E2273" t="s">
        <v>9834</v>
      </c>
      <c r="F2273" t="s">
        <v>9545</v>
      </c>
    </row>
    <row r="2274" spans="1:6">
      <c r="A2274" t="s">
        <v>9627</v>
      </c>
      <c r="B2274">
        <v>8849</v>
      </c>
      <c r="C2274" t="s">
        <v>9674</v>
      </c>
      <c r="D2274" t="s">
        <v>9632</v>
      </c>
      <c r="E2274" t="s">
        <v>9834</v>
      </c>
      <c r="F2274" t="s">
        <v>9545</v>
      </c>
    </row>
    <row r="2275" spans="1:6">
      <c r="A2275" t="s">
        <v>9627</v>
      </c>
      <c r="B2275">
        <v>7969</v>
      </c>
      <c r="C2275" t="s">
        <v>9674</v>
      </c>
      <c r="D2275" t="s">
        <v>9632</v>
      </c>
      <c r="E2275" t="s">
        <v>9834</v>
      </c>
      <c r="F2275" t="s">
        <v>9545</v>
      </c>
    </row>
    <row r="2276" spans="1:6">
      <c r="A2276" t="s">
        <v>9627</v>
      </c>
      <c r="B2276">
        <v>8654</v>
      </c>
      <c r="C2276" t="s">
        <v>9674</v>
      </c>
      <c r="D2276" t="s">
        <v>9632</v>
      </c>
      <c r="E2276" t="s">
        <v>9834</v>
      </c>
      <c r="F2276" t="s">
        <v>9545</v>
      </c>
    </row>
    <row r="2277" spans="1:6">
      <c r="A2277" t="s">
        <v>9627</v>
      </c>
      <c r="B2277">
        <v>8675</v>
      </c>
      <c r="C2277" t="s">
        <v>9674</v>
      </c>
      <c r="D2277" t="s">
        <v>9632</v>
      </c>
      <c r="E2277" t="s">
        <v>9834</v>
      </c>
      <c r="F2277" t="s">
        <v>9545</v>
      </c>
    </row>
    <row r="2278" spans="1:6">
      <c r="A2278" t="s">
        <v>9627</v>
      </c>
      <c r="B2278">
        <v>8847</v>
      </c>
      <c r="C2278" t="s">
        <v>9674</v>
      </c>
      <c r="D2278" t="s">
        <v>9632</v>
      </c>
      <c r="E2278" t="s">
        <v>9834</v>
      </c>
      <c r="F2278" t="s">
        <v>9545</v>
      </c>
    </row>
    <row r="2279" spans="1:6">
      <c r="A2279" t="s">
        <v>9627</v>
      </c>
      <c r="B2279">
        <v>8840</v>
      </c>
      <c r="C2279" t="s">
        <v>9674</v>
      </c>
      <c r="D2279" t="s">
        <v>9632</v>
      </c>
      <c r="E2279" t="s">
        <v>9834</v>
      </c>
      <c r="F2279" t="s">
        <v>9545</v>
      </c>
    </row>
    <row r="2280" spans="1:6">
      <c r="A2280" t="s">
        <v>9627</v>
      </c>
      <c r="B2280">
        <v>8834</v>
      </c>
      <c r="C2280" t="s">
        <v>9674</v>
      </c>
      <c r="D2280" t="s">
        <v>9632</v>
      </c>
      <c r="E2280" t="s">
        <v>9834</v>
      </c>
      <c r="F2280" t="s">
        <v>9545</v>
      </c>
    </row>
    <row r="2281" spans="1:6">
      <c r="A2281" t="s">
        <v>9627</v>
      </c>
      <c r="B2281">
        <v>4348</v>
      </c>
      <c r="C2281" t="s">
        <v>9674</v>
      </c>
      <c r="D2281" t="s">
        <v>9632</v>
      </c>
      <c r="E2281" t="s">
        <v>9834</v>
      </c>
      <c r="F2281" t="s">
        <v>9545</v>
      </c>
    </row>
    <row r="2282" spans="1:6">
      <c r="A2282" t="s">
        <v>9627</v>
      </c>
      <c r="B2282">
        <v>4253</v>
      </c>
      <c r="C2282" t="s">
        <v>9674</v>
      </c>
      <c r="D2282" t="s">
        <v>9632</v>
      </c>
      <c r="E2282" t="s">
        <v>9834</v>
      </c>
      <c r="F2282" t="s">
        <v>9545</v>
      </c>
    </row>
    <row r="2283" spans="1:6">
      <c r="A2283" t="s">
        <v>9627</v>
      </c>
      <c r="B2283">
        <v>2582</v>
      </c>
      <c r="C2283" t="s">
        <v>9674</v>
      </c>
      <c r="D2283" t="s">
        <v>9632</v>
      </c>
      <c r="E2283" t="s">
        <v>9834</v>
      </c>
      <c r="F2283" t="s">
        <v>9545</v>
      </c>
    </row>
    <row r="2284" spans="1:6">
      <c r="A2284" t="s">
        <v>9627</v>
      </c>
      <c r="B2284">
        <v>5457</v>
      </c>
      <c r="C2284" t="s">
        <v>9674</v>
      </c>
      <c r="D2284" t="s">
        <v>9632</v>
      </c>
      <c r="E2284" t="s">
        <v>9834</v>
      </c>
      <c r="F2284" t="s">
        <v>9545</v>
      </c>
    </row>
    <row r="2285" spans="1:6">
      <c r="A2285" t="s">
        <v>9627</v>
      </c>
      <c r="B2285">
        <v>4347</v>
      </c>
      <c r="C2285" t="s">
        <v>9674</v>
      </c>
      <c r="D2285" t="s">
        <v>9632</v>
      </c>
      <c r="E2285" t="s">
        <v>9834</v>
      </c>
      <c r="F2285" t="s">
        <v>9545</v>
      </c>
    </row>
    <row r="2286" spans="1:6">
      <c r="A2286" t="s">
        <v>9627</v>
      </c>
      <c r="B2286">
        <v>4362</v>
      </c>
      <c r="C2286" t="s">
        <v>9674</v>
      </c>
      <c r="D2286" t="s">
        <v>9632</v>
      </c>
      <c r="E2286" t="s">
        <v>9834</v>
      </c>
      <c r="F2286" t="s">
        <v>9545</v>
      </c>
    </row>
    <row r="2287" spans="1:6">
      <c r="A2287" t="s">
        <v>9627</v>
      </c>
      <c r="B2287">
        <v>4363</v>
      </c>
      <c r="C2287" t="s">
        <v>9674</v>
      </c>
      <c r="D2287" t="s">
        <v>9632</v>
      </c>
      <c r="E2287" t="s">
        <v>9834</v>
      </c>
      <c r="F2287" t="s">
        <v>9545</v>
      </c>
    </row>
    <row r="2288" spans="1:6">
      <c r="A2288" t="s">
        <v>9627</v>
      </c>
      <c r="B2288">
        <v>4367</v>
      </c>
      <c r="C2288" t="s">
        <v>9674</v>
      </c>
      <c r="D2288" t="s">
        <v>9632</v>
      </c>
      <c r="E2288" t="s">
        <v>9834</v>
      </c>
      <c r="F2288" t="s">
        <v>9545</v>
      </c>
    </row>
    <row r="2289" spans="1:6">
      <c r="A2289" t="s">
        <v>9627</v>
      </c>
      <c r="B2289">
        <v>4368</v>
      </c>
      <c r="C2289" t="s">
        <v>9674</v>
      </c>
      <c r="D2289" t="s">
        <v>9632</v>
      </c>
      <c r="E2289" t="s">
        <v>9834</v>
      </c>
      <c r="F2289" t="s">
        <v>9545</v>
      </c>
    </row>
    <row r="2290" spans="1:6">
      <c r="A2290" t="s">
        <v>9627</v>
      </c>
      <c r="B2290">
        <v>7327</v>
      </c>
      <c r="C2290" t="s">
        <v>9674</v>
      </c>
      <c r="D2290" t="s">
        <v>9632</v>
      </c>
      <c r="E2290" t="s">
        <v>9834</v>
      </c>
      <c r="F2290" t="s">
        <v>9545</v>
      </c>
    </row>
    <row r="2291" spans="1:6">
      <c r="A2291" t="s">
        <v>9627</v>
      </c>
      <c r="B2291">
        <v>7328</v>
      </c>
      <c r="C2291" t="s">
        <v>9674</v>
      </c>
      <c r="D2291" t="s">
        <v>9632</v>
      </c>
      <c r="E2291" t="s">
        <v>9834</v>
      </c>
      <c r="F2291" t="s">
        <v>9545</v>
      </c>
    </row>
    <row r="2292" spans="1:6">
      <c r="A2292" t="s">
        <v>9627</v>
      </c>
      <c r="B2292">
        <v>4365</v>
      </c>
      <c r="C2292" t="s">
        <v>9674</v>
      </c>
      <c r="D2292" t="s">
        <v>9632</v>
      </c>
      <c r="E2292" t="s">
        <v>9834</v>
      </c>
      <c r="F2292" t="s">
        <v>9545</v>
      </c>
    </row>
    <row r="2293" spans="1:6">
      <c r="A2293" t="s">
        <v>9627</v>
      </c>
      <c r="B2293">
        <v>4364</v>
      </c>
      <c r="C2293" t="s">
        <v>9674</v>
      </c>
      <c r="D2293" t="s">
        <v>9632</v>
      </c>
      <c r="E2293" t="s">
        <v>9834</v>
      </c>
      <c r="F2293" t="s">
        <v>9545</v>
      </c>
    </row>
    <row r="2294" spans="1:6">
      <c r="A2294" t="s">
        <v>9627</v>
      </c>
      <c r="B2294">
        <v>4194</v>
      </c>
      <c r="C2294" t="s">
        <v>9674</v>
      </c>
      <c r="D2294" t="s">
        <v>9632</v>
      </c>
      <c r="E2294" t="s">
        <v>9834</v>
      </c>
      <c r="F2294" t="s">
        <v>9545</v>
      </c>
    </row>
    <row r="2295" spans="1:6">
      <c r="A2295" t="s">
        <v>9627</v>
      </c>
      <c r="B2295">
        <v>4190</v>
      </c>
      <c r="C2295" t="s">
        <v>9674</v>
      </c>
      <c r="D2295" t="s">
        <v>9632</v>
      </c>
      <c r="E2295" t="s">
        <v>9834</v>
      </c>
      <c r="F2295" t="s">
        <v>9545</v>
      </c>
    </row>
    <row r="2296" spans="1:6">
      <c r="A2296" t="s">
        <v>9627</v>
      </c>
      <c r="B2296">
        <v>4251</v>
      </c>
      <c r="C2296" t="s">
        <v>9674</v>
      </c>
      <c r="D2296" t="s">
        <v>9632</v>
      </c>
      <c r="E2296" t="s">
        <v>9834</v>
      </c>
      <c r="F2296" t="s">
        <v>9545</v>
      </c>
    </row>
    <row r="2297" spans="1:6">
      <c r="A2297" t="s">
        <v>9627</v>
      </c>
      <c r="B2297">
        <v>4252</v>
      </c>
      <c r="C2297" t="s">
        <v>9674</v>
      </c>
      <c r="D2297" t="s">
        <v>9632</v>
      </c>
      <c r="E2297" t="s">
        <v>9834</v>
      </c>
      <c r="F2297" t="s">
        <v>9545</v>
      </c>
    </row>
    <row r="2298" spans="1:6">
      <c r="A2298" t="s">
        <v>9627</v>
      </c>
      <c r="B2298">
        <v>2583</v>
      </c>
      <c r="C2298" t="s">
        <v>9674</v>
      </c>
      <c r="D2298" t="s">
        <v>9632</v>
      </c>
      <c r="E2298" t="s">
        <v>9834</v>
      </c>
      <c r="F2298" t="s">
        <v>9545</v>
      </c>
    </row>
    <row r="2299" spans="1:6">
      <c r="A2299" t="s">
        <v>9627</v>
      </c>
      <c r="B2299">
        <v>5458</v>
      </c>
      <c r="C2299" t="s">
        <v>9674</v>
      </c>
      <c r="D2299" t="s">
        <v>9632</v>
      </c>
      <c r="E2299" t="s">
        <v>9834</v>
      </c>
      <c r="F2299" t="s">
        <v>9545</v>
      </c>
    </row>
    <row r="2300" spans="1:6">
      <c r="A2300" t="s">
        <v>9627</v>
      </c>
      <c r="B2300">
        <v>7382</v>
      </c>
      <c r="C2300" t="s">
        <v>9674</v>
      </c>
      <c r="D2300" t="s">
        <v>9632</v>
      </c>
      <c r="E2300" t="s">
        <v>9834</v>
      </c>
      <c r="F2300" t="s">
        <v>9545</v>
      </c>
    </row>
    <row r="2301" spans="1:6">
      <c r="A2301" t="s">
        <v>9627</v>
      </c>
      <c r="B2301">
        <v>4192</v>
      </c>
      <c r="C2301" t="s">
        <v>9674</v>
      </c>
      <c r="D2301" t="s">
        <v>9632</v>
      </c>
      <c r="E2301" t="s">
        <v>9834</v>
      </c>
      <c r="F2301" t="s">
        <v>9545</v>
      </c>
    </row>
    <row r="2302" spans="1:6">
      <c r="A2302" t="s">
        <v>9627</v>
      </c>
      <c r="B2302">
        <v>4193</v>
      </c>
      <c r="C2302" t="s">
        <v>9674</v>
      </c>
      <c r="D2302" t="s">
        <v>9632</v>
      </c>
      <c r="E2302" t="s">
        <v>9834</v>
      </c>
      <c r="F2302" t="s">
        <v>9545</v>
      </c>
    </row>
    <row r="2303" spans="1:6">
      <c r="A2303" t="s">
        <v>9627</v>
      </c>
      <c r="B2303">
        <v>7973</v>
      </c>
      <c r="C2303" t="s">
        <v>9674</v>
      </c>
      <c r="D2303" t="s">
        <v>9632</v>
      </c>
      <c r="E2303" t="s">
        <v>9834</v>
      </c>
      <c r="F2303" t="s">
        <v>9545</v>
      </c>
    </row>
    <row r="2304" spans="1:6">
      <c r="A2304" t="s">
        <v>9627</v>
      </c>
      <c r="B2304">
        <v>7975</v>
      </c>
      <c r="C2304" t="s">
        <v>9674</v>
      </c>
      <c r="D2304" t="s">
        <v>9632</v>
      </c>
      <c r="E2304" t="s">
        <v>9834</v>
      </c>
      <c r="F2304" t="s">
        <v>9545</v>
      </c>
    </row>
    <row r="2305" spans="1:6">
      <c r="A2305" t="s">
        <v>9627</v>
      </c>
      <c r="B2305">
        <v>7974</v>
      </c>
      <c r="C2305" t="s">
        <v>9674</v>
      </c>
      <c r="D2305" t="s">
        <v>9632</v>
      </c>
      <c r="E2305" t="s">
        <v>9834</v>
      </c>
      <c r="F2305" t="s">
        <v>9545</v>
      </c>
    </row>
    <row r="2306" spans="1:6">
      <c r="A2306" t="s">
        <v>9627</v>
      </c>
      <c r="B2306">
        <v>7976</v>
      </c>
      <c r="C2306" t="s">
        <v>9674</v>
      </c>
      <c r="D2306" t="s">
        <v>9632</v>
      </c>
      <c r="E2306" t="s">
        <v>9834</v>
      </c>
      <c r="F2306" t="s">
        <v>9545</v>
      </c>
    </row>
    <row r="2307" spans="1:6">
      <c r="A2307" t="s">
        <v>9627</v>
      </c>
      <c r="B2307">
        <v>7836</v>
      </c>
      <c r="C2307" t="s">
        <v>9674</v>
      </c>
      <c r="D2307" t="s">
        <v>9632</v>
      </c>
      <c r="E2307" t="s">
        <v>9834</v>
      </c>
      <c r="F2307" t="s">
        <v>9545</v>
      </c>
    </row>
    <row r="2308" spans="1:6">
      <c r="A2308" t="s">
        <v>9627</v>
      </c>
      <c r="B2308">
        <v>7837</v>
      </c>
      <c r="C2308" t="s">
        <v>9674</v>
      </c>
      <c r="D2308" t="s">
        <v>9632</v>
      </c>
      <c r="E2308" t="s">
        <v>9834</v>
      </c>
      <c r="F2308" t="s">
        <v>9545</v>
      </c>
    </row>
    <row r="2309" spans="1:6">
      <c r="A2309" t="s">
        <v>9627</v>
      </c>
      <c r="B2309">
        <v>7379</v>
      </c>
      <c r="C2309" t="s">
        <v>9674</v>
      </c>
      <c r="D2309" t="s">
        <v>9632</v>
      </c>
      <c r="E2309" t="s">
        <v>9834</v>
      </c>
      <c r="F2309" t="s">
        <v>9545</v>
      </c>
    </row>
    <row r="2310" spans="1:6">
      <c r="A2310" t="s">
        <v>9627</v>
      </c>
      <c r="B2310">
        <v>7378</v>
      </c>
      <c r="C2310" t="s">
        <v>9674</v>
      </c>
      <c r="D2310" t="s">
        <v>9632</v>
      </c>
      <c r="E2310" t="s">
        <v>9834</v>
      </c>
      <c r="F2310" t="s">
        <v>9545</v>
      </c>
    </row>
    <row r="2311" spans="1:6">
      <c r="A2311" t="s">
        <v>9627</v>
      </c>
      <c r="B2311">
        <v>7948</v>
      </c>
      <c r="C2311" t="s">
        <v>9674</v>
      </c>
      <c r="D2311" t="s">
        <v>9632</v>
      </c>
      <c r="E2311" t="s">
        <v>9834</v>
      </c>
      <c r="F2311" t="s">
        <v>9545</v>
      </c>
    </row>
    <row r="2312" spans="1:6">
      <c r="A2312" t="s">
        <v>9627</v>
      </c>
      <c r="B2312">
        <v>7940</v>
      </c>
      <c r="C2312" t="s">
        <v>9674</v>
      </c>
      <c r="D2312" t="s">
        <v>9632</v>
      </c>
      <c r="E2312" t="s">
        <v>9834</v>
      </c>
      <c r="F2312" t="s">
        <v>9545</v>
      </c>
    </row>
    <row r="2313" spans="1:6">
      <c r="A2313" t="s">
        <v>9627</v>
      </c>
      <c r="B2313">
        <v>7941</v>
      </c>
      <c r="C2313" t="s">
        <v>9674</v>
      </c>
      <c r="D2313" t="s">
        <v>9632</v>
      </c>
      <c r="E2313" t="s">
        <v>9834</v>
      </c>
      <c r="F2313" t="s">
        <v>9545</v>
      </c>
    </row>
    <row r="2314" spans="1:6">
      <c r="A2314" t="s">
        <v>9627</v>
      </c>
      <c r="B2314">
        <v>7984</v>
      </c>
      <c r="C2314" t="s">
        <v>9674</v>
      </c>
      <c r="D2314" t="s">
        <v>9632</v>
      </c>
      <c r="E2314" t="s">
        <v>9834</v>
      </c>
      <c r="F2314" t="s">
        <v>9545</v>
      </c>
    </row>
    <row r="2315" spans="1:6">
      <c r="A2315" t="s">
        <v>9627</v>
      </c>
      <c r="B2315">
        <v>1723</v>
      </c>
      <c r="C2315" t="s">
        <v>9674</v>
      </c>
      <c r="D2315" t="s">
        <v>9632</v>
      </c>
      <c r="E2315" t="s">
        <v>9834</v>
      </c>
      <c r="F2315" t="s">
        <v>9545</v>
      </c>
    </row>
    <row r="2316" spans="1:6">
      <c r="A2316" t="s">
        <v>9627</v>
      </c>
      <c r="B2316">
        <v>1911</v>
      </c>
      <c r="C2316" t="s">
        <v>9674</v>
      </c>
      <c r="D2316" t="s">
        <v>9625</v>
      </c>
      <c r="E2316" t="s">
        <v>9832</v>
      </c>
      <c r="F2316" t="s">
        <v>9545</v>
      </c>
    </row>
    <row r="2317" spans="1:6">
      <c r="A2317" t="s">
        <v>9627</v>
      </c>
      <c r="B2317">
        <v>7809</v>
      </c>
      <c r="C2317" t="s">
        <v>9674</v>
      </c>
      <c r="D2317" t="s">
        <v>9625</v>
      </c>
      <c r="E2317" t="s">
        <v>9832</v>
      </c>
      <c r="F2317" t="s">
        <v>9545</v>
      </c>
    </row>
    <row r="2318" spans="1:6">
      <c r="A2318" t="s">
        <v>9627</v>
      </c>
      <c r="B2318">
        <v>7870</v>
      </c>
      <c r="C2318" t="s">
        <v>9674</v>
      </c>
      <c r="D2318" t="s">
        <v>9625</v>
      </c>
      <c r="E2318" t="s">
        <v>9832</v>
      </c>
      <c r="F2318" t="s">
        <v>9545</v>
      </c>
    </row>
    <row r="2319" spans="1:6">
      <c r="A2319" t="s">
        <v>9627</v>
      </c>
      <c r="B2319">
        <v>7871</v>
      </c>
      <c r="C2319" t="s">
        <v>9674</v>
      </c>
      <c r="D2319" t="s">
        <v>9625</v>
      </c>
      <c r="E2319" t="s">
        <v>9832</v>
      </c>
      <c r="F2319" t="s">
        <v>9545</v>
      </c>
    </row>
    <row r="2320" spans="1:6">
      <c r="A2320" t="s">
        <v>9627</v>
      </c>
      <c r="B2320">
        <v>7872</v>
      </c>
      <c r="C2320" t="s">
        <v>9674</v>
      </c>
      <c r="D2320" t="s">
        <v>9625</v>
      </c>
      <c r="E2320" t="s">
        <v>9832</v>
      </c>
      <c r="F2320" t="s">
        <v>9545</v>
      </c>
    </row>
    <row r="2321" spans="1:6">
      <c r="A2321" t="s">
        <v>9627</v>
      </c>
      <c r="B2321">
        <v>7873</v>
      </c>
      <c r="C2321" t="s">
        <v>9674</v>
      </c>
      <c r="D2321" t="s">
        <v>9625</v>
      </c>
      <c r="E2321" t="s">
        <v>9832</v>
      </c>
      <c r="F2321" t="s">
        <v>9545</v>
      </c>
    </row>
    <row r="2322" spans="1:6">
      <c r="A2322" t="s">
        <v>9627</v>
      </c>
      <c r="B2322">
        <v>7875</v>
      </c>
      <c r="C2322" t="s">
        <v>9674</v>
      </c>
      <c r="D2322" t="s">
        <v>9625</v>
      </c>
      <c r="E2322" t="s">
        <v>9832</v>
      </c>
      <c r="F2322" t="s">
        <v>9545</v>
      </c>
    </row>
    <row r="2323" spans="1:6">
      <c r="A2323" t="s">
        <v>9627</v>
      </c>
      <c r="B2323">
        <v>7901</v>
      </c>
      <c r="C2323" t="s">
        <v>9674</v>
      </c>
      <c r="D2323" t="s">
        <v>9625</v>
      </c>
      <c r="E2323" t="s">
        <v>9832</v>
      </c>
      <c r="F2323" t="s">
        <v>9545</v>
      </c>
    </row>
    <row r="2324" spans="1:6">
      <c r="A2324" t="s">
        <v>9627</v>
      </c>
      <c r="B2324">
        <v>7902</v>
      </c>
      <c r="C2324" t="s">
        <v>9674</v>
      </c>
      <c r="D2324" t="s">
        <v>9625</v>
      </c>
      <c r="E2324" t="s">
        <v>9832</v>
      </c>
      <c r="F2324" t="s">
        <v>9545</v>
      </c>
    </row>
    <row r="2325" spans="1:6">
      <c r="A2325" t="s">
        <v>9627</v>
      </c>
      <c r="B2325">
        <v>7967</v>
      </c>
      <c r="C2325" t="s">
        <v>9674</v>
      </c>
      <c r="D2325" t="s">
        <v>9625</v>
      </c>
      <c r="E2325" t="s">
        <v>9832</v>
      </c>
      <c r="F2325" t="s">
        <v>9545</v>
      </c>
    </row>
    <row r="2326" spans="1:6">
      <c r="A2326" t="s">
        <v>9627</v>
      </c>
      <c r="B2326">
        <v>7971</v>
      </c>
      <c r="C2326" t="s">
        <v>9674</v>
      </c>
      <c r="D2326" t="s">
        <v>9625</v>
      </c>
      <c r="E2326" t="s">
        <v>9832</v>
      </c>
      <c r="F2326" t="s">
        <v>9545</v>
      </c>
    </row>
    <row r="2327" spans="1:6">
      <c r="A2327" t="s">
        <v>9627</v>
      </c>
      <c r="B2327">
        <v>7972</v>
      </c>
      <c r="C2327" t="s">
        <v>9674</v>
      </c>
      <c r="D2327" t="s">
        <v>9625</v>
      </c>
      <c r="E2327" t="s">
        <v>9832</v>
      </c>
      <c r="F2327" t="s">
        <v>9545</v>
      </c>
    </row>
    <row r="2328" spans="1:6">
      <c r="A2328" t="s">
        <v>9627</v>
      </c>
      <c r="B2328">
        <v>7981</v>
      </c>
      <c r="C2328" t="s">
        <v>9674</v>
      </c>
      <c r="D2328" t="s">
        <v>9625</v>
      </c>
      <c r="E2328" t="s">
        <v>9832</v>
      </c>
      <c r="F2328" t="s">
        <v>9545</v>
      </c>
    </row>
    <row r="2329" spans="1:6">
      <c r="A2329" t="s">
        <v>9627</v>
      </c>
      <c r="B2329">
        <v>7995</v>
      </c>
      <c r="C2329" t="s">
        <v>9674</v>
      </c>
      <c r="D2329" t="s">
        <v>9625</v>
      </c>
      <c r="E2329" t="s">
        <v>9832</v>
      </c>
      <c r="F2329" t="s">
        <v>9545</v>
      </c>
    </row>
    <row r="2330" spans="1:6">
      <c r="A2330" t="s">
        <v>9627</v>
      </c>
      <c r="B2330">
        <v>7996</v>
      </c>
      <c r="C2330" t="s">
        <v>9674</v>
      </c>
      <c r="D2330" t="s">
        <v>9625</v>
      </c>
      <c r="E2330" t="s">
        <v>9832</v>
      </c>
      <c r="F2330" t="s">
        <v>9545</v>
      </c>
    </row>
    <row r="2331" spans="1:6">
      <c r="A2331" t="s">
        <v>9627</v>
      </c>
      <c r="B2331">
        <v>8014</v>
      </c>
      <c r="C2331" t="s">
        <v>9674</v>
      </c>
      <c r="D2331" t="s">
        <v>9625</v>
      </c>
      <c r="E2331" t="s">
        <v>9832</v>
      </c>
      <c r="F2331" t="s">
        <v>9545</v>
      </c>
    </row>
    <row r="2332" spans="1:6">
      <c r="A2332" t="s">
        <v>9627</v>
      </c>
      <c r="B2332">
        <v>8028</v>
      </c>
      <c r="C2332" t="s">
        <v>9674</v>
      </c>
      <c r="D2332" t="s">
        <v>9625</v>
      </c>
      <c r="E2332" t="s">
        <v>9832</v>
      </c>
      <c r="F2332" t="s">
        <v>9545</v>
      </c>
    </row>
    <row r="2333" spans="1:6">
      <c r="A2333" t="s">
        <v>9627</v>
      </c>
      <c r="B2333">
        <v>8038</v>
      </c>
      <c r="C2333" t="s">
        <v>9674</v>
      </c>
      <c r="D2333" t="s">
        <v>9625</v>
      </c>
      <c r="E2333" t="s">
        <v>9832</v>
      </c>
      <c r="F2333" t="s">
        <v>9545</v>
      </c>
    </row>
    <row r="2334" spans="1:6">
      <c r="A2334" t="s">
        <v>9627</v>
      </c>
      <c r="B2334">
        <v>8667</v>
      </c>
      <c r="C2334" t="s">
        <v>9674</v>
      </c>
      <c r="D2334" t="s">
        <v>9625</v>
      </c>
      <c r="E2334" t="s">
        <v>9832</v>
      </c>
      <c r="F2334" t="s">
        <v>9545</v>
      </c>
    </row>
    <row r="2335" spans="1:6">
      <c r="A2335" t="s">
        <v>9627</v>
      </c>
      <c r="B2335">
        <v>8677</v>
      </c>
      <c r="C2335" t="s">
        <v>9674</v>
      </c>
      <c r="D2335" t="s">
        <v>9625</v>
      </c>
      <c r="E2335" t="s">
        <v>9832</v>
      </c>
      <c r="F2335" t="s">
        <v>9545</v>
      </c>
    </row>
    <row r="2336" spans="1:6">
      <c r="A2336" t="s">
        <v>9627</v>
      </c>
      <c r="B2336">
        <v>8678</v>
      </c>
      <c r="C2336" t="s">
        <v>9674</v>
      </c>
      <c r="D2336" t="s">
        <v>9625</v>
      </c>
      <c r="E2336" t="s">
        <v>9832</v>
      </c>
      <c r="F2336" t="s">
        <v>9545</v>
      </c>
    </row>
    <row r="2337" spans="1:6">
      <c r="A2337" t="s">
        <v>9627</v>
      </c>
      <c r="B2337">
        <v>8720</v>
      </c>
      <c r="C2337" t="s">
        <v>9674</v>
      </c>
      <c r="D2337" t="s">
        <v>9625</v>
      </c>
      <c r="E2337" t="s">
        <v>9832</v>
      </c>
      <c r="F2337" t="s">
        <v>9545</v>
      </c>
    </row>
    <row r="2338" spans="1:6">
      <c r="A2338" t="s">
        <v>9627</v>
      </c>
      <c r="B2338">
        <v>8730</v>
      </c>
      <c r="C2338" t="s">
        <v>9674</v>
      </c>
      <c r="D2338" t="s">
        <v>9625</v>
      </c>
      <c r="E2338" t="s">
        <v>9832</v>
      </c>
      <c r="F2338" t="s">
        <v>9545</v>
      </c>
    </row>
    <row r="2339" spans="1:6">
      <c r="A2339" t="s">
        <v>9627</v>
      </c>
      <c r="B2339">
        <v>8740</v>
      </c>
      <c r="C2339" t="s">
        <v>9674</v>
      </c>
      <c r="D2339" t="s">
        <v>9625</v>
      </c>
      <c r="E2339" t="s">
        <v>9832</v>
      </c>
      <c r="F2339" t="s">
        <v>9545</v>
      </c>
    </row>
    <row r="2340" spans="1:6">
      <c r="A2340" t="s">
        <v>9627</v>
      </c>
      <c r="B2340">
        <v>8750</v>
      </c>
      <c r="C2340" t="s">
        <v>9674</v>
      </c>
      <c r="D2340" t="s">
        <v>9625</v>
      </c>
      <c r="E2340" t="s">
        <v>9832</v>
      </c>
      <c r="F2340" t="s">
        <v>9545</v>
      </c>
    </row>
    <row r="2341" spans="1:6">
      <c r="A2341" t="s">
        <v>9627</v>
      </c>
      <c r="B2341">
        <v>8832</v>
      </c>
      <c r="C2341" t="s">
        <v>9674</v>
      </c>
      <c r="D2341" t="s">
        <v>9625</v>
      </c>
      <c r="E2341" t="s">
        <v>9832</v>
      </c>
      <c r="F2341" t="s">
        <v>9545</v>
      </c>
    </row>
    <row r="2342" spans="1:6">
      <c r="A2342" t="s">
        <v>9627</v>
      </c>
      <c r="B2342">
        <v>8839</v>
      </c>
      <c r="C2342" t="s">
        <v>9674</v>
      </c>
      <c r="D2342" t="s">
        <v>9625</v>
      </c>
      <c r="E2342" t="s">
        <v>9832</v>
      </c>
      <c r="F2342" t="s">
        <v>9545</v>
      </c>
    </row>
    <row r="2343" spans="1:6">
      <c r="A2343" t="s">
        <v>9627</v>
      </c>
      <c r="B2343">
        <v>8843</v>
      </c>
      <c r="C2343" t="s">
        <v>9674</v>
      </c>
      <c r="D2343" t="s">
        <v>9625</v>
      </c>
      <c r="E2343" t="s">
        <v>9832</v>
      </c>
      <c r="F2343" t="s">
        <v>9545</v>
      </c>
    </row>
    <row r="2344" spans="1:6">
      <c r="A2344" t="s">
        <v>9627</v>
      </c>
      <c r="B2344">
        <v>8850</v>
      </c>
      <c r="C2344" t="s">
        <v>9674</v>
      </c>
      <c r="D2344" t="s">
        <v>9625</v>
      </c>
      <c r="E2344" t="s">
        <v>9832</v>
      </c>
      <c r="F2344" t="s">
        <v>9545</v>
      </c>
    </row>
    <row r="2345" spans="1:6">
      <c r="A2345" t="s">
        <v>9627</v>
      </c>
      <c r="B2345">
        <v>8852</v>
      </c>
      <c r="C2345" t="s">
        <v>9674</v>
      </c>
      <c r="D2345" t="s">
        <v>9625</v>
      </c>
      <c r="E2345" t="s">
        <v>9832</v>
      </c>
      <c r="F2345" t="s">
        <v>9545</v>
      </c>
    </row>
    <row r="2346" spans="1:6">
      <c r="A2346" t="s">
        <v>9627</v>
      </c>
      <c r="B2346">
        <v>8853</v>
      </c>
      <c r="C2346" t="s">
        <v>9674</v>
      </c>
      <c r="D2346" t="s">
        <v>9625</v>
      </c>
      <c r="E2346" t="s">
        <v>9832</v>
      </c>
      <c r="F2346" t="s">
        <v>9545</v>
      </c>
    </row>
    <row r="2347" spans="1:6">
      <c r="A2347" t="s">
        <v>9627</v>
      </c>
      <c r="B2347">
        <v>8886</v>
      </c>
      <c r="C2347" t="s">
        <v>9674</v>
      </c>
      <c r="D2347" t="s">
        <v>9625</v>
      </c>
      <c r="E2347" t="s">
        <v>9832</v>
      </c>
      <c r="F2347" t="s">
        <v>9545</v>
      </c>
    </row>
    <row r="2348" spans="1:6">
      <c r="A2348" t="s">
        <v>9627</v>
      </c>
      <c r="B2348">
        <v>8721</v>
      </c>
      <c r="C2348" t="s">
        <v>9674</v>
      </c>
      <c r="D2348" t="s">
        <v>9628</v>
      </c>
      <c r="E2348" t="s">
        <v>9833</v>
      </c>
      <c r="F2348" t="s">
        <v>9545</v>
      </c>
    </row>
    <row r="2349" spans="1:6">
      <c r="A2349" t="s">
        <v>9627</v>
      </c>
      <c r="B2349">
        <v>8731</v>
      </c>
      <c r="C2349" t="s">
        <v>9674</v>
      </c>
      <c r="D2349" t="s">
        <v>9628</v>
      </c>
      <c r="E2349" t="s">
        <v>9833</v>
      </c>
      <c r="F2349" t="s">
        <v>9545</v>
      </c>
    </row>
    <row r="2350" spans="1:6">
      <c r="A2350" t="s">
        <v>9627</v>
      </c>
      <c r="B2350">
        <v>7906</v>
      </c>
      <c r="C2350" t="s">
        <v>9674</v>
      </c>
      <c r="D2350" t="s">
        <v>9628</v>
      </c>
      <c r="E2350" t="s">
        <v>9833</v>
      </c>
      <c r="F2350" t="s">
        <v>9545</v>
      </c>
    </row>
    <row r="2351" spans="1:6">
      <c r="A2351" t="s">
        <v>9627</v>
      </c>
      <c r="B2351">
        <v>7916</v>
      </c>
      <c r="C2351" t="s">
        <v>9674</v>
      </c>
      <c r="D2351" t="s">
        <v>9628</v>
      </c>
      <c r="E2351" t="s">
        <v>9833</v>
      </c>
      <c r="F2351" t="s">
        <v>9545</v>
      </c>
    </row>
    <row r="2352" spans="1:6">
      <c r="A2352" t="s">
        <v>9627</v>
      </c>
      <c r="B2352">
        <v>8737</v>
      </c>
      <c r="C2352" t="s">
        <v>9674</v>
      </c>
      <c r="D2352" t="s">
        <v>9628</v>
      </c>
      <c r="E2352" t="s">
        <v>9833</v>
      </c>
      <c r="F2352" t="s">
        <v>9545</v>
      </c>
    </row>
    <row r="2353" spans="1:6">
      <c r="A2353" t="s">
        <v>9627</v>
      </c>
      <c r="B2353">
        <v>7917</v>
      </c>
      <c r="C2353" t="s">
        <v>9674</v>
      </c>
      <c r="D2353" t="s">
        <v>9628</v>
      </c>
      <c r="E2353" t="s">
        <v>9833</v>
      </c>
      <c r="F2353" t="s">
        <v>9545</v>
      </c>
    </row>
    <row r="2354" spans="1:6">
      <c r="A2354" t="s">
        <v>9627</v>
      </c>
      <c r="B2354">
        <v>7903</v>
      </c>
      <c r="C2354" t="s">
        <v>9674</v>
      </c>
      <c r="D2354" t="s">
        <v>9628</v>
      </c>
      <c r="E2354" t="s">
        <v>9833</v>
      </c>
      <c r="F2354" t="s">
        <v>9545</v>
      </c>
    </row>
    <row r="2355" spans="1:6">
      <c r="A2355" t="s">
        <v>9627</v>
      </c>
      <c r="B2355">
        <v>5455</v>
      </c>
      <c r="C2355" t="s">
        <v>9674</v>
      </c>
      <c r="D2355" t="s">
        <v>9628</v>
      </c>
      <c r="E2355" t="s">
        <v>9833</v>
      </c>
      <c r="F2355" t="s">
        <v>9545</v>
      </c>
    </row>
    <row r="2356" spans="1:6">
      <c r="A2356" t="s">
        <v>9627</v>
      </c>
      <c r="B2356">
        <v>5456</v>
      </c>
      <c r="C2356" t="s">
        <v>9674</v>
      </c>
      <c r="D2356" t="s">
        <v>9628</v>
      </c>
      <c r="E2356" t="s">
        <v>9833</v>
      </c>
      <c r="F2356" t="s">
        <v>9545</v>
      </c>
    </row>
    <row r="2357" spans="1:6">
      <c r="A2357" t="s">
        <v>9627</v>
      </c>
      <c r="B2357">
        <v>6391</v>
      </c>
      <c r="C2357" t="s">
        <v>9674</v>
      </c>
      <c r="D2357" t="s">
        <v>9628</v>
      </c>
      <c r="E2357" t="s">
        <v>9833</v>
      </c>
      <c r="F2357" t="s">
        <v>9545</v>
      </c>
    </row>
    <row r="2358" spans="1:6">
      <c r="A2358" t="s">
        <v>9627</v>
      </c>
      <c r="B2358">
        <v>7912</v>
      </c>
      <c r="C2358" t="s">
        <v>9674</v>
      </c>
      <c r="D2358" t="s">
        <v>9628</v>
      </c>
      <c r="E2358" t="s">
        <v>9833</v>
      </c>
      <c r="F2358" t="s">
        <v>9545</v>
      </c>
    </row>
    <row r="2359" spans="1:6">
      <c r="A2359" t="s">
        <v>9627</v>
      </c>
      <c r="B2359">
        <v>7913</v>
      </c>
      <c r="C2359" t="s">
        <v>9674</v>
      </c>
      <c r="D2359" t="s">
        <v>9628</v>
      </c>
      <c r="E2359" t="s">
        <v>9833</v>
      </c>
      <c r="F2359" t="s">
        <v>9545</v>
      </c>
    </row>
    <row r="2360" spans="1:6">
      <c r="A2360" t="s">
        <v>9627</v>
      </c>
      <c r="B2360">
        <v>7918</v>
      </c>
      <c r="C2360" t="s">
        <v>9674</v>
      </c>
      <c r="D2360" t="s">
        <v>9628</v>
      </c>
      <c r="E2360" t="s">
        <v>9833</v>
      </c>
      <c r="F2360" t="s">
        <v>9545</v>
      </c>
    </row>
    <row r="2361" spans="1:6">
      <c r="A2361" t="s">
        <v>9627</v>
      </c>
      <c r="B2361">
        <v>7919</v>
      </c>
      <c r="C2361" t="s">
        <v>9674</v>
      </c>
      <c r="D2361" t="s">
        <v>9628</v>
      </c>
      <c r="E2361" t="s">
        <v>9833</v>
      </c>
      <c r="F2361" t="s">
        <v>9545</v>
      </c>
    </row>
    <row r="2362" spans="1:6">
      <c r="A2362" t="s">
        <v>9627</v>
      </c>
      <c r="B2362">
        <v>8685</v>
      </c>
      <c r="C2362" t="s">
        <v>9674</v>
      </c>
      <c r="D2362" t="s">
        <v>9628</v>
      </c>
      <c r="E2362" t="s">
        <v>9833</v>
      </c>
      <c r="F2362" t="s">
        <v>9545</v>
      </c>
    </row>
    <row r="2363" spans="1:6">
      <c r="A2363" t="s">
        <v>9627</v>
      </c>
      <c r="B2363">
        <v>8686</v>
      </c>
      <c r="C2363" t="s">
        <v>9674</v>
      </c>
      <c r="D2363" t="s">
        <v>9628</v>
      </c>
      <c r="E2363" t="s">
        <v>9833</v>
      </c>
      <c r="F2363" t="s">
        <v>9545</v>
      </c>
    </row>
    <row r="2364" spans="1:6">
      <c r="A2364" t="s">
        <v>9627</v>
      </c>
      <c r="B2364">
        <v>8861</v>
      </c>
      <c r="C2364" t="s">
        <v>9674</v>
      </c>
      <c r="D2364" t="s">
        <v>9628</v>
      </c>
      <c r="E2364" t="s">
        <v>9833</v>
      </c>
      <c r="F2364" t="s">
        <v>9545</v>
      </c>
    </row>
    <row r="2365" spans="1:6">
      <c r="A2365" t="s">
        <v>9627</v>
      </c>
      <c r="B2365">
        <v>8862</v>
      </c>
      <c r="C2365" t="s">
        <v>9674</v>
      </c>
      <c r="D2365" t="s">
        <v>9628</v>
      </c>
      <c r="E2365" t="s">
        <v>9833</v>
      </c>
      <c r="F2365" t="s">
        <v>9545</v>
      </c>
    </row>
    <row r="2366" spans="1:6">
      <c r="A2366" t="s">
        <v>9627</v>
      </c>
      <c r="B2366">
        <v>8863</v>
      </c>
      <c r="C2366" t="s">
        <v>9674</v>
      </c>
      <c r="D2366" t="s">
        <v>9628</v>
      </c>
      <c r="E2366" t="s">
        <v>9833</v>
      </c>
      <c r="F2366" t="s">
        <v>9545</v>
      </c>
    </row>
    <row r="2367" spans="1:6">
      <c r="A2367" t="s">
        <v>9627</v>
      </c>
      <c r="B2367">
        <v>8683</v>
      </c>
      <c r="C2367" t="s">
        <v>9674</v>
      </c>
      <c r="D2367" t="s">
        <v>9628</v>
      </c>
      <c r="E2367" t="s">
        <v>9833</v>
      </c>
      <c r="F2367" t="s">
        <v>9545</v>
      </c>
    </row>
    <row r="2368" spans="1:6">
      <c r="A2368" t="s">
        <v>9627</v>
      </c>
      <c r="B2368">
        <v>8687</v>
      </c>
      <c r="C2368" t="s">
        <v>9674</v>
      </c>
      <c r="D2368" t="s">
        <v>9628</v>
      </c>
      <c r="E2368" t="s">
        <v>9833</v>
      </c>
      <c r="F2368" t="s">
        <v>9545</v>
      </c>
    </row>
    <row r="2369" spans="1:6">
      <c r="A2369" t="s">
        <v>9627</v>
      </c>
      <c r="B2369">
        <v>8870</v>
      </c>
      <c r="C2369" t="s">
        <v>9674</v>
      </c>
      <c r="D2369" t="s">
        <v>9628</v>
      </c>
      <c r="E2369" t="s">
        <v>9833</v>
      </c>
      <c r="F2369" t="s">
        <v>9545</v>
      </c>
    </row>
    <row r="2370" spans="1:6">
      <c r="A2370" t="s">
        <v>9627</v>
      </c>
      <c r="B2370">
        <v>8688</v>
      </c>
      <c r="C2370" t="s">
        <v>9674</v>
      </c>
      <c r="D2370" t="s">
        <v>9628</v>
      </c>
      <c r="E2370" t="s">
        <v>9833</v>
      </c>
      <c r="F2370" t="s">
        <v>9545</v>
      </c>
    </row>
    <row r="2371" spans="1:6">
      <c r="A2371" t="s">
        <v>9627</v>
      </c>
      <c r="B2371">
        <v>8855</v>
      </c>
      <c r="C2371" t="s">
        <v>9674</v>
      </c>
      <c r="D2371" t="s">
        <v>9628</v>
      </c>
      <c r="E2371" t="s">
        <v>9833</v>
      </c>
      <c r="F2371" t="s">
        <v>9545</v>
      </c>
    </row>
    <row r="2372" spans="1:6">
      <c r="A2372" t="s">
        <v>9627</v>
      </c>
      <c r="B2372">
        <v>8872</v>
      </c>
      <c r="C2372" t="s">
        <v>9674</v>
      </c>
      <c r="D2372" t="s">
        <v>9628</v>
      </c>
      <c r="E2372" t="s">
        <v>9833</v>
      </c>
      <c r="F2372" t="s">
        <v>9545</v>
      </c>
    </row>
    <row r="2373" spans="1:6">
      <c r="A2373" t="s">
        <v>9627</v>
      </c>
      <c r="B2373">
        <v>8874</v>
      </c>
      <c r="C2373" t="s">
        <v>9674</v>
      </c>
      <c r="D2373" t="s">
        <v>9628</v>
      </c>
      <c r="E2373" t="s">
        <v>9833</v>
      </c>
      <c r="F2373" t="s">
        <v>9545</v>
      </c>
    </row>
    <row r="2374" spans="1:6">
      <c r="A2374" t="s">
        <v>9627</v>
      </c>
      <c r="B2374">
        <v>6385</v>
      </c>
      <c r="C2374" t="s">
        <v>9674</v>
      </c>
      <c r="D2374" t="s">
        <v>9628</v>
      </c>
      <c r="E2374" t="s">
        <v>9833</v>
      </c>
      <c r="F2374" t="s">
        <v>9545</v>
      </c>
    </row>
    <row r="2375" spans="1:6">
      <c r="A2375" t="s">
        <v>9627</v>
      </c>
      <c r="B2375">
        <v>6386</v>
      </c>
      <c r="C2375" t="s">
        <v>9674</v>
      </c>
      <c r="D2375" t="s">
        <v>9628</v>
      </c>
      <c r="E2375" t="s">
        <v>9833</v>
      </c>
      <c r="F2375" t="s">
        <v>9545</v>
      </c>
    </row>
    <row r="2376" spans="1:6">
      <c r="A2376" t="s">
        <v>9627</v>
      </c>
      <c r="B2376">
        <v>6388</v>
      </c>
      <c r="C2376" t="s">
        <v>9674</v>
      </c>
      <c r="D2376" t="s">
        <v>9628</v>
      </c>
      <c r="E2376" t="s">
        <v>9833</v>
      </c>
      <c r="F2376" t="s">
        <v>9545</v>
      </c>
    </row>
    <row r="2377" spans="1:6">
      <c r="A2377" t="s">
        <v>9627</v>
      </c>
      <c r="B2377">
        <v>6389</v>
      </c>
      <c r="C2377" t="s">
        <v>9674</v>
      </c>
      <c r="D2377" t="s">
        <v>9628</v>
      </c>
      <c r="E2377" t="s">
        <v>9833</v>
      </c>
      <c r="F2377" t="s">
        <v>9545</v>
      </c>
    </row>
    <row r="2378" spans="1:6">
      <c r="A2378" t="s">
        <v>9627</v>
      </c>
      <c r="B2378">
        <v>6390</v>
      </c>
      <c r="C2378" t="s">
        <v>9674</v>
      </c>
      <c r="D2378" t="s">
        <v>9628</v>
      </c>
      <c r="E2378" t="s">
        <v>9833</v>
      </c>
      <c r="F2378" t="s">
        <v>9545</v>
      </c>
    </row>
    <row r="2379" spans="1:6">
      <c r="A2379" t="s">
        <v>9627</v>
      </c>
      <c r="B2379">
        <v>7321</v>
      </c>
      <c r="C2379" t="s">
        <v>9674</v>
      </c>
      <c r="D2379" t="s">
        <v>9628</v>
      </c>
      <c r="E2379" t="s">
        <v>9833</v>
      </c>
      <c r="F2379" t="s">
        <v>9545</v>
      </c>
    </row>
    <row r="2380" spans="1:6">
      <c r="A2380" t="s">
        <v>9627</v>
      </c>
      <c r="B2380">
        <v>7831</v>
      </c>
      <c r="C2380" t="s">
        <v>9674</v>
      </c>
      <c r="D2380" t="s">
        <v>9628</v>
      </c>
      <c r="E2380" t="s">
        <v>9833</v>
      </c>
      <c r="F2380" t="s">
        <v>9545</v>
      </c>
    </row>
    <row r="2381" spans="1:6">
      <c r="A2381" t="s">
        <v>9627</v>
      </c>
      <c r="B2381">
        <v>7832</v>
      </c>
      <c r="C2381" t="s">
        <v>9674</v>
      </c>
      <c r="D2381" t="s">
        <v>9628</v>
      </c>
      <c r="E2381" t="s">
        <v>9833</v>
      </c>
      <c r="F2381" t="s">
        <v>9545</v>
      </c>
    </row>
    <row r="2382" spans="1:6">
      <c r="A2382" t="s">
        <v>9627</v>
      </c>
      <c r="B2382">
        <v>7833</v>
      </c>
      <c r="C2382" t="s">
        <v>9674</v>
      </c>
      <c r="D2382" t="s">
        <v>9628</v>
      </c>
      <c r="E2382" t="s">
        <v>9833</v>
      </c>
      <c r="F2382" t="s">
        <v>9545</v>
      </c>
    </row>
    <row r="2383" spans="1:6">
      <c r="A2383" t="s">
        <v>9627</v>
      </c>
      <c r="B2383">
        <v>7834</v>
      </c>
      <c r="C2383" t="s">
        <v>9674</v>
      </c>
      <c r="D2383" t="s">
        <v>9628</v>
      </c>
      <c r="E2383" t="s">
        <v>9833</v>
      </c>
      <c r="F2383" t="s">
        <v>9545</v>
      </c>
    </row>
    <row r="2384" spans="1:6">
      <c r="A2384" t="s">
        <v>9627</v>
      </c>
      <c r="B2384">
        <v>8722</v>
      </c>
      <c r="C2384" t="s">
        <v>9674</v>
      </c>
      <c r="D2384" t="s">
        <v>9628</v>
      </c>
      <c r="E2384" t="s">
        <v>9833</v>
      </c>
      <c r="F2384" t="s">
        <v>9545</v>
      </c>
    </row>
    <row r="2385" spans="1:6">
      <c r="A2385" t="s">
        <v>9627</v>
      </c>
      <c r="B2385">
        <v>8733</v>
      </c>
      <c r="C2385" t="s">
        <v>9674</v>
      </c>
      <c r="D2385" t="s">
        <v>9628</v>
      </c>
      <c r="E2385" t="s">
        <v>9833</v>
      </c>
      <c r="F2385" t="s">
        <v>9545</v>
      </c>
    </row>
    <row r="2386" spans="1:6">
      <c r="A2386" t="s">
        <v>9627</v>
      </c>
      <c r="B2386">
        <v>8752</v>
      </c>
      <c r="C2386" t="s">
        <v>9674</v>
      </c>
      <c r="D2386" t="s">
        <v>9628</v>
      </c>
      <c r="E2386" t="s">
        <v>9833</v>
      </c>
      <c r="F2386" t="s">
        <v>9545</v>
      </c>
    </row>
    <row r="2387" spans="1:6">
      <c r="A2387" t="s">
        <v>9627</v>
      </c>
      <c r="B2387">
        <v>6205</v>
      </c>
      <c r="C2387" t="s">
        <v>9674</v>
      </c>
      <c r="D2387" t="s">
        <v>9628</v>
      </c>
      <c r="E2387" t="s">
        <v>9833</v>
      </c>
      <c r="F2387" t="s">
        <v>9545</v>
      </c>
    </row>
    <row r="2388" spans="1:6">
      <c r="A2388" t="s">
        <v>9627</v>
      </c>
      <c r="B2388">
        <v>7163</v>
      </c>
      <c r="C2388" t="s">
        <v>9674</v>
      </c>
      <c r="D2388" t="s">
        <v>9628</v>
      </c>
      <c r="E2388" t="s">
        <v>9833</v>
      </c>
      <c r="F2388" t="s">
        <v>9545</v>
      </c>
    </row>
    <row r="2389" spans="1:6">
      <c r="A2389" t="s">
        <v>9627</v>
      </c>
      <c r="B2389">
        <v>8877</v>
      </c>
      <c r="C2389" t="s">
        <v>9674</v>
      </c>
      <c r="D2389" t="s">
        <v>9628</v>
      </c>
      <c r="E2389" t="s">
        <v>9833</v>
      </c>
      <c r="F2389" t="s">
        <v>9545</v>
      </c>
    </row>
    <row r="2390" spans="1:6">
      <c r="A2390" t="s">
        <v>9627</v>
      </c>
      <c r="B2390">
        <v>7164</v>
      </c>
      <c r="C2390" t="s">
        <v>9674</v>
      </c>
      <c r="D2390" t="s">
        <v>9628</v>
      </c>
      <c r="E2390" t="s">
        <v>9833</v>
      </c>
      <c r="F2390" t="s">
        <v>9545</v>
      </c>
    </row>
    <row r="2391" spans="1:6">
      <c r="A2391" t="s">
        <v>9627</v>
      </c>
      <c r="B2391">
        <v>8865</v>
      </c>
      <c r="C2391" t="s">
        <v>9674</v>
      </c>
      <c r="D2391" t="s">
        <v>9628</v>
      </c>
      <c r="E2391" t="s">
        <v>9833</v>
      </c>
      <c r="F2391" t="s">
        <v>9545</v>
      </c>
    </row>
    <row r="2392" spans="1:6">
      <c r="A2392" t="s">
        <v>9627</v>
      </c>
      <c r="B2392">
        <v>8866</v>
      </c>
      <c r="C2392" t="s">
        <v>9674</v>
      </c>
      <c r="D2392" t="s">
        <v>9628</v>
      </c>
      <c r="E2392" t="s">
        <v>9833</v>
      </c>
      <c r="F2392" t="s">
        <v>9545</v>
      </c>
    </row>
    <row r="2393" spans="1:6">
      <c r="A2393" t="s">
        <v>9627</v>
      </c>
      <c r="B2393">
        <v>8864</v>
      </c>
      <c r="C2393" t="s">
        <v>9674</v>
      </c>
      <c r="D2393" t="s">
        <v>9628</v>
      </c>
      <c r="E2393" t="s">
        <v>9833</v>
      </c>
      <c r="F2393" t="s">
        <v>9545</v>
      </c>
    </row>
    <row r="2394" spans="1:6">
      <c r="A2394" t="s">
        <v>9627</v>
      </c>
      <c r="B2394">
        <v>7141</v>
      </c>
      <c r="C2394" t="s">
        <v>9674</v>
      </c>
      <c r="D2394" t="s">
        <v>9628</v>
      </c>
      <c r="E2394" t="s">
        <v>9833</v>
      </c>
      <c r="F2394" t="s">
        <v>9545</v>
      </c>
    </row>
    <row r="2395" spans="1:6">
      <c r="A2395" t="s">
        <v>9627</v>
      </c>
      <c r="B2395">
        <v>7143</v>
      </c>
      <c r="C2395" t="s">
        <v>9674</v>
      </c>
      <c r="D2395" t="s">
        <v>9628</v>
      </c>
      <c r="E2395" t="s">
        <v>9833</v>
      </c>
      <c r="F2395" t="s">
        <v>9545</v>
      </c>
    </row>
    <row r="2396" spans="1:6">
      <c r="A2396" t="s">
        <v>9627</v>
      </c>
      <c r="B2396">
        <v>7145</v>
      </c>
      <c r="C2396" t="s">
        <v>9674</v>
      </c>
      <c r="D2396" t="s">
        <v>9628</v>
      </c>
      <c r="E2396" t="s">
        <v>9833</v>
      </c>
      <c r="F2396" t="s">
        <v>9545</v>
      </c>
    </row>
    <row r="2397" spans="1:6">
      <c r="A2397" t="s">
        <v>9627</v>
      </c>
      <c r="B2397">
        <v>7147</v>
      </c>
      <c r="C2397" t="s">
        <v>9674</v>
      </c>
      <c r="D2397" t="s">
        <v>9628</v>
      </c>
      <c r="E2397" t="s">
        <v>9833</v>
      </c>
      <c r="F2397" t="s">
        <v>9545</v>
      </c>
    </row>
    <row r="2398" spans="1:6">
      <c r="A2398" t="s">
        <v>9627</v>
      </c>
      <c r="B2398">
        <v>3837</v>
      </c>
      <c r="C2398" t="s">
        <v>9674</v>
      </c>
      <c r="D2398" t="s">
        <v>9628</v>
      </c>
      <c r="E2398" t="s">
        <v>9833</v>
      </c>
      <c r="F2398" t="s">
        <v>9545</v>
      </c>
    </row>
    <row r="2399" spans="1:6">
      <c r="A2399" t="s">
        <v>9627</v>
      </c>
      <c r="B2399">
        <v>8878</v>
      </c>
      <c r="C2399" t="s">
        <v>9674</v>
      </c>
      <c r="D2399" t="s">
        <v>9628</v>
      </c>
      <c r="E2399" t="s">
        <v>9833</v>
      </c>
      <c r="F2399" t="s">
        <v>9545</v>
      </c>
    </row>
    <row r="2400" spans="1:6">
      <c r="A2400" t="s">
        <v>9627</v>
      </c>
      <c r="B2400">
        <v>8879</v>
      </c>
      <c r="C2400" t="s">
        <v>9674</v>
      </c>
      <c r="D2400" t="s">
        <v>9628</v>
      </c>
      <c r="E2400" t="s">
        <v>9833</v>
      </c>
      <c r="F2400" t="s">
        <v>9545</v>
      </c>
    </row>
    <row r="2401" spans="1:6">
      <c r="A2401" t="s">
        <v>9627</v>
      </c>
      <c r="B2401">
        <v>7233</v>
      </c>
      <c r="C2401" t="s">
        <v>9674</v>
      </c>
      <c r="D2401" t="s">
        <v>9628</v>
      </c>
      <c r="E2401" t="s">
        <v>9833</v>
      </c>
      <c r="F2401" t="s">
        <v>9545</v>
      </c>
    </row>
    <row r="2402" spans="1:6">
      <c r="A2402" t="s">
        <v>9627</v>
      </c>
      <c r="B2402">
        <v>5464</v>
      </c>
      <c r="C2402" t="s">
        <v>9674</v>
      </c>
      <c r="D2402" t="s">
        <v>9628</v>
      </c>
      <c r="E2402" t="s">
        <v>9833</v>
      </c>
      <c r="F2402" t="s">
        <v>9545</v>
      </c>
    </row>
    <row r="2403" spans="1:6">
      <c r="A2403" t="s">
        <v>9627</v>
      </c>
      <c r="B2403">
        <v>9532</v>
      </c>
      <c r="C2403" t="s">
        <v>9674</v>
      </c>
      <c r="D2403" t="s">
        <v>9628</v>
      </c>
      <c r="E2403" t="s">
        <v>9833</v>
      </c>
      <c r="F2403" t="s">
        <v>9545</v>
      </c>
    </row>
    <row r="2404" spans="1:6">
      <c r="A2404" t="s">
        <v>9627</v>
      </c>
      <c r="B2404">
        <v>5465</v>
      </c>
      <c r="C2404" t="s">
        <v>9674</v>
      </c>
      <c r="D2404" t="s">
        <v>9628</v>
      </c>
      <c r="E2404" t="s">
        <v>9833</v>
      </c>
      <c r="F2404" t="s">
        <v>9545</v>
      </c>
    </row>
    <row r="2405" spans="1:6">
      <c r="A2405" t="s">
        <v>9627</v>
      </c>
      <c r="B2405">
        <v>5456</v>
      </c>
      <c r="C2405" t="s">
        <v>9674</v>
      </c>
      <c r="D2405" t="s">
        <v>9628</v>
      </c>
      <c r="E2405" t="s">
        <v>9833</v>
      </c>
      <c r="F2405" t="s">
        <v>9545</v>
      </c>
    </row>
    <row r="2406" spans="1:6">
      <c r="A2406" t="s">
        <v>9627</v>
      </c>
      <c r="B2406">
        <v>7148</v>
      </c>
      <c r="C2406" t="s">
        <v>9674</v>
      </c>
      <c r="D2406" t="s">
        <v>9628</v>
      </c>
      <c r="E2406" t="s">
        <v>9833</v>
      </c>
      <c r="F2406" t="s">
        <v>9545</v>
      </c>
    </row>
    <row r="2407" spans="1:6">
      <c r="A2407" t="s">
        <v>9627</v>
      </c>
      <c r="B2407">
        <v>7385</v>
      </c>
      <c r="C2407" t="s">
        <v>9674</v>
      </c>
      <c r="D2407" t="s">
        <v>9628</v>
      </c>
      <c r="E2407" t="s">
        <v>9833</v>
      </c>
      <c r="F2407" t="s">
        <v>9545</v>
      </c>
    </row>
    <row r="2408" spans="1:6">
      <c r="A2408" t="s">
        <v>9627</v>
      </c>
      <c r="B2408">
        <v>7162</v>
      </c>
      <c r="C2408" t="s">
        <v>9674</v>
      </c>
      <c r="D2408" t="s">
        <v>9628</v>
      </c>
      <c r="E2408" t="s">
        <v>9833</v>
      </c>
      <c r="F2408" t="s">
        <v>9545</v>
      </c>
    </row>
    <row r="2409" spans="1:6">
      <c r="A2409" t="s">
        <v>9627</v>
      </c>
      <c r="B2409">
        <v>6241</v>
      </c>
      <c r="C2409" t="s">
        <v>9674</v>
      </c>
      <c r="D2409" t="s">
        <v>9628</v>
      </c>
      <c r="E2409" t="s">
        <v>9833</v>
      </c>
      <c r="F2409" t="s">
        <v>9545</v>
      </c>
    </row>
    <row r="2410" spans="1:6">
      <c r="A2410" t="s">
        <v>9627</v>
      </c>
      <c r="B2410">
        <v>8835</v>
      </c>
      <c r="C2410" t="s">
        <v>9674</v>
      </c>
      <c r="D2410" t="s">
        <v>9630</v>
      </c>
      <c r="E2410" t="s">
        <v>9812</v>
      </c>
      <c r="F2410" t="s">
        <v>9545</v>
      </c>
    </row>
    <row r="2411" spans="1:6">
      <c r="A2411" t="s">
        <v>9627</v>
      </c>
      <c r="B2411">
        <v>8848</v>
      </c>
      <c r="C2411" t="s">
        <v>9674</v>
      </c>
      <c r="D2411" t="s">
        <v>9630</v>
      </c>
      <c r="E2411" t="s">
        <v>9812</v>
      </c>
      <c r="F2411" t="s">
        <v>9545</v>
      </c>
    </row>
    <row r="2412" spans="1:6">
      <c r="A2412" t="s">
        <v>9627</v>
      </c>
      <c r="B2412">
        <v>7992</v>
      </c>
      <c r="C2412" t="s">
        <v>9674</v>
      </c>
      <c r="D2412" t="s">
        <v>9630</v>
      </c>
      <c r="E2412" t="s">
        <v>9812</v>
      </c>
      <c r="F2412" t="s">
        <v>9545</v>
      </c>
    </row>
    <row r="2413" spans="1:6">
      <c r="A2413" t="s">
        <v>9627</v>
      </c>
      <c r="B2413">
        <v>8830</v>
      </c>
      <c r="C2413" t="s">
        <v>9674</v>
      </c>
      <c r="D2413" t="s">
        <v>9630</v>
      </c>
      <c r="E2413" t="s">
        <v>9812</v>
      </c>
      <c r="F2413" t="s">
        <v>9545</v>
      </c>
    </row>
    <row r="2414" spans="1:6">
      <c r="A2414" t="s">
        <v>9627</v>
      </c>
      <c r="B2414">
        <v>8837</v>
      </c>
      <c r="C2414" t="s">
        <v>9674</v>
      </c>
      <c r="D2414" t="s">
        <v>9630</v>
      </c>
      <c r="E2414" t="s">
        <v>9812</v>
      </c>
      <c r="F2414" t="s">
        <v>9545</v>
      </c>
    </row>
    <row r="2415" spans="1:6">
      <c r="A2415" t="s">
        <v>9627</v>
      </c>
      <c r="B2415">
        <v>8827</v>
      </c>
      <c r="C2415" t="s">
        <v>9674</v>
      </c>
      <c r="D2415" t="s">
        <v>9630</v>
      </c>
      <c r="E2415" t="s">
        <v>9812</v>
      </c>
      <c r="F2415" t="s">
        <v>9545</v>
      </c>
    </row>
    <row r="2416" spans="1:6">
      <c r="A2416" t="s">
        <v>9627</v>
      </c>
      <c r="B2416">
        <v>8670</v>
      </c>
      <c r="C2416" t="s">
        <v>9674</v>
      </c>
      <c r="D2416" t="s">
        <v>9630</v>
      </c>
      <c r="E2416" t="s">
        <v>9812</v>
      </c>
      <c r="F2416" t="s">
        <v>9545</v>
      </c>
    </row>
    <row r="2417" spans="1:6">
      <c r="A2417" t="s">
        <v>9627</v>
      </c>
      <c r="B2417">
        <v>7977</v>
      </c>
      <c r="C2417" t="s">
        <v>9674</v>
      </c>
      <c r="D2417" t="s">
        <v>9630</v>
      </c>
      <c r="E2417" t="s">
        <v>9812</v>
      </c>
      <c r="F2417" t="s">
        <v>9545</v>
      </c>
    </row>
    <row r="2418" spans="1:6">
      <c r="A2418" t="s">
        <v>9627</v>
      </c>
      <c r="B2418">
        <v>7839</v>
      </c>
      <c r="C2418" t="s">
        <v>9674</v>
      </c>
      <c r="D2418" t="s">
        <v>9630</v>
      </c>
      <c r="E2418" t="s">
        <v>9812</v>
      </c>
      <c r="F2418" t="s">
        <v>9545</v>
      </c>
    </row>
    <row r="2419" spans="1:6">
      <c r="A2419" t="s">
        <v>9627</v>
      </c>
      <c r="B2419">
        <v>7380</v>
      </c>
      <c r="C2419" t="s">
        <v>9674</v>
      </c>
      <c r="D2419" t="s">
        <v>9630</v>
      </c>
      <c r="E2419" t="s">
        <v>9812</v>
      </c>
      <c r="F2419" t="s">
        <v>9545</v>
      </c>
    </row>
    <row r="2420" spans="1:6">
      <c r="A2420" t="s">
        <v>9627</v>
      </c>
      <c r="B2420">
        <v>7383</v>
      </c>
      <c r="C2420" t="s">
        <v>9674</v>
      </c>
      <c r="D2420" t="s">
        <v>9630</v>
      </c>
      <c r="E2420" t="s">
        <v>9812</v>
      </c>
      <c r="F2420" t="s">
        <v>9545</v>
      </c>
    </row>
    <row r="2421" spans="1:6">
      <c r="A2421" t="s">
        <v>9627</v>
      </c>
      <c r="B2421">
        <v>7160</v>
      </c>
      <c r="C2421" t="s">
        <v>9674</v>
      </c>
      <c r="D2421" t="s">
        <v>9630</v>
      </c>
      <c r="E2421" t="s">
        <v>9812</v>
      </c>
      <c r="F2421" t="s">
        <v>9545</v>
      </c>
    </row>
    <row r="2422" spans="1:6">
      <c r="A2422" t="s">
        <v>9627</v>
      </c>
      <c r="B2422">
        <v>7946</v>
      </c>
      <c r="C2422" t="s">
        <v>9674</v>
      </c>
      <c r="D2422" t="s">
        <v>9630</v>
      </c>
      <c r="E2422" t="s">
        <v>9812</v>
      </c>
      <c r="F2422" t="s">
        <v>9545</v>
      </c>
    </row>
    <row r="2423" spans="1:6">
      <c r="A2423" t="s">
        <v>9627</v>
      </c>
      <c r="B2423">
        <v>7978</v>
      </c>
      <c r="C2423" t="s">
        <v>9674</v>
      </c>
      <c r="D2423" t="s">
        <v>9630</v>
      </c>
      <c r="E2423" t="s">
        <v>9812</v>
      </c>
      <c r="F2423" t="s">
        <v>9545</v>
      </c>
    </row>
    <row r="2424" spans="1:6">
      <c r="A2424" t="s">
        <v>9627</v>
      </c>
      <c r="B2424">
        <v>7944</v>
      </c>
      <c r="C2424" t="s">
        <v>9674</v>
      </c>
      <c r="D2424" t="s">
        <v>9630</v>
      </c>
      <c r="E2424" t="s">
        <v>9812</v>
      </c>
      <c r="F2424" t="s">
        <v>9545</v>
      </c>
    </row>
    <row r="2425" spans="1:6">
      <c r="A2425" t="s">
        <v>9627</v>
      </c>
      <c r="B2425">
        <v>7914</v>
      </c>
      <c r="C2425" t="s">
        <v>9674</v>
      </c>
      <c r="D2425" t="s">
        <v>9630</v>
      </c>
      <c r="E2425" t="s">
        <v>9812</v>
      </c>
      <c r="F2425" t="s">
        <v>9545</v>
      </c>
    </row>
    <row r="2426" spans="1:6">
      <c r="A2426" t="s">
        <v>9627</v>
      </c>
      <c r="B2426">
        <v>7942</v>
      </c>
      <c r="C2426" t="s">
        <v>9674</v>
      </c>
      <c r="D2426" t="s">
        <v>9630</v>
      </c>
      <c r="E2426" t="s">
        <v>9812</v>
      </c>
      <c r="F2426" t="s">
        <v>9545</v>
      </c>
    </row>
    <row r="2427" spans="1:6">
      <c r="A2427" t="s">
        <v>9627</v>
      </c>
      <c r="B2427">
        <v>7376</v>
      </c>
      <c r="C2427" t="s">
        <v>9674</v>
      </c>
      <c r="D2427" t="s">
        <v>9630</v>
      </c>
      <c r="E2427" t="s">
        <v>9812</v>
      </c>
      <c r="F2427" t="s">
        <v>9545</v>
      </c>
    </row>
    <row r="2428" spans="1:6">
      <c r="A2428" t="s">
        <v>9627</v>
      </c>
      <c r="B2428">
        <v>7377</v>
      </c>
      <c r="C2428" t="s">
        <v>9674</v>
      </c>
      <c r="D2428" t="s">
        <v>9630</v>
      </c>
      <c r="E2428" t="s">
        <v>9812</v>
      </c>
      <c r="F2428" t="s">
        <v>9545</v>
      </c>
    </row>
    <row r="2429" spans="1:6">
      <c r="A2429" t="s">
        <v>9627</v>
      </c>
      <c r="B2429">
        <v>7158</v>
      </c>
      <c r="C2429" t="s">
        <v>9674</v>
      </c>
      <c r="D2429" t="s">
        <v>9630</v>
      </c>
      <c r="E2429" t="s">
        <v>9812</v>
      </c>
      <c r="F2429" t="s">
        <v>9545</v>
      </c>
    </row>
    <row r="2430" spans="1:6">
      <c r="A2430" t="s">
        <v>9627</v>
      </c>
      <c r="B2430">
        <v>7979</v>
      </c>
      <c r="C2430" t="s">
        <v>9674</v>
      </c>
      <c r="D2430" t="s">
        <v>9630</v>
      </c>
      <c r="E2430" t="s">
        <v>9812</v>
      </c>
      <c r="F2430" t="s">
        <v>9545</v>
      </c>
    </row>
    <row r="2431" spans="1:6">
      <c r="A2431" t="s">
        <v>9627</v>
      </c>
      <c r="B2431">
        <v>7947</v>
      </c>
      <c r="C2431" t="s">
        <v>9674</v>
      </c>
      <c r="D2431" t="s">
        <v>9630</v>
      </c>
      <c r="E2431" t="s">
        <v>9812</v>
      </c>
      <c r="F2431" t="s">
        <v>9545</v>
      </c>
    </row>
    <row r="2432" spans="1:6">
      <c r="A2432" t="s">
        <v>9627</v>
      </c>
      <c r="B2432">
        <v>5454</v>
      </c>
      <c r="C2432" t="s">
        <v>9674</v>
      </c>
      <c r="D2432" t="s">
        <v>9630</v>
      </c>
      <c r="E2432" t="s">
        <v>9812</v>
      </c>
      <c r="F2432" t="s">
        <v>9545</v>
      </c>
    </row>
    <row r="2433" spans="1:6">
      <c r="A2433" t="s">
        <v>9627</v>
      </c>
      <c r="B2433">
        <v>7945</v>
      </c>
      <c r="C2433" t="s">
        <v>9674</v>
      </c>
      <c r="D2433" t="s">
        <v>9630</v>
      </c>
      <c r="E2433" t="s">
        <v>9812</v>
      </c>
      <c r="F2433" t="s">
        <v>9545</v>
      </c>
    </row>
    <row r="2434" spans="1:6">
      <c r="A2434" t="s">
        <v>9627</v>
      </c>
      <c r="B2434">
        <v>7949</v>
      </c>
      <c r="C2434" t="s">
        <v>9674</v>
      </c>
      <c r="D2434" t="s">
        <v>9630</v>
      </c>
      <c r="E2434" t="s">
        <v>9812</v>
      </c>
      <c r="F2434" t="s">
        <v>9545</v>
      </c>
    </row>
    <row r="2435" spans="1:6">
      <c r="A2435" t="s">
        <v>9627</v>
      </c>
      <c r="B2435">
        <v>5460</v>
      </c>
      <c r="C2435" t="s">
        <v>9674</v>
      </c>
      <c r="D2435" t="s">
        <v>9630</v>
      </c>
      <c r="E2435" t="s">
        <v>9812</v>
      </c>
      <c r="F2435" t="s">
        <v>9545</v>
      </c>
    </row>
    <row r="2436" spans="1:6">
      <c r="A2436" t="s">
        <v>9627</v>
      </c>
      <c r="B2436">
        <v>5466</v>
      </c>
      <c r="C2436" t="s">
        <v>9674</v>
      </c>
      <c r="D2436" t="s">
        <v>9630</v>
      </c>
      <c r="E2436" t="s">
        <v>9812</v>
      </c>
      <c r="F2436" t="s">
        <v>9545</v>
      </c>
    </row>
    <row r="2437" spans="1:6">
      <c r="A2437" t="s">
        <v>9627</v>
      </c>
      <c r="B2437">
        <v>7915</v>
      </c>
      <c r="C2437" t="s">
        <v>9674</v>
      </c>
      <c r="D2437" t="s">
        <v>9630</v>
      </c>
      <c r="E2437" t="s">
        <v>9812</v>
      </c>
      <c r="F2437" t="s">
        <v>9545</v>
      </c>
    </row>
    <row r="2438" spans="1:6">
      <c r="A2438" t="s">
        <v>9627</v>
      </c>
      <c r="B2438">
        <v>7980</v>
      </c>
      <c r="C2438" t="s">
        <v>9674</v>
      </c>
      <c r="D2438" t="s">
        <v>9630</v>
      </c>
      <c r="E2438" t="s">
        <v>9812</v>
      </c>
      <c r="F2438" t="s">
        <v>9545</v>
      </c>
    </row>
    <row r="2439" spans="1:6">
      <c r="A2439" t="s">
        <v>9627</v>
      </c>
      <c r="B2439">
        <v>6630</v>
      </c>
      <c r="C2439" t="s">
        <v>9674</v>
      </c>
      <c r="D2439" t="s">
        <v>9630</v>
      </c>
      <c r="E2439" t="s">
        <v>9812</v>
      </c>
      <c r="F2439" t="s">
        <v>9545</v>
      </c>
    </row>
    <row r="2440" spans="1:6">
      <c r="A2440" t="s">
        <v>9627</v>
      </c>
      <c r="B2440">
        <v>7943</v>
      </c>
      <c r="C2440" t="s">
        <v>9674</v>
      </c>
      <c r="D2440" t="s">
        <v>9630</v>
      </c>
      <c r="E2440" t="s">
        <v>9812</v>
      </c>
      <c r="F2440" t="s">
        <v>9545</v>
      </c>
    </row>
    <row r="2441" spans="1:6">
      <c r="A2441" t="s">
        <v>9627</v>
      </c>
      <c r="B2441">
        <v>7985</v>
      </c>
      <c r="C2441" t="s">
        <v>9674</v>
      </c>
      <c r="D2441" t="s">
        <v>9630</v>
      </c>
      <c r="E2441" t="s">
        <v>9812</v>
      </c>
      <c r="F2441" t="s">
        <v>9545</v>
      </c>
    </row>
    <row r="2442" spans="1:6">
      <c r="A2442" t="s">
        <v>9627</v>
      </c>
      <c r="B2442">
        <v>5462</v>
      </c>
      <c r="C2442" t="s">
        <v>9674</v>
      </c>
      <c r="D2442" t="s">
        <v>9630</v>
      </c>
      <c r="E2442" t="s">
        <v>9812</v>
      </c>
      <c r="F2442" t="s">
        <v>9545</v>
      </c>
    </row>
    <row r="2443" spans="1:6">
      <c r="A2443" t="s">
        <v>9627</v>
      </c>
      <c r="B2443">
        <v>5463</v>
      </c>
      <c r="C2443" t="s">
        <v>9674</v>
      </c>
      <c r="D2443" t="s">
        <v>9630</v>
      </c>
      <c r="E2443" t="s">
        <v>9812</v>
      </c>
      <c r="F2443" t="s">
        <v>9545</v>
      </c>
    </row>
    <row r="2444" spans="1:6">
      <c r="A2444" t="s">
        <v>9627</v>
      </c>
      <c r="B2444">
        <v>5495</v>
      </c>
      <c r="C2444" t="s">
        <v>9674</v>
      </c>
      <c r="D2444" t="s">
        <v>9630</v>
      </c>
      <c r="E2444" t="s">
        <v>9812</v>
      </c>
      <c r="F2444" t="s">
        <v>9545</v>
      </c>
    </row>
    <row r="2445" spans="1:6">
      <c r="A2445" t="s">
        <v>9627</v>
      </c>
      <c r="B2445">
        <v>9307</v>
      </c>
      <c r="C2445" t="s">
        <v>9674</v>
      </c>
      <c r="D2445" t="s">
        <v>9630</v>
      </c>
      <c r="E2445" t="s">
        <v>9812</v>
      </c>
      <c r="F2445" t="s">
        <v>9545</v>
      </c>
    </row>
    <row r="2446" spans="1:6">
      <c r="A2446" t="s">
        <v>9627</v>
      </c>
      <c r="B2446">
        <v>9306</v>
      </c>
      <c r="C2446" t="s">
        <v>9674</v>
      </c>
      <c r="D2446" t="s">
        <v>9630</v>
      </c>
      <c r="E2446" t="s">
        <v>9812</v>
      </c>
      <c r="F2446" t="s">
        <v>9545</v>
      </c>
    </row>
    <row r="2447" spans="1:6">
      <c r="A2447" t="s">
        <v>9627</v>
      </c>
      <c r="B2447">
        <v>8655</v>
      </c>
      <c r="C2447" t="s">
        <v>9674</v>
      </c>
      <c r="D2447" t="s">
        <v>9632</v>
      </c>
      <c r="E2447" t="s">
        <v>9834</v>
      </c>
      <c r="F2447" t="s">
        <v>9545</v>
      </c>
    </row>
    <row r="2448" spans="1:6">
      <c r="A2448" t="s">
        <v>9627</v>
      </c>
      <c r="B2448">
        <v>8836</v>
      </c>
      <c r="C2448" t="s">
        <v>9674</v>
      </c>
      <c r="D2448" t="s">
        <v>9632</v>
      </c>
      <c r="E2448" t="s">
        <v>9834</v>
      </c>
      <c r="F2448" t="s">
        <v>9545</v>
      </c>
    </row>
    <row r="2449" spans="1:6">
      <c r="A2449" t="s">
        <v>9627</v>
      </c>
      <c r="B2449">
        <v>8486</v>
      </c>
      <c r="C2449" t="s">
        <v>9674</v>
      </c>
      <c r="D2449" t="s">
        <v>9632</v>
      </c>
      <c r="E2449" t="s">
        <v>9834</v>
      </c>
      <c r="F2449" t="s">
        <v>9545</v>
      </c>
    </row>
    <row r="2450" spans="1:6">
      <c r="A2450" t="s">
        <v>9627</v>
      </c>
      <c r="B2450">
        <v>8478</v>
      </c>
      <c r="C2450" t="s">
        <v>9674</v>
      </c>
      <c r="D2450" t="s">
        <v>9632</v>
      </c>
      <c r="E2450" t="s">
        <v>9834</v>
      </c>
      <c r="F2450" t="s">
        <v>9545</v>
      </c>
    </row>
    <row r="2451" spans="1:6">
      <c r="A2451" t="s">
        <v>9627</v>
      </c>
      <c r="B2451">
        <v>8479</v>
      </c>
      <c r="C2451" t="s">
        <v>9674</v>
      </c>
      <c r="D2451" t="s">
        <v>9632</v>
      </c>
      <c r="E2451" t="s">
        <v>9834</v>
      </c>
      <c r="F2451" t="s">
        <v>9545</v>
      </c>
    </row>
    <row r="2452" spans="1:6">
      <c r="A2452" t="s">
        <v>9627</v>
      </c>
      <c r="B2452">
        <v>8480</v>
      </c>
      <c r="C2452" t="s">
        <v>9674</v>
      </c>
      <c r="D2452" t="s">
        <v>9632</v>
      </c>
      <c r="E2452" t="s">
        <v>9834</v>
      </c>
      <c r="F2452" t="s">
        <v>9545</v>
      </c>
    </row>
    <row r="2453" spans="1:6">
      <c r="A2453" t="s">
        <v>9627</v>
      </c>
      <c r="B2453">
        <v>8482</v>
      </c>
      <c r="C2453" t="s">
        <v>9674</v>
      </c>
      <c r="D2453" t="s">
        <v>9632</v>
      </c>
      <c r="E2453" t="s">
        <v>9834</v>
      </c>
      <c r="F2453" t="s">
        <v>9545</v>
      </c>
    </row>
    <row r="2454" spans="1:6">
      <c r="A2454" t="s">
        <v>9627</v>
      </c>
      <c r="B2454">
        <v>8487</v>
      </c>
      <c r="C2454" t="s">
        <v>9674</v>
      </c>
      <c r="D2454" t="s">
        <v>9632</v>
      </c>
      <c r="E2454" t="s">
        <v>9834</v>
      </c>
      <c r="F2454" t="s">
        <v>9545</v>
      </c>
    </row>
    <row r="2455" spans="1:6">
      <c r="A2455" t="s">
        <v>9627</v>
      </c>
      <c r="B2455">
        <v>8485</v>
      </c>
      <c r="C2455" t="s">
        <v>9674</v>
      </c>
      <c r="D2455" t="s">
        <v>9632</v>
      </c>
      <c r="E2455" t="s">
        <v>9834</v>
      </c>
      <c r="F2455" t="s">
        <v>9545</v>
      </c>
    </row>
    <row r="2456" spans="1:6">
      <c r="A2456" t="s">
        <v>9627</v>
      </c>
      <c r="B2456">
        <v>8490</v>
      </c>
      <c r="C2456" t="s">
        <v>9674</v>
      </c>
      <c r="D2456" t="s">
        <v>9632</v>
      </c>
      <c r="E2456" t="s">
        <v>9834</v>
      </c>
      <c r="F2456" t="s">
        <v>9545</v>
      </c>
    </row>
    <row r="2457" spans="1:6">
      <c r="A2457" t="s">
        <v>9627</v>
      </c>
      <c r="B2457">
        <v>8645</v>
      </c>
      <c r="C2457" t="s">
        <v>9674</v>
      </c>
      <c r="D2457" t="s">
        <v>9632</v>
      </c>
      <c r="E2457" t="s">
        <v>9834</v>
      </c>
      <c r="F2457" t="s">
        <v>9545</v>
      </c>
    </row>
    <row r="2458" spans="1:6">
      <c r="A2458" t="s">
        <v>9627</v>
      </c>
      <c r="B2458">
        <v>8646</v>
      </c>
      <c r="C2458" t="s">
        <v>9674</v>
      </c>
      <c r="D2458" t="s">
        <v>9632</v>
      </c>
      <c r="E2458" t="s">
        <v>9834</v>
      </c>
      <c r="F2458" t="s">
        <v>9545</v>
      </c>
    </row>
    <row r="2459" spans="1:6">
      <c r="A2459" t="s">
        <v>9627</v>
      </c>
      <c r="B2459">
        <v>8647</v>
      </c>
      <c r="C2459" t="s">
        <v>9674</v>
      </c>
      <c r="D2459" t="s">
        <v>9632</v>
      </c>
      <c r="E2459" t="s">
        <v>9834</v>
      </c>
      <c r="F2459" t="s">
        <v>9545</v>
      </c>
    </row>
    <row r="2460" spans="1:6">
      <c r="A2460" t="s">
        <v>9627</v>
      </c>
      <c r="B2460">
        <v>8649</v>
      </c>
      <c r="C2460" t="s">
        <v>9674</v>
      </c>
      <c r="D2460" t="s">
        <v>9632</v>
      </c>
      <c r="E2460" t="s">
        <v>9834</v>
      </c>
      <c r="F2460" t="s">
        <v>9545</v>
      </c>
    </row>
    <row r="2461" spans="1:6">
      <c r="A2461" t="s">
        <v>9627</v>
      </c>
      <c r="B2461">
        <v>8488</v>
      </c>
      <c r="C2461" t="s">
        <v>9674</v>
      </c>
      <c r="D2461" t="s">
        <v>9632</v>
      </c>
      <c r="E2461" t="s">
        <v>9834</v>
      </c>
      <c r="F2461" t="s">
        <v>9545</v>
      </c>
    </row>
    <row r="2462" spans="1:6">
      <c r="A2462" t="s">
        <v>9627</v>
      </c>
      <c r="B2462">
        <v>8648</v>
      </c>
      <c r="C2462" t="s">
        <v>9674</v>
      </c>
      <c r="D2462" t="s">
        <v>9632</v>
      </c>
      <c r="E2462" t="s">
        <v>9834</v>
      </c>
      <c r="F2462" t="s">
        <v>9545</v>
      </c>
    </row>
    <row r="2463" spans="1:6">
      <c r="A2463" t="s">
        <v>9627</v>
      </c>
      <c r="B2463">
        <v>8671</v>
      </c>
      <c r="C2463" t="s">
        <v>9674</v>
      </c>
      <c r="D2463" t="s">
        <v>9632</v>
      </c>
      <c r="E2463" t="s">
        <v>9834</v>
      </c>
      <c r="F2463" t="s">
        <v>9545</v>
      </c>
    </row>
    <row r="2464" spans="1:6">
      <c r="A2464" t="s">
        <v>9627</v>
      </c>
      <c r="B2464">
        <v>8841</v>
      </c>
      <c r="C2464" t="s">
        <v>9674</v>
      </c>
      <c r="D2464" t="s">
        <v>9632</v>
      </c>
      <c r="E2464" t="s">
        <v>9834</v>
      </c>
      <c r="F2464" t="s">
        <v>9545</v>
      </c>
    </row>
    <row r="2465" spans="1:6">
      <c r="A2465" t="s">
        <v>9627</v>
      </c>
      <c r="B2465">
        <v>8672</v>
      </c>
      <c r="C2465" t="s">
        <v>9674</v>
      </c>
      <c r="D2465" t="s">
        <v>9632</v>
      </c>
      <c r="E2465" t="s">
        <v>9834</v>
      </c>
      <c r="F2465" t="s">
        <v>9545</v>
      </c>
    </row>
    <row r="2466" spans="1:6">
      <c r="A2466" t="s">
        <v>9627</v>
      </c>
      <c r="B2466">
        <v>8673</v>
      </c>
      <c r="C2466" t="s">
        <v>9674</v>
      </c>
      <c r="D2466" t="s">
        <v>9632</v>
      </c>
      <c r="E2466" t="s">
        <v>9834</v>
      </c>
      <c r="F2466" t="s">
        <v>9545</v>
      </c>
    </row>
    <row r="2467" spans="1:6">
      <c r="A2467" t="s">
        <v>9627</v>
      </c>
      <c r="B2467">
        <v>8489</v>
      </c>
      <c r="C2467" t="s">
        <v>9674</v>
      </c>
      <c r="D2467" t="s">
        <v>9632</v>
      </c>
      <c r="E2467" t="s">
        <v>9834</v>
      </c>
      <c r="F2467" t="s">
        <v>9545</v>
      </c>
    </row>
    <row r="2468" spans="1:6">
      <c r="A2468" t="s">
        <v>9627</v>
      </c>
      <c r="B2468">
        <v>8491</v>
      </c>
      <c r="C2468" t="s">
        <v>9674</v>
      </c>
      <c r="D2468" t="s">
        <v>9632</v>
      </c>
      <c r="E2468" t="s">
        <v>9834</v>
      </c>
      <c r="F2468" t="s">
        <v>9545</v>
      </c>
    </row>
    <row r="2469" spans="1:6">
      <c r="A2469" t="s">
        <v>9627</v>
      </c>
      <c r="B2469">
        <v>8849</v>
      </c>
      <c r="C2469" t="s">
        <v>9674</v>
      </c>
      <c r="D2469" t="s">
        <v>9632</v>
      </c>
      <c r="E2469" t="s">
        <v>9834</v>
      </c>
      <c r="F2469" t="s">
        <v>9545</v>
      </c>
    </row>
    <row r="2470" spans="1:6">
      <c r="A2470" t="s">
        <v>9627</v>
      </c>
      <c r="B2470">
        <v>7969</v>
      </c>
      <c r="C2470" t="s">
        <v>9674</v>
      </c>
      <c r="D2470" t="s">
        <v>9632</v>
      </c>
      <c r="E2470" t="s">
        <v>9834</v>
      </c>
      <c r="F2470" t="s">
        <v>9545</v>
      </c>
    </row>
    <row r="2471" spans="1:6">
      <c r="A2471" t="s">
        <v>9627</v>
      </c>
      <c r="B2471">
        <v>8654</v>
      </c>
      <c r="C2471" t="s">
        <v>9674</v>
      </c>
      <c r="D2471" t="s">
        <v>9632</v>
      </c>
      <c r="E2471" t="s">
        <v>9834</v>
      </c>
      <c r="F2471" t="s">
        <v>9545</v>
      </c>
    </row>
    <row r="2472" spans="1:6">
      <c r="A2472" t="s">
        <v>9627</v>
      </c>
      <c r="B2472">
        <v>8675</v>
      </c>
      <c r="C2472" t="s">
        <v>9674</v>
      </c>
      <c r="D2472" t="s">
        <v>9632</v>
      </c>
      <c r="E2472" t="s">
        <v>9834</v>
      </c>
      <c r="F2472" t="s">
        <v>9545</v>
      </c>
    </row>
    <row r="2473" spans="1:6">
      <c r="A2473" t="s">
        <v>9627</v>
      </c>
      <c r="B2473">
        <v>8847</v>
      </c>
      <c r="C2473" t="s">
        <v>9674</v>
      </c>
      <c r="D2473" t="s">
        <v>9632</v>
      </c>
      <c r="E2473" t="s">
        <v>9834</v>
      </c>
      <c r="F2473" t="s">
        <v>9545</v>
      </c>
    </row>
    <row r="2474" spans="1:6">
      <c r="A2474" t="s">
        <v>9627</v>
      </c>
      <c r="B2474">
        <v>8840</v>
      </c>
      <c r="C2474" t="s">
        <v>9674</v>
      </c>
      <c r="D2474" t="s">
        <v>9632</v>
      </c>
      <c r="E2474" t="s">
        <v>9834</v>
      </c>
      <c r="F2474" t="s">
        <v>9545</v>
      </c>
    </row>
    <row r="2475" spans="1:6">
      <c r="A2475" t="s">
        <v>9627</v>
      </c>
      <c r="B2475">
        <v>8834</v>
      </c>
      <c r="C2475" t="s">
        <v>9674</v>
      </c>
      <c r="D2475" t="s">
        <v>9632</v>
      </c>
      <c r="E2475" t="s">
        <v>9834</v>
      </c>
      <c r="F2475" t="s">
        <v>9545</v>
      </c>
    </row>
    <row r="2476" spans="1:6">
      <c r="A2476" t="s">
        <v>9627</v>
      </c>
      <c r="B2476">
        <v>4348</v>
      </c>
      <c r="C2476" t="s">
        <v>9674</v>
      </c>
      <c r="D2476" t="s">
        <v>9632</v>
      </c>
      <c r="E2476" t="s">
        <v>9834</v>
      </c>
      <c r="F2476" t="s">
        <v>9545</v>
      </c>
    </row>
    <row r="2477" spans="1:6">
      <c r="A2477" t="s">
        <v>9627</v>
      </c>
      <c r="B2477">
        <v>4253</v>
      </c>
      <c r="C2477" t="s">
        <v>9674</v>
      </c>
      <c r="D2477" t="s">
        <v>9632</v>
      </c>
      <c r="E2477" t="s">
        <v>9834</v>
      </c>
      <c r="F2477" t="s">
        <v>9545</v>
      </c>
    </row>
    <row r="2478" spans="1:6">
      <c r="A2478" t="s">
        <v>9627</v>
      </c>
      <c r="B2478">
        <v>2582</v>
      </c>
      <c r="C2478" t="s">
        <v>9674</v>
      </c>
      <c r="D2478" t="s">
        <v>9632</v>
      </c>
      <c r="E2478" t="s">
        <v>9834</v>
      </c>
      <c r="F2478" t="s">
        <v>9545</v>
      </c>
    </row>
    <row r="2479" spans="1:6">
      <c r="A2479" t="s">
        <v>9627</v>
      </c>
      <c r="B2479">
        <v>5457</v>
      </c>
      <c r="C2479" t="s">
        <v>9674</v>
      </c>
      <c r="D2479" t="s">
        <v>9632</v>
      </c>
      <c r="E2479" t="s">
        <v>9834</v>
      </c>
      <c r="F2479" t="s">
        <v>9545</v>
      </c>
    </row>
    <row r="2480" spans="1:6">
      <c r="A2480" t="s">
        <v>9627</v>
      </c>
      <c r="B2480">
        <v>4347</v>
      </c>
      <c r="C2480" t="s">
        <v>9674</v>
      </c>
      <c r="D2480" t="s">
        <v>9632</v>
      </c>
      <c r="E2480" t="s">
        <v>9834</v>
      </c>
      <c r="F2480" t="s">
        <v>9545</v>
      </c>
    </row>
    <row r="2481" spans="1:6">
      <c r="A2481" t="s">
        <v>9627</v>
      </c>
      <c r="B2481">
        <v>4362</v>
      </c>
      <c r="C2481" t="s">
        <v>9674</v>
      </c>
      <c r="D2481" t="s">
        <v>9632</v>
      </c>
      <c r="E2481" t="s">
        <v>9834</v>
      </c>
      <c r="F2481" t="s">
        <v>9545</v>
      </c>
    </row>
    <row r="2482" spans="1:6">
      <c r="A2482" t="s">
        <v>9627</v>
      </c>
      <c r="B2482">
        <v>4363</v>
      </c>
      <c r="C2482" t="s">
        <v>9674</v>
      </c>
      <c r="D2482" t="s">
        <v>9632</v>
      </c>
      <c r="E2482" t="s">
        <v>9834</v>
      </c>
      <c r="F2482" t="s">
        <v>9545</v>
      </c>
    </row>
    <row r="2483" spans="1:6">
      <c r="A2483" t="s">
        <v>9627</v>
      </c>
      <c r="B2483">
        <v>4367</v>
      </c>
      <c r="C2483" t="s">
        <v>9674</v>
      </c>
      <c r="D2483" t="s">
        <v>9632</v>
      </c>
      <c r="E2483" t="s">
        <v>9834</v>
      </c>
      <c r="F2483" t="s">
        <v>9545</v>
      </c>
    </row>
    <row r="2484" spans="1:6">
      <c r="A2484" t="s">
        <v>9627</v>
      </c>
      <c r="B2484">
        <v>4368</v>
      </c>
      <c r="C2484" t="s">
        <v>9674</v>
      </c>
      <c r="D2484" t="s">
        <v>9632</v>
      </c>
      <c r="E2484" t="s">
        <v>9834</v>
      </c>
      <c r="F2484" t="s">
        <v>9545</v>
      </c>
    </row>
    <row r="2485" spans="1:6">
      <c r="A2485" t="s">
        <v>9627</v>
      </c>
      <c r="B2485">
        <v>7327</v>
      </c>
      <c r="C2485" t="s">
        <v>9674</v>
      </c>
      <c r="D2485" t="s">
        <v>9632</v>
      </c>
      <c r="E2485" t="s">
        <v>9834</v>
      </c>
      <c r="F2485" t="s">
        <v>9545</v>
      </c>
    </row>
    <row r="2486" spans="1:6">
      <c r="A2486" t="s">
        <v>9627</v>
      </c>
      <c r="B2486">
        <v>7328</v>
      </c>
      <c r="C2486" t="s">
        <v>9674</v>
      </c>
      <c r="D2486" t="s">
        <v>9632</v>
      </c>
      <c r="E2486" t="s">
        <v>9834</v>
      </c>
      <c r="F2486" t="s">
        <v>9545</v>
      </c>
    </row>
    <row r="2487" spans="1:6">
      <c r="A2487" t="s">
        <v>9627</v>
      </c>
      <c r="B2487">
        <v>4365</v>
      </c>
      <c r="C2487" t="s">
        <v>9674</v>
      </c>
      <c r="D2487" t="s">
        <v>9632</v>
      </c>
      <c r="E2487" t="s">
        <v>9834</v>
      </c>
      <c r="F2487" t="s">
        <v>9545</v>
      </c>
    </row>
    <row r="2488" spans="1:6">
      <c r="A2488" t="s">
        <v>9627</v>
      </c>
      <c r="B2488">
        <v>4364</v>
      </c>
      <c r="C2488" t="s">
        <v>9674</v>
      </c>
      <c r="D2488" t="s">
        <v>9632</v>
      </c>
      <c r="E2488" t="s">
        <v>9834</v>
      </c>
      <c r="F2488" t="s">
        <v>9545</v>
      </c>
    </row>
    <row r="2489" spans="1:6">
      <c r="A2489" t="s">
        <v>9627</v>
      </c>
      <c r="B2489">
        <v>4194</v>
      </c>
      <c r="C2489" t="s">
        <v>9674</v>
      </c>
      <c r="D2489" t="s">
        <v>9632</v>
      </c>
      <c r="E2489" t="s">
        <v>9834</v>
      </c>
      <c r="F2489" t="s">
        <v>9545</v>
      </c>
    </row>
    <row r="2490" spans="1:6">
      <c r="A2490" t="s">
        <v>9627</v>
      </c>
      <c r="B2490">
        <v>4190</v>
      </c>
      <c r="C2490" t="s">
        <v>9674</v>
      </c>
      <c r="D2490" t="s">
        <v>9632</v>
      </c>
      <c r="E2490" t="s">
        <v>9834</v>
      </c>
      <c r="F2490" t="s">
        <v>9545</v>
      </c>
    </row>
    <row r="2491" spans="1:6">
      <c r="A2491" t="s">
        <v>9627</v>
      </c>
      <c r="B2491">
        <v>4251</v>
      </c>
      <c r="C2491" t="s">
        <v>9674</v>
      </c>
      <c r="D2491" t="s">
        <v>9632</v>
      </c>
      <c r="E2491" t="s">
        <v>9834</v>
      </c>
      <c r="F2491" t="s">
        <v>9545</v>
      </c>
    </row>
    <row r="2492" spans="1:6">
      <c r="A2492" t="s">
        <v>9627</v>
      </c>
      <c r="B2492">
        <v>4252</v>
      </c>
      <c r="C2492" t="s">
        <v>9674</v>
      </c>
      <c r="D2492" t="s">
        <v>9632</v>
      </c>
      <c r="E2492" t="s">
        <v>9834</v>
      </c>
      <c r="F2492" t="s">
        <v>9545</v>
      </c>
    </row>
    <row r="2493" spans="1:6">
      <c r="A2493" t="s">
        <v>9627</v>
      </c>
      <c r="B2493">
        <v>2583</v>
      </c>
      <c r="C2493" t="s">
        <v>9674</v>
      </c>
      <c r="D2493" t="s">
        <v>9632</v>
      </c>
      <c r="E2493" t="s">
        <v>9834</v>
      </c>
      <c r="F2493" t="s">
        <v>9545</v>
      </c>
    </row>
    <row r="2494" spans="1:6">
      <c r="A2494" t="s">
        <v>9627</v>
      </c>
      <c r="B2494">
        <v>5458</v>
      </c>
      <c r="C2494" t="s">
        <v>9674</v>
      </c>
      <c r="D2494" t="s">
        <v>9632</v>
      </c>
      <c r="E2494" t="s">
        <v>9834</v>
      </c>
      <c r="F2494" t="s">
        <v>9545</v>
      </c>
    </row>
    <row r="2495" spans="1:6">
      <c r="A2495" t="s">
        <v>9627</v>
      </c>
      <c r="B2495">
        <v>7382</v>
      </c>
      <c r="C2495" t="s">
        <v>9674</v>
      </c>
      <c r="D2495" t="s">
        <v>9632</v>
      </c>
      <c r="E2495" t="s">
        <v>9834</v>
      </c>
      <c r="F2495" t="s">
        <v>9545</v>
      </c>
    </row>
    <row r="2496" spans="1:6">
      <c r="A2496" t="s">
        <v>9627</v>
      </c>
      <c r="B2496">
        <v>4192</v>
      </c>
      <c r="C2496" t="s">
        <v>9674</v>
      </c>
      <c r="D2496" t="s">
        <v>9632</v>
      </c>
      <c r="E2496" t="s">
        <v>9834</v>
      </c>
      <c r="F2496" t="s">
        <v>9545</v>
      </c>
    </row>
    <row r="2497" spans="1:6">
      <c r="A2497" t="s">
        <v>9627</v>
      </c>
      <c r="B2497">
        <v>4193</v>
      </c>
      <c r="C2497" t="s">
        <v>9674</v>
      </c>
      <c r="D2497" t="s">
        <v>9632</v>
      </c>
      <c r="E2497" t="s">
        <v>9834</v>
      </c>
      <c r="F2497" t="s">
        <v>9545</v>
      </c>
    </row>
    <row r="2498" spans="1:6">
      <c r="A2498" t="s">
        <v>9627</v>
      </c>
      <c r="B2498">
        <v>7973</v>
      </c>
      <c r="C2498" t="s">
        <v>9674</v>
      </c>
      <c r="D2498" t="s">
        <v>9632</v>
      </c>
      <c r="E2498" t="s">
        <v>9834</v>
      </c>
      <c r="F2498" t="s">
        <v>9545</v>
      </c>
    </row>
    <row r="2499" spans="1:6">
      <c r="A2499" t="s">
        <v>9627</v>
      </c>
      <c r="B2499">
        <v>7975</v>
      </c>
      <c r="C2499" t="s">
        <v>9674</v>
      </c>
      <c r="D2499" t="s">
        <v>9632</v>
      </c>
      <c r="E2499" t="s">
        <v>9834</v>
      </c>
      <c r="F2499" t="s">
        <v>9545</v>
      </c>
    </row>
    <row r="2500" spans="1:6">
      <c r="A2500" t="s">
        <v>9627</v>
      </c>
      <c r="B2500">
        <v>7974</v>
      </c>
      <c r="C2500" t="s">
        <v>9674</v>
      </c>
      <c r="D2500" t="s">
        <v>9632</v>
      </c>
      <c r="E2500" t="s">
        <v>9834</v>
      </c>
      <c r="F2500" t="s">
        <v>9545</v>
      </c>
    </row>
    <row r="2501" spans="1:6">
      <c r="A2501" t="s">
        <v>9627</v>
      </c>
      <c r="B2501">
        <v>7976</v>
      </c>
      <c r="C2501" t="s">
        <v>9674</v>
      </c>
      <c r="D2501" t="s">
        <v>9632</v>
      </c>
      <c r="E2501" t="s">
        <v>9834</v>
      </c>
      <c r="F2501" t="s">
        <v>9545</v>
      </c>
    </row>
    <row r="2502" spans="1:6">
      <c r="A2502" t="s">
        <v>9627</v>
      </c>
      <c r="B2502">
        <v>7836</v>
      </c>
      <c r="C2502" t="s">
        <v>9674</v>
      </c>
      <c r="D2502" t="s">
        <v>9632</v>
      </c>
      <c r="E2502" t="s">
        <v>9834</v>
      </c>
      <c r="F2502" t="s">
        <v>9545</v>
      </c>
    </row>
    <row r="2503" spans="1:6">
      <c r="A2503" t="s">
        <v>9627</v>
      </c>
      <c r="B2503">
        <v>7837</v>
      </c>
      <c r="C2503" t="s">
        <v>9674</v>
      </c>
      <c r="D2503" t="s">
        <v>9632</v>
      </c>
      <c r="E2503" t="s">
        <v>9834</v>
      </c>
      <c r="F2503" t="s">
        <v>9545</v>
      </c>
    </row>
    <row r="2504" spans="1:6">
      <c r="A2504" t="s">
        <v>9627</v>
      </c>
      <c r="B2504">
        <v>7379</v>
      </c>
      <c r="C2504" t="s">
        <v>9674</v>
      </c>
      <c r="D2504" t="s">
        <v>9632</v>
      </c>
      <c r="E2504" t="s">
        <v>9834</v>
      </c>
      <c r="F2504" t="s">
        <v>9545</v>
      </c>
    </row>
    <row r="2505" spans="1:6">
      <c r="A2505" t="s">
        <v>9627</v>
      </c>
      <c r="B2505">
        <v>7378</v>
      </c>
      <c r="C2505" t="s">
        <v>9674</v>
      </c>
      <c r="D2505" t="s">
        <v>9632</v>
      </c>
      <c r="E2505" t="s">
        <v>9834</v>
      </c>
      <c r="F2505" t="s">
        <v>9545</v>
      </c>
    </row>
    <row r="2506" spans="1:6">
      <c r="A2506" t="s">
        <v>9627</v>
      </c>
      <c r="B2506">
        <v>7948</v>
      </c>
      <c r="C2506" t="s">
        <v>9674</v>
      </c>
      <c r="D2506" t="s">
        <v>9632</v>
      </c>
      <c r="E2506" t="s">
        <v>9834</v>
      </c>
      <c r="F2506" t="s">
        <v>9545</v>
      </c>
    </row>
    <row r="2507" spans="1:6">
      <c r="A2507" t="s">
        <v>9627</v>
      </c>
      <c r="B2507">
        <v>7940</v>
      </c>
      <c r="C2507" t="s">
        <v>9674</v>
      </c>
      <c r="D2507" t="s">
        <v>9632</v>
      </c>
      <c r="E2507" t="s">
        <v>9834</v>
      </c>
      <c r="F2507" t="s">
        <v>9545</v>
      </c>
    </row>
    <row r="2508" spans="1:6">
      <c r="A2508" t="s">
        <v>9627</v>
      </c>
      <c r="B2508">
        <v>7941</v>
      </c>
      <c r="C2508" t="s">
        <v>9674</v>
      </c>
      <c r="D2508" t="s">
        <v>9632</v>
      </c>
      <c r="E2508" t="s">
        <v>9834</v>
      </c>
      <c r="F2508" t="s">
        <v>9545</v>
      </c>
    </row>
    <row r="2509" spans="1:6">
      <c r="A2509" t="s">
        <v>9627</v>
      </c>
      <c r="B2509">
        <v>7984</v>
      </c>
      <c r="C2509" t="s">
        <v>9674</v>
      </c>
      <c r="D2509" t="s">
        <v>9632</v>
      </c>
      <c r="E2509" t="s">
        <v>9834</v>
      </c>
      <c r="F2509" t="s">
        <v>9545</v>
      </c>
    </row>
    <row r="2510" spans="1:6">
      <c r="A2510" t="s">
        <v>9627</v>
      </c>
      <c r="B2510">
        <v>1723</v>
      </c>
      <c r="C2510" t="s">
        <v>9674</v>
      </c>
      <c r="D2510" t="s">
        <v>9632</v>
      </c>
      <c r="E2510" t="s">
        <v>9834</v>
      </c>
      <c r="F2510" t="s">
        <v>9545</v>
      </c>
    </row>
    <row r="2511" spans="1:6">
      <c r="A2511" t="s">
        <v>9647</v>
      </c>
      <c r="B2511">
        <v>1911</v>
      </c>
      <c r="C2511" t="s">
        <v>9674</v>
      </c>
      <c r="D2511" t="s">
        <v>9645</v>
      </c>
      <c r="E2511" t="s">
        <v>9838</v>
      </c>
      <c r="F2511" t="s">
        <v>9545</v>
      </c>
    </row>
    <row r="2512" spans="1:6">
      <c r="A2512" t="s">
        <v>9647</v>
      </c>
      <c r="B2512">
        <v>7809</v>
      </c>
      <c r="C2512" t="s">
        <v>9674</v>
      </c>
      <c r="D2512" t="s">
        <v>9645</v>
      </c>
      <c r="E2512" t="s">
        <v>9838</v>
      </c>
      <c r="F2512" t="s">
        <v>9545</v>
      </c>
    </row>
    <row r="2513" spans="1:6">
      <c r="A2513" t="s">
        <v>9647</v>
      </c>
      <c r="B2513">
        <v>7870</v>
      </c>
      <c r="C2513" t="s">
        <v>9674</v>
      </c>
      <c r="D2513" t="s">
        <v>9645</v>
      </c>
      <c r="E2513" t="s">
        <v>9838</v>
      </c>
      <c r="F2513" t="s">
        <v>9545</v>
      </c>
    </row>
    <row r="2514" spans="1:6">
      <c r="A2514" t="s">
        <v>9647</v>
      </c>
      <c r="B2514">
        <v>7871</v>
      </c>
      <c r="C2514" t="s">
        <v>9674</v>
      </c>
      <c r="D2514" t="s">
        <v>9645</v>
      </c>
      <c r="E2514" t="s">
        <v>9838</v>
      </c>
      <c r="F2514" t="s">
        <v>9545</v>
      </c>
    </row>
    <row r="2515" spans="1:6">
      <c r="A2515" t="s">
        <v>9647</v>
      </c>
      <c r="B2515">
        <v>7872</v>
      </c>
      <c r="C2515" t="s">
        <v>9674</v>
      </c>
      <c r="D2515" t="s">
        <v>9645</v>
      </c>
      <c r="E2515" t="s">
        <v>9838</v>
      </c>
      <c r="F2515" t="s">
        <v>9545</v>
      </c>
    </row>
    <row r="2516" spans="1:6">
      <c r="A2516" t="s">
        <v>9647</v>
      </c>
      <c r="B2516">
        <v>7873</v>
      </c>
      <c r="C2516" t="s">
        <v>9674</v>
      </c>
      <c r="D2516" t="s">
        <v>9645</v>
      </c>
      <c r="E2516" t="s">
        <v>9838</v>
      </c>
      <c r="F2516" t="s">
        <v>9545</v>
      </c>
    </row>
    <row r="2517" spans="1:6">
      <c r="A2517" t="s">
        <v>9647</v>
      </c>
      <c r="B2517">
        <v>7875</v>
      </c>
      <c r="C2517" t="s">
        <v>9674</v>
      </c>
      <c r="D2517" t="s">
        <v>9645</v>
      </c>
      <c r="E2517" t="s">
        <v>9838</v>
      </c>
      <c r="F2517" t="s">
        <v>9545</v>
      </c>
    </row>
    <row r="2518" spans="1:6">
      <c r="A2518" t="s">
        <v>9647</v>
      </c>
      <c r="B2518">
        <v>7901</v>
      </c>
      <c r="C2518" t="s">
        <v>9674</v>
      </c>
      <c r="D2518" t="s">
        <v>9645</v>
      </c>
      <c r="E2518" t="s">
        <v>9838</v>
      </c>
      <c r="F2518" t="s">
        <v>9545</v>
      </c>
    </row>
    <row r="2519" spans="1:6">
      <c r="A2519" t="s">
        <v>9647</v>
      </c>
      <c r="B2519">
        <v>7902</v>
      </c>
      <c r="C2519" t="s">
        <v>9674</v>
      </c>
      <c r="D2519" t="s">
        <v>9645</v>
      </c>
      <c r="E2519" t="s">
        <v>9838</v>
      </c>
      <c r="F2519" t="s">
        <v>9545</v>
      </c>
    </row>
    <row r="2520" spans="1:6">
      <c r="A2520" t="s">
        <v>9647</v>
      </c>
      <c r="B2520">
        <v>7967</v>
      </c>
      <c r="C2520" t="s">
        <v>9674</v>
      </c>
      <c r="D2520" t="s">
        <v>9645</v>
      </c>
      <c r="E2520" t="s">
        <v>9838</v>
      </c>
      <c r="F2520" t="s">
        <v>9545</v>
      </c>
    </row>
    <row r="2521" spans="1:6">
      <c r="A2521" t="s">
        <v>9647</v>
      </c>
      <c r="B2521">
        <v>7971</v>
      </c>
      <c r="C2521" t="s">
        <v>9674</v>
      </c>
      <c r="D2521" t="s">
        <v>9645</v>
      </c>
      <c r="E2521" t="s">
        <v>9838</v>
      </c>
      <c r="F2521" t="s">
        <v>9545</v>
      </c>
    </row>
    <row r="2522" spans="1:6">
      <c r="A2522" t="s">
        <v>9647</v>
      </c>
      <c r="B2522">
        <v>7972</v>
      </c>
      <c r="C2522" t="s">
        <v>9674</v>
      </c>
      <c r="D2522" t="s">
        <v>9645</v>
      </c>
      <c r="E2522" t="s">
        <v>9838</v>
      </c>
      <c r="F2522" t="s">
        <v>9545</v>
      </c>
    </row>
    <row r="2523" spans="1:6">
      <c r="A2523" t="s">
        <v>9647</v>
      </c>
      <c r="B2523">
        <v>7981</v>
      </c>
      <c r="C2523" t="s">
        <v>9674</v>
      </c>
      <c r="D2523" t="s">
        <v>9645</v>
      </c>
      <c r="E2523" t="s">
        <v>9838</v>
      </c>
      <c r="F2523" t="s">
        <v>9545</v>
      </c>
    </row>
    <row r="2524" spans="1:6">
      <c r="A2524" t="s">
        <v>9647</v>
      </c>
      <c r="B2524">
        <v>7995</v>
      </c>
      <c r="C2524" t="s">
        <v>9674</v>
      </c>
      <c r="D2524" t="s">
        <v>9645</v>
      </c>
      <c r="E2524" t="s">
        <v>9838</v>
      </c>
      <c r="F2524" t="s">
        <v>9545</v>
      </c>
    </row>
    <row r="2525" spans="1:6">
      <c r="A2525" t="s">
        <v>9647</v>
      </c>
      <c r="B2525">
        <v>7996</v>
      </c>
      <c r="C2525" t="s">
        <v>9674</v>
      </c>
      <c r="D2525" t="s">
        <v>9645</v>
      </c>
      <c r="E2525" t="s">
        <v>9838</v>
      </c>
      <c r="F2525" t="s">
        <v>9545</v>
      </c>
    </row>
    <row r="2526" spans="1:6">
      <c r="A2526" t="s">
        <v>9647</v>
      </c>
      <c r="B2526">
        <v>8014</v>
      </c>
      <c r="C2526" t="s">
        <v>9674</v>
      </c>
      <c r="D2526" t="s">
        <v>9645</v>
      </c>
      <c r="E2526" t="s">
        <v>9838</v>
      </c>
      <c r="F2526" t="s">
        <v>9545</v>
      </c>
    </row>
    <row r="2527" spans="1:6">
      <c r="A2527" t="s">
        <v>9647</v>
      </c>
      <c r="B2527">
        <v>8028</v>
      </c>
      <c r="C2527" t="s">
        <v>9674</v>
      </c>
      <c r="D2527" t="s">
        <v>9645</v>
      </c>
      <c r="E2527" t="s">
        <v>9838</v>
      </c>
      <c r="F2527" t="s">
        <v>9545</v>
      </c>
    </row>
    <row r="2528" spans="1:6">
      <c r="A2528" t="s">
        <v>9647</v>
      </c>
      <c r="B2528">
        <v>8038</v>
      </c>
      <c r="C2528" t="s">
        <v>9674</v>
      </c>
      <c r="D2528" t="s">
        <v>9645</v>
      </c>
      <c r="E2528" t="s">
        <v>9838</v>
      </c>
      <c r="F2528" t="s">
        <v>9545</v>
      </c>
    </row>
    <row r="2529" spans="1:6">
      <c r="A2529" t="s">
        <v>9647</v>
      </c>
      <c r="B2529">
        <v>8667</v>
      </c>
      <c r="C2529" t="s">
        <v>9674</v>
      </c>
      <c r="D2529" t="s">
        <v>9645</v>
      </c>
      <c r="E2529" t="s">
        <v>9838</v>
      </c>
      <c r="F2529" t="s">
        <v>9545</v>
      </c>
    </row>
    <row r="2530" spans="1:6">
      <c r="A2530" t="s">
        <v>9647</v>
      </c>
      <c r="B2530">
        <v>8677</v>
      </c>
      <c r="C2530" t="s">
        <v>9674</v>
      </c>
      <c r="D2530" t="s">
        <v>9645</v>
      </c>
      <c r="E2530" t="s">
        <v>9838</v>
      </c>
      <c r="F2530" t="s">
        <v>9545</v>
      </c>
    </row>
    <row r="2531" spans="1:6">
      <c r="A2531" t="s">
        <v>9647</v>
      </c>
      <c r="B2531">
        <v>8678</v>
      </c>
      <c r="C2531" t="s">
        <v>9674</v>
      </c>
      <c r="D2531" t="s">
        <v>9645</v>
      </c>
      <c r="E2531" t="s">
        <v>9838</v>
      </c>
      <c r="F2531" t="s">
        <v>9545</v>
      </c>
    </row>
    <row r="2532" spans="1:6">
      <c r="A2532" t="s">
        <v>9647</v>
      </c>
      <c r="B2532">
        <v>8720</v>
      </c>
      <c r="C2532" t="s">
        <v>9674</v>
      </c>
      <c r="D2532" t="s">
        <v>9645</v>
      </c>
      <c r="E2532" t="s">
        <v>9838</v>
      </c>
      <c r="F2532" t="s">
        <v>9545</v>
      </c>
    </row>
    <row r="2533" spans="1:6">
      <c r="A2533" t="s">
        <v>9647</v>
      </c>
      <c r="B2533">
        <v>8730</v>
      </c>
      <c r="C2533" t="s">
        <v>9674</v>
      </c>
      <c r="D2533" t="s">
        <v>9645</v>
      </c>
      <c r="E2533" t="s">
        <v>9838</v>
      </c>
      <c r="F2533" t="s">
        <v>9545</v>
      </c>
    </row>
    <row r="2534" spans="1:6">
      <c r="A2534" t="s">
        <v>9647</v>
      </c>
      <c r="B2534">
        <v>8740</v>
      </c>
      <c r="C2534" t="s">
        <v>9674</v>
      </c>
      <c r="D2534" t="s">
        <v>9645</v>
      </c>
      <c r="E2534" t="s">
        <v>9838</v>
      </c>
      <c r="F2534" t="s">
        <v>9545</v>
      </c>
    </row>
    <row r="2535" spans="1:6">
      <c r="A2535" t="s">
        <v>9647</v>
      </c>
      <c r="B2535">
        <v>8750</v>
      </c>
      <c r="C2535" t="s">
        <v>9674</v>
      </c>
      <c r="D2535" t="s">
        <v>9645</v>
      </c>
      <c r="E2535" t="s">
        <v>9838</v>
      </c>
      <c r="F2535" t="s">
        <v>9545</v>
      </c>
    </row>
    <row r="2536" spans="1:6">
      <c r="A2536" t="s">
        <v>9647</v>
      </c>
      <c r="B2536">
        <v>8832</v>
      </c>
      <c r="C2536" t="s">
        <v>9674</v>
      </c>
      <c r="D2536" t="s">
        <v>9645</v>
      </c>
      <c r="E2536" t="s">
        <v>9838</v>
      </c>
      <c r="F2536" t="s">
        <v>9545</v>
      </c>
    </row>
    <row r="2537" spans="1:6">
      <c r="A2537" t="s">
        <v>9647</v>
      </c>
      <c r="B2537">
        <v>8839</v>
      </c>
      <c r="C2537" t="s">
        <v>9674</v>
      </c>
      <c r="D2537" t="s">
        <v>9645</v>
      </c>
      <c r="E2537" t="s">
        <v>9838</v>
      </c>
      <c r="F2537" t="s">
        <v>9545</v>
      </c>
    </row>
    <row r="2538" spans="1:6">
      <c r="A2538" t="s">
        <v>9647</v>
      </c>
      <c r="B2538">
        <v>8843</v>
      </c>
      <c r="C2538" t="s">
        <v>9674</v>
      </c>
      <c r="D2538" t="s">
        <v>9645</v>
      </c>
      <c r="E2538" t="s">
        <v>9838</v>
      </c>
      <c r="F2538" t="s">
        <v>9545</v>
      </c>
    </row>
    <row r="2539" spans="1:6">
      <c r="A2539" t="s">
        <v>9647</v>
      </c>
      <c r="B2539">
        <v>8850</v>
      </c>
      <c r="C2539" t="s">
        <v>9674</v>
      </c>
      <c r="D2539" t="s">
        <v>9645</v>
      </c>
      <c r="E2539" t="s">
        <v>9838</v>
      </c>
      <c r="F2539" t="s">
        <v>9545</v>
      </c>
    </row>
    <row r="2540" spans="1:6">
      <c r="A2540" t="s">
        <v>9647</v>
      </c>
      <c r="B2540">
        <v>8852</v>
      </c>
      <c r="C2540" t="s">
        <v>9674</v>
      </c>
      <c r="D2540" t="s">
        <v>9645</v>
      </c>
      <c r="E2540" t="s">
        <v>9838</v>
      </c>
      <c r="F2540" t="s">
        <v>9545</v>
      </c>
    </row>
    <row r="2541" spans="1:6">
      <c r="A2541" t="s">
        <v>9647</v>
      </c>
      <c r="B2541">
        <v>8853</v>
      </c>
      <c r="C2541" t="s">
        <v>9674</v>
      </c>
      <c r="D2541" t="s">
        <v>9645</v>
      </c>
      <c r="E2541" t="s">
        <v>9838</v>
      </c>
      <c r="F2541" t="s">
        <v>9545</v>
      </c>
    </row>
    <row r="2542" spans="1:6">
      <c r="A2542" t="s">
        <v>9647</v>
      </c>
      <c r="B2542">
        <v>8886</v>
      </c>
      <c r="C2542" t="s">
        <v>9674</v>
      </c>
      <c r="D2542" t="s">
        <v>9645</v>
      </c>
      <c r="E2542" t="s">
        <v>9838</v>
      </c>
      <c r="F2542" t="s">
        <v>9545</v>
      </c>
    </row>
    <row r="2543" spans="1:6">
      <c r="A2543" t="s">
        <v>9647</v>
      </c>
      <c r="B2543">
        <v>8721</v>
      </c>
      <c r="C2543" t="s">
        <v>9674</v>
      </c>
      <c r="D2543" t="s">
        <v>9648</v>
      </c>
      <c r="E2543" t="s">
        <v>9839</v>
      </c>
      <c r="F2543" t="s">
        <v>9545</v>
      </c>
    </row>
    <row r="2544" spans="1:6">
      <c r="A2544" t="s">
        <v>9647</v>
      </c>
      <c r="B2544">
        <v>8731</v>
      </c>
      <c r="C2544" t="s">
        <v>9674</v>
      </c>
      <c r="D2544" t="s">
        <v>9648</v>
      </c>
      <c r="E2544" t="s">
        <v>9839</v>
      </c>
      <c r="F2544" t="s">
        <v>9545</v>
      </c>
    </row>
    <row r="2545" spans="1:6">
      <c r="A2545" t="s">
        <v>9647</v>
      </c>
      <c r="B2545">
        <v>7906</v>
      </c>
      <c r="C2545" t="s">
        <v>9674</v>
      </c>
      <c r="D2545" t="s">
        <v>9648</v>
      </c>
      <c r="E2545" t="s">
        <v>9839</v>
      </c>
      <c r="F2545" t="s">
        <v>9545</v>
      </c>
    </row>
    <row r="2546" spans="1:6">
      <c r="A2546" t="s">
        <v>9647</v>
      </c>
      <c r="B2546">
        <v>7916</v>
      </c>
      <c r="C2546" t="s">
        <v>9674</v>
      </c>
      <c r="D2546" t="s">
        <v>9648</v>
      </c>
      <c r="E2546" t="s">
        <v>9839</v>
      </c>
      <c r="F2546" t="s">
        <v>9545</v>
      </c>
    </row>
    <row r="2547" spans="1:6">
      <c r="A2547" t="s">
        <v>9647</v>
      </c>
      <c r="B2547">
        <v>8737</v>
      </c>
      <c r="C2547" t="s">
        <v>9674</v>
      </c>
      <c r="D2547" t="s">
        <v>9648</v>
      </c>
      <c r="E2547" t="s">
        <v>9839</v>
      </c>
      <c r="F2547" t="s">
        <v>9545</v>
      </c>
    </row>
    <row r="2548" spans="1:6">
      <c r="A2548" t="s">
        <v>9647</v>
      </c>
      <c r="B2548">
        <v>7917</v>
      </c>
      <c r="C2548" t="s">
        <v>9674</v>
      </c>
      <c r="D2548" t="s">
        <v>9648</v>
      </c>
      <c r="E2548" t="s">
        <v>9839</v>
      </c>
      <c r="F2548" t="s">
        <v>9545</v>
      </c>
    </row>
    <row r="2549" spans="1:6">
      <c r="A2549" t="s">
        <v>9647</v>
      </c>
      <c r="B2549">
        <v>7903</v>
      </c>
      <c r="C2549" t="s">
        <v>9674</v>
      </c>
      <c r="D2549" t="s">
        <v>9648</v>
      </c>
      <c r="E2549" t="s">
        <v>9839</v>
      </c>
      <c r="F2549" t="s">
        <v>9545</v>
      </c>
    </row>
    <row r="2550" spans="1:6">
      <c r="A2550" t="s">
        <v>9647</v>
      </c>
      <c r="B2550">
        <v>5455</v>
      </c>
      <c r="C2550" t="s">
        <v>9674</v>
      </c>
      <c r="D2550" t="s">
        <v>9648</v>
      </c>
      <c r="E2550" t="s">
        <v>9839</v>
      </c>
      <c r="F2550" t="s">
        <v>9545</v>
      </c>
    </row>
    <row r="2551" spans="1:6">
      <c r="A2551" t="s">
        <v>9647</v>
      </c>
      <c r="B2551">
        <v>5456</v>
      </c>
      <c r="C2551" t="s">
        <v>9674</v>
      </c>
      <c r="D2551" t="s">
        <v>9648</v>
      </c>
      <c r="E2551" t="s">
        <v>9839</v>
      </c>
      <c r="F2551" t="s">
        <v>9545</v>
      </c>
    </row>
    <row r="2552" spans="1:6">
      <c r="A2552" t="s">
        <v>9647</v>
      </c>
      <c r="B2552">
        <v>6391</v>
      </c>
      <c r="C2552" t="s">
        <v>9674</v>
      </c>
      <c r="D2552" t="s">
        <v>9648</v>
      </c>
      <c r="E2552" t="s">
        <v>9839</v>
      </c>
      <c r="F2552" t="s">
        <v>9545</v>
      </c>
    </row>
    <row r="2553" spans="1:6">
      <c r="A2553" t="s">
        <v>9647</v>
      </c>
      <c r="B2553">
        <v>7912</v>
      </c>
      <c r="C2553" t="s">
        <v>9674</v>
      </c>
      <c r="D2553" t="s">
        <v>9648</v>
      </c>
      <c r="E2553" t="s">
        <v>9839</v>
      </c>
      <c r="F2553" t="s">
        <v>9545</v>
      </c>
    </row>
    <row r="2554" spans="1:6">
      <c r="A2554" t="s">
        <v>9647</v>
      </c>
      <c r="B2554">
        <v>7913</v>
      </c>
      <c r="C2554" t="s">
        <v>9674</v>
      </c>
      <c r="D2554" t="s">
        <v>9648</v>
      </c>
      <c r="E2554" t="s">
        <v>9839</v>
      </c>
      <c r="F2554" t="s">
        <v>9545</v>
      </c>
    </row>
    <row r="2555" spans="1:6">
      <c r="A2555" t="s">
        <v>9647</v>
      </c>
      <c r="B2555">
        <v>7918</v>
      </c>
      <c r="C2555" t="s">
        <v>9674</v>
      </c>
      <c r="D2555" t="s">
        <v>9648</v>
      </c>
      <c r="E2555" t="s">
        <v>9839</v>
      </c>
      <c r="F2555" t="s">
        <v>9545</v>
      </c>
    </row>
    <row r="2556" spans="1:6">
      <c r="A2556" t="s">
        <v>9647</v>
      </c>
      <c r="B2556">
        <v>7919</v>
      </c>
      <c r="C2556" t="s">
        <v>9674</v>
      </c>
      <c r="D2556" t="s">
        <v>9648</v>
      </c>
      <c r="E2556" t="s">
        <v>9839</v>
      </c>
      <c r="F2556" t="s">
        <v>9545</v>
      </c>
    </row>
    <row r="2557" spans="1:6">
      <c r="A2557" t="s">
        <v>9647</v>
      </c>
      <c r="B2557">
        <v>8685</v>
      </c>
      <c r="C2557" t="s">
        <v>9674</v>
      </c>
      <c r="D2557" t="s">
        <v>9648</v>
      </c>
      <c r="E2557" t="s">
        <v>9839</v>
      </c>
      <c r="F2557" t="s">
        <v>9545</v>
      </c>
    </row>
    <row r="2558" spans="1:6">
      <c r="A2558" t="s">
        <v>9647</v>
      </c>
      <c r="B2558">
        <v>8686</v>
      </c>
      <c r="C2558" t="s">
        <v>9674</v>
      </c>
      <c r="D2558" t="s">
        <v>9648</v>
      </c>
      <c r="E2558" t="s">
        <v>9839</v>
      </c>
      <c r="F2558" t="s">
        <v>9545</v>
      </c>
    </row>
    <row r="2559" spans="1:6">
      <c r="A2559" t="s">
        <v>9647</v>
      </c>
      <c r="B2559">
        <v>8861</v>
      </c>
      <c r="C2559" t="s">
        <v>9674</v>
      </c>
      <c r="D2559" t="s">
        <v>9648</v>
      </c>
      <c r="E2559" t="s">
        <v>9839</v>
      </c>
      <c r="F2559" t="s">
        <v>9545</v>
      </c>
    </row>
    <row r="2560" spans="1:6">
      <c r="A2560" t="s">
        <v>9647</v>
      </c>
      <c r="B2560">
        <v>8862</v>
      </c>
      <c r="C2560" t="s">
        <v>9674</v>
      </c>
      <c r="D2560" t="s">
        <v>9648</v>
      </c>
      <c r="E2560" t="s">
        <v>9839</v>
      </c>
      <c r="F2560" t="s">
        <v>9545</v>
      </c>
    </row>
    <row r="2561" spans="1:6">
      <c r="A2561" t="s">
        <v>9647</v>
      </c>
      <c r="B2561">
        <v>8863</v>
      </c>
      <c r="C2561" t="s">
        <v>9674</v>
      </c>
      <c r="D2561" t="s">
        <v>9648</v>
      </c>
      <c r="E2561" t="s">
        <v>9839</v>
      </c>
      <c r="F2561" t="s">
        <v>9545</v>
      </c>
    </row>
    <row r="2562" spans="1:6">
      <c r="A2562" t="s">
        <v>9647</v>
      </c>
      <c r="B2562">
        <v>8683</v>
      </c>
      <c r="C2562" t="s">
        <v>9674</v>
      </c>
      <c r="D2562" t="s">
        <v>9648</v>
      </c>
      <c r="E2562" t="s">
        <v>9839</v>
      </c>
      <c r="F2562" t="s">
        <v>9545</v>
      </c>
    </row>
    <row r="2563" spans="1:6">
      <c r="A2563" t="s">
        <v>9647</v>
      </c>
      <c r="B2563">
        <v>8687</v>
      </c>
      <c r="C2563" t="s">
        <v>9674</v>
      </c>
      <c r="D2563" t="s">
        <v>9648</v>
      </c>
      <c r="E2563" t="s">
        <v>9839</v>
      </c>
      <c r="F2563" t="s">
        <v>9545</v>
      </c>
    </row>
    <row r="2564" spans="1:6">
      <c r="A2564" t="s">
        <v>9647</v>
      </c>
      <c r="B2564">
        <v>8870</v>
      </c>
      <c r="C2564" t="s">
        <v>9674</v>
      </c>
      <c r="D2564" t="s">
        <v>9648</v>
      </c>
      <c r="E2564" t="s">
        <v>9839</v>
      </c>
      <c r="F2564" t="s">
        <v>9545</v>
      </c>
    </row>
    <row r="2565" spans="1:6">
      <c r="A2565" t="s">
        <v>9647</v>
      </c>
      <c r="B2565">
        <v>8688</v>
      </c>
      <c r="C2565" t="s">
        <v>9674</v>
      </c>
      <c r="D2565" t="s">
        <v>9648</v>
      </c>
      <c r="E2565" t="s">
        <v>9839</v>
      </c>
      <c r="F2565" t="s">
        <v>9545</v>
      </c>
    </row>
    <row r="2566" spans="1:6">
      <c r="A2566" t="s">
        <v>9647</v>
      </c>
      <c r="B2566">
        <v>8855</v>
      </c>
      <c r="C2566" t="s">
        <v>9674</v>
      </c>
      <c r="D2566" t="s">
        <v>9648</v>
      </c>
      <c r="E2566" t="s">
        <v>9839</v>
      </c>
      <c r="F2566" t="s">
        <v>9545</v>
      </c>
    </row>
    <row r="2567" spans="1:6">
      <c r="A2567" t="s">
        <v>9647</v>
      </c>
      <c r="B2567">
        <v>8872</v>
      </c>
      <c r="C2567" t="s">
        <v>9674</v>
      </c>
      <c r="D2567" t="s">
        <v>9648</v>
      </c>
      <c r="E2567" t="s">
        <v>9839</v>
      </c>
      <c r="F2567" t="s">
        <v>9545</v>
      </c>
    </row>
    <row r="2568" spans="1:6">
      <c r="A2568" t="s">
        <v>9647</v>
      </c>
      <c r="B2568">
        <v>8874</v>
      </c>
      <c r="C2568" t="s">
        <v>9674</v>
      </c>
      <c r="D2568" t="s">
        <v>9648</v>
      </c>
      <c r="E2568" t="s">
        <v>9839</v>
      </c>
      <c r="F2568" t="s">
        <v>9545</v>
      </c>
    </row>
    <row r="2569" spans="1:6">
      <c r="A2569" t="s">
        <v>9647</v>
      </c>
      <c r="B2569">
        <v>6385</v>
      </c>
      <c r="C2569" t="s">
        <v>9674</v>
      </c>
      <c r="D2569" t="s">
        <v>9648</v>
      </c>
      <c r="E2569" t="s">
        <v>9839</v>
      </c>
      <c r="F2569" t="s">
        <v>9545</v>
      </c>
    </row>
    <row r="2570" spans="1:6">
      <c r="A2570" t="s">
        <v>9647</v>
      </c>
      <c r="B2570">
        <v>6386</v>
      </c>
      <c r="C2570" t="s">
        <v>9674</v>
      </c>
      <c r="D2570" t="s">
        <v>9648</v>
      </c>
      <c r="E2570" t="s">
        <v>9839</v>
      </c>
      <c r="F2570" t="s">
        <v>9545</v>
      </c>
    </row>
    <row r="2571" spans="1:6">
      <c r="A2571" t="s">
        <v>9647</v>
      </c>
      <c r="B2571">
        <v>6388</v>
      </c>
      <c r="C2571" t="s">
        <v>9674</v>
      </c>
      <c r="D2571" t="s">
        <v>9648</v>
      </c>
      <c r="E2571" t="s">
        <v>9839</v>
      </c>
      <c r="F2571" t="s">
        <v>9545</v>
      </c>
    </row>
    <row r="2572" spans="1:6">
      <c r="A2572" t="s">
        <v>9647</v>
      </c>
      <c r="B2572">
        <v>6389</v>
      </c>
      <c r="C2572" t="s">
        <v>9674</v>
      </c>
      <c r="D2572" t="s">
        <v>9648</v>
      </c>
      <c r="E2572" t="s">
        <v>9839</v>
      </c>
      <c r="F2572" t="s">
        <v>9545</v>
      </c>
    </row>
    <row r="2573" spans="1:6">
      <c r="A2573" t="s">
        <v>9647</v>
      </c>
      <c r="B2573">
        <v>6390</v>
      </c>
      <c r="C2573" t="s">
        <v>9674</v>
      </c>
      <c r="D2573" t="s">
        <v>9648</v>
      </c>
      <c r="E2573" t="s">
        <v>9839</v>
      </c>
      <c r="F2573" t="s">
        <v>9545</v>
      </c>
    </row>
    <row r="2574" spans="1:6">
      <c r="A2574" t="s">
        <v>9647</v>
      </c>
      <c r="B2574">
        <v>7321</v>
      </c>
      <c r="C2574" t="s">
        <v>9674</v>
      </c>
      <c r="D2574" t="s">
        <v>9648</v>
      </c>
      <c r="E2574" t="s">
        <v>9839</v>
      </c>
      <c r="F2574" t="s">
        <v>9545</v>
      </c>
    </row>
    <row r="2575" spans="1:6">
      <c r="A2575" t="s">
        <v>9647</v>
      </c>
      <c r="B2575">
        <v>7831</v>
      </c>
      <c r="C2575" t="s">
        <v>9674</v>
      </c>
      <c r="D2575" t="s">
        <v>9648</v>
      </c>
      <c r="E2575" t="s">
        <v>9839</v>
      </c>
      <c r="F2575" t="s">
        <v>9545</v>
      </c>
    </row>
    <row r="2576" spans="1:6">
      <c r="A2576" t="s">
        <v>9647</v>
      </c>
      <c r="B2576">
        <v>7832</v>
      </c>
      <c r="C2576" t="s">
        <v>9674</v>
      </c>
      <c r="D2576" t="s">
        <v>9648</v>
      </c>
      <c r="E2576" t="s">
        <v>9839</v>
      </c>
      <c r="F2576" t="s">
        <v>9545</v>
      </c>
    </row>
    <row r="2577" spans="1:6">
      <c r="A2577" t="s">
        <v>9647</v>
      </c>
      <c r="B2577">
        <v>7833</v>
      </c>
      <c r="C2577" t="s">
        <v>9674</v>
      </c>
      <c r="D2577" t="s">
        <v>9648</v>
      </c>
      <c r="E2577" t="s">
        <v>9839</v>
      </c>
      <c r="F2577" t="s">
        <v>9545</v>
      </c>
    </row>
    <row r="2578" spans="1:6">
      <c r="A2578" t="s">
        <v>9647</v>
      </c>
      <c r="B2578">
        <v>7834</v>
      </c>
      <c r="C2578" t="s">
        <v>9674</v>
      </c>
      <c r="D2578" t="s">
        <v>9648</v>
      </c>
      <c r="E2578" t="s">
        <v>9839</v>
      </c>
      <c r="F2578" t="s">
        <v>9545</v>
      </c>
    </row>
    <row r="2579" spans="1:6">
      <c r="A2579" t="s">
        <v>9647</v>
      </c>
      <c r="B2579">
        <v>8722</v>
      </c>
      <c r="C2579" t="s">
        <v>9674</v>
      </c>
      <c r="D2579" t="s">
        <v>9648</v>
      </c>
      <c r="E2579" t="s">
        <v>9839</v>
      </c>
      <c r="F2579" t="s">
        <v>9545</v>
      </c>
    </row>
    <row r="2580" spans="1:6">
      <c r="A2580" t="s">
        <v>9647</v>
      </c>
      <c r="B2580">
        <v>8733</v>
      </c>
      <c r="C2580" t="s">
        <v>9674</v>
      </c>
      <c r="D2580" t="s">
        <v>9648</v>
      </c>
      <c r="E2580" t="s">
        <v>9839</v>
      </c>
      <c r="F2580" t="s">
        <v>9545</v>
      </c>
    </row>
    <row r="2581" spans="1:6">
      <c r="A2581" t="s">
        <v>9647</v>
      </c>
      <c r="B2581">
        <v>8752</v>
      </c>
      <c r="C2581" t="s">
        <v>9674</v>
      </c>
      <c r="D2581" t="s">
        <v>9648</v>
      </c>
      <c r="E2581" t="s">
        <v>9839</v>
      </c>
      <c r="F2581" t="s">
        <v>9545</v>
      </c>
    </row>
    <row r="2582" spans="1:6">
      <c r="A2582" t="s">
        <v>9647</v>
      </c>
      <c r="B2582">
        <v>6205</v>
      </c>
      <c r="C2582" t="s">
        <v>9674</v>
      </c>
      <c r="D2582" t="s">
        <v>9648</v>
      </c>
      <c r="E2582" t="s">
        <v>9839</v>
      </c>
      <c r="F2582" t="s">
        <v>9545</v>
      </c>
    </row>
    <row r="2583" spans="1:6">
      <c r="A2583" t="s">
        <v>9647</v>
      </c>
      <c r="B2583">
        <v>7163</v>
      </c>
      <c r="C2583" t="s">
        <v>9674</v>
      </c>
      <c r="D2583" t="s">
        <v>9648</v>
      </c>
      <c r="E2583" t="s">
        <v>9839</v>
      </c>
      <c r="F2583" t="s">
        <v>9545</v>
      </c>
    </row>
    <row r="2584" spans="1:6">
      <c r="A2584" t="s">
        <v>9647</v>
      </c>
      <c r="B2584">
        <v>8877</v>
      </c>
      <c r="C2584" t="s">
        <v>9674</v>
      </c>
      <c r="D2584" t="s">
        <v>9648</v>
      </c>
      <c r="E2584" t="s">
        <v>9839</v>
      </c>
      <c r="F2584" t="s">
        <v>9545</v>
      </c>
    </row>
    <row r="2585" spans="1:6">
      <c r="A2585" t="s">
        <v>9647</v>
      </c>
      <c r="B2585">
        <v>7164</v>
      </c>
      <c r="C2585" t="s">
        <v>9674</v>
      </c>
      <c r="D2585" t="s">
        <v>9648</v>
      </c>
      <c r="E2585" t="s">
        <v>9839</v>
      </c>
      <c r="F2585" t="s">
        <v>9545</v>
      </c>
    </row>
    <row r="2586" spans="1:6">
      <c r="A2586" t="s">
        <v>9647</v>
      </c>
      <c r="B2586">
        <v>8865</v>
      </c>
      <c r="C2586" t="s">
        <v>9674</v>
      </c>
      <c r="D2586" t="s">
        <v>9648</v>
      </c>
      <c r="E2586" t="s">
        <v>9839</v>
      </c>
      <c r="F2586" t="s">
        <v>9545</v>
      </c>
    </row>
    <row r="2587" spans="1:6">
      <c r="A2587" t="s">
        <v>9647</v>
      </c>
      <c r="B2587">
        <v>8866</v>
      </c>
      <c r="C2587" t="s">
        <v>9674</v>
      </c>
      <c r="D2587" t="s">
        <v>9648</v>
      </c>
      <c r="E2587" t="s">
        <v>9839</v>
      </c>
      <c r="F2587" t="s">
        <v>9545</v>
      </c>
    </row>
    <row r="2588" spans="1:6">
      <c r="A2588" t="s">
        <v>9647</v>
      </c>
      <c r="B2588">
        <v>8864</v>
      </c>
      <c r="C2588" t="s">
        <v>9674</v>
      </c>
      <c r="D2588" t="s">
        <v>9648</v>
      </c>
      <c r="E2588" t="s">
        <v>9839</v>
      </c>
      <c r="F2588" t="s">
        <v>9545</v>
      </c>
    </row>
    <row r="2589" spans="1:6">
      <c r="A2589" t="s">
        <v>9647</v>
      </c>
      <c r="B2589">
        <v>7141</v>
      </c>
      <c r="C2589" t="s">
        <v>9674</v>
      </c>
      <c r="D2589" t="s">
        <v>9648</v>
      </c>
      <c r="E2589" t="s">
        <v>9839</v>
      </c>
      <c r="F2589" t="s">
        <v>9545</v>
      </c>
    </row>
    <row r="2590" spans="1:6">
      <c r="A2590" t="s">
        <v>9647</v>
      </c>
      <c r="B2590">
        <v>7143</v>
      </c>
      <c r="C2590" t="s">
        <v>9674</v>
      </c>
      <c r="D2590" t="s">
        <v>9648</v>
      </c>
      <c r="E2590" t="s">
        <v>9839</v>
      </c>
      <c r="F2590" t="s">
        <v>9545</v>
      </c>
    </row>
    <row r="2591" spans="1:6">
      <c r="A2591" t="s">
        <v>9647</v>
      </c>
      <c r="B2591">
        <v>7145</v>
      </c>
      <c r="C2591" t="s">
        <v>9674</v>
      </c>
      <c r="D2591" t="s">
        <v>9648</v>
      </c>
      <c r="E2591" t="s">
        <v>9839</v>
      </c>
      <c r="F2591" t="s">
        <v>9545</v>
      </c>
    </row>
    <row r="2592" spans="1:6">
      <c r="A2592" t="s">
        <v>9647</v>
      </c>
      <c r="B2592">
        <v>7147</v>
      </c>
      <c r="C2592" t="s">
        <v>9674</v>
      </c>
      <c r="D2592" t="s">
        <v>9648</v>
      </c>
      <c r="E2592" t="s">
        <v>9839</v>
      </c>
      <c r="F2592" t="s">
        <v>9545</v>
      </c>
    </row>
    <row r="2593" spans="1:6">
      <c r="A2593" t="s">
        <v>9647</v>
      </c>
      <c r="B2593">
        <v>3837</v>
      </c>
      <c r="C2593" t="s">
        <v>9674</v>
      </c>
      <c r="D2593" t="s">
        <v>9648</v>
      </c>
      <c r="E2593" t="s">
        <v>9839</v>
      </c>
      <c r="F2593" t="s">
        <v>9545</v>
      </c>
    </row>
    <row r="2594" spans="1:6">
      <c r="A2594" t="s">
        <v>9647</v>
      </c>
      <c r="B2594">
        <v>8878</v>
      </c>
      <c r="C2594" t="s">
        <v>9674</v>
      </c>
      <c r="D2594" t="s">
        <v>9648</v>
      </c>
      <c r="E2594" t="s">
        <v>9839</v>
      </c>
      <c r="F2594" t="s">
        <v>9545</v>
      </c>
    </row>
    <row r="2595" spans="1:6">
      <c r="A2595" t="s">
        <v>9647</v>
      </c>
      <c r="B2595">
        <v>8879</v>
      </c>
      <c r="C2595" t="s">
        <v>9674</v>
      </c>
      <c r="D2595" t="s">
        <v>9648</v>
      </c>
      <c r="E2595" t="s">
        <v>9839</v>
      </c>
      <c r="F2595" t="s">
        <v>9545</v>
      </c>
    </row>
    <row r="2596" spans="1:6">
      <c r="A2596" t="s">
        <v>9647</v>
      </c>
      <c r="B2596">
        <v>7233</v>
      </c>
      <c r="C2596" t="s">
        <v>9674</v>
      </c>
      <c r="D2596" t="s">
        <v>9648</v>
      </c>
      <c r="E2596" t="s">
        <v>9839</v>
      </c>
      <c r="F2596" t="s">
        <v>9545</v>
      </c>
    </row>
    <row r="2597" spans="1:6">
      <c r="A2597" t="s">
        <v>9647</v>
      </c>
      <c r="B2597">
        <v>5464</v>
      </c>
      <c r="C2597" t="s">
        <v>9674</v>
      </c>
      <c r="D2597" t="s">
        <v>9648</v>
      </c>
      <c r="E2597" t="s">
        <v>9839</v>
      </c>
      <c r="F2597" t="s">
        <v>9545</v>
      </c>
    </row>
    <row r="2598" spans="1:6">
      <c r="A2598" t="s">
        <v>9647</v>
      </c>
      <c r="B2598">
        <v>9532</v>
      </c>
      <c r="C2598" t="s">
        <v>9674</v>
      </c>
      <c r="D2598" t="s">
        <v>9648</v>
      </c>
      <c r="E2598" t="s">
        <v>9839</v>
      </c>
      <c r="F2598" t="s">
        <v>9545</v>
      </c>
    </row>
    <row r="2599" spans="1:6">
      <c r="A2599" t="s">
        <v>9647</v>
      </c>
      <c r="B2599">
        <v>5465</v>
      </c>
      <c r="C2599" t="s">
        <v>9674</v>
      </c>
      <c r="D2599" t="s">
        <v>9648</v>
      </c>
      <c r="E2599" t="s">
        <v>9839</v>
      </c>
      <c r="F2599" t="s">
        <v>9545</v>
      </c>
    </row>
    <row r="2600" spans="1:6">
      <c r="A2600" t="s">
        <v>9647</v>
      </c>
      <c r="B2600">
        <v>5456</v>
      </c>
      <c r="C2600" t="s">
        <v>9674</v>
      </c>
      <c r="D2600" t="s">
        <v>9648</v>
      </c>
      <c r="E2600" t="s">
        <v>9839</v>
      </c>
      <c r="F2600" t="s">
        <v>9545</v>
      </c>
    </row>
    <row r="2601" spans="1:6">
      <c r="A2601" t="s">
        <v>9647</v>
      </c>
      <c r="B2601">
        <v>7148</v>
      </c>
      <c r="C2601" t="s">
        <v>9674</v>
      </c>
      <c r="D2601" t="s">
        <v>9648</v>
      </c>
      <c r="E2601" t="s">
        <v>9839</v>
      </c>
      <c r="F2601" t="s">
        <v>9545</v>
      </c>
    </row>
    <row r="2602" spans="1:6">
      <c r="A2602" t="s">
        <v>9647</v>
      </c>
      <c r="B2602">
        <v>7385</v>
      </c>
      <c r="C2602" t="s">
        <v>9674</v>
      </c>
      <c r="D2602" t="s">
        <v>9648</v>
      </c>
      <c r="E2602" t="s">
        <v>9839</v>
      </c>
      <c r="F2602" t="s">
        <v>9545</v>
      </c>
    </row>
    <row r="2603" spans="1:6">
      <c r="A2603" t="s">
        <v>9647</v>
      </c>
      <c r="B2603">
        <v>7162</v>
      </c>
      <c r="C2603" t="s">
        <v>9674</v>
      </c>
      <c r="D2603" t="s">
        <v>9648</v>
      </c>
      <c r="E2603" t="s">
        <v>9839</v>
      </c>
      <c r="F2603" t="s">
        <v>9545</v>
      </c>
    </row>
    <row r="2604" spans="1:6">
      <c r="A2604" t="s">
        <v>9647</v>
      </c>
      <c r="B2604">
        <v>6241</v>
      </c>
      <c r="C2604" t="s">
        <v>9674</v>
      </c>
      <c r="D2604" t="s">
        <v>9648</v>
      </c>
      <c r="E2604" t="s">
        <v>9839</v>
      </c>
      <c r="F2604" t="s">
        <v>9545</v>
      </c>
    </row>
    <row r="2605" spans="1:6">
      <c r="A2605" t="s">
        <v>9647</v>
      </c>
      <c r="B2605">
        <v>8835</v>
      </c>
      <c r="C2605" t="s">
        <v>9674</v>
      </c>
      <c r="D2605" t="s">
        <v>9650</v>
      </c>
      <c r="E2605" t="s">
        <v>9804</v>
      </c>
      <c r="F2605" t="s">
        <v>9545</v>
      </c>
    </row>
    <row r="2606" spans="1:6">
      <c r="A2606" t="s">
        <v>9647</v>
      </c>
      <c r="B2606">
        <v>8848</v>
      </c>
      <c r="C2606" t="s">
        <v>9674</v>
      </c>
      <c r="D2606" t="s">
        <v>9650</v>
      </c>
      <c r="E2606" t="s">
        <v>9804</v>
      </c>
      <c r="F2606" t="s">
        <v>9545</v>
      </c>
    </row>
    <row r="2607" spans="1:6">
      <c r="A2607" t="s">
        <v>9647</v>
      </c>
      <c r="B2607">
        <v>7992</v>
      </c>
      <c r="C2607" t="s">
        <v>9674</v>
      </c>
      <c r="D2607" t="s">
        <v>9650</v>
      </c>
      <c r="E2607" t="s">
        <v>9804</v>
      </c>
      <c r="F2607" t="s">
        <v>9545</v>
      </c>
    </row>
    <row r="2608" spans="1:6">
      <c r="A2608" t="s">
        <v>9647</v>
      </c>
      <c r="B2608">
        <v>8830</v>
      </c>
      <c r="C2608" t="s">
        <v>9674</v>
      </c>
      <c r="D2608" t="s">
        <v>9650</v>
      </c>
      <c r="E2608" t="s">
        <v>9804</v>
      </c>
      <c r="F2608" t="s">
        <v>9545</v>
      </c>
    </row>
    <row r="2609" spans="1:6">
      <c r="A2609" t="s">
        <v>9647</v>
      </c>
      <c r="B2609">
        <v>8837</v>
      </c>
      <c r="C2609" t="s">
        <v>9674</v>
      </c>
      <c r="D2609" t="s">
        <v>9650</v>
      </c>
      <c r="E2609" t="s">
        <v>9804</v>
      </c>
      <c r="F2609" t="s">
        <v>9545</v>
      </c>
    </row>
    <row r="2610" spans="1:6">
      <c r="A2610" t="s">
        <v>9647</v>
      </c>
      <c r="B2610">
        <v>8827</v>
      </c>
      <c r="C2610" t="s">
        <v>9674</v>
      </c>
      <c r="D2610" t="s">
        <v>9650</v>
      </c>
      <c r="E2610" t="s">
        <v>9804</v>
      </c>
      <c r="F2610" t="s">
        <v>9545</v>
      </c>
    </row>
    <row r="2611" spans="1:6">
      <c r="A2611" t="s">
        <v>9647</v>
      </c>
      <c r="B2611">
        <v>8670</v>
      </c>
      <c r="C2611" t="s">
        <v>9674</v>
      </c>
      <c r="D2611" t="s">
        <v>9650</v>
      </c>
      <c r="E2611" t="s">
        <v>9804</v>
      </c>
      <c r="F2611" t="s">
        <v>9545</v>
      </c>
    </row>
    <row r="2612" spans="1:6">
      <c r="A2612" t="s">
        <v>9647</v>
      </c>
      <c r="B2612">
        <v>7977</v>
      </c>
      <c r="C2612" t="s">
        <v>9674</v>
      </c>
      <c r="D2612" t="s">
        <v>9650</v>
      </c>
      <c r="E2612" t="s">
        <v>9804</v>
      </c>
      <c r="F2612" t="s">
        <v>9545</v>
      </c>
    </row>
    <row r="2613" spans="1:6">
      <c r="A2613" t="s">
        <v>9647</v>
      </c>
      <c r="B2613">
        <v>7839</v>
      </c>
      <c r="C2613" t="s">
        <v>9674</v>
      </c>
      <c r="D2613" t="s">
        <v>9650</v>
      </c>
      <c r="E2613" t="s">
        <v>9804</v>
      </c>
      <c r="F2613" t="s">
        <v>9545</v>
      </c>
    </row>
    <row r="2614" spans="1:6">
      <c r="A2614" t="s">
        <v>9647</v>
      </c>
      <c r="B2614">
        <v>7380</v>
      </c>
      <c r="C2614" t="s">
        <v>9674</v>
      </c>
      <c r="D2614" t="s">
        <v>9650</v>
      </c>
      <c r="E2614" t="s">
        <v>9804</v>
      </c>
      <c r="F2614" t="s">
        <v>9545</v>
      </c>
    </row>
    <row r="2615" spans="1:6">
      <c r="A2615" t="s">
        <v>9647</v>
      </c>
      <c r="B2615">
        <v>7383</v>
      </c>
      <c r="C2615" t="s">
        <v>9674</v>
      </c>
      <c r="D2615" t="s">
        <v>9650</v>
      </c>
      <c r="E2615" t="s">
        <v>9804</v>
      </c>
      <c r="F2615" t="s">
        <v>9545</v>
      </c>
    </row>
    <row r="2616" spans="1:6">
      <c r="A2616" t="s">
        <v>9647</v>
      </c>
      <c r="B2616">
        <v>7160</v>
      </c>
      <c r="C2616" t="s">
        <v>9674</v>
      </c>
      <c r="D2616" t="s">
        <v>9650</v>
      </c>
      <c r="E2616" t="s">
        <v>9804</v>
      </c>
      <c r="F2616" t="s">
        <v>9545</v>
      </c>
    </row>
    <row r="2617" spans="1:6">
      <c r="A2617" t="s">
        <v>9647</v>
      </c>
      <c r="B2617">
        <v>7946</v>
      </c>
      <c r="C2617" t="s">
        <v>9674</v>
      </c>
      <c r="D2617" t="s">
        <v>9650</v>
      </c>
      <c r="E2617" t="s">
        <v>9804</v>
      </c>
      <c r="F2617" t="s">
        <v>9545</v>
      </c>
    </row>
    <row r="2618" spans="1:6">
      <c r="A2618" t="s">
        <v>9647</v>
      </c>
      <c r="B2618">
        <v>7978</v>
      </c>
      <c r="C2618" t="s">
        <v>9674</v>
      </c>
      <c r="D2618" t="s">
        <v>9650</v>
      </c>
      <c r="E2618" t="s">
        <v>9804</v>
      </c>
      <c r="F2618" t="s">
        <v>9545</v>
      </c>
    </row>
    <row r="2619" spans="1:6">
      <c r="A2619" t="s">
        <v>9647</v>
      </c>
      <c r="B2619">
        <v>7944</v>
      </c>
      <c r="C2619" t="s">
        <v>9674</v>
      </c>
      <c r="D2619" t="s">
        <v>9650</v>
      </c>
      <c r="E2619" t="s">
        <v>9804</v>
      </c>
      <c r="F2619" t="s">
        <v>9545</v>
      </c>
    </row>
    <row r="2620" spans="1:6">
      <c r="A2620" t="s">
        <v>9647</v>
      </c>
      <c r="B2620">
        <v>7914</v>
      </c>
      <c r="C2620" t="s">
        <v>9674</v>
      </c>
      <c r="D2620" t="s">
        <v>9650</v>
      </c>
      <c r="E2620" t="s">
        <v>9804</v>
      </c>
      <c r="F2620" t="s">
        <v>9545</v>
      </c>
    </row>
    <row r="2621" spans="1:6">
      <c r="A2621" t="s">
        <v>9647</v>
      </c>
      <c r="B2621">
        <v>7942</v>
      </c>
      <c r="C2621" t="s">
        <v>9674</v>
      </c>
      <c r="D2621" t="s">
        <v>9650</v>
      </c>
      <c r="E2621" t="s">
        <v>9804</v>
      </c>
      <c r="F2621" t="s">
        <v>9545</v>
      </c>
    </row>
    <row r="2622" spans="1:6">
      <c r="A2622" t="s">
        <v>9647</v>
      </c>
      <c r="B2622">
        <v>7376</v>
      </c>
      <c r="C2622" t="s">
        <v>9674</v>
      </c>
      <c r="D2622" t="s">
        <v>9650</v>
      </c>
      <c r="E2622" t="s">
        <v>9804</v>
      </c>
      <c r="F2622" t="s">
        <v>9545</v>
      </c>
    </row>
    <row r="2623" spans="1:6">
      <c r="A2623" t="s">
        <v>9647</v>
      </c>
      <c r="B2623">
        <v>7377</v>
      </c>
      <c r="C2623" t="s">
        <v>9674</v>
      </c>
      <c r="D2623" t="s">
        <v>9650</v>
      </c>
      <c r="E2623" t="s">
        <v>9804</v>
      </c>
      <c r="F2623" t="s">
        <v>9545</v>
      </c>
    </row>
    <row r="2624" spans="1:6">
      <c r="A2624" t="s">
        <v>9647</v>
      </c>
      <c r="B2624">
        <v>7158</v>
      </c>
      <c r="C2624" t="s">
        <v>9674</v>
      </c>
      <c r="D2624" t="s">
        <v>9650</v>
      </c>
      <c r="E2624" t="s">
        <v>9804</v>
      </c>
      <c r="F2624" t="s">
        <v>9545</v>
      </c>
    </row>
    <row r="2625" spans="1:6">
      <c r="A2625" t="s">
        <v>9647</v>
      </c>
      <c r="B2625">
        <v>7979</v>
      </c>
      <c r="C2625" t="s">
        <v>9674</v>
      </c>
      <c r="D2625" t="s">
        <v>9650</v>
      </c>
      <c r="E2625" t="s">
        <v>9804</v>
      </c>
      <c r="F2625" t="s">
        <v>9545</v>
      </c>
    </row>
    <row r="2626" spans="1:6">
      <c r="A2626" t="s">
        <v>9647</v>
      </c>
      <c r="B2626">
        <v>7947</v>
      </c>
      <c r="C2626" t="s">
        <v>9674</v>
      </c>
      <c r="D2626" t="s">
        <v>9650</v>
      </c>
      <c r="E2626" t="s">
        <v>9804</v>
      </c>
      <c r="F2626" t="s">
        <v>9545</v>
      </c>
    </row>
    <row r="2627" spans="1:6">
      <c r="A2627" t="s">
        <v>9647</v>
      </c>
      <c r="B2627">
        <v>5454</v>
      </c>
      <c r="C2627" t="s">
        <v>9674</v>
      </c>
      <c r="D2627" t="s">
        <v>9650</v>
      </c>
      <c r="E2627" t="s">
        <v>9804</v>
      </c>
      <c r="F2627" t="s">
        <v>9545</v>
      </c>
    </row>
    <row r="2628" spans="1:6">
      <c r="A2628" t="s">
        <v>9647</v>
      </c>
      <c r="B2628">
        <v>7945</v>
      </c>
      <c r="C2628" t="s">
        <v>9674</v>
      </c>
      <c r="D2628" t="s">
        <v>9650</v>
      </c>
      <c r="E2628" t="s">
        <v>9804</v>
      </c>
      <c r="F2628" t="s">
        <v>9545</v>
      </c>
    </row>
    <row r="2629" spans="1:6">
      <c r="A2629" t="s">
        <v>9647</v>
      </c>
      <c r="B2629">
        <v>7949</v>
      </c>
      <c r="C2629" t="s">
        <v>9674</v>
      </c>
      <c r="D2629" t="s">
        <v>9650</v>
      </c>
      <c r="E2629" t="s">
        <v>9804</v>
      </c>
      <c r="F2629" t="s">
        <v>9545</v>
      </c>
    </row>
    <row r="2630" spans="1:6">
      <c r="A2630" t="s">
        <v>9647</v>
      </c>
      <c r="B2630">
        <v>5460</v>
      </c>
      <c r="C2630" t="s">
        <v>9674</v>
      </c>
      <c r="D2630" t="s">
        <v>9650</v>
      </c>
      <c r="E2630" t="s">
        <v>9804</v>
      </c>
      <c r="F2630" t="s">
        <v>9545</v>
      </c>
    </row>
    <row r="2631" spans="1:6">
      <c r="A2631" t="s">
        <v>9647</v>
      </c>
      <c r="B2631">
        <v>5466</v>
      </c>
      <c r="C2631" t="s">
        <v>9674</v>
      </c>
      <c r="D2631" t="s">
        <v>9650</v>
      </c>
      <c r="E2631" t="s">
        <v>9804</v>
      </c>
      <c r="F2631" t="s">
        <v>9545</v>
      </c>
    </row>
    <row r="2632" spans="1:6">
      <c r="A2632" t="s">
        <v>9647</v>
      </c>
      <c r="B2632">
        <v>7915</v>
      </c>
      <c r="C2632" t="s">
        <v>9674</v>
      </c>
      <c r="D2632" t="s">
        <v>9650</v>
      </c>
      <c r="E2632" t="s">
        <v>9804</v>
      </c>
      <c r="F2632" t="s">
        <v>9545</v>
      </c>
    </row>
    <row r="2633" spans="1:6">
      <c r="A2633" t="s">
        <v>9647</v>
      </c>
      <c r="B2633">
        <v>7980</v>
      </c>
      <c r="C2633" t="s">
        <v>9674</v>
      </c>
      <c r="D2633" t="s">
        <v>9650</v>
      </c>
      <c r="E2633" t="s">
        <v>9804</v>
      </c>
      <c r="F2633" t="s">
        <v>9545</v>
      </c>
    </row>
    <row r="2634" spans="1:6">
      <c r="A2634" t="s">
        <v>9647</v>
      </c>
      <c r="B2634">
        <v>6630</v>
      </c>
      <c r="C2634" t="s">
        <v>9674</v>
      </c>
      <c r="D2634" t="s">
        <v>9650</v>
      </c>
      <c r="E2634" t="s">
        <v>9804</v>
      </c>
      <c r="F2634" t="s">
        <v>9545</v>
      </c>
    </row>
    <row r="2635" spans="1:6">
      <c r="A2635" t="s">
        <v>9647</v>
      </c>
      <c r="B2635">
        <v>7943</v>
      </c>
      <c r="C2635" t="s">
        <v>9674</v>
      </c>
      <c r="D2635" t="s">
        <v>9650</v>
      </c>
      <c r="E2635" t="s">
        <v>9804</v>
      </c>
      <c r="F2635" t="s">
        <v>9545</v>
      </c>
    </row>
    <row r="2636" spans="1:6">
      <c r="A2636" t="s">
        <v>9647</v>
      </c>
      <c r="B2636">
        <v>7985</v>
      </c>
      <c r="C2636" t="s">
        <v>9674</v>
      </c>
      <c r="D2636" t="s">
        <v>9650</v>
      </c>
      <c r="E2636" t="s">
        <v>9804</v>
      </c>
      <c r="F2636" t="s">
        <v>9545</v>
      </c>
    </row>
    <row r="2637" spans="1:6">
      <c r="A2637" t="s">
        <v>9647</v>
      </c>
      <c r="B2637">
        <v>5462</v>
      </c>
      <c r="C2637" t="s">
        <v>9674</v>
      </c>
      <c r="D2637" t="s">
        <v>9650</v>
      </c>
      <c r="E2637" t="s">
        <v>9804</v>
      </c>
      <c r="F2637" t="s">
        <v>9545</v>
      </c>
    </row>
    <row r="2638" spans="1:6">
      <c r="A2638" t="s">
        <v>9647</v>
      </c>
      <c r="B2638">
        <v>5463</v>
      </c>
      <c r="C2638" t="s">
        <v>9674</v>
      </c>
      <c r="D2638" t="s">
        <v>9650</v>
      </c>
      <c r="E2638" t="s">
        <v>9804</v>
      </c>
      <c r="F2638" t="s">
        <v>9545</v>
      </c>
    </row>
    <row r="2639" spans="1:6">
      <c r="A2639" t="s">
        <v>9647</v>
      </c>
      <c r="B2639">
        <v>5495</v>
      </c>
      <c r="C2639" t="s">
        <v>9674</v>
      </c>
      <c r="D2639" t="s">
        <v>9650</v>
      </c>
      <c r="E2639" t="s">
        <v>9804</v>
      </c>
      <c r="F2639" t="s">
        <v>9545</v>
      </c>
    </row>
    <row r="2640" spans="1:6">
      <c r="A2640" t="s">
        <v>9647</v>
      </c>
      <c r="B2640">
        <v>9307</v>
      </c>
      <c r="C2640" t="s">
        <v>9674</v>
      </c>
      <c r="D2640" t="s">
        <v>9650</v>
      </c>
      <c r="E2640" t="s">
        <v>9804</v>
      </c>
      <c r="F2640" t="s">
        <v>9545</v>
      </c>
    </row>
    <row r="2641" spans="1:6">
      <c r="A2641" t="s">
        <v>9647</v>
      </c>
      <c r="B2641">
        <v>9306</v>
      </c>
      <c r="C2641" t="s">
        <v>9674</v>
      </c>
      <c r="D2641" t="s">
        <v>9650</v>
      </c>
      <c r="E2641" t="s">
        <v>9804</v>
      </c>
      <c r="F2641" t="s">
        <v>9545</v>
      </c>
    </row>
    <row r="2642" spans="1:6">
      <c r="A2642" t="s">
        <v>9647</v>
      </c>
      <c r="B2642">
        <v>8655</v>
      </c>
      <c r="C2642" t="s">
        <v>9674</v>
      </c>
      <c r="D2642" t="s">
        <v>9652</v>
      </c>
      <c r="E2642" t="s">
        <v>9840</v>
      </c>
      <c r="F2642" t="s">
        <v>9545</v>
      </c>
    </row>
    <row r="2643" spans="1:6">
      <c r="A2643" t="s">
        <v>9647</v>
      </c>
      <c r="B2643">
        <v>8836</v>
      </c>
      <c r="C2643" t="s">
        <v>9674</v>
      </c>
      <c r="D2643" t="s">
        <v>9652</v>
      </c>
      <c r="E2643" t="s">
        <v>9840</v>
      </c>
      <c r="F2643" t="s">
        <v>9545</v>
      </c>
    </row>
    <row r="2644" spans="1:6">
      <c r="A2644" t="s">
        <v>9647</v>
      </c>
      <c r="B2644">
        <v>8486</v>
      </c>
      <c r="C2644" t="s">
        <v>9674</v>
      </c>
      <c r="D2644" t="s">
        <v>9652</v>
      </c>
      <c r="E2644" t="s">
        <v>9840</v>
      </c>
      <c r="F2644" t="s">
        <v>9545</v>
      </c>
    </row>
    <row r="2645" spans="1:6">
      <c r="A2645" t="s">
        <v>9647</v>
      </c>
      <c r="B2645">
        <v>8478</v>
      </c>
      <c r="C2645" t="s">
        <v>9674</v>
      </c>
      <c r="D2645" t="s">
        <v>9652</v>
      </c>
      <c r="E2645" t="s">
        <v>9840</v>
      </c>
      <c r="F2645" t="s">
        <v>9545</v>
      </c>
    </row>
    <row r="2646" spans="1:6">
      <c r="A2646" t="s">
        <v>9647</v>
      </c>
      <c r="B2646">
        <v>8479</v>
      </c>
      <c r="C2646" t="s">
        <v>9674</v>
      </c>
      <c r="D2646" t="s">
        <v>9652</v>
      </c>
      <c r="E2646" t="s">
        <v>9840</v>
      </c>
      <c r="F2646" t="s">
        <v>9545</v>
      </c>
    </row>
    <row r="2647" spans="1:6">
      <c r="A2647" t="s">
        <v>9647</v>
      </c>
      <c r="B2647">
        <v>8480</v>
      </c>
      <c r="C2647" t="s">
        <v>9674</v>
      </c>
      <c r="D2647" t="s">
        <v>9652</v>
      </c>
      <c r="E2647" t="s">
        <v>9840</v>
      </c>
      <c r="F2647" t="s">
        <v>9545</v>
      </c>
    </row>
    <row r="2648" spans="1:6">
      <c r="A2648" t="s">
        <v>9647</v>
      </c>
      <c r="B2648">
        <v>8482</v>
      </c>
      <c r="C2648" t="s">
        <v>9674</v>
      </c>
      <c r="D2648" t="s">
        <v>9652</v>
      </c>
      <c r="E2648" t="s">
        <v>9840</v>
      </c>
      <c r="F2648" t="s">
        <v>9545</v>
      </c>
    </row>
    <row r="2649" spans="1:6">
      <c r="A2649" t="s">
        <v>9647</v>
      </c>
      <c r="B2649">
        <v>8487</v>
      </c>
      <c r="C2649" t="s">
        <v>9674</v>
      </c>
      <c r="D2649" t="s">
        <v>9652</v>
      </c>
      <c r="E2649" t="s">
        <v>9840</v>
      </c>
      <c r="F2649" t="s">
        <v>9545</v>
      </c>
    </row>
    <row r="2650" spans="1:6">
      <c r="A2650" t="s">
        <v>9647</v>
      </c>
      <c r="B2650">
        <v>8485</v>
      </c>
      <c r="C2650" t="s">
        <v>9674</v>
      </c>
      <c r="D2650" t="s">
        <v>9652</v>
      </c>
      <c r="E2650" t="s">
        <v>9840</v>
      </c>
      <c r="F2650" t="s">
        <v>9545</v>
      </c>
    </row>
    <row r="2651" spans="1:6">
      <c r="A2651" t="s">
        <v>9647</v>
      </c>
      <c r="B2651">
        <v>8490</v>
      </c>
      <c r="C2651" t="s">
        <v>9674</v>
      </c>
      <c r="D2651" t="s">
        <v>9652</v>
      </c>
      <c r="E2651" t="s">
        <v>9840</v>
      </c>
      <c r="F2651" t="s">
        <v>9545</v>
      </c>
    </row>
    <row r="2652" spans="1:6">
      <c r="A2652" t="s">
        <v>9647</v>
      </c>
      <c r="B2652">
        <v>8645</v>
      </c>
      <c r="C2652" t="s">
        <v>9674</v>
      </c>
      <c r="D2652" t="s">
        <v>9652</v>
      </c>
      <c r="E2652" t="s">
        <v>9840</v>
      </c>
      <c r="F2652" t="s">
        <v>9545</v>
      </c>
    </row>
    <row r="2653" spans="1:6">
      <c r="A2653" t="s">
        <v>9647</v>
      </c>
      <c r="B2653">
        <v>8646</v>
      </c>
      <c r="C2653" t="s">
        <v>9674</v>
      </c>
      <c r="D2653" t="s">
        <v>9652</v>
      </c>
      <c r="E2653" t="s">
        <v>9840</v>
      </c>
      <c r="F2653" t="s">
        <v>9545</v>
      </c>
    </row>
    <row r="2654" spans="1:6">
      <c r="A2654" t="s">
        <v>9647</v>
      </c>
      <c r="B2654">
        <v>8647</v>
      </c>
      <c r="C2654" t="s">
        <v>9674</v>
      </c>
      <c r="D2654" t="s">
        <v>9652</v>
      </c>
      <c r="E2654" t="s">
        <v>9840</v>
      </c>
      <c r="F2654" t="s">
        <v>9545</v>
      </c>
    </row>
    <row r="2655" spans="1:6">
      <c r="A2655" t="s">
        <v>9647</v>
      </c>
      <c r="B2655">
        <v>8649</v>
      </c>
      <c r="C2655" t="s">
        <v>9674</v>
      </c>
      <c r="D2655" t="s">
        <v>9652</v>
      </c>
      <c r="E2655" t="s">
        <v>9840</v>
      </c>
      <c r="F2655" t="s">
        <v>9545</v>
      </c>
    </row>
    <row r="2656" spans="1:6">
      <c r="A2656" t="s">
        <v>9647</v>
      </c>
      <c r="B2656">
        <v>8488</v>
      </c>
      <c r="C2656" t="s">
        <v>9674</v>
      </c>
      <c r="D2656" t="s">
        <v>9652</v>
      </c>
      <c r="E2656" t="s">
        <v>9840</v>
      </c>
      <c r="F2656" t="s">
        <v>9545</v>
      </c>
    </row>
    <row r="2657" spans="1:6">
      <c r="A2657" t="s">
        <v>9647</v>
      </c>
      <c r="B2657">
        <v>8648</v>
      </c>
      <c r="C2657" t="s">
        <v>9674</v>
      </c>
      <c r="D2657" t="s">
        <v>9652</v>
      </c>
      <c r="E2657" t="s">
        <v>9840</v>
      </c>
      <c r="F2657" t="s">
        <v>9545</v>
      </c>
    </row>
    <row r="2658" spans="1:6">
      <c r="A2658" t="s">
        <v>9647</v>
      </c>
      <c r="B2658">
        <v>8671</v>
      </c>
      <c r="C2658" t="s">
        <v>9674</v>
      </c>
      <c r="D2658" t="s">
        <v>9652</v>
      </c>
      <c r="E2658" t="s">
        <v>9840</v>
      </c>
      <c r="F2658" t="s">
        <v>9545</v>
      </c>
    </row>
    <row r="2659" spans="1:6">
      <c r="A2659" t="s">
        <v>9647</v>
      </c>
      <c r="B2659">
        <v>8841</v>
      </c>
      <c r="C2659" t="s">
        <v>9674</v>
      </c>
      <c r="D2659" t="s">
        <v>9652</v>
      </c>
      <c r="E2659" t="s">
        <v>9840</v>
      </c>
      <c r="F2659" t="s">
        <v>9545</v>
      </c>
    </row>
    <row r="2660" spans="1:6">
      <c r="A2660" t="s">
        <v>9647</v>
      </c>
      <c r="B2660">
        <v>8672</v>
      </c>
      <c r="C2660" t="s">
        <v>9674</v>
      </c>
      <c r="D2660" t="s">
        <v>9652</v>
      </c>
      <c r="E2660" t="s">
        <v>9840</v>
      </c>
      <c r="F2660" t="s">
        <v>9545</v>
      </c>
    </row>
    <row r="2661" spans="1:6">
      <c r="A2661" t="s">
        <v>9647</v>
      </c>
      <c r="B2661">
        <v>8673</v>
      </c>
      <c r="C2661" t="s">
        <v>9674</v>
      </c>
      <c r="D2661" t="s">
        <v>9652</v>
      </c>
      <c r="E2661" t="s">
        <v>9840</v>
      </c>
      <c r="F2661" t="s">
        <v>9545</v>
      </c>
    </row>
    <row r="2662" spans="1:6">
      <c r="A2662" t="s">
        <v>9647</v>
      </c>
      <c r="B2662">
        <v>8489</v>
      </c>
      <c r="C2662" t="s">
        <v>9674</v>
      </c>
      <c r="D2662" t="s">
        <v>9652</v>
      </c>
      <c r="E2662" t="s">
        <v>9840</v>
      </c>
      <c r="F2662" t="s">
        <v>9545</v>
      </c>
    </row>
    <row r="2663" spans="1:6">
      <c r="A2663" t="s">
        <v>9647</v>
      </c>
      <c r="B2663">
        <v>8491</v>
      </c>
      <c r="C2663" t="s">
        <v>9674</v>
      </c>
      <c r="D2663" t="s">
        <v>9652</v>
      </c>
      <c r="E2663" t="s">
        <v>9840</v>
      </c>
      <c r="F2663" t="s">
        <v>9545</v>
      </c>
    </row>
    <row r="2664" spans="1:6">
      <c r="A2664" t="s">
        <v>9647</v>
      </c>
      <c r="B2664">
        <v>8849</v>
      </c>
      <c r="C2664" t="s">
        <v>9674</v>
      </c>
      <c r="D2664" t="s">
        <v>9652</v>
      </c>
      <c r="E2664" t="s">
        <v>9840</v>
      </c>
      <c r="F2664" t="s">
        <v>9545</v>
      </c>
    </row>
    <row r="2665" spans="1:6">
      <c r="A2665" t="s">
        <v>9647</v>
      </c>
      <c r="B2665">
        <v>7969</v>
      </c>
      <c r="C2665" t="s">
        <v>9674</v>
      </c>
      <c r="D2665" t="s">
        <v>9652</v>
      </c>
      <c r="E2665" t="s">
        <v>9840</v>
      </c>
      <c r="F2665" t="s">
        <v>9545</v>
      </c>
    </row>
    <row r="2666" spans="1:6">
      <c r="A2666" t="s">
        <v>9647</v>
      </c>
      <c r="B2666">
        <v>8654</v>
      </c>
      <c r="C2666" t="s">
        <v>9674</v>
      </c>
      <c r="D2666" t="s">
        <v>9652</v>
      </c>
      <c r="E2666" t="s">
        <v>9840</v>
      </c>
      <c r="F2666" t="s">
        <v>9545</v>
      </c>
    </row>
    <row r="2667" spans="1:6">
      <c r="A2667" t="s">
        <v>9647</v>
      </c>
      <c r="B2667">
        <v>8675</v>
      </c>
      <c r="C2667" t="s">
        <v>9674</v>
      </c>
      <c r="D2667" t="s">
        <v>9652</v>
      </c>
      <c r="E2667" t="s">
        <v>9840</v>
      </c>
      <c r="F2667" t="s">
        <v>9545</v>
      </c>
    </row>
    <row r="2668" spans="1:6">
      <c r="A2668" t="s">
        <v>9647</v>
      </c>
      <c r="B2668">
        <v>8847</v>
      </c>
      <c r="C2668" t="s">
        <v>9674</v>
      </c>
      <c r="D2668" t="s">
        <v>9652</v>
      </c>
      <c r="E2668" t="s">
        <v>9840</v>
      </c>
      <c r="F2668" t="s">
        <v>9545</v>
      </c>
    </row>
    <row r="2669" spans="1:6">
      <c r="A2669" t="s">
        <v>9647</v>
      </c>
      <c r="B2669">
        <v>8840</v>
      </c>
      <c r="C2669" t="s">
        <v>9674</v>
      </c>
      <c r="D2669" t="s">
        <v>9652</v>
      </c>
      <c r="E2669" t="s">
        <v>9840</v>
      </c>
      <c r="F2669" t="s">
        <v>9545</v>
      </c>
    </row>
    <row r="2670" spans="1:6">
      <c r="A2670" t="s">
        <v>9647</v>
      </c>
      <c r="B2670">
        <v>8834</v>
      </c>
      <c r="C2670" t="s">
        <v>9674</v>
      </c>
      <c r="D2670" t="s">
        <v>9652</v>
      </c>
      <c r="E2670" t="s">
        <v>9840</v>
      </c>
      <c r="F2670" t="s">
        <v>9545</v>
      </c>
    </row>
    <row r="2671" spans="1:6">
      <c r="A2671" t="s">
        <v>9647</v>
      </c>
      <c r="B2671">
        <v>4348</v>
      </c>
      <c r="C2671" t="s">
        <v>9674</v>
      </c>
      <c r="D2671" t="s">
        <v>9652</v>
      </c>
      <c r="E2671" t="s">
        <v>9840</v>
      </c>
      <c r="F2671" t="s">
        <v>9545</v>
      </c>
    </row>
    <row r="2672" spans="1:6">
      <c r="A2672" t="s">
        <v>9647</v>
      </c>
      <c r="B2672">
        <v>4253</v>
      </c>
      <c r="C2672" t="s">
        <v>9674</v>
      </c>
      <c r="D2672" t="s">
        <v>9652</v>
      </c>
      <c r="E2672" t="s">
        <v>9840</v>
      </c>
      <c r="F2672" t="s">
        <v>9545</v>
      </c>
    </row>
    <row r="2673" spans="1:6">
      <c r="A2673" t="s">
        <v>9647</v>
      </c>
      <c r="B2673">
        <v>2582</v>
      </c>
      <c r="C2673" t="s">
        <v>9674</v>
      </c>
      <c r="D2673" t="s">
        <v>9652</v>
      </c>
      <c r="E2673" t="s">
        <v>9840</v>
      </c>
      <c r="F2673" t="s">
        <v>9545</v>
      </c>
    </row>
    <row r="2674" spans="1:6">
      <c r="A2674" t="s">
        <v>9647</v>
      </c>
      <c r="B2674">
        <v>5457</v>
      </c>
      <c r="C2674" t="s">
        <v>9674</v>
      </c>
      <c r="D2674" t="s">
        <v>9652</v>
      </c>
      <c r="E2674" t="s">
        <v>9840</v>
      </c>
      <c r="F2674" t="s">
        <v>9545</v>
      </c>
    </row>
    <row r="2675" spans="1:6">
      <c r="A2675" t="s">
        <v>9647</v>
      </c>
      <c r="B2675">
        <v>4347</v>
      </c>
      <c r="C2675" t="s">
        <v>9674</v>
      </c>
      <c r="D2675" t="s">
        <v>9652</v>
      </c>
      <c r="E2675" t="s">
        <v>9840</v>
      </c>
      <c r="F2675" t="s">
        <v>9545</v>
      </c>
    </row>
    <row r="2676" spans="1:6">
      <c r="A2676" t="s">
        <v>9647</v>
      </c>
      <c r="B2676">
        <v>4362</v>
      </c>
      <c r="C2676" t="s">
        <v>9674</v>
      </c>
      <c r="D2676" t="s">
        <v>9652</v>
      </c>
      <c r="E2676" t="s">
        <v>9840</v>
      </c>
      <c r="F2676" t="s">
        <v>9545</v>
      </c>
    </row>
    <row r="2677" spans="1:6">
      <c r="A2677" t="s">
        <v>9647</v>
      </c>
      <c r="B2677">
        <v>4363</v>
      </c>
      <c r="C2677" t="s">
        <v>9674</v>
      </c>
      <c r="D2677" t="s">
        <v>9652</v>
      </c>
      <c r="E2677" t="s">
        <v>9840</v>
      </c>
      <c r="F2677" t="s">
        <v>9545</v>
      </c>
    </row>
    <row r="2678" spans="1:6">
      <c r="A2678" t="s">
        <v>9647</v>
      </c>
      <c r="B2678">
        <v>4367</v>
      </c>
      <c r="C2678" t="s">
        <v>9674</v>
      </c>
      <c r="D2678" t="s">
        <v>9652</v>
      </c>
      <c r="E2678" t="s">
        <v>9840</v>
      </c>
      <c r="F2678" t="s">
        <v>9545</v>
      </c>
    </row>
    <row r="2679" spans="1:6">
      <c r="A2679" t="s">
        <v>9647</v>
      </c>
      <c r="B2679">
        <v>4368</v>
      </c>
      <c r="C2679" t="s">
        <v>9674</v>
      </c>
      <c r="D2679" t="s">
        <v>9652</v>
      </c>
      <c r="E2679" t="s">
        <v>9840</v>
      </c>
      <c r="F2679" t="s">
        <v>9545</v>
      </c>
    </row>
    <row r="2680" spans="1:6">
      <c r="A2680" t="s">
        <v>9647</v>
      </c>
      <c r="B2680">
        <v>7327</v>
      </c>
      <c r="C2680" t="s">
        <v>9674</v>
      </c>
      <c r="D2680" t="s">
        <v>9652</v>
      </c>
      <c r="E2680" t="s">
        <v>9840</v>
      </c>
      <c r="F2680" t="s">
        <v>9545</v>
      </c>
    </row>
    <row r="2681" spans="1:6">
      <c r="A2681" t="s">
        <v>9647</v>
      </c>
      <c r="B2681">
        <v>7328</v>
      </c>
      <c r="C2681" t="s">
        <v>9674</v>
      </c>
      <c r="D2681" t="s">
        <v>9652</v>
      </c>
      <c r="E2681" t="s">
        <v>9840</v>
      </c>
      <c r="F2681" t="s">
        <v>9545</v>
      </c>
    </row>
    <row r="2682" spans="1:6">
      <c r="A2682" t="s">
        <v>9647</v>
      </c>
      <c r="B2682">
        <v>4365</v>
      </c>
      <c r="C2682" t="s">
        <v>9674</v>
      </c>
      <c r="D2682" t="s">
        <v>9652</v>
      </c>
      <c r="E2682" t="s">
        <v>9840</v>
      </c>
      <c r="F2682" t="s">
        <v>9545</v>
      </c>
    </row>
    <row r="2683" spans="1:6">
      <c r="A2683" t="s">
        <v>9647</v>
      </c>
      <c r="B2683">
        <v>4364</v>
      </c>
      <c r="C2683" t="s">
        <v>9674</v>
      </c>
      <c r="D2683" t="s">
        <v>9652</v>
      </c>
      <c r="E2683" t="s">
        <v>9840</v>
      </c>
      <c r="F2683" t="s">
        <v>9545</v>
      </c>
    </row>
    <row r="2684" spans="1:6">
      <c r="A2684" t="s">
        <v>9647</v>
      </c>
      <c r="B2684">
        <v>4194</v>
      </c>
      <c r="C2684" t="s">
        <v>9674</v>
      </c>
      <c r="D2684" t="s">
        <v>9652</v>
      </c>
      <c r="E2684" t="s">
        <v>9840</v>
      </c>
      <c r="F2684" t="s">
        <v>9545</v>
      </c>
    </row>
    <row r="2685" spans="1:6">
      <c r="A2685" t="s">
        <v>9647</v>
      </c>
      <c r="B2685">
        <v>4190</v>
      </c>
      <c r="C2685" t="s">
        <v>9674</v>
      </c>
      <c r="D2685" t="s">
        <v>9652</v>
      </c>
      <c r="E2685" t="s">
        <v>9840</v>
      </c>
      <c r="F2685" t="s">
        <v>9545</v>
      </c>
    </row>
    <row r="2686" spans="1:6">
      <c r="A2686" t="s">
        <v>9647</v>
      </c>
      <c r="B2686">
        <v>4251</v>
      </c>
      <c r="C2686" t="s">
        <v>9674</v>
      </c>
      <c r="D2686" t="s">
        <v>9652</v>
      </c>
      <c r="E2686" t="s">
        <v>9840</v>
      </c>
      <c r="F2686" t="s">
        <v>9545</v>
      </c>
    </row>
    <row r="2687" spans="1:6">
      <c r="A2687" t="s">
        <v>9647</v>
      </c>
      <c r="B2687">
        <v>4252</v>
      </c>
      <c r="C2687" t="s">
        <v>9674</v>
      </c>
      <c r="D2687" t="s">
        <v>9652</v>
      </c>
      <c r="E2687" t="s">
        <v>9840</v>
      </c>
      <c r="F2687" t="s">
        <v>9545</v>
      </c>
    </row>
    <row r="2688" spans="1:6">
      <c r="A2688" t="s">
        <v>9647</v>
      </c>
      <c r="B2688">
        <v>2583</v>
      </c>
      <c r="C2688" t="s">
        <v>9674</v>
      </c>
      <c r="D2688" t="s">
        <v>9652</v>
      </c>
      <c r="E2688" t="s">
        <v>9840</v>
      </c>
      <c r="F2688" t="s">
        <v>9545</v>
      </c>
    </row>
    <row r="2689" spans="1:6">
      <c r="A2689" t="s">
        <v>9647</v>
      </c>
      <c r="B2689">
        <v>5458</v>
      </c>
      <c r="C2689" t="s">
        <v>9674</v>
      </c>
      <c r="D2689" t="s">
        <v>9652</v>
      </c>
      <c r="E2689" t="s">
        <v>9840</v>
      </c>
      <c r="F2689" t="s">
        <v>9545</v>
      </c>
    </row>
    <row r="2690" spans="1:6">
      <c r="A2690" t="s">
        <v>9647</v>
      </c>
      <c r="B2690">
        <v>7382</v>
      </c>
      <c r="C2690" t="s">
        <v>9674</v>
      </c>
      <c r="D2690" t="s">
        <v>9652</v>
      </c>
      <c r="E2690" t="s">
        <v>9840</v>
      </c>
      <c r="F2690" t="s">
        <v>9545</v>
      </c>
    </row>
    <row r="2691" spans="1:6">
      <c r="A2691" t="s">
        <v>9647</v>
      </c>
      <c r="B2691">
        <v>4192</v>
      </c>
      <c r="C2691" t="s">
        <v>9674</v>
      </c>
      <c r="D2691" t="s">
        <v>9652</v>
      </c>
      <c r="E2691" t="s">
        <v>9840</v>
      </c>
      <c r="F2691" t="s">
        <v>9545</v>
      </c>
    </row>
    <row r="2692" spans="1:6">
      <c r="A2692" t="s">
        <v>9647</v>
      </c>
      <c r="B2692">
        <v>4193</v>
      </c>
      <c r="C2692" t="s">
        <v>9674</v>
      </c>
      <c r="D2692" t="s">
        <v>9652</v>
      </c>
      <c r="E2692" t="s">
        <v>9840</v>
      </c>
      <c r="F2692" t="s">
        <v>9545</v>
      </c>
    </row>
    <row r="2693" spans="1:6">
      <c r="A2693" t="s">
        <v>9647</v>
      </c>
      <c r="B2693">
        <v>7973</v>
      </c>
      <c r="C2693" t="s">
        <v>9674</v>
      </c>
      <c r="D2693" t="s">
        <v>9652</v>
      </c>
      <c r="E2693" t="s">
        <v>9840</v>
      </c>
      <c r="F2693" t="s">
        <v>9545</v>
      </c>
    </row>
    <row r="2694" spans="1:6">
      <c r="A2694" t="s">
        <v>9647</v>
      </c>
      <c r="B2694">
        <v>7975</v>
      </c>
      <c r="C2694" t="s">
        <v>9674</v>
      </c>
      <c r="D2694" t="s">
        <v>9652</v>
      </c>
      <c r="E2694" t="s">
        <v>9840</v>
      </c>
      <c r="F2694" t="s">
        <v>9545</v>
      </c>
    </row>
    <row r="2695" spans="1:6">
      <c r="A2695" t="s">
        <v>9647</v>
      </c>
      <c r="B2695">
        <v>7974</v>
      </c>
      <c r="C2695" t="s">
        <v>9674</v>
      </c>
      <c r="D2695" t="s">
        <v>9652</v>
      </c>
      <c r="E2695" t="s">
        <v>9840</v>
      </c>
      <c r="F2695" t="s">
        <v>9545</v>
      </c>
    </row>
    <row r="2696" spans="1:6">
      <c r="A2696" t="s">
        <v>9647</v>
      </c>
      <c r="B2696">
        <v>7976</v>
      </c>
      <c r="C2696" t="s">
        <v>9674</v>
      </c>
      <c r="D2696" t="s">
        <v>9652</v>
      </c>
      <c r="E2696" t="s">
        <v>9840</v>
      </c>
      <c r="F2696" t="s">
        <v>9545</v>
      </c>
    </row>
    <row r="2697" spans="1:6">
      <c r="A2697" t="s">
        <v>9647</v>
      </c>
      <c r="B2697">
        <v>7836</v>
      </c>
      <c r="C2697" t="s">
        <v>9674</v>
      </c>
      <c r="D2697" t="s">
        <v>9652</v>
      </c>
      <c r="E2697" t="s">
        <v>9840</v>
      </c>
      <c r="F2697" t="s">
        <v>9545</v>
      </c>
    </row>
    <row r="2698" spans="1:6">
      <c r="A2698" t="s">
        <v>9647</v>
      </c>
      <c r="B2698">
        <v>7837</v>
      </c>
      <c r="C2698" t="s">
        <v>9674</v>
      </c>
      <c r="D2698" t="s">
        <v>9652</v>
      </c>
      <c r="E2698" t="s">
        <v>9840</v>
      </c>
      <c r="F2698" t="s">
        <v>9545</v>
      </c>
    </row>
    <row r="2699" spans="1:6">
      <c r="A2699" t="s">
        <v>9647</v>
      </c>
      <c r="B2699">
        <v>7379</v>
      </c>
      <c r="C2699" t="s">
        <v>9674</v>
      </c>
      <c r="D2699" t="s">
        <v>9652</v>
      </c>
      <c r="E2699" t="s">
        <v>9840</v>
      </c>
      <c r="F2699" t="s">
        <v>9545</v>
      </c>
    </row>
    <row r="2700" spans="1:6">
      <c r="A2700" t="s">
        <v>9647</v>
      </c>
      <c r="B2700">
        <v>7378</v>
      </c>
      <c r="C2700" t="s">
        <v>9674</v>
      </c>
      <c r="D2700" t="s">
        <v>9652</v>
      </c>
      <c r="E2700" t="s">
        <v>9840</v>
      </c>
      <c r="F2700" t="s">
        <v>9545</v>
      </c>
    </row>
    <row r="2701" spans="1:6">
      <c r="A2701" t="s">
        <v>9647</v>
      </c>
      <c r="B2701">
        <v>7948</v>
      </c>
      <c r="C2701" t="s">
        <v>9674</v>
      </c>
      <c r="D2701" t="s">
        <v>9652</v>
      </c>
      <c r="E2701" t="s">
        <v>9840</v>
      </c>
      <c r="F2701" t="s">
        <v>9545</v>
      </c>
    </row>
    <row r="2702" spans="1:6">
      <c r="A2702" t="s">
        <v>9647</v>
      </c>
      <c r="B2702">
        <v>7940</v>
      </c>
      <c r="C2702" t="s">
        <v>9674</v>
      </c>
      <c r="D2702" t="s">
        <v>9652</v>
      </c>
      <c r="E2702" t="s">
        <v>9840</v>
      </c>
      <c r="F2702" t="s">
        <v>9545</v>
      </c>
    </row>
    <row r="2703" spans="1:6">
      <c r="A2703" t="s">
        <v>9647</v>
      </c>
      <c r="B2703">
        <v>7941</v>
      </c>
      <c r="C2703" t="s">
        <v>9674</v>
      </c>
      <c r="D2703" t="s">
        <v>9652</v>
      </c>
      <c r="E2703" t="s">
        <v>9840</v>
      </c>
      <c r="F2703" t="s">
        <v>9545</v>
      </c>
    </row>
    <row r="2704" spans="1:6">
      <c r="A2704" t="s">
        <v>9647</v>
      </c>
      <c r="B2704">
        <v>7984</v>
      </c>
      <c r="C2704" t="s">
        <v>9674</v>
      </c>
      <c r="D2704" t="s">
        <v>9652</v>
      </c>
      <c r="E2704" t="s">
        <v>9840</v>
      </c>
      <c r="F2704" t="s">
        <v>9545</v>
      </c>
    </row>
    <row r="2705" spans="1:6">
      <c r="A2705" t="s">
        <v>9647</v>
      </c>
      <c r="B2705">
        <v>1723</v>
      </c>
      <c r="C2705" t="s">
        <v>9674</v>
      </c>
      <c r="D2705" t="s">
        <v>9652</v>
      </c>
      <c r="E2705" t="s">
        <v>9840</v>
      </c>
      <c r="F2705" t="s">
        <v>9545</v>
      </c>
    </row>
    <row r="2706" spans="1:6">
      <c r="A2706" t="s">
        <v>9647</v>
      </c>
      <c r="B2706">
        <v>1911</v>
      </c>
      <c r="C2706" t="s">
        <v>9674</v>
      </c>
      <c r="D2706" t="s">
        <v>9645</v>
      </c>
      <c r="E2706" t="s">
        <v>9838</v>
      </c>
      <c r="F2706" t="s">
        <v>9545</v>
      </c>
    </row>
    <row r="2707" spans="1:6">
      <c r="A2707" t="s">
        <v>9647</v>
      </c>
      <c r="B2707">
        <v>7809</v>
      </c>
      <c r="C2707" t="s">
        <v>9674</v>
      </c>
      <c r="D2707" t="s">
        <v>9645</v>
      </c>
      <c r="E2707" t="s">
        <v>9838</v>
      </c>
      <c r="F2707" t="s">
        <v>9545</v>
      </c>
    </row>
    <row r="2708" spans="1:6">
      <c r="A2708" t="s">
        <v>9647</v>
      </c>
      <c r="B2708">
        <v>7870</v>
      </c>
      <c r="C2708" t="s">
        <v>9674</v>
      </c>
      <c r="D2708" t="s">
        <v>9645</v>
      </c>
      <c r="E2708" t="s">
        <v>9838</v>
      </c>
      <c r="F2708" t="s">
        <v>9545</v>
      </c>
    </row>
    <row r="2709" spans="1:6">
      <c r="A2709" t="s">
        <v>9647</v>
      </c>
      <c r="B2709">
        <v>7871</v>
      </c>
      <c r="C2709" t="s">
        <v>9674</v>
      </c>
      <c r="D2709" t="s">
        <v>9645</v>
      </c>
      <c r="E2709" t="s">
        <v>9838</v>
      </c>
      <c r="F2709" t="s">
        <v>9545</v>
      </c>
    </row>
    <row r="2710" spans="1:6">
      <c r="A2710" t="s">
        <v>9647</v>
      </c>
      <c r="B2710">
        <v>7872</v>
      </c>
      <c r="C2710" t="s">
        <v>9674</v>
      </c>
      <c r="D2710" t="s">
        <v>9645</v>
      </c>
      <c r="E2710" t="s">
        <v>9838</v>
      </c>
      <c r="F2710" t="s">
        <v>9545</v>
      </c>
    </row>
    <row r="2711" spans="1:6">
      <c r="A2711" t="s">
        <v>9647</v>
      </c>
      <c r="B2711">
        <v>7873</v>
      </c>
      <c r="C2711" t="s">
        <v>9674</v>
      </c>
      <c r="D2711" t="s">
        <v>9645</v>
      </c>
      <c r="E2711" t="s">
        <v>9838</v>
      </c>
      <c r="F2711" t="s">
        <v>9545</v>
      </c>
    </row>
    <row r="2712" spans="1:6">
      <c r="A2712" t="s">
        <v>9647</v>
      </c>
      <c r="B2712">
        <v>7875</v>
      </c>
      <c r="C2712" t="s">
        <v>9674</v>
      </c>
      <c r="D2712" t="s">
        <v>9645</v>
      </c>
      <c r="E2712" t="s">
        <v>9838</v>
      </c>
      <c r="F2712" t="s">
        <v>9545</v>
      </c>
    </row>
    <row r="2713" spans="1:6">
      <c r="A2713" t="s">
        <v>9647</v>
      </c>
      <c r="B2713">
        <v>7901</v>
      </c>
      <c r="C2713" t="s">
        <v>9674</v>
      </c>
      <c r="D2713" t="s">
        <v>9645</v>
      </c>
      <c r="E2713" t="s">
        <v>9838</v>
      </c>
      <c r="F2713" t="s">
        <v>9545</v>
      </c>
    </row>
    <row r="2714" spans="1:6">
      <c r="A2714" t="s">
        <v>9647</v>
      </c>
      <c r="B2714">
        <v>7902</v>
      </c>
      <c r="C2714" t="s">
        <v>9674</v>
      </c>
      <c r="D2714" t="s">
        <v>9645</v>
      </c>
      <c r="E2714" t="s">
        <v>9838</v>
      </c>
      <c r="F2714" t="s">
        <v>9545</v>
      </c>
    </row>
    <row r="2715" spans="1:6">
      <c r="A2715" t="s">
        <v>9647</v>
      </c>
      <c r="B2715">
        <v>7967</v>
      </c>
      <c r="C2715" t="s">
        <v>9674</v>
      </c>
      <c r="D2715" t="s">
        <v>9645</v>
      </c>
      <c r="E2715" t="s">
        <v>9838</v>
      </c>
      <c r="F2715" t="s">
        <v>9545</v>
      </c>
    </row>
    <row r="2716" spans="1:6">
      <c r="A2716" t="s">
        <v>9647</v>
      </c>
      <c r="B2716">
        <v>7971</v>
      </c>
      <c r="C2716" t="s">
        <v>9674</v>
      </c>
      <c r="D2716" t="s">
        <v>9645</v>
      </c>
      <c r="E2716" t="s">
        <v>9838</v>
      </c>
      <c r="F2716" t="s">
        <v>9545</v>
      </c>
    </row>
    <row r="2717" spans="1:6">
      <c r="A2717" t="s">
        <v>9647</v>
      </c>
      <c r="B2717">
        <v>7972</v>
      </c>
      <c r="C2717" t="s">
        <v>9674</v>
      </c>
      <c r="D2717" t="s">
        <v>9645</v>
      </c>
      <c r="E2717" t="s">
        <v>9838</v>
      </c>
      <c r="F2717" t="s">
        <v>9545</v>
      </c>
    </row>
    <row r="2718" spans="1:6">
      <c r="A2718" t="s">
        <v>9647</v>
      </c>
      <c r="B2718">
        <v>7981</v>
      </c>
      <c r="C2718" t="s">
        <v>9674</v>
      </c>
      <c r="D2718" t="s">
        <v>9645</v>
      </c>
      <c r="E2718" t="s">
        <v>9838</v>
      </c>
      <c r="F2718" t="s">
        <v>9545</v>
      </c>
    </row>
    <row r="2719" spans="1:6">
      <c r="A2719" t="s">
        <v>9647</v>
      </c>
      <c r="B2719">
        <v>7995</v>
      </c>
      <c r="C2719" t="s">
        <v>9674</v>
      </c>
      <c r="D2719" t="s">
        <v>9645</v>
      </c>
      <c r="E2719" t="s">
        <v>9838</v>
      </c>
      <c r="F2719" t="s">
        <v>9545</v>
      </c>
    </row>
    <row r="2720" spans="1:6">
      <c r="A2720" t="s">
        <v>9647</v>
      </c>
      <c r="B2720">
        <v>7996</v>
      </c>
      <c r="C2720" t="s">
        <v>9674</v>
      </c>
      <c r="D2720" t="s">
        <v>9645</v>
      </c>
      <c r="E2720" t="s">
        <v>9838</v>
      </c>
      <c r="F2720" t="s">
        <v>9545</v>
      </c>
    </row>
    <row r="2721" spans="1:6">
      <c r="A2721" t="s">
        <v>9647</v>
      </c>
      <c r="B2721">
        <v>8014</v>
      </c>
      <c r="C2721" t="s">
        <v>9674</v>
      </c>
      <c r="D2721" t="s">
        <v>9645</v>
      </c>
      <c r="E2721" t="s">
        <v>9838</v>
      </c>
      <c r="F2721" t="s">
        <v>9545</v>
      </c>
    </row>
    <row r="2722" spans="1:6">
      <c r="A2722" t="s">
        <v>9647</v>
      </c>
      <c r="B2722">
        <v>8028</v>
      </c>
      <c r="C2722" t="s">
        <v>9674</v>
      </c>
      <c r="D2722" t="s">
        <v>9645</v>
      </c>
      <c r="E2722" t="s">
        <v>9838</v>
      </c>
      <c r="F2722" t="s">
        <v>9545</v>
      </c>
    </row>
    <row r="2723" spans="1:6">
      <c r="A2723" t="s">
        <v>9647</v>
      </c>
      <c r="B2723">
        <v>8038</v>
      </c>
      <c r="C2723" t="s">
        <v>9674</v>
      </c>
      <c r="D2723" t="s">
        <v>9645</v>
      </c>
      <c r="E2723" t="s">
        <v>9838</v>
      </c>
      <c r="F2723" t="s">
        <v>9545</v>
      </c>
    </row>
    <row r="2724" spans="1:6">
      <c r="A2724" t="s">
        <v>9647</v>
      </c>
      <c r="B2724">
        <v>8667</v>
      </c>
      <c r="C2724" t="s">
        <v>9674</v>
      </c>
      <c r="D2724" t="s">
        <v>9645</v>
      </c>
      <c r="E2724" t="s">
        <v>9838</v>
      </c>
      <c r="F2724" t="s">
        <v>9545</v>
      </c>
    </row>
    <row r="2725" spans="1:6">
      <c r="A2725" t="s">
        <v>9647</v>
      </c>
      <c r="B2725">
        <v>8677</v>
      </c>
      <c r="C2725" t="s">
        <v>9674</v>
      </c>
      <c r="D2725" t="s">
        <v>9645</v>
      </c>
      <c r="E2725" t="s">
        <v>9838</v>
      </c>
      <c r="F2725" t="s">
        <v>9545</v>
      </c>
    </row>
    <row r="2726" spans="1:6">
      <c r="A2726" t="s">
        <v>9647</v>
      </c>
      <c r="B2726">
        <v>8678</v>
      </c>
      <c r="C2726" t="s">
        <v>9674</v>
      </c>
      <c r="D2726" t="s">
        <v>9645</v>
      </c>
      <c r="E2726" t="s">
        <v>9838</v>
      </c>
      <c r="F2726" t="s">
        <v>9545</v>
      </c>
    </row>
    <row r="2727" spans="1:6">
      <c r="A2727" t="s">
        <v>9647</v>
      </c>
      <c r="B2727">
        <v>8720</v>
      </c>
      <c r="C2727" t="s">
        <v>9674</v>
      </c>
      <c r="D2727" t="s">
        <v>9645</v>
      </c>
      <c r="E2727" t="s">
        <v>9838</v>
      </c>
      <c r="F2727" t="s">
        <v>9545</v>
      </c>
    </row>
    <row r="2728" spans="1:6">
      <c r="A2728" t="s">
        <v>9647</v>
      </c>
      <c r="B2728">
        <v>8730</v>
      </c>
      <c r="C2728" t="s">
        <v>9674</v>
      </c>
      <c r="D2728" t="s">
        <v>9645</v>
      </c>
      <c r="E2728" t="s">
        <v>9838</v>
      </c>
      <c r="F2728" t="s">
        <v>9545</v>
      </c>
    </row>
    <row r="2729" spans="1:6">
      <c r="A2729" t="s">
        <v>9647</v>
      </c>
      <c r="B2729">
        <v>8740</v>
      </c>
      <c r="C2729" t="s">
        <v>9674</v>
      </c>
      <c r="D2729" t="s">
        <v>9645</v>
      </c>
      <c r="E2729" t="s">
        <v>9838</v>
      </c>
      <c r="F2729" t="s">
        <v>9545</v>
      </c>
    </row>
    <row r="2730" spans="1:6">
      <c r="A2730" t="s">
        <v>9647</v>
      </c>
      <c r="B2730">
        <v>8750</v>
      </c>
      <c r="C2730" t="s">
        <v>9674</v>
      </c>
      <c r="D2730" t="s">
        <v>9645</v>
      </c>
      <c r="E2730" t="s">
        <v>9838</v>
      </c>
      <c r="F2730" t="s">
        <v>9545</v>
      </c>
    </row>
    <row r="2731" spans="1:6">
      <c r="A2731" t="s">
        <v>9647</v>
      </c>
      <c r="B2731">
        <v>8832</v>
      </c>
      <c r="C2731" t="s">
        <v>9674</v>
      </c>
      <c r="D2731" t="s">
        <v>9645</v>
      </c>
      <c r="E2731" t="s">
        <v>9838</v>
      </c>
      <c r="F2731" t="s">
        <v>9545</v>
      </c>
    </row>
    <row r="2732" spans="1:6">
      <c r="A2732" t="s">
        <v>9647</v>
      </c>
      <c r="B2732">
        <v>8839</v>
      </c>
      <c r="C2732" t="s">
        <v>9674</v>
      </c>
      <c r="D2732" t="s">
        <v>9645</v>
      </c>
      <c r="E2732" t="s">
        <v>9838</v>
      </c>
      <c r="F2732" t="s">
        <v>9545</v>
      </c>
    </row>
    <row r="2733" spans="1:6">
      <c r="A2733" t="s">
        <v>9647</v>
      </c>
      <c r="B2733">
        <v>8843</v>
      </c>
      <c r="C2733" t="s">
        <v>9674</v>
      </c>
      <c r="D2733" t="s">
        <v>9645</v>
      </c>
      <c r="E2733" t="s">
        <v>9838</v>
      </c>
      <c r="F2733" t="s">
        <v>9545</v>
      </c>
    </row>
    <row r="2734" spans="1:6">
      <c r="A2734" t="s">
        <v>9647</v>
      </c>
      <c r="B2734">
        <v>8850</v>
      </c>
      <c r="C2734" t="s">
        <v>9674</v>
      </c>
      <c r="D2734" t="s">
        <v>9645</v>
      </c>
      <c r="E2734" t="s">
        <v>9838</v>
      </c>
      <c r="F2734" t="s">
        <v>9545</v>
      </c>
    </row>
    <row r="2735" spans="1:6">
      <c r="A2735" t="s">
        <v>9647</v>
      </c>
      <c r="B2735">
        <v>8852</v>
      </c>
      <c r="C2735" t="s">
        <v>9674</v>
      </c>
      <c r="D2735" t="s">
        <v>9645</v>
      </c>
      <c r="E2735" t="s">
        <v>9838</v>
      </c>
      <c r="F2735" t="s">
        <v>9545</v>
      </c>
    </row>
    <row r="2736" spans="1:6">
      <c r="A2736" t="s">
        <v>9647</v>
      </c>
      <c r="B2736">
        <v>8853</v>
      </c>
      <c r="C2736" t="s">
        <v>9674</v>
      </c>
      <c r="D2736" t="s">
        <v>9645</v>
      </c>
      <c r="E2736" t="s">
        <v>9838</v>
      </c>
      <c r="F2736" t="s">
        <v>9545</v>
      </c>
    </row>
    <row r="2737" spans="1:6">
      <c r="A2737" t="s">
        <v>9647</v>
      </c>
      <c r="B2737">
        <v>8886</v>
      </c>
      <c r="C2737" t="s">
        <v>9674</v>
      </c>
      <c r="D2737" t="s">
        <v>9645</v>
      </c>
      <c r="E2737" t="s">
        <v>9838</v>
      </c>
      <c r="F2737" t="s">
        <v>9545</v>
      </c>
    </row>
    <row r="2738" spans="1:6">
      <c r="A2738" t="s">
        <v>9647</v>
      </c>
      <c r="B2738">
        <v>8721</v>
      </c>
      <c r="C2738" t="s">
        <v>9674</v>
      </c>
      <c r="D2738" t="s">
        <v>9648</v>
      </c>
      <c r="E2738" t="s">
        <v>9839</v>
      </c>
      <c r="F2738" t="s">
        <v>9545</v>
      </c>
    </row>
    <row r="2739" spans="1:6">
      <c r="A2739" t="s">
        <v>9647</v>
      </c>
      <c r="B2739">
        <v>8731</v>
      </c>
      <c r="C2739" t="s">
        <v>9674</v>
      </c>
      <c r="D2739" t="s">
        <v>9648</v>
      </c>
      <c r="E2739" t="s">
        <v>9839</v>
      </c>
      <c r="F2739" t="s">
        <v>9545</v>
      </c>
    </row>
    <row r="2740" spans="1:6">
      <c r="A2740" t="s">
        <v>9647</v>
      </c>
      <c r="B2740">
        <v>7906</v>
      </c>
      <c r="C2740" t="s">
        <v>9674</v>
      </c>
      <c r="D2740" t="s">
        <v>9648</v>
      </c>
      <c r="E2740" t="s">
        <v>9839</v>
      </c>
      <c r="F2740" t="s">
        <v>9545</v>
      </c>
    </row>
    <row r="2741" spans="1:6">
      <c r="A2741" t="s">
        <v>9647</v>
      </c>
      <c r="B2741">
        <v>7916</v>
      </c>
      <c r="C2741" t="s">
        <v>9674</v>
      </c>
      <c r="D2741" t="s">
        <v>9648</v>
      </c>
      <c r="E2741" t="s">
        <v>9839</v>
      </c>
      <c r="F2741" t="s">
        <v>9545</v>
      </c>
    </row>
    <row r="2742" spans="1:6">
      <c r="A2742" t="s">
        <v>9647</v>
      </c>
      <c r="B2742">
        <v>8737</v>
      </c>
      <c r="C2742" t="s">
        <v>9674</v>
      </c>
      <c r="D2742" t="s">
        <v>9648</v>
      </c>
      <c r="E2742" t="s">
        <v>9839</v>
      </c>
      <c r="F2742" t="s">
        <v>9545</v>
      </c>
    </row>
    <row r="2743" spans="1:6">
      <c r="A2743" t="s">
        <v>9647</v>
      </c>
      <c r="B2743">
        <v>7917</v>
      </c>
      <c r="C2743" t="s">
        <v>9674</v>
      </c>
      <c r="D2743" t="s">
        <v>9648</v>
      </c>
      <c r="E2743" t="s">
        <v>9839</v>
      </c>
      <c r="F2743" t="s">
        <v>9545</v>
      </c>
    </row>
    <row r="2744" spans="1:6">
      <c r="A2744" t="s">
        <v>9647</v>
      </c>
      <c r="B2744">
        <v>7903</v>
      </c>
      <c r="C2744" t="s">
        <v>9674</v>
      </c>
      <c r="D2744" t="s">
        <v>9648</v>
      </c>
      <c r="E2744" t="s">
        <v>9839</v>
      </c>
      <c r="F2744" t="s">
        <v>9545</v>
      </c>
    </row>
    <row r="2745" spans="1:6">
      <c r="A2745" t="s">
        <v>9647</v>
      </c>
      <c r="B2745">
        <v>5455</v>
      </c>
      <c r="C2745" t="s">
        <v>9674</v>
      </c>
      <c r="D2745" t="s">
        <v>9648</v>
      </c>
      <c r="E2745" t="s">
        <v>9839</v>
      </c>
      <c r="F2745" t="s">
        <v>9545</v>
      </c>
    </row>
    <row r="2746" spans="1:6">
      <c r="A2746" t="s">
        <v>9647</v>
      </c>
      <c r="B2746">
        <v>5456</v>
      </c>
      <c r="C2746" t="s">
        <v>9674</v>
      </c>
      <c r="D2746" t="s">
        <v>9648</v>
      </c>
      <c r="E2746" t="s">
        <v>9839</v>
      </c>
      <c r="F2746" t="s">
        <v>9545</v>
      </c>
    </row>
    <row r="2747" spans="1:6">
      <c r="A2747" t="s">
        <v>9647</v>
      </c>
      <c r="B2747">
        <v>6391</v>
      </c>
      <c r="C2747" t="s">
        <v>9674</v>
      </c>
      <c r="D2747" t="s">
        <v>9648</v>
      </c>
      <c r="E2747" t="s">
        <v>9839</v>
      </c>
      <c r="F2747" t="s">
        <v>9545</v>
      </c>
    </row>
    <row r="2748" spans="1:6">
      <c r="A2748" t="s">
        <v>9647</v>
      </c>
      <c r="B2748">
        <v>7912</v>
      </c>
      <c r="C2748" t="s">
        <v>9674</v>
      </c>
      <c r="D2748" t="s">
        <v>9648</v>
      </c>
      <c r="E2748" t="s">
        <v>9839</v>
      </c>
      <c r="F2748" t="s">
        <v>9545</v>
      </c>
    </row>
    <row r="2749" spans="1:6">
      <c r="A2749" t="s">
        <v>9647</v>
      </c>
      <c r="B2749">
        <v>7913</v>
      </c>
      <c r="C2749" t="s">
        <v>9674</v>
      </c>
      <c r="D2749" t="s">
        <v>9648</v>
      </c>
      <c r="E2749" t="s">
        <v>9839</v>
      </c>
      <c r="F2749" t="s">
        <v>9545</v>
      </c>
    </row>
    <row r="2750" spans="1:6">
      <c r="A2750" t="s">
        <v>9647</v>
      </c>
      <c r="B2750">
        <v>7918</v>
      </c>
      <c r="C2750" t="s">
        <v>9674</v>
      </c>
      <c r="D2750" t="s">
        <v>9648</v>
      </c>
      <c r="E2750" t="s">
        <v>9839</v>
      </c>
      <c r="F2750" t="s">
        <v>9545</v>
      </c>
    </row>
    <row r="2751" spans="1:6">
      <c r="A2751" t="s">
        <v>9647</v>
      </c>
      <c r="B2751">
        <v>7919</v>
      </c>
      <c r="C2751" t="s">
        <v>9674</v>
      </c>
      <c r="D2751" t="s">
        <v>9648</v>
      </c>
      <c r="E2751" t="s">
        <v>9839</v>
      </c>
      <c r="F2751" t="s">
        <v>9545</v>
      </c>
    </row>
    <row r="2752" spans="1:6">
      <c r="A2752" t="s">
        <v>9647</v>
      </c>
      <c r="B2752">
        <v>8685</v>
      </c>
      <c r="C2752" t="s">
        <v>9674</v>
      </c>
      <c r="D2752" t="s">
        <v>9648</v>
      </c>
      <c r="E2752" t="s">
        <v>9839</v>
      </c>
      <c r="F2752" t="s">
        <v>9545</v>
      </c>
    </row>
    <row r="2753" spans="1:6">
      <c r="A2753" t="s">
        <v>9647</v>
      </c>
      <c r="B2753">
        <v>8686</v>
      </c>
      <c r="C2753" t="s">
        <v>9674</v>
      </c>
      <c r="D2753" t="s">
        <v>9648</v>
      </c>
      <c r="E2753" t="s">
        <v>9839</v>
      </c>
      <c r="F2753" t="s">
        <v>9545</v>
      </c>
    </row>
    <row r="2754" spans="1:6">
      <c r="A2754" t="s">
        <v>9647</v>
      </c>
      <c r="B2754">
        <v>8861</v>
      </c>
      <c r="C2754" t="s">
        <v>9674</v>
      </c>
      <c r="D2754" t="s">
        <v>9648</v>
      </c>
      <c r="E2754" t="s">
        <v>9839</v>
      </c>
      <c r="F2754" t="s">
        <v>9545</v>
      </c>
    </row>
    <row r="2755" spans="1:6">
      <c r="A2755" t="s">
        <v>9647</v>
      </c>
      <c r="B2755">
        <v>8862</v>
      </c>
      <c r="C2755" t="s">
        <v>9674</v>
      </c>
      <c r="D2755" t="s">
        <v>9648</v>
      </c>
      <c r="E2755" t="s">
        <v>9839</v>
      </c>
      <c r="F2755" t="s">
        <v>9545</v>
      </c>
    </row>
    <row r="2756" spans="1:6">
      <c r="A2756" t="s">
        <v>9647</v>
      </c>
      <c r="B2756">
        <v>8863</v>
      </c>
      <c r="C2756" t="s">
        <v>9674</v>
      </c>
      <c r="D2756" t="s">
        <v>9648</v>
      </c>
      <c r="E2756" t="s">
        <v>9839</v>
      </c>
      <c r="F2756" t="s">
        <v>9545</v>
      </c>
    </row>
    <row r="2757" spans="1:6">
      <c r="A2757" t="s">
        <v>9647</v>
      </c>
      <c r="B2757">
        <v>8683</v>
      </c>
      <c r="C2757" t="s">
        <v>9674</v>
      </c>
      <c r="D2757" t="s">
        <v>9648</v>
      </c>
      <c r="E2757" t="s">
        <v>9839</v>
      </c>
      <c r="F2757" t="s">
        <v>9545</v>
      </c>
    </row>
    <row r="2758" spans="1:6">
      <c r="A2758" t="s">
        <v>9647</v>
      </c>
      <c r="B2758">
        <v>8687</v>
      </c>
      <c r="C2758" t="s">
        <v>9674</v>
      </c>
      <c r="D2758" t="s">
        <v>9648</v>
      </c>
      <c r="E2758" t="s">
        <v>9839</v>
      </c>
      <c r="F2758" t="s">
        <v>9545</v>
      </c>
    </row>
    <row r="2759" spans="1:6">
      <c r="A2759" t="s">
        <v>9647</v>
      </c>
      <c r="B2759">
        <v>8870</v>
      </c>
      <c r="C2759" t="s">
        <v>9674</v>
      </c>
      <c r="D2759" t="s">
        <v>9648</v>
      </c>
      <c r="E2759" t="s">
        <v>9839</v>
      </c>
      <c r="F2759" t="s">
        <v>9545</v>
      </c>
    </row>
    <row r="2760" spans="1:6">
      <c r="A2760" t="s">
        <v>9647</v>
      </c>
      <c r="B2760">
        <v>8688</v>
      </c>
      <c r="C2760" t="s">
        <v>9674</v>
      </c>
      <c r="D2760" t="s">
        <v>9648</v>
      </c>
      <c r="E2760" t="s">
        <v>9839</v>
      </c>
      <c r="F2760" t="s">
        <v>9545</v>
      </c>
    </row>
    <row r="2761" spans="1:6">
      <c r="A2761" t="s">
        <v>9647</v>
      </c>
      <c r="B2761">
        <v>8855</v>
      </c>
      <c r="C2761" t="s">
        <v>9674</v>
      </c>
      <c r="D2761" t="s">
        <v>9648</v>
      </c>
      <c r="E2761" t="s">
        <v>9839</v>
      </c>
      <c r="F2761" t="s">
        <v>9545</v>
      </c>
    </row>
    <row r="2762" spans="1:6">
      <c r="A2762" t="s">
        <v>9647</v>
      </c>
      <c r="B2762">
        <v>8872</v>
      </c>
      <c r="C2762" t="s">
        <v>9674</v>
      </c>
      <c r="D2762" t="s">
        <v>9648</v>
      </c>
      <c r="E2762" t="s">
        <v>9839</v>
      </c>
      <c r="F2762" t="s">
        <v>9545</v>
      </c>
    </row>
    <row r="2763" spans="1:6">
      <c r="A2763" t="s">
        <v>9647</v>
      </c>
      <c r="B2763">
        <v>8874</v>
      </c>
      <c r="C2763" t="s">
        <v>9674</v>
      </c>
      <c r="D2763" t="s">
        <v>9648</v>
      </c>
      <c r="E2763" t="s">
        <v>9839</v>
      </c>
      <c r="F2763" t="s">
        <v>9545</v>
      </c>
    </row>
    <row r="2764" spans="1:6">
      <c r="A2764" t="s">
        <v>9647</v>
      </c>
      <c r="B2764">
        <v>6385</v>
      </c>
      <c r="C2764" t="s">
        <v>9674</v>
      </c>
      <c r="D2764" t="s">
        <v>9648</v>
      </c>
      <c r="E2764" t="s">
        <v>9839</v>
      </c>
      <c r="F2764" t="s">
        <v>9545</v>
      </c>
    </row>
    <row r="2765" spans="1:6">
      <c r="A2765" t="s">
        <v>9647</v>
      </c>
      <c r="B2765">
        <v>6386</v>
      </c>
      <c r="C2765" t="s">
        <v>9674</v>
      </c>
      <c r="D2765" t="s">
        <v>9648</v>
      </c>
      <c r="E2765" t="s">
        <v>9839</v>
      </c>
      <c r="F2765" t="s">
        <v>9545</v>
      </c>
    </row>
    <row r="2766" spans="1:6">
      <c r="A2766" t="s">
        <v>9647</v>
      </c>
      <c r="B2766">
        <v>6388</v>
      </c>
      <c r="C2766" t="s">
        <v>9674</v>
      </c>
      <c r="D2766" t="s">
        <v>9648</v>
      </c>
      <c r="E2766" t="s">
        <v>9839</v>
      </c>
      <c r="F2766" t="s">
        <v>9545</v>
      </c>
    </row>
    <row r="2767" spans="1:6">
      <c r="A2767" t="s">
        <v>9647</v>
      </c>
      <c r="B2767">
        <v>6389</v>
      </c>
      <c r="C2767" t="s">
        <v>9674</v>
      </c>
      <c r="D2767" t="s">
        <v>9648</v>
      </c>
      <c r="E2767" t="s">
        <v>9839</v>
      </c>
      <c r="F2767" t="s">
        <v>9545</v>
      </c>
    </row>
    <row r="2768" spans="1:6">
      <c r="A2768" t="s">
        <v>9647</v>
      </c>
      <c r="B2768">
        <v>6390</v>
      </c>
      <c r="C2768" t="s">
        <v>9674</v>
      </c>
      <c r="D2768" t="s">
        <v>9648</v>
      </c>
      <c r="E2768" t="s">
        <v>9839</v>
      </c>
      <c r="F2768" t="s">
        <v>9545</v>
      </c>
    </row>
    <row r="2769" spans="1:6">
      <c r="A2769" t="s">
        <v>9647</v>
      </c>
      <c r="B2769">
        <v>7321</v>
      </c>
      <c r="C2769" t="s">
        <v>9674</v>
      </c>
      <c r="D2769" t="s">
        <v>9648</v>
      </c>
      <c r="E2769" t="s">
        <v>9839</v>
      </c>
      <c r="F2769" t="s">
        <v>9545</v>
      </c>
    </row>
    <row r="2770" spans="1:6">
      <c r="A2770" t="s">
        <v>9647</v>
      </c>
      <c r="B2770">
        <v>7831</v>
      </c>
      <c r="C2770" t="s">
        <v>9674</v>
      </c>
      <c r="D2770" t="s">
        <v>9648</v>
      </c>
      <c r="E2770" t="s">
        <v>9839</v>
      </c>
      <c r="F2770" t="s">
        <v>9545</v>
      </c>
    </row>
    <row r="2771" spans="1:6">
      <c r="A2771" t="s">
        <v>9647</v>
      </c>
      <c r="B2771">
        <v>7832</v>
      </c>
      <c r="C2771" t="s">
        <v>9674</v>
      </c>
      <c r="D2771" t="s">
        <v>9648</v>
      </c>
      <c r="E2771" t="s">
        <v>9839</v>
      </c>
      <c r="F2771" t="s">
        <v>9545</v>
      </c>
    </row>
    <row r="2772" spans="1:6">
      <c r="A2772" t="s">
        <v>9647</v>
      </c>
      <c r="B2772">
        <v>7833</v>
      </c>
      <c r="C2772" t="s">
        <v>9674</v>
      </c>
      <c r="D2772" t="s">
        <v>9648</v>
      </c>
      <c r="E2772" t="s">
        <v>9839</v>
      </c>
      <c r="F2772" t="s">
        <v>9545</v>
      </c>
    </row>
    <row r="2773" spans="1:6">
      <c r="A2773" t="s">
        <v>9647</v>
      </c>
      <c r="B2773">
        <v>7834</v>
      </c>
      <c r="C2773" t="s">
        <v>9674</v>
      </c>
      <c r="D2773" t="s">
        <v>9648</v>
      </c>
      <c r="E2773" t="s">
        <v>9839</v>
      </c>
      <c r="F2773" t="s">
        <v>9545</v>
      </c>
    </row>
    <row r="2774" spans="1:6">
      <c r="A2774" t="s">
        <v>9647</v>
      </c>
      <c r="B2774">
        <v>8722</v>
      </c>
      <c r="C2774" t="s">
        <v>9674</v>
      </c>
      <c r="D2774" t="s">
        <v>9648</v>
      </c>
      <c r="E2774" t="s">
        <v>9839</v>
      </c>
      <c r="F2774" t="s">
        <v>9545</v>
      </c>
    </row>
    <row r="2775" spans="1:6">
      <c r="A2775" t="s">
        <v>9647</v>
      </c>
      <c r="B2775">
        <v>8733</v>
      </c>
      <c r="C2775" t="s">
        <v>9674</v>
      </c>
      <c r="D2775" t="s">
        <v>9648</v>
      </c>
      <c r="E2775" t="s">
        <v>9839</v>
      </c>
      <c r="F2775" t="s">
        <v>9545</v>
      </c>
    </row>
    <row r="2776" spans="1:6">
      <c r="A2776" t="s">
        <v>9647</v>
      </c>
      <c r="B2776">
        <v>8752</v>
      </c>
      <c r="C2776" t="s">
        <v>9674</v>
      </c>
      <c r="D2776" t="s">
        <v>9648</v>
      </c>
      <c r="E2776" t="s">
        <v>9839</v>
      </c>
      <c r="F2776" t="s">
        <v>9545</v>
      </c>
    </row>
    <row r="2777" spans="1:6">
      <c r="A2777" t="s">
        <v>9647</v>
      </c>
      <c r="B2777">
        <v>6205</v>
      </c>
      <c r="C2777" t="s">
        <v>9674</v>
      </c>
      <c r="D2777" t="s">
        <v>9648</v>
      </c>
      <c r="E2777" t="s">
        <v>9839</v>
      </c>
      <c r="F2777" t="s">
        <v>9545</v>
      </c>
    </row>
    <row r="2778" spans="1:6">
      <c r="A2778" t="s">
        <v>9647</v>
      </c>
      <c r="B2778">
        <v>7163</v>
      </c>
      <c r="C2778" t="s">
        <v>9674</v>
      </c>
      <c r="D2778" t="s">
        <v>9648</v>
      </c>
      <c r="E2778" t="s">
        <v>9839</v>
      </c>
      <c r="F2778" t="s">
        <v>9545</v>
      </c>
    </row>
    <row r="2779" spans="1:6">
      <c r="A2779" t="s">
        <v>9647</v>
      </c>
      <c r="B2779">
        <v>8877</v>
      </c>
      <c r="C2779" t="s">
        <v>9674</v>
      </c>
      <c r="D2779" t="s">
        <v>9648</v>
      </c>
      <c r="E2779" t="s">
        <v>9839</v>
      </c>
      <c r="F2779" t="s">
        <v>9545</v>
      </c>
    </row>
    <row r="2780" spans="1:6">
      <c r="A2780" t="s">
        <v>9647</v>
      </c>
      <c r="B2780">
        <v>7164</v>
      </c>
      <c r="C2780" t="s">
        <v>9674</v>
      </c>
      <c r="D2780" t="s">
        <v>9648</v>
      </c>
      <c r="E2780" t="s">
        <v>9839</v>
      </c>
      <c r="F2780" t="s">
        <v>9545</v>
      </c>
    </row>
    <row r="2781" spans="1:6">
      <c r="A2781" t="s">
        <v>9647</v>
      </c>
      <c r="B2781">
        <v>8865</v>
      </c>
      <c r="C2781" t="s">
        <v>9674</v>
      </c>
      <c r="D2781" t="s">
        <v>9648</v>
      </c>
      <c r="E2781" t="s">
        <v>9839</v>
      </c>
      <c r="F2781" t="s">
        <v>9545</v>
      </c>
    </row>
    <row r="2782" spans="1:6">
      <c r="A2782" t="s">
        <v>9647</v>
      </c>
      <c r="B2782">
        <v>8866</v>
      </c>
      <c r="C2782" t="s">
        <v>9674</v>
      </c>
      <c r="D2782" t="s">
        <v>9648</v>
      </c>
      <c r="E2782" t="s">
        <v>9839</v>
      </c>
      <c r="F2782" t="s">
        <v>9545</v>
      </c>
    </row>
    <row r="2783" spans="1:6">
      <c r="A2783" t="s">
        <v>9647</v>
      </c>
      <c r="B2783">
        <v>8864</v>
      </c>
      <c r="C2783" t="s">
        <v>9674</v>
      </c>
      <c r="D2783" t="s">
        <v>9648</v>
      </c>
      <c r="E2783" t="s">
        <v>9839</v>
      </c>
      <c r="F2783" t="s">
        <v>9545</v>
      </c>
    </row>
    <row r="2784" spans="1:6">
      <c r="A2784" t="s">
        <v>9647</v>
      </c>
      <c r="B2784">
        <v>7141</v>
      </c>
      <c r="C2784" t="s">
        <v>9674</v>
      </c>
      <c r="D2784" t="s">
        <v>9648</v>
      </c>
      <c r="E2784" t="s">
        <v>9839</v>
      </c>
      <c r="F2784" t="s">
        <v>9545</v>
      </c>
    </row>
    <row r="2785" spans="1:6">
      <c r="A2785" t="s">
        <v>9647</v>
      </c>
      <c r="B2785">
        <v>7143</v>
      </c>
      <c r="C2785" t="s">
        <v>9674</v>
      </c>
      <c r="D2785" t="s">
        <v>9648</v>
      </c>
      <c r="E2785" t="s">
        <v>9839</v>
      </c>
      <c r="F2785" t="s">
        <v>9545</v>
      </c>
    </row>
    <row r="2786" spans="1:6">
      <c r="A2786" t="s">
        <v>9647</v>
      </c>
      <c r="B2786">
        <v>7145</v>
      </c>
      <c r="C2786" t="s">
        <v>9674</v>
      </c>
      <c r="D2786" t="s">
        <v>9648</v>
      </c>
      <c r="E2786" t="s">
        <v>9839</v>
      </c>
      <c r="F2786" t="s">
        <v>9545</v>
      </c>
    </row>
    <row r="2787" spans="1:6">
      <c r="A2787" t="s">
        <v>9647</v>
      </c>
      <c r="B2787">
        <v>7147</v>
      </c>
      <c r="C2787" t="s">
        <v>9674</v>
      </c>
      <c r="D2787" t="s">
        <v>9648</v>
      </c>
      <c r="E2787" t="s">
        <v>9839</v>
      </c>
      <c r="F2787" t="s">
        <v>9545</v>
      </c>
    </row>
    <row r="2788" spans="1:6">
      <c r="A2788" t="s">
        <v>9647</v>
      </c>
      <c r="B2788">
        <v>3837</v>
      </c>
      <c r="C2788" t="s">
        <v>9674</v>
      </c>
      <c r="D2788" t="s">
        <v>9648</v>
      </c>
      <c r="E2788" t="s">
        <v>9839</v>
      </c>
      <c r="F2788" t="s">
        <v>9545</v>
      </c>
    </row>
    <row r="2789" spans="1:6">
      <c r="A2789" t="s">
        <v>9647</v>
      </c>
      <c r="B2789">
        <v>8878</v>
      </c>
      <c r="C2789" t="s">
        <v>9674</v>
      </c>
      <c r="D2789" t="s">
        <v>9648</v>
      </c>
      <c r="E2789" t="s">
        <v>9839</v>
      </c>
      <c r="F2789" t="s">
        <v>9545</v>
      </c>
    </row>
    <row r="2790" spans="1:6">
      <c r="A2790" t="s">
        <v>9647</v>
      </c>
      <c r="B2790">
        <v>8879</v>
      </c>
      <c r="C2790" t="s">
        <v>9674</v>
      </c>
      <c r="D2790" t="s">
        <v>9648</v>
      </c>
      <c r="E2790" t="s">
        <v>9839</v>
      </c>
      <c r="F2790" t="s">
        <v>9545</v>
      </c>
    </row>
    <row r="2791" spans="1:6">
      <c r="A2791" t="s">
        <v>9647</v>
      </c>
      <c r="B2791">
        <v>7233</v>
      </c>
      <c r="C2791" t="s">
        <v>9674</v>
      </c>
      <c r="D2791" t="s">
        <v>9648</v>
      </c>
      <c r="E2791" t="s">
        <v>9839</v>
      </c>
      <c r="F2791" t="s">
        <v>9545</v>
      </c>
    </row>
    <row r="2792" spans="1:6">
      <c r="A2792" t="s">
        <v>9647</v>
      </c>
      <c r="B2792">
        <v>5464</v>
      </c>
      <c r="C2792" t="s">
        <v>9674</v>
      </c>
      <c r="D2792" t="s">
        <v>9648</v>
      </c>
      <c r="E2792" t="s">
        <v>9839</v>
      </c>
      <c r="F2792" t="s">
        <v>9545</v>
      </c>
    </row>
    <row r="2793" spans="1:6">
      <c r="A2793" t="s">
        <v>9647</v>
      </c>
      <c r="B2793">
        <v>9532</v>
      </c>
      <c r="C2793" t="s">
        <v>9674</v>
      </c>
      <c r="D2793" t="s">
        <v>9648</v>
      </c>
      <c r="E2793" t="s">
        <v>9839</v>
      </c>
      <c r="F2793" t="s">
        <v>9545</v>
      </c>
    </row>
    <row r="2794" spans="1:6">
      <c r="A2794" t="s">
        <v>9647</v>
      </c>
      <c r="B2794">
        <v>5465</v>
      </c>
      <c r="C2794" t="s">
        <v>9674</v>
      </c>
      <c r="D2794" t="s">
        <v>9648</v>
      </c>
      <c r="E2794" t="s">
        <v>9839</v>
      </c>
      <c r="F2794" t="s">
        <v>9545</v>
      </c>
    </row>
    <row r="2795" spans="1:6">
      <c r="A2795" t="s">
        <v>9647</v>
      </c>
      <c r="B2795">
        <v>5456</v>
      </c>
      <c r="C2795" t="s">
        <v>9674</v>
      </c>
      <c r="D2795" t="s">
        <v>9648</v>
      </c>
      <c r="E2795" t="s">
        <v>9839</v>
      </c>
      <c r="F2795" t="s">
        <v>9545</v>
      </c>
    </row>
    <row r="2796" spans="1:6">
      <c r="A2796" t="s">
        <v>9647</v>
      </c>
      <c r="B2796">
        <v>7148</v>
      </c>
      <c r="C2796" t="s">
        <v>9674</v>
      </c>
      <c r="D2796" t="s">
        <v>9648</v>
      </c>
      <c r="E2796" t="s">
        <v>9839</v>
      </c>
      <c r="F2796" t="s">
        <v>9545</v>
      </c>
    </row>
    <row r="2797" spans="1:6">
      <c r="A2797" t="s">
        <v>9647</v>
      </c>
      <c r="B2797">
        <v>7385</v>
      </c>
      <c r="C2797" t="s">
        <v>9674</v>
      </c>
      <c r="D2797" t="s">
        <v>9648</v>
      </c>
      <c r="E2797" t="s">
        <v>9839</v>
      </c>
      <c r="F2797" t="s">
        <v>9545</v>
      </c>
    </row>
    <row r="2798" spans="1:6">
      <c r="A2798" t="s">
        <v>9647</v>
      </c>
      <c r="B2798">
        <v>7162</v>
      </c>
      <c r="C2798" t="s">
        <v>9674</v>
      </c>
      <c r="D2798" t="s">
        <v>9648</v>
      </c>
      <c r="E2798" t="s">
        <v>9839</v>
      </c>
      <c r="F2798" t="s">
        <v>9545</v>
      </c>
    </row>
    <row r="2799" spans="1:6">
      <c r="A2799" t="s">
        <v>9647</v>
      </c>
      <c r="B2799">
        <v>6241</v>
      </c>
      <c r="C2799" t="s">
        <v>9674</v>
      </c>
      <c r="D2799" t="s">
        <v>9648</v>
      </c>
      <c r="E2799" t="s">
        <v>9839</v>
      </c>
      <c r="F2799" t="s">
        <v>9545</v>
      </c>
    </row>
    <row r="2800" spans="1:6">
      <c r="A2800" t="s">
        <v>9647</v>
      </c>
      <c r="B2800">
        <v>8835</v>
      </c>
      <c r="C2800" t="s">
        <v>9674</v>
      </c>
      <c r="D2800" t="s">
        <v>9650</v>
      </c>
      <c r="E2800" t="s">
        <v>9804</v>
      </c>
      <c r="F2800" t="s">
        <v>9545</v>
      </c>
    </row>
    <row r="2801" spans="1:6">
      <c r="A2801" t="s">
        <v>9647</v>
      </c>
      <c r="B2801">
        <v>8848</v>
      </c>
      <c r="C2801" t="s">
        <v>9674</v>
      </c>
      <c r="D2801" t="s">
        <v>9650</v>
      </c>
      <c r="E2801" t="s">
        <v>9804</v>
      </c>
      <c r="F2801" t="s">
        <v>9545</v>
      </c>
    </row>
    <row r="2802" spans="1:6">
      <c r="A2802" t="s">
        <v>9647</v>
      </c>
      <c r="B2802">
        <v>7992</v>
      </c>
      <c r="C2802" t="s">
        <v>9674</v>
      </c>
      <c r="D2802" t="s">
        <v>9650</v>
      </c>
      <c r="E2802" t="s">
        <v>9804</v>
      </c>
      <c r="F2802" t="s">
        <v>9545</v>
      </c>
    </row>
    <row r="2803" spans="1:6">
      <c r="A2803" t="s">
        <v>9647</v>
      </c>
      <c r="B2803">
        <v>8830</v>
      </c>
      <c r="C2803" t="s">
        <v>9674</v>
      </c>
      <c r="D2803" t="s">
        <v>9650</v>
      </c>
      <c r="E2803" t="s">
        <v>9804</v>
      </c>
      <c r="F2803" t="s">
        <v>9545</v>
      </c>
    </row>
    <row r="2804" spans="1:6">
      <c r="A2804" t="s">
        <v>9647</v>
      </c>
      <c r="B2804">
        <v>8837</v>
      </c>
      <c r="C2804" t="s">
        <v>9674</v>
      </c>
      <c r="D2804" t="s">
        <v>9650</v>
      </c>
      <c r="E2804" t="s">
        <v>9804</v>
      </c>
      <c r="F2804" t="s">
        <v>9545</v>
      </c>
    </row>
    <row r="2805" spans="1:6">
      <c r="A2805" t="s">
        <v>9647</v>
      </c>
      <c r="B2805">
        <v>8827</v>
      </c>
      <c r="C2805" t="s">
        <v>9674</v>
      </c>
      <c r="D2805" t="s">
        <v>9650</v>
      </c>
      <c r="E2805" t="s">
        <v>9804</v>
      </c>
      <c r="F2805" t="s">
        <v>9545</v>
      </c>
    </row>
    <row r="2806" spans="1:6">
      <c r="A2806" t="s">
        <v>9647</v>
      </c>
      <c r="B2806">
        <v>8670</v>
      </c>
      <c r="C2806" t="s">
        <v>9674</v>
      </c>
      <c r="D2806" t="s">
        <v>9650</v>
      </c>
      <c r="E2806" t="s">
        <v>9804</v>
      </c>
      <c r="F2806" t="s">
        <v>9545</v>
      </c>
    </row>
    <row r="2807" spans="1:6">
      <c r="A2807" t="s">
        <v>9647</v>
      </c>
      <c r="B2807">
        <v>7977</v>
      </c>
      <c r="C2807" t="s">
        <v>9674</v>
      </c>
      <c r="D2807" t="s">
        <v>9650</v>
      </c>
      <c r="E2807" t="s">
        <v>9804</v>
      </c>
      <c r="F2807" t="s">
        <v>9545</v>
      </c>
    </row>
    <row r="2808" spans="1:6">
      <c r="A2808" t="s">
        <v>9647</v>
      </c>
      <c r="B2808">
        <v>7839</v>
      </c>
      <c r="C2808" t="s">
        <v>9674</v>
      </c>
      <c r="D2808" t="s">
        <v>9650</v>
      </c>
      <c r="E2808" t="s">
        <v>9804</v>
      </c>
      <c r="F2808" t="s">
        <v>9545</v>
      </c>
    </row>
    <row r="2809" spans="1:6">
      <c r="A2809" t="s">
        <v>9647</v>
      </c>
      <c r="B2809">
        <v>7380</v>
      </c>
      <c r="C2809" t="s">
        <v>9674</v>
      </c>
      <c r="D2809" t="s">
        <v>9650</v>
      </c>
      <c r="E2809" t="s">
        <v>9804</v>
      </c>
      <c r="F2809" t="s">
        <v>9545</v>
      </c>
    </row>
    <row r="2810" spans="1:6">
      <c r="A2810" t="s">
        <v>9647</v>
      </c>
      <c r="B2810">
        <v>7383</v>
      </c>
      <c r="C2810" t="s">
        <v>9674</v>
      </c>
      <c r="D2810" t="s">
        <v>9650</v>
      </c>
      <c r="E2810" t="s">
        <v>9804</v>
      </c>
      <c r="F2810" t="s">
        <v>9545</v>
      </c>
    </row>
    <row r="2811" spans="1:6">
      <c r="A2811" t="s">
        <v>9647</v>
      </c>
      <c r="B2811">
        <v>7160</v>
      </c>
      <c r="C2811" t="s">
        <v>9674</v>
      </c>
      <c r="D2811" t="s">
        <v>9650</v>
      </c>
      <c r="E2811" t="s">
        <v>9804</v>
      </c>
      <c r="F2811" t="s">
        <v>9545</v>
      </c>
    </row>
    <row r="2812" spans="1:6">
      <c r="A2812" t="s">
        <v>9647</v>
      </c>
      <c r="B2812">
        <v>7946</v>
      </c>
      <c r="C2812" t="s">
        <v>9674</v>
      </c>
      <c r="D2812" t="s">
        <v>9650</v>
      </c>
      <c r="E2812" t="s">
        <v>9804</v>
      </c>
      <c r="F2812" t="s">
        <v>9545</v>
      </c>
    </row>
    <row r="2813" spans="1:6">
      <c r="A2813" t="s">
        <v>9647</v>
      </c>
      <c r="B2813">
        <v>7978</v>
      </c>
      <c r="C2813" t="s">
        <v>9674</v>
      </c>
      <c r="D2813" t="s">
        <v>9650</v>
      </c>
      <c r="E2813" t="s">
        <v>9804</v>
      </c>
      <c r="F2813" t="s">
        <v>9545</v>
      </c>
    </row>
    <row r="2814" spans="1:6">
      <c r="A2814" t="s">
        <v>9647</v>
      </c>
      <c r="B2814">
        <v>7944</v>
      </c>
      <c r="C2814" t="s">
        <v>9674</v>
      </c>
      <c r="D2814" t="s">
        <v>9650</v>
      </c>
      <c r="E2814" t="s">
        <v>9804</v>
      </c>
      <c r="F2814" t="s">
        <v>9545</v>
      </c>
    </row>
    <row r="2815" spans="1:6">
      <c r="A2815" t="s">
        <v>9647</v>
      </c>
      <c r="B2815">
        <v>7914</v>
      </c>
      <c r="C2815" t="s">
        <v>9674</v>
      </c>
      <c r="D2815" t="s">
        <v>9650</v>
      </c>
      <c r="E2815" t="s">
        <v>9804</v>
      </c>
      <c r="F2815" t="s">
        <v>9545</v>
      </c>
    </row>
    <row r="2816" spans="1:6">
      <c r="A2816" t="s">
        <v>9647</v>
      </c>
      <c r="B2816">
        <v>7942</v>
      </c>
      <c r="C2816" t="s">
        <v>9674</v>
      </c>
      <c r="D2816" t="s">
        <v>9650</v>
      </c>
      <c r="E2816" t="s">
        <v>9804</v>
      </c>
      <c r="F2816" t="s">
        <v>9545</v>
      </c>
    </row>
    <row r="2817" spans="1:6">
      <c r="A2817" t="s">
        <v>9647</v>
      </c>
      <c r="B2817">
        <v>7376</v>
      </c>
      <c r="C2817" t="s">
        <v>9674</v>
      </c>
      <c r="D2817" t="s">
        <v>9650</v>
      </c>
      <c r="E2817" t="s">
        <v>9804</v>
      </c>
      <c r="F2817" t="s">
        <v>9545</v>
      </c>
    </row>
    <row r="2818" spans="1:6">
      <c r="A2818" t="s">
        <v>9647</v>
      </c>
      <c r="B2818">
        <v>7377</v>
      </c>
      <c r="C2818" t="s">
        <v>9674</v>
      </c>
      <c r="D2818" t="s">
        <v>9650</v>
      </c>
      <c r="E2818" t="s">
        <v>9804</v>
      </c>
      <c r="F2818" t="s">
        <v>9545</v>
      </c>
    </row>
    <row r="2819" spans="1:6">
      <c r="A2819" t="s">
        <v>9647</v>
      </c>
      <c r="B2819">
        <v>7158</v>
      </c>
      <c r="C2819" t="s">
        <v>9674</v>
      </c>
      <c r="D2819" t="s">
        <v>9650</v>
      </c>
      <c r="E2819" t="s">
        <v>9804</v>
      </c>
      <c r="F2819" t="s">
        <v>9545</v>
      </c>
    </row>
    <row r="2820" spans="1:6">
      <c r="A2820" t="s">
        <v>9647</v>
      </c>
      <c r="B2820">
        <v>7979</v>
      </c>
      <c r="C2820" t="s">
        <v>9674</v>
      </c>
      <c r="D2820" t="s">
        <v>9650</v>
      </c>
      <c r="E2820" t="s">
        <v>9804</v>
      </c>
      <c r="F2820" t="s">
        <v>9545</v>
      </c>
    </row>
    <row r="2821" spans="1:6">
      <c r="A2821" t="s">
        <v>9647</v>
      </c>
      <c r="B2821">
        <v>7947</v>
      </c>
      <c r="C2821" t="s">
        <v>9674</v>
      </c>
      <c r="D2821" t="s">
        <v>9650</v>
      </c>
      <c r="E2821" t="s">
        <v>9804</v>
      </c>
      <c r="F2821" t="s">
        <v>9545</v>
      </c>
    </row>
    <row r="2822" spans="1:6">
      <c r="A2822" t="s">
        <v>9647</v>
      </c>
      <c r="B2822">
        <v>5454</v>
      </c>
      <c r="C2822" t="s">
        <v>9674</v>
      </c>
      <c r="D2822" t="s">
        <v>9650</v>
      </c>
      <c r="E2822" t="s">
        <v>9804</v>
      </c>
      <c r="F2822" t="s">
        <v>9545</v>
      </c>
    </row>
    <row r="2823" spans="1:6">
      <c r="A2823" t="s">
        <v>9647</v>
      </c>
      <c r="B2823">
        <v>7945</v>
      </c>
      <c r="C2823" t="s">
        <v>9674</v>
      </c>
      <c r="D2823" t="s">
        <v>9650</v>
      </c>
      <c r="E2823" t="s">
        <v>9804</v>
      </c>
      <c r="F2823" t="s">
        <v>9545</v>
      </c>
    </row>
    <row r="2824" spans="1:6">
      <c r="A2824" t="s">
        <v>9647</v>
      </c>
      <c r="B2824">
        <v>7949</v>
      </c>
      <c r="C2824" t="s">
        <v>9674</v>
      </c>
      <c r="D2824" t="s">
        <v>9650</v>
      </c>
      <c r="E2824" t="s">
        <v>9804</v>
      </c>
      <c r="F2824" t="s">
        <v>9545</v>
      </c>
    </row>
    <row r="2825" spans="1:6">
      <c r="A2825" t="s">
        <v>9647</v>
      </c>
      <c r="B2825">
        <v>5460</v>
      </c>
      <c r="C2825" t="s">
        <v>9674</v>
      </c>
      <c r="D2825" t="s">
        <v>9650</v>
      </c>
      <c r="E2825" t="s">
        <v>9804</v>
      </c>
      <c r="F2825" t="s">
        <v>9545</v>
      </c>
    </row>
    <row r="2826" spans="1:6">
      <c r="A2826" t="s">
        <v>9647</v>
      </c>
      <c r="B2826">
        <v>5466</v>
      </c>
      <c r="C2826" t="s">
        <v>9674</v>
      </c>
      <c r="D2826" t="s">
        <v>9650</v>
      </c>
      <c r="E2826" t="s">
        <v>9804</v>
      </c>
      <c r="F2826" t="s">
        <v>9545</v>
      </c>
    </row>
    <row r="2827" spans="1:6">
      <c r="A2827" t="s">
        <v>9647</v>
      </c>
      <c r="B2827">
        <v>7915</v>
      </c>
      <c r="C2827" t="s">
        <v>9674</v>
      </c>
      <c r="D2827" t="s">
        <v>9650</v>
      </c>
      <c r="E2827" t="s">
        <v>9804</v>
      </c>
      <c r="F2827" t="s">
        <v>9545</v>
      </c>
    </row>
    <row r="2828" spans="1:6">
      <c r="A2828" t="s">
        <v>9647</v>
      </c>
      <c r="B2828">
        <v>7980</v>
      </c>
      <c r="C2828" t="s">
        <v>9674</v>
      </c>
      <c r="D2828" t="s">
        <v>9650</v>
      </c>
      <c r="E2828" t="s">
        <v>9804</v>
      </c>
      <c r="F2828" t="s">
        <v>9545</v>
      </c>
    </row>
    <row r="2829" spans="1:6">
      <c r="A2829" t="s">
        <v>9647</v>
      </c>
      <c r="B2829">
        <v>6630</v>
      </c>
      <c r="C2829" t="s">
        <v>9674</v>
      </c>
      <c r="D2829" t="s">
        <v>9650</v>
      </c>
      <c r="E2829" t="s">
        <v>9804</v>
      </c>
      <c r="F2829" t="s">
        <v>9545</v>
      </c>
    </row>
    <row r="2830" spans="1:6">
      <c r="A2830" t="s">
        <v>9647</v>
      </c>
      <c r="B2830">
        <v>7943</v>
      </c>
      <c r="C2830" t="s">
        <v>9674</v>
      </c>
      <c r="D2830" t="s">
        <v>9650</v>
      </c>
      <c r="E2830" t="s">
        <v>9804</v>
      </c>
      <c r="F2830" t="s">
        <v>9545</v>
      </c>
    </row>
    <row r="2831" spans="1:6">
      <c r="A2831" t="s">
        <v>9647</v>
      </c>
      <c r="B2831">
        <v>7985</v>
      </c>
      <c r="C2831" t="s">
        <v>9674</v>
      </c>
      <c r="D2831" t="s">
        <v>9650</v>
      </c>
      <c r="E2831" t="s">
        <v>9804</v>
      </c>
      <c r="F2831" t="s">
        <v>9545</v>
      </c>
    </row>
    <row r="2832" spans="1:6">
      <c r="A2832" t="s">
        <v>9647</v>
      </c>
      <c r="B2832">
        <v>5462</v>
      </c>
      <c r="C2832" t="s">
        <v>9674</v>
      </c>
      <c r="D2832" t="s">
        <v>9650</v>
      </c>
      <c r="E2832" t="s">
        <v>9804</v>
      </c>
      <c r="F2832" t="s">
        <v>9545</v>
      </c>
    </row>
    <row r="2833" spans="1:6">
      <c r="A2833" t="s">
        <v>9647</v>
      </c>
      <c r="B2833">
        <v>5463</v>
      </c>
      <c r="C2833" t="s">
        <v>9674</v>
      </c>
      <c r="D2833" t="s">
        <v>9650</v>
      </c>
      <c r="E2833" t="s">
        <v>9804</v>
      </c>
      <c r="F2833" t="s">
        <v>9545</v>
      </c>
    </row>
    <row r="2834" spans="1:6">
      <c r="A2834" t="s">
        <v>9647</v>
      </c>
      <c r="B2834">
        <v>5495</v>
      </c>
      <c r="C2834" t="s">
        <v>9674</v>
      </c>
      <c r="D2834" t="s">
        <v>9650</v>
      </c>
      <c r="E2834" t="s">
        <v>9804</v>
      </c>
      <c r="F2834" t="s">
        <v>9545</v>
      </c>
    </row>
    <row r="2835" spans="1:6">
      <c r="A2835" t="s">
        <v>9647</v>
      </c>
      <c r="B2835">
        <v>9307</v>
      </c>
      <c r="C2835" t="s">
        <v>9674</v>
      </c>
      <c r="D2835" t="s">
        <v>9650</v>
      </c>
      <c r="E2835" t="s">
        <v>9804</v>
      </c>
      <c r="F2835" t="s">
        <v>9545</v>
      </c>
    </row>
    <row r="2836" spans="1:6">
      <c r="A2836" t="s">
        <v>9647</v>
      </c>
      <c r="B2836">
        <v>9306</v>
      </c>
      <c r="C2836" t="s">
        <v>9674</v>
      </c>
      <c r="D2836" t="s">
        <v>9650</v>
      </c>
      <c r="E2836" t="s">
        <v>9804</v>
      </c>
      <c r="F2836" t="s">
        <v>9545</v>
      </c>
    </row>
    <row r="2837" spans="1:6">
      <c r="A2837" t="s">
        <v>9647</v>
      </c>
      <c r="B2837">
        <v>8655</v>
      </c>
      <c r="C2837" t="s">
        <v>9674</v>
      </c>
      <c r="D2837" t="s">
        <v>9652</v>
      </c>
      <c r="E2837" t="s">
        <v>9840</v>
      </c>
      <c r="F2837" t="s">
        <v>9545</v>
      </c>
    </row>
    <row r="2838" spans="1:6">
      <c r="A2838" t="s">
        <v>9647</v>
      </c>
      <c r="B2838">
        <v>8836</v>
      </c>
      <c r="C2838" t="s">
        <v>9674</v>
      </c>
      <c r="D2838" t="s">
        <v>9652</v>
      </c>
      <c r="E2838" t="s">
        <v>9840</v>
      </c>
      <c r="F2838" t="s">
        <v>9545</v>
      </c>
    </row>
    <row r="2839" spans="1:6">
      <c r="A2839" t="s">
        <v>9647</v>
      </c>
      <c r="B2839">
        <v>8486</v>
      </c>
      <c r="C2839" t="s">
        <v>9674</v>
      </c>
      <c r="D2839" t="s">
        <v>9652</v>
      </c>
      <c r="E2839" t="s">
        <v>9840</v>
      </c>
      <c r="F2839" t="s">
        <v>9545</v>
      </c>
    </row>
    <row r="2840" spans="1:6">
      <c r="A2840" t="s">
        <v>9647</v>
      </c>
      <c r="B2840">
        <v>8478</v>
      </c>
      <c r="C2840" t="s">
        <v>9674</v>
      </c>
      <c r="D2840" t="s">
        <v>9652</v>
      </c>
      <c r="E2840" t="s">
        <v>9840</v>
      </c>
      <c r="F2840" t="s">
        <v>9545</v>
      </c>
    </row>
    <row r="2841" spans="1:6">
      <c r="A2841" t="s">
        <v>9647</v>
      </c>
      <c r="B2841">
        <v>8479</v>
      </c>
      <c r="C2841" t="s">
        <v>9674</v>
      </c>
      <c r="D2841" t="s">
        <v>9652</v>
      </c>
      <c r="E2841" t="s">
        <v>9840</v>
      </c>
      <c r="F2841" t="s">
        <v>9545</v>
      </c>
    </row>
    <row r="2842" spans="1:6">
      <c r="A2842" t="s">
        <v>9647</v>
      </c>
      <c r="B2842">
        <v>8480</v>
      </c>
      <c r="C2842" t="s">
        <v>9674</v>
      </c>
      <c r="D2842" t="s">
        <v>9652</v>
      </c>
      <c r="E2842" t="s">
        <v>9840</v>
      </c>
      <c r="F2842" t="s">
        <v>9545</v>
      </c>
    </row>
    <row r="2843" spans="1:6">
      <c r="A2843" t="s">
        <v>9647</v>
      </c>
      <c r="B2843">
        <v>8482</v>
      </c>
      <c r="C2843" t="s">
        <v>9674</v>
      </c>
      <c r="D2843" t="s">
        <v>9652</v>
      </c>
      <c r="E2843" t="s">
        <v>9840</v>
      </c>
      <c r="F2843" t="s">
        <v>9545</v>
      </c>
    </row>
    <row r="2844" spans="1:6">
      <c r="A2844" t="s">
        <v>9647</v>
      </c>
      <c r="B2844">
        <v>8487</v>
      </c>
      <c r="C2844" t="s">
        <v>9674</v>
      </c>
      <c r="D2844" t="s">
        <v>9652</v>
      </c>
      <c r="E2844" t="s">
        <v>9840</v>
      </c>
      <c r="F2844" t="s">
        <v>9545</v>
      </c>
    </row>
    <row r="2845" spans="1:6">
      <c r="A2845" t="s">
        <v>9647</v>
      </c>
      <c r="B2845">
        <v>8485</v>
      </c>
      <c r="C2845" t="s">
        <v>9674</v>
      </c>
      <c r="D2845" t="s">
        <v>9652</v>
      </c>
      <c r="E2845" t="s">
        <v>9840</v>
      </c>
      <c r="F2845" t="s">
        <v>9545</v>
      </c>
    </row>
    <row r="2846" spans="1:6">
      <c r="A2846" t="s">
        <v>9647</v>
      </c>
      <c r="B2846">
        <v>8490</v>
      </c>
      <c r="C2846" t="s">
        <v>9674</v>
      </c>
      <c r="D2846" t="s">
        <v>9652</v>
      </c>
      <c r="E2846" t="s">
        <v>9840</v>
      </c>
      <c r="F2846" t="s">
        <v>9545</v>
      </c>
    </row>
    <row r="2847" spans="1:6">
      <c r="A2847" t="s">
        <v>9647</v>
      </c>
      <c r="B2847">
        <v>8645</v>
      </c>
      <c r="C2847" t="s">
        <v>9674</v>
      </c>
      <c r="D2847" t="s">
        <v>9652</v>
      </c>
      <c r="E2847" t="s">
        <v>9840</v>
      </c>
      <c r="F2847" t="s">
        <v>9545</v>
      </c>
    </row>
    <row r="2848" spans="1:6">
      <c r="A2848" t="s">
        <v>9647</v>
      </c>
      <c r="B2848">
        <v>8646</v>
      </c>
      <c r="C2848" t="s">
        <v>9674</v>
      </c>
      <c r="D2848" t="s">
        <v>9652</v>
      </c>
      <c r="E2848" t="s">
        <v>9840</v>
      </c>
      <c r="F2848" t="s">
        <v>9545</v>
      </c>
    </row>
    <row r="2849" spans="1:6">
      <c r="A2849" t="s">
        <v>9647</v>
      </c>
      <c r="B2849">
        <v>8647</v>
      </c>
      <c r="C2849" t="s">
        <v>9674</v>
      </c>
      <c r="D2849" t="s">
        <v>9652</v>
      </c>
      <c r="E2849" t="s">
        <v>9840</v>
      </c>
      <c r="F2849" t="s">
        <v>9545</v>
      </c>
    </row>
    <row r="2850" spans="1:6">
      <c r="A2850" t="s">
        <v>9647</v>
      </c>
      <c r="B2850">
        <v>8649</v>
      </c>
      <c r="C2850" t="s">
        <v>9674</v>
      </c>
      <c r="D2850" t="s">
        <v>9652</v>
      </c>
      <c r="E2850" t="s">
        <v>9840</v>
      </c>
      <c r="F2850" t="s">
        <v>9545</v>
      </c>
    </row>
    <row r="2851" spans="1:6">
      <c r="A2851" t="s">
        <v>9647</v>
      </c>
      <c r="B2851">
        <v>8488</v>
      </c>
      <c r="C2851" t="s">
        <v>9674</v>
      </c>
      <c r="D2851" t="s">
        <v>9652</v>
      </c>
      <c r="E2851" t="s">
        <v>9840</v>
      </c>
      <c r="F2851" t="s">
        <v>9545</v>
      </c>
    </row>
    <row r="2852" spans="1:6">
      <c r="A2852" t="s">
        <v>9647</v>
      </c>
      <c r="B2852">
        <v>8648</v>
      </c>
      <c r="C2852" t="s">
        <v>9674</v>
      </c>
      <c r="D2852" t="s">
        <v>9652</v>
      </c>
      <c r="E2852" t="s">
        <v>9840</v>
      </c>
      <c r="F2852" t="s">
        <v>9545</v>
      </c>
    </row>
    <row r="2853" spans="1:6">
      <c r="A2853" t="s">
        <v>9647</v>
      </c>
      <c r="B2853">
        <v>8671</v>
      </c>
      <c r="C2853" t="s">
        <v>9674</v>
      </c>
      <c r="D2853" t="s">
        <v>9652</v>
      </c>
      <c r="E2853" t="s">
        <v>9840</v>
      </c>
      <c r="F2853" t="s">
        <v>9545</v>
      </c>
    </row>
    <row r="2854" spans="1:6">
      <c r="A2854" t="s">
        <v>9647</v>
      </c>
      <c r="B2854">
        <v>8841</v>
      </c>
      <c r="C2854" t="s">
        <v>9674</v>
      </c>
      <c r="D2854" t="s">
        <v>9652</v>
      </c>
      <c r="E2854" t="s">
        <v>9840</v>
      </c>
      <c r="F2854" t="s">
        <v>9545</v>
      </c>
    </row>
    <row r="2855" spans="1:6">
      <c r="A2855" t="s">
        <v>9647</v>
      </c>
      <c r="B2855">
        <v>8672</v>
      </c>
      <c r="C2855" t="s">
        <v>9674</v>
      </c>
      <c r="D2855" t="s">
        <v>9652</v>
      </c>
      <c r="E2855" t="s">
        <v>9840</v>
      </c>
      <c r="F2855" t="s">
        <v>9545</v>
      </c>
    </row>
    <row r="2856" spans="1:6">
      <c r="A2856" t="s">
        <v>9647</v>
      </c>
      <c r="B2856">
        <v>8673</v>
      </c>
      <c r="C2856" t="s">
        <v>9674</v>
      </c>
      <c r="D2856" t="s">
        <v>9652</v>
      </c>
      <c r="E2856" t="s">
        <v>9840</v>
      </c>
      <c r="F2856" t="s">
        <v>9545</v>
      </c>
    </row>
    <row r="2857" spans="1:6">
      <c r="A2857" t="s">
        <v>9647</v>
      </c>
      <c r="B2857">
        <v>8489</v>
      </c>
      <c r="C2857" t="s">
        <v>9674</v>
      </c>
      <c r="D2857" t="s">
        <v>9652</v>
      </c>
      <c r="E2857" t="s">
        <v>9840</v>
      </c>
      <c r="F2857" t="s">
        <v>9545</v>
      </c>
    </row>
    <row r="2858" spans="1:6">
      <c r="A2858" t="s">
        <v>9647</v>
      </c>
      <c r="B2858">
        <v>8491</v>
      </c>
      <c r="C2858" t="s">
        <v>9674</v>
      </c>
      <c r="D2858" t="s">
        <v>9652</v>
      </c>
      <c r="E2858" t="s">
        <v>9840</v>
      </c>
      <c r="F2858" t="s">
        <v>9545</v>
      </c>
    </row>
    <row r="2859" spans="1:6">
      <c r="A2859" t="s">
        <v>9647</v>
      </c>
      <c r="B2859">
        <v>8849</v>
      </c>
      <c r="C2859" t="s">
        <v>9674</v>
      </c>
      <c r="D2859" t="s">
        <v>9652</v>
      </c>
      <c r="E2859" t="s">
        <v>9840</v>
      </c>
      <c r="F2859" t="s">
        <v>9545</v>
      </c>
    </row>
    <row r="2860" spans="1:6">
      <c r="A2860" t="s">
        <v>9647</v>
      </c>
      <c r="B2860">
        <v>7969</v>
      </c>
      <c r="C2860" t="s">
        <v>9674</v>
      </c>
      <c r="D2860" t="s">
        <v>9652</v>
      </c>
      <c r="E2860" t="s">
        <v>9840</v>
      </c>
      <c r="F2860" t="s">
        <v>9545</v>
      </c>
    </row>
    <row r="2861" spans="1:6">
      <c r="A2861" t="s">
        <v>9647</v>
      </c>
      <c r="B2861">
        <v>8654</v>
      </c>
      <c r="C2861" t="s">
        <v>9674</v>
      </c>
      <c r="D2861" t="s">
        <v>9652</v>
      </c>
      <c r="E2861" t="s">
        <v>9840</v>
      </c>
      <c r="F2861" t="s">
        <v>9545</v>
      </c>
    </row>
    <row r="2862" spans="1:6">
      <c r="A2862" t="s">
        <v>9647</v>
      </c>
      <c r="B2862">
        <v>8675</v>
      </c>
      <c r="C2862" t="s">
        <v>9674</v>
      </c>
      <c r="D2862" t="s">
        <v>9652</v>
      </c>
      <c r="E2862" t="s">
        <v>9840</v>
      </c>
      <c r="F2862" t="s">
        <v>9545</v>
      </c>
    </row>
    <row r="2863" spans="1:6">
      <c r="A2863" t="s">
        <v>9647</v>
      </c>
      <c r="B2863">
        <v>8847</v>
      </c>
      <c r="C2863" t="s">
        <v>9674</v>
      </c>
      <c r="D2863" t="s">
        <v>9652</v>
      </c>
      <c r="E2863" t="s">
        <v>9840</v>
      </c>
      <c r="F2863" t="s">
        <v>9545</v>
      </c>
    </row>
    <row r="2864" spans="1:6">
      <c r="A2864" t="s">
        <v>9647</v>
      </c>
      <c r="B2864">
        <v>8840</v>
      </c>
      <c r="C2864" t="s">
        <v>9674</v>
      </c>
      <c r="D2864" t="s">
        <v>9652</v>
      </c>
      <c r="E2864" t="s">
        <v>9840</v>
      </c>
      <c r="F2864" t="s">
        <v>9545</v>
      </c>
    </row>
    <row r="2865" spans="1:6">
      <c r="A2865" t="s">
        <v>9647</v>
      </c>
      <c r="B2865">
        <v>8834</v>
      </c>
      <c r="C2865" t="s">
        <v>9674</v>
      </c>
      <c r="D2865" t="s">
        <v>9652</v>
      </c>
      <c r="E2865" t="s">
        <v>9840</v>
      </c>
      <c r="F2865" t="s">
        <v>9545</v>
      </c>
    </row>
    <row r="2866" spans="1:6">
      <c r="A2866" t="s">
        <v>9647</v>
      </c>
      <c r="B2866">
        <v>4348</v>
      </c>
      <c r="C2866" t="s">
        <v>9674</v>
      </c>
      <c r="D2866" t="s">
        <v>9652</v>
      </c>
      <c r="E2866" t="s">
        <v>9840</v>
      </c>
      <c r="F2866" t="s">
        <v>9545</v>
      </c>
    </row>
    <row r="2867" spans="1:6">
      <c r="A2867" t="s">
        <v>9647</v>
      </c>
      <c r="B2867">
        <v>4253</v>
      </c>
      <c r="C2867" t="s">
        <v>9674</v>
      </c>
      <c r="D2867" t="s">
        <v>9652</v>
      </c>
      <c r="E2867" t="s">
        <v>9840</v>
      </c>
      <c r="F2867" t="s">
        <v>9545</v>
      </c>
    </row>
    <row r="2868" spans="1:6">
      <c r="A2868" t="s">
        <v>9647</v>
      </c>
      <c r="B2868">
        <v>2582</v>
      </c>
      <c r="C2868" t="s">
        <v>9674</v>
      </c>
      <c r="D2868" t="s">
        <v>9652</v>
      </c>
      <c r="E2868" t="s">
        <v>9840</v>
      </c>
      <c r="F2868" t="s">
        <v>9545</v>
      </c>
    </row>
    <row r="2869" spans="1:6">
      <c r="A2869" t="s">
        <v>9647</v>
      </c>
      <c r="B2869">
        <v>5457</v>
      </c>
      <c r="C2869" t="s">
        <v>9674</v>
      </c>
      <c r="D2869" t="s">
        <v>9652</v>
      </c>
      <c r="E2869" t="s">
        <v>9840</v>
      </c>
      <c r="F2869" t="s">
        <v>9545</v>
      </c>
    </row>
    <row r="2870" spans="1:6">
      <c r="A2870" t="s">
        <v>9647</v>
      </c>
      <c r="B2870">
        <v>4347</v>
      </c>
      <c r="C2870" t="s">
        <v>9674</v>
      </c>
      <c r="D2870" t="s">
        <v>9652</v>
      </c>
      <c r="E2870" t="s">
        <v>9840</v>
      </c>
      <c r="F2870" t="s">
        <v>9545</v>
      </c>
    </row>
    <row r="2871" spans="1:6">
      <c r="A2871" t="s">
        <v>9647</v>
      </c>
      <c r="B2871">
        <v>4362</v>
      </c>
      <c r="C2871" t="s">
        <v>9674</v>
      </c>
      <c r="D2871" t="s">
        <v>9652</v>
      </c>
      <c r="E2871" t="s">
        <v>9840</v>
      </c>
      <c r="F2871" t="s">
        <v>9545</v>
      </c>
    </row>
    <row r="2872" spans="1:6">
      <c r="A2872" t="s">
        <v>9647</v>
      </c>
      <c r="B2872">
        <v>4363</v>
      </c>
      <c r="C2872" t="s">
        <v>9674</v>
      </c>
      <c r="D2872" t="s">
        <v>9652</v>
      </c>
      <c r="E2872" t="s">
        <v>9840</v>
      </c>
      <c r="F2872" t="s">
        <v>9545</v>
      </c>
    </row>
    <row r="2873" spans="1:6">
      <c r="A2873" t="s">
        <v>9647</v>
      </c>
      <c r="B2873">
        <v>4367</v>
      </c>
      <c r="C2873" t="s">
        <v>9674</v>
      </c>
      <c r="D2873" t="s">
        <v>9652</v>
      </c>
      <c r="E2873" t="s">
        <v>9840</v>
      </c>
      <c r="F2873" t="s">
        <v>9545</v>
      </c>
    </row>
    <row r="2874" spans="1:6">
      <c r="A2874" t="s">
        <v>9647</v>
      </c>
      <c r="B2874">
        <v>4368</v>
      </c>
      <c r="C2874" t="s">
        <v>9674</v>
      </c>
      <c r="D2874" t="s">
        <v>9652</v>
      </c>
      <c r="E2874" t="s">
        <v>9840</v>
      </c>
      <c r="F2874" t="s">
        <v>9545</v>
      </c>
    </row>
    <row r="2875" spans="1:6">
      <c r="A2875" t="s">
        <v>9647</v>
      </c>
      <c r="B2875">
        <v>7327</v>
      </c>
      <c r="C2875" t="s">
        <v>9674</v>
      </c>
      <c r="D2875" t="s">
        <v>9652</v>
      </c>
      <c r="E2875" t="s">
        <v>9840</v>
      </c>
      <c r="F2875" t="s">
        <v>9545</v>
      </c>
    </row>
    <row r="2876" spans="1:6">
      <c r="A2876" t="s">
        <v>9647</v>
      </c>
      <c r="B2876">
        <v>7328</v>
      </c>
      <c r="C2876" t="s">
        <v>9674</v>
      </c>
      <c r="D2876" t="s">
        <v>9652</v>
      </c>
      <c r="E2876" t="s">
        <v>9840</v>
      </c>
      <c r="F2876" t="s">
        <v>9545</v>
      </c>
    </row>
    <row r="2877" spans="1:6">
      <c r="A2877" t="s">
        <v>9647</v>
      </c>
      <c r="B2877">
        <v>4365</v>
      </c>
      <c r="C2877" t="s">
        <v>9674</v>
      </c>
      <c r="D2877" t="s">
        <v>9652</v>
      </c>
      <c r="E2877" t="s">
        <v>9840</v>
      </c>
      <c r="F2877" t="s">
        <v>9545</v>
      </c>
    </row>
    <row r="2878" spans="1:6">
      <c r="A2878" t="s">
        <v>9647</v>
      </c>
      <c r="B2878">
        <v>4364</v>
      </c>
      <c r="C2878" t="s">
        <v>9674</v>
      </c>
      <c r="D2878" t="s">
        <v>9652</v>
      </c>
      <c r="E2878" t="s">
        <v>9840</v>
      </c>
      <c r="F2878" t="s">
        <v>9545</v>
      </c>
    </row>
    <row r="2879" spans="1:6">
      <c r="A2879" t="s">
        <v>9647</v>
      </c>
      <c r="B2879">
        <v>4194</v>
      </c>
      <c r="C2879" t="s">
        <v>9674</v>
      </c>
      <c r="D2879" t="s">
        <v>9652</v>
      </c>
      <c r="E2879" t="s">
        <v>9840</v>
      </c>
      <c r="F2879" t="s">
        <v>9545</v>
      </c>
    </row>
    <row r="2880" spans="1:6">
      <c r="A2880" t="s">
        <v>9647</v>
      </c>
      <c r="B2880">
        <v>4190</v>
      </c>
      <c r="C2880" t="s">
        <v>9674</v>
      </c>
      <c r="D2880" t="s">
        <v>9652</v>
      </c>
      <c r="E2880" t="s">
        <v>9840</v>
      </c>
      <c r="F2880" t="s">
        <v>9545</v>
      </c>
    </row>
    <row r="2881" spans="1:6">
      <c r="A2881" t="s">
        <v>9647</v>
      </c>
      <c r="B2881">
        <v>4251</v>
      </c>
      <c r="C2881" t="s">
        <v>9674</v>
      </c>
      <c r="D2881" t="s">
        <v>9652</v>
      </c>
      <c r="E2881" t="s">
        <v>9840</v>
      </c>
      <c r="F2881" t="s">
        <v>9545</v>
      </c>
    </row>
    <row r="2882" spans="1:6">
      <c r="A2882" t="s">
        <v>9647</v>
      </c>
      <c r="B2882">
        <v>4252</v>
      </c>
      <c r="C2882" t="s">
        <v>9674</v>
      </c>
      <c r="D2882" t="s">
        <v>9652</v>
      </c>
      <c r="E2882" t="s">
        <v>9840</v>
      </c>
      <c r="F2882" t="s">
        <v>9545</v>
      </c>
    </row>
    <row r="2883" spans="1:6">
      <c r="A2883" t="s">
        <v>9647</v>
      </c>
      <c r="B2883">
        <v>2583</v>
      </c>
      <c r="C2883" t="s">
        <v>9674</v>
      </c>
      <c r="D2883" t="s">
        <v>9652</v>
      </c>
      <c r="E2883" t="s">
        <v>9840</v>
      </c>
      <c r="F2883" t="s">
        <v>9545</v>
      </c>
    </row>
    <row r="2884" spans="1:6">
      <c r="A2884" t="s">
        <v>9647</v>
      </c>
      <c r="B2884">
        <v>5458</v>
      </c>
      <c r="C2884" t="s">
        <v>9674</v>
      </c>
      <c r="D2884" t="s">
        <v>9652</v>
      </c>
      <c r="E2884" t="s">
        <v>9840</v>
      </c>
      <c r="F2884" t="s">
        <v>9545</v>
      </c>
    </row>
    <row r="2885" spans="1:6">
      <c r="A2885" t="s">
        <v>9647</v>
      </c>
      <c r="B2885">
        <v>7382</v>
      </c>
      <c r="C2885" t="s">
        <v>9674</v>
      </c>
      <c r="D2885" t="s">
        <v>9652</v>
      </c>
      <c r="E2885" t="s">
        <v>9840</v>
      </c>
      <c r="F2885" t="s">
        <v>9545</v>
      </c>
    </row>
    <row r="2886" spans="1:6">
      <c r="A2886" t="s">
        <v>9647</v>
      </c>
      <c r="B2886">
        <v>4192</v>
      </c>
      <c r="C2886" t="s">
        <v>9674</v>
      </c>
      <c r="D2886" t="s">
        <v>9652</v>
      </c>
      <c r="E2886" t="s">
        <v>9840</v>
      </c>
      <c r="F2886" t="s">
        <v>9545</v>
      </c>
    </row>
    <row r="2887" spans="1:6">
      <c r="A2887" t="s">
        <v>9647</v>
      </c>
      <c r="B2887">
        <v>4193</v>
      </c>
      <c r="C2887" t="s">
        <v>9674</v>
      </c>
      <c r="D2887" t="s">
        <v>9652</v>
      </c>
      <c r="E2887" t="s">
        <v>9840</v>
      </c>
      <c r="F2887" t="s">
        <v>9545</v>
      </c>
    </row>
    <row r="2888" spans="1:6">
      <c r="A2888" t="s">
        <v>9647</v>
      </c>
      <c r="B2888">
        <v>7973</v>
      </c>
      <c r="C2888" t="s">
        <v>9674</v>
      </c>
      <c r="D2888" t="s">
        <v>9652</v>
      </c>
      <c r="E2888" t="s">
        <v>9840</v>
      </c>
      <c r="F2888" t="s">
        <v>9545</v>
      </c>
    </row>
    <row r="2889" spans="1:6">
      <c r="A2889" t="s">
        <v>9647</v>
      </c>
      <c r="B2889">
        <v>7975</v>
      </c>
      <c r="C2889" t="s">
        <v>9674</v>
      </c>
      <c r="D2889" t="s">
        <v>9652</v>
      </c>
      <c r="E2889" t="s">
        <v>9840</v>
      </c>
      <c r="F2889" t="s">
        <v>9545</v>
      </c>
    </row>
    <row r="2890" spans="1:6">
      <c r="A2890" t="s">
        <v>9647</v>
      </c>
      <c r="B2890">
        <v>7974</v>
      </c>
      <c r="C2890" t="s">
        <v>9674</v>
      </c>
      <c r="D2890" t="s">
        <v>9652</v>
      </c>
      <c r="E2890" t="s">
        <v>9840</v>
      </c>
      <c r="F2890" t="s">
        <v>9545</v>
      </c>
    </row>
    <row r="2891" spans="1:6">
      <c r="A2891" t="s">
        <v>9647</v>
      </c>
      <c r="B2891">
        <v>7976</v>
      </c>
      <c r="C2891" t="s">
        <v>9674</v>
      </c>
      <c r="D2891" t="s">
        <v>9652</v>
      </c>
      <c r="E2891" t="s">
        <v>9840</v>
      </c>
      <c r="F2891" t="s">
        <v>9545</v>
      </c>
    </row>
    <row r="2892" spans="1:6">
      <c r="A2892" t="s">
        <v>9647</v>
      </c>
      <c r="B2892">
        <v>7836</v>
      </c>
      <c r="C2892" t="s">
        <v>9674</v>
      </c>
      <c r="D2892" t="s">
        <v>9652</v>
      </c>
      <c r="E2892" t="s">
        <v>9840</v>
      </c>
      <c r="F2892" t="s">
        <v>9545</v>
      </c>
    </row>
    <row r="2893" spans="1:6">
      <c r="A2893" t="s">
        <v>9647</v>
      </c>
      <c r="B2893">
        <v>7837</v>
      </c>
      <c r="C2893" t="s">
        <v>9674</v>
      </c>
      <c r="D2893" t="s">
        <v>9652</v>
      </c>
      <c r="E2893" t="s">
        <v>9840</v>
      </c>
      <c r="F2893" t="s">
        <v>9545</v>
      </c>
    </row>
    <row r="2894" spans="1:6">
      <c r="A2894" t="s">
        <v>9647</v>
      </c>
      <c r="B2894">
        <v>7379</v>
      </c>
      <c r="C2894" t="s">
        <v>9674</v>
      </c>
      <c r="D2894" t="s">
        <v>9652</v>
      </c>
      <c r="E2894" t="s">
        <v>9840</v>
      </c>
      <c r="F2894" t="s">
        <v>9545</v>
      </c>
    </row>
    <row r="2895" spans="1:6">
      <c r="A2895" t="s">
        <v>9647</v>
      </c>
      <c r="B2895">
        <v>7378</v>
      </c>
      <c r="C2895" t="s">
        <v>9674</v>
      </c>
      <c r="D2895" t="s">
        <v>9652</v>
      </c>
      <c r="E2895" t="s">
        <v>9840</v>
      </c>
      <c r="F2895" t="s">
        <v>9545</v>
      </c>
    </row>
    <row r="2896" spans="1:6">
      <c r="A2896" t="s">
        <v>9647</v>
      </c>
      <c r="B2896">
        <v>7948</v>
      </c>
      <c r="C2896" t="s">
        <v>9674</v>
      </c>
      <c r="D2896" t="s">
        <v>9652</v>
      </c>
      <c r="E2896" t="s">
        <v>9840</v>
      </c>
      <c r="F2896" t="s">
        <v>9545</v>
      </c>
    </row>
    <row r="2897" spans="1:6">
      <c r="A2897" t="s">
        <v>9647</v>
      </c>
      <c r="B2897">
        <v>7940</v>
      </c>
      <c r="C2897" t="s">
        <v>9674</v>
      </c>
      <c r="D2897" t="s">
        <v>9652</v>
      </c>
      <c r="E2897" t="s">
        <v>9840</v>
      </c>
      <c r="F2897" t="s">
        <v>9545</v>
      </c>
    </row>
    <row r="2898" spans="1:6">
      <c r="A2898" t="s">
        <v>9647</v>
      </c>
      <c r="B2898">
        <v>7941</v>
      </c>
      <c r="C2898" t="s">
        <v>9674</v>
      </c>
      <c r="D2898" t="s">
        <v>9652</v>
      </c>
      <c r="E2898" t="s">
        <v>9840</v>
      </c>
      <c r="F2898" t="s">
        <v>9545</v>
      </c>
    </row>
    <row r="2899" spans="1:6">
      <c r="A2899" t="s">
        <v>9647</v>
      </c>
      <c r="B2899">
        <v>7984</v>
      </c>
      <c r="C2899" t="s">
        <v>9674</v>
      </c>
      <c r="D2899" t="s">
        <v>9652</v>
      </c>
      <c r="E2899" t="s">
        <v>9840</v>
      </c>
      <c r="F2899" t="s">
        <v>9545</v>
      </c>
    </row>
    <row r="2900" spans="1:6">
      <c r="A2900" t="s">
        <v>9647</v>
      </c>
      <c r="B2900">
        <v>1723</v>
      </c>
      <c r="C2900" t="s">
        <v>9674</v>
      </c>
      <c r="D2900" t="s">
        <v>9652</v>
      </c>
      <c r="E2900" t="s">
        <v>9840</v>
      </c>
      <c r="F2900" t="s">
        <v>9545</v>
      </c>
    </row>
    <row r="2901" spans="1:6">
      <c r="A2901" t="s">
        <v>9604</v>
      </c>
      <c r="B2901">
        <v>1911</v>
      </c>
      <c r="C2901" t="s">
        <v>9674</v>
      </c>
      <c r="D2901" t="s">
        <v>9602</v>
      </c>
      <c r="E2901" t="s">
        <v>9825</v>
      </c>
      <c r="F2901" t="s">
        <v>5606</v>
      </c>
    </row>
    <row r="2902" spans="1:6">
      <c r="A2902" t="s">
        <v>9604</v>
      </c>
      <c r="B2902">
        <v>7809</v>
      </c>
      <c r="C2902" t="s">
        <v>9674</v>
      </c>
      <c r="D2902" t="s">
        <v>9602</v>
      </c>
      <c r="E2902" t="s">
        <v>9825</v>
      </c>
      <c r="F2902" t="s">
        <v>5606</v>
      </c>
    </row>
    <row r="2903" spans="1:6">
      <c r="A2903" t="s">
        <v>9604</v>
      </c>
      <c r="B2903">
        <v>7870</v>
      </c>
      <c r="C2903" t="s">
        <v>9674</v>
      </c>
      <c r="D2903" t="s">
        <v>9602</v>
      </c>
      <c r="E2903" t="s">
        <v>9825</v>
      </c>
      <c r="F2903" t="s">
        <v>5606</v>
      </c>
    </row>
    <row r="2904" spans="1:6">
      <c r="A2904" t="s">
        <v>9604</v>
      </c>
      <c r="B2904">
        <v>7871</v>
      </c>
      <c r="C2904" t="s">
        <v>9674</v>
      </c>
      <c r="D2904" t="s">
        <v>9602</v>
      </c>
      <c r="E2904" t="s">
        <v>9825</v>
      </c>
      <c r="F2904" t="s">
        <v>5606</v>
      </c>
    </row>
    <row r="2905" spans="1:6">
      <c r="A2905" t="s">
        <v>9604</v>
      </c>
      <c r="B2905">
        <v>7872</v>
      </c>
      <c r="C2905" t="s">
        <v>9674</v>
      </c>
      <c r="D2905" t="s">
        <v>9602</v>
      </c>
      <c r="E2905" t="s">
        <v>9825</v>
      </c>
      <c r="F2905" t="s">
        <v>5606</v>
      </c>
    </row>
    <row r="2906" spans="1:6">
      <c r="A2906" t="s">
        <v>9604</v>
      </c>
      <c r="B2906">
        <v>7873</v>
      </c>
      <c r="C2906" t="s">
        <v>9674</v>
      </c>
      <c r="D2906" t="s">
        <v>9602</v>
      </c>
      <c r="E2906" t="s">
        <v>9825</v>
      </c>
      <c r="F2906" t="s">
        <v>5606</v>
      </c>
    </row>
    <row r="2907" spans="1:6">
      <c r="A2907" t="s">
        <v>9604</v>
      </c>
      <c r="B2907">
        <v>7875</v>
      </c>
      <c r="C2907" t="s">
        <v>9674</v>
      </c>
      <c r="D2907" t="s">
        <v>9602</v>
      </c>
      <c r="E2907" t="s">
        <v>9825</v>
      </c>
      <c r="F2907" t="s">
        <v>5606</v>
      </c>
    </row>
    <row r="2908" spans="1:6">
      <c r="A2908" t="s">
        <v>9604</v>
      </c>
      <c r="B2908">
        <v>7901</v>
      </c>
      <c r="C2908" t="s">
        <v>9674</v>
      </c>
      <c r="D2908" t="s">
        <v>9602</v>
      </c>
      <c r="E2908" t="s">
        <v>9825</v>
      </c>
      <c r="F2908" t="s">
        <v>5606</v>
      </c>
    </row>
    <row r="2909" spans="1:6">
      <c r="A2909" t="s">
        <v>9604</v>
      </c>
      <c r="B2909">
        <v>7902</v>
      </c>
      <c r="C2909" t="s">
        <v>9674</v>
      </c>
      <c r="D2909" t="s">
        <v>9602</v>
      </c>
      <c r="E2909" t="s">
        <v>9825</v>
      </c>
      <c r="F2909" t="s">
        <v>5606</v>
      </c>
    </row>
    <row r="2910" spans="1:6">
      <c r="A2910" t="s">
        <v>9604</v>
      </c>
      <c r="B2910">
        <v>7967</v>
      </c>
      <c r="C2910" t="s">
        <v>9674</v>
      </c>
      <c r="D2910" t="s">
        <v>9602</v>
      </c>
      <c r="E2910" t="s">
        <v>9825</v>
      </c>
      <c r="F2910" t="s">
        <v>5606</v>
      </c>
    </row>
    <row r="2911" spans="1:6">
      <c r="A2911" t="s">
        <v>9604</v>
      </c>
      <c r="B2911">
        <v>7971</v>
      </c>
      <c r="C2911" t="s">
        <v>9674</v>
      </c>
      <c r="D2911" t="s">
        <v>9602</v>
      </c>
      <c r="E2911" t="s">
        <v>9825</v>
      </c>
      <c r="F2911" t="s">
        <v>5606</v>
      </c>
    </row>
    <row r="2912" spans="1:6">
      <c r="A2912" t="s">
        <v>9604</v>
      </c>
      <c r="B2912">
        <v>7972</v>
      </c>
      <c r="C2912" t="s">
        <v>9674</v>
      </c>
      <c r="D2912" t="s">
        <v>9602</v>
      </c>
      <c r="E2912" t="s">
        <v>9825</v>
      </c>
      <c r="F2912" t="s">
        <v>5606</v>
      </c>
    </row>
    <row r="2913" spans="1:6">
      <c r="A2913" t="s">
        <v>9604</v>
      </c>
      <c r="B2913">
        <v>7981</v>
      </c>
      <c r="C2913" t="s">
        <v>9674</v>
      </c>
      <c r="D2913" t="s">
        <v>9602</v>
      </c>
      <c r="E2913" t="s">
        <v>9825</v>
      </c>
      <c r="F2913" t="s">
        <v>5606</v>
      </c>
    </row>
    <row r="2914" spans="1:6">
      <c r="A2914" t="s">
        <v>9604</v>
      </c>
      <c r="B2914">
        <v>7995</v>
      </c>
      <c r="C2914" t="s">
        <v>9674</v>
      </c>
      <c r="D2914" t="s">
        <v>9602</v>
      </c>
      <c r="E2914" t="s">
        <v>9825</v>
      </c>
      <c r="F2914" t="s">
        <v>5606</v>
      </c>
    </row>
    <row r="2915" spans="1:6">
      <c r="A2915" t="s">
        <v>9604</v>
      </c>
      <c r="B2915">
        <v>7996</v>
      </c>
      <c r="C2915" t="s">
        <v>9674</v>
      </c>
      <c r="D2915" t="s">
        <v>9602</v>
      </c>
      <c r="E2915" t="s">
        <v>9825</v>
      </c>
      <c r="F2915" t="s">
        <v>5606</v>
      </c>
    </row>
    <row r="2916" spans="1:6">
      <c r="A2916" t="s">
        <v>9604</v>
      </c>
      <c r="B2916">
        <v>8014</v>
      </c>
      <c r="C2916" t="s">
        <v>9674</v>
      </c>
      <c r="D2916" t="s">
        <v>9602</v>
      </c>
      <c r="E2916" t="s">
        <v>9825</v>
      </c>
      <c r="F2916" t="s">
        <v>5606</v>
      </c>
    </row>
    <row r="2917" spans="1:6">
      <c r="A2917" t="s">
        <v>9604</v>
      </c>
      <c r="B2917">
        <v>8028</v>
      </c>
      <c r="C2917" t="s">
        <v>9674</v>
      </c>
      <c r="D2917" t="s">
        <v>9602</v>
      </c>
      <c r="E2917" t="s">
        <v>9825</v>
      </c>
      <c r="F2917" t="s">
        <v>5606</v>
      </c>
    </row>
    <row r="2918" spans="1:6">
      <c r="A2918" t="s">
        <v>9604</v>
      </c>
      <c r="B2918">
        <v>8038</v>
      </c>
      <c r="C2918" t="s">
        <v>9674</v>
      </c>
      <c r="D2918" t="s">
        <v>9602</v>
      </c>
      <c r="E2918" t="s">
        <v>9825</v>
      </c>
      <c r="F2918" t="s">
        <v>5606</v>
      </c>
    </row>
    <row r="2919" spans="1:6">
      <c r="A2919" t="s">
        <v>9604</v>
      </c>
      <c r="B2919">
        <v>8667</v>
      </c>
      <c r="C2919" t="s">
        <v>9674</v>
      </c>
      <c r="D2919" t="s">
        <v>9602</v>
      </c>
      <c r="E2919" t="s">
        <v>9825</v>
      </c>
      <c r="F2919" t="s">
        <v>5606</v>
      </c>
    </row>
    <row r="2920" spans="1:6">
      <c r="A2920" t="s">
        <v>9604</v>
      </c>
      <c r="B2920">
        <v>8677</v>
      </c>
      <c r="C2920" t="s">
        <v>9674</v>
      </c>
      <c r="D2920" t="s">
        <v>9602</v>
      </c>
      <c r="E2920" t="s">
        <v>9825</v>
      </c>
      <c r="F2920" t="s">
        <v>5606</v>
      </c>
    </row>
    <row r="2921" spans="1:6">
      <c r="A2921" t="s">
        <v>9604</v>
      </c>
      <c r="B2921">
        <v>8678</v>
      </c>
      <c r="C2921" t="s">
        <v>9674</v>
      </c>
      <c r="D2921" t="s">
        <v>9602</v>
      </c>
      <c r="E2921" t="s">
        <v>9825</v>
      </c>
      <c r="F2921" t="s">
        <v>5606</v>
      </c>
    </row>
    <row r="2922" spans="1:6">
      <c r="A2922" t="s">
        <v>9604</v>
      </c>
      <c r="B2922">
        <v>8720</v>
      </c>
      <c r="C2922" t="s">
        <v>9674</v>
      </c>
      <c r="D2922" t="s">
        <v>9602</v>
      </c>
      <c r="E2922" t="s">
        <v>9825</v>
      </c>
      <c r="F2922" t="s">
        <v>5606</v>
      </c>
    </row>
    <row r="2923" spans="1:6">
      <c r="A2923" t="s">
        <v>9604</v>
      </c>
      <c r="B2923">
        <v>8730</v>
      </c>
      <c r="C2923" t="s">
        <v>9674</v>
      </c>
      <c r="D2923" t="s">
        <v>9602</v>
      </c>
      <c r="E2923" t="s">
        <v>9825</v>
      </c>
      <c r="F2923" t="s">
        <v>5606</v>
      </c>
    </row>
    <row r="2924" spans="1:6">
      <c r="A2924" t="s">
        <v>9604</v>
      </c>
      <c r="B2924">
        <v>8740</v>
      </c>
      <c r="C2924" t="s">
        <v>9674</v>
      </c>
      <c r="D2924" t="s">
        <v>9602</v>
      </c>
      <c r="E2924" t="s">
        <v>9825</v>
      </c>
      <c r="F2924" t="s">
        <v>5606</v>
      </c>
    </row>
    <row r="2925" spans="1:6">
      <c r="A2925" t="s">
        <v>9604</v>
      </c>
      <c r="B2925">
        <v>8750</v>
      </c>
      <c r="C2925" t="s">
        <v>9674</v>
      </c>
      <c r="D2925" t="s">
        <v>9602</v>
      </c>
      <c r="E2925" t="s">
        <v>9825</v>
      </c>
      <c r="F2925" t="s">
        <v>5606</v>
      </c>
    </row>
    <row r="2926" spans="1:6">
      <c r="A2926" t="s">
        <v>9604</v>
      </c>
      <c r="B2926">
        <v>8832</v>
      </c>
      <c r="C2926" t="s">
        <v>9674</v>
      </c>
      <c r="D2926" t="s">
        <v>9602</v>
      </c>
      <c r="E2926" t="s">
        <v>9825</v>
      </c>
      <c r="F2926" t="s">
        <v>5606</v>
      </c>
    </row>
    <row r="2927" spans="1:6">
      <c r="A2927" t="s">
        <v>9604</v>
      </c>
      <c r="B2927">
        <v>8839</v>
      </c>
      <c r="C2927" t="s">
        <v>9674</v>
      </c>
      <c r="D2927" t="s">
        <v>9602</v>
      </c>
      <c r="E2927" t="s">
        <v>9825</v>
      </c>
      <c r="F2927" t="s">
        <v>5606</v>
      </c>
    </row>
    <row r="2928" spans="1:6">
      <c r="A2928" t="s">
        <v>9604</v>
      </c>
      <c r="B2928">
        <v>8843</v>
      </c>
      <c r="C2928" t="s">
        <v>9674</v>
      </c>
      <c r="D2928" t="s">
        <v>9602</v>
      </c>
      <c r="E2928" t="s">
        <v>9825</v>
      </c>
      <c r="F2928" t="s">
        <v>5606</v>
      </c>
    </row>
    <row r="2929" spans="1:6">
      <c r="A2929" t="s">
        <v>9604</v>
      </c>
      <c r="B2929">
        <v>8850</v>
      </c>
      <c r="C2929" t="s">
        <v>9674</v>
      </c>
      <c r="D2929" t="s">
        <v>9602</v>
      </c>
      <c r="E2929" t="s">
        <v>9825</v>
      </c>
      <c r="F2929" t="s">
        <v>5606</v>
      </c>
    </row>
    <row r="2930" spans="1:6">
      <c r="A2930" t="s">
        <v>9604</v>
      </c>
      <c r="B2930">
        <v>8852</v>
      </c>
      <c r="C2930" t="s">
        <v>9674</v>
      </c>
      <c r="D2930" t="s">
        <v>9602</v>
      </c>
      <c r="E2930" t="s">
        <v>9825</v>
      </c>
      <c r="F2930" t="s">
        <v>5606</v>
      </c>
    </row>
    <row r="2931" spans="1:6">
      <c r="A2931" t="s">
        <v>9604</v>
      </c>
      <c r="B2931">
        <v>8853</v>
      </c>
      <c r="C2931" t="s">
        <v>9674</v>
      </c>
      <c r="D2931" t="s">
        <v>9602</v>
      </c>
      <c r="E2931" t="s">
        <v>9825</v>
      </c>
      <c r="F2931" t="s">
        <v>5606</v>
      </c>
    </row>
    <row r="2932" spans="1:6">
      <c r="A2932" t="s">
        <v>9604</v>
      </c>
      <c r="B2932">
        <v>8886</v>
      </c>
      <c r="C2932" t="s">
        <v>9674</v>
      </c>
      <c r="D2932" t="s">
        <v>9602</v>
      </c>
      <c r="E2932" t="s">
        <v>9825</v>
      </c>
      <c r="F2932" t="s">
        <v>5606</v>
      </c>
    </row>
    <row r="2933" spans="1:6">
      <c r="A2933" t="s">
        <v>9604</v>
      </c>
      <c r="B2933">
        <v>8721</v>
      </c>
      <c r="C2933" t="s">
        <v>9674</v>
      </c>
      <c r="D2933" t="s">
        <v>9605</v>
      </c>
      <c r="E2933" t="s">
        <v>9826</v>
      </c>
      <c r="F2933" t="s">
        <v>5606</v>
      </c>
    </row>
    <row r="2934" spans="1:6">
      <c r="A2934" t="s">
        <v>9604</v>
      </c>
      <c r="B2934">
        <v>8731</v>
      </c>
      <c r="C2934" t="s">
        <v>9674</v>
      </c>
      <c r="D2934" t="s">
        <v>9605</v>
      </c>
      <c r="E2934" t="s">
        <v>9826</v>
      </c>
      <c r="F2934" t="s">
        <v>5606</v>
      </c>
    </row>
    <row r="2935" spans="1:6">
      <c r="A2935" t="s">
        <v>9604</v>
      </c>
      <c r="B2935">
        <v>7906</v>
      </c>
      <c r="C2935" t="s">
        <v>9674</v>
      </c>
      <c r="D2935" t="s">
        <v>9605</v>
      </c>
      <c r="E2935" t="s">
        <v>9826</v>
      </c>
      <c r="F2935" t="s">
        <v>5606</v>
      </c>
    </row>
    <row r="2936" spans="1:6">
      <c r="A2936" t="s">
        <v>9604</v>
      </c>
      <c r="B2936">
        <v>7916</v>
      </c>
      <c r="C2936" t="s">
        <v>9674</v>
      </c>
      <c r="D2936" t="s">
        <v>9605</v>
      </c>
      <c r="E2936" t="s">
        <v>9826</v>
      </c>
      <c r="F2936" t="s">
        <v>5606</v>
      </c>
    </row>
    <row r="2937" spans="1:6">
      <c r="A2937" t="s">
        <v>9604</v>
      </c>
      <c r="B2937">
        <v>8737</v>
      </c>
      <c r="C2937" t="s">
        <v>9674</v>
      </c>
      <c r="D2937" t="s">
        <v>9605</v>
      </c>
      <c r="E2937" t="s">
        <v>9826</v>
      </c>
      <c r="F2937" t="s">
        <v>5606</v>
      </c>
    </row>
    <row r="2938" spans="1:6">
      <c r="A2938" t="s">
        <v>9604</v>
      </c>
      <c r="B2938">
        <v>7917</v>
      </c>
      <c r="C2938" t="s">
        <v>9674</v>
      </c>
      <c r="D2938" t="s">
        <v>9605</v>
      </c>
      <c r="E2938" t="s">
        <v>9826</v>
      </c>
      <c r="F2938" t="s">
        <v>5606</v>
      </c>
    </row>
    <row r="2939" spans="1:6">
      <c r="A2939" t="s">
        <v>9604</v>
      </c>
      <c r="B2939">
        <v>7903</v>
      </c>
      <c r="C2939" t="s">
        <v>9674</v>
      </c>
      <c r="D2939" t="s">
        <v>9605</v>
      </c>
      <c r="E2939" t="s">
        <v>9826</v>
      </c>
      <c r="F2939" t="s">
        <v>5606</v>
      </c>
    </row>
    <row r="2940" spans="1:6">
      <c r="A2940" t="s">
        <v>9604</v>
      </c>
      <c r="B2940">
        <v>5455</v>
      </c>
      <c r="C2940" t="s">
        <v>9674</v>
      </c>
      <c r="D2940" t="s">
        <v>9605</v>
      </c>
      <c r="E2940" t="s">
        <v>9826</v>
      </c>
      <c r="F2940" t="s">
        <v>5606</v>
      </c>
    </row>
    <row r="2941" spans="1:6">
      <c r="A2941" t="s">
        <v>9604</v>
      </c>
      <c r="B2941">
        <v>5456</v>
      </c>
      <c r="C2941" t="s">
        <v>9674</v>
      </c>
      <c r="D2941" t="s">
        <v>9605</v>
      </c>
      <c r="E2941" t="s">
        <v>9826</v>
      </c>
      <c r="F2941" t="s">
        <v>5606</v>
      </c>
    </row>
    <row r="2942" spans="1:6">
      <c r="A2942" t="s">
        <v>9604</v>
      </c>
      <c r="B2942">
        <v>6391</v>
      </c>
      <c r="C2942" t="s">
        <v>9674</v>
      </c>
      <c r="D2942" t="s">
        <v>9605</v>
      </c>
      <c r="E2942" t="s">
        <v>9826</v>
      </c>
      <c r="F2942" t="s">
        <v>5606</v>
      </c>
    </row>
    <row r="2943" spans="1:6">
      <c r="A2943" t="s">
        <v>9604</v>
      </c>
      <c r="B2943">
        <v>7912</v>
      </c>
      <c r="C2943" t="s">
        <v>9674</v>
      </c>
      <c r="D2943" t="s">
        <v>9605</v>
      </c>
      <c r="E2943" t="s">
        <v>9826</v>
      </c>
      <c r="F2943" t="s">
        <v>5606</v>
      </c>
    </row>
    <row r="2944" spans="1:6">
      <c r="A2944" t="s">
        <v>9604</v>
      </c>
      <c r="B2944">
        <v>7913</v>
      </c>
      <c r="C2944" t="s">
        <v>9674</v>
      </c>
      <c r="D2944" t="s">
        <v>9605</v>
      </c>
      <c r="E2944" t="s">
        <v>9826</v>
      </c>
      <c r="F2944" t="s">
        <v>5606</v>
      </c>
    </row>
    <row r="2945" spans="1:6">
      <c r="A2945" t="s">
        <v>9604</v>
      </c>
      <c r="B2945">
        <v>7918</v>
      </c>
      <c r="C2945" t="s">
        <v>9674</v>
      </c>
      <c r="D2945" t="s">
        <v>9605</v>
      </c>
      <c r="E2945" t="s">
        <v>9826</v>
      </c>
      <c r="F2945" t="s">
        <v>5606</v>
      </c>
    </row>
    <row r="2946" spans="1:6">
      <c r="A2946" t="s">
        <v>9604</v>
      </c>
      <c r="B2946">
        <v>7919</v>
      </c>
      <c r="C2946" t="s">
        <v>9674</v>
      </c>
      <c r="D2946" t="s">
        <v>9605</v>
      </c>
      <c r="E2946" t="s">
        <v>9826</v>
      </c>
      <c r="F2946" t="s">
        <v>5606</v>
      </c>
    </row>
    <row r="2947" spans="1:6">
      <c r="A2947" t="s">
        <v>9604</v>
      </c>
      <c r="B2947">
        <v>8685</v>
      </c>
      <c r="C2947" t="s">
        <v>9674</v>
      </c>
      <c r="D2947" t="s">
        <v>9605</v>
      </c>
      <c r="E2947" t="s">
        <v>9826</v>
      </c>
      <c r="F2947" t="s">
        <v>5606</v>
      </c>
    </row>
    <row r="2948" spans="1:6">
      <c r="A2948" t="s">
        <v>9604</v>
      </c>
      <c r="B2948">
        <v>8686</v>
      </c>
      <c r="C2948" t="s">
        <v>9674</v>
      </c>
      <c r="D2948" t="s">
        <v>9605</v>
      </c>
      <c r="E2948" t="s">
        <v>9826</v>
      </c>
      <c r="F2948" t="s">
        <v>5606</v>
      </c>
    </row>
    <row r="2949" spans="1:6">
      <c r="A2949" t="s">
        <v>9604</v>
      </c>
      <c r="B2949">
        <v>8861</v>
      </c>
      <c r="C2949" t="s">
        <v>9674</v>
      </c>
      <c r="D2949" t="s">
        <v>9605</v>
      </c>
      <c r="E2949" t="s">
        <v>9826</v>
      </c>
      <c r="F2949" t="s">
        <v>5606</v>
      </c>
    </row>
    <row r="2950" spans="1:6">
      <c r="A2950" t="s">
        <v>9604</v>
      </c>
      <c r="B2950">
        <v>8862</v>
      </c>
      <c r="C2950" t="s">
        <v>9674</v>
      </c>
      <c r="D2950" t="s">
        <v>9605</v>
      </c>
      <c r="E2950" t="s">
        <v>9826</v>
      </c>
      <c r="F2950" t="s">
        <v>5606</v>
      </c>
    </row>
    <row r="2951" spans="1:6">
      <c r="A2951" t="s">
        <v>9604</v>
      </c>
      <c r="B2951">
        <v>8863</v>
      </c>
      <c r="C2951" t="s">
        <v>9674</v>
      </c>
      <c r="D2951" t="s">
        <v>9605</v>
      </c>
      <c r="E2951" t="s">
        <v>9826</v>
      </c>
      <c r="F2951" t="s">
        <v>5606</v>
      </c>
    </row>
    <row r="2952" spans="1:6">
      <c r="A2952" t="s">
        <v>9604</v>
      </c>
      <c r="B2952">
        <v>8683</v>
      </c>
      <c r="C2952" t="s">
        <v>9674</v>
      </c>
      <c r="D2952" t="s">
        <v>9605</v>
      </c>
      <c r="E2952" t="s">
        <v>9826</v>
      </c>
      <c r="F2952" t="s">
        <v>5606</v>
      </c>
    </row>
    <row r="2953" spans="1:6">
      <c r="A2953" t="s">
        <v>9604</v>
      </c>
      <c r="B2953">
        <v>8687</v>
      </c>
      <c r="C2953" t="s">
        <v>9674</v>
      </c>
      <c r="D2953" t="s">
        <v>9605</v>
      </c>
      <c r="E2953" t="s">
        <v>9826</v>
      </c>
      <c r="F2953" t="s">
        <v>5606</v>
      </c>
    </row>
    <row r="2954" spans="1:6">
      <c r="A2954" t="s">
        <v>9604</v>
      </c>
      <c r="B2954">
        <v>8870</v>
      </c>
      <c r="C2954" t="s">
        <v>9674</v>
      </c>
      <c r="D2954" t="s">
        <v>9605</v>
      </c>
      <c r="E2954" t="s">
        <v>9826</v>
      </c>
      <c r="F2954" t="s">
        <v>5606</v>
      </c>
    </row>
    <row r="2955" spans="1:6">
      <c r="A2955" t="s">
        <v>9604</v>
      </c>
      <c r="B2955">
        <v>8688</v>
      </c>
      <c r="C2955" t="s">
        <v>9674</v>
      </c>
      <c r="D2955" t="s">
        <v>9605</v>
      </c>
      <c r="E2955" t="s">
        <v>9826</v>
      </c>
      <c r="F2955" t="s">
        <v>5606</v>
      </c>
    </row>
    <row r="2956" spans="1:6">
      <c r="A2956" t="s">
        <v>9604</v>
      </c>
      <c r="B2956">
        <v>8855</v>
      </c>
      <c r="C2956" t="s">
        <v>9674</v>
      </c>
      <c r="D2956" t="s">
        <v>9605</v>
      </c>
      <c r="E2956" t="s">
        <v>9826</v>
      </c>
      <c r="F2956" t="s">
        <v>5606</v>
      </c>
    </row>
    <row r="2957" spans="1:6">
      <c r="A2957" t="s">
        <v>9604</v>
      </c>
      <c r="B2957">
        <v>8872</v>
      </c>
      <c r="C2957" t="s">
        <v>9674</v>
      </c>
      <c r="D2957" t="s">
        <v>9605</v>
      </c>
      <c r="E2957" t="s">
        <v>9826</v>
      </c>
      <c r="F2957" t="s">
        <v>5606</v>
      </c>
    </row>
    <row r="2958" spans="1:6">
      <c r="A2958" t="s">
        <v>9604</v>
      </c>
      <c r="B2958">
        <v>8874</v>
      </c>
      <c r="C2958" t="s">
        <v>9674</v>
      </c>
      <c r="D2958" t="s">
        <v>9605</v>
      </c>
      <c r="E2958" t="s">
        <v>9826</v>
      </c>
      <c r="F2958" t="s">
        <v>5606</v>
      </c>
    </row>
    <row r="2959" spans="1:6">
      <c r="A2959" t="s">
        <v>9604</v>
      </c>
      <c r="B2959">
        <v>6385</v>
      </c>
      <c r="C2959" t="s">
        <v>9674</v>
      </c>
      <c r="D2959" t="s">
        <v>9605</v>
      </c>
      <c r="E2959" t="s">
        <v>9826</v>
      </c>
      <c r="F2959" t="s">
        <v>5606</v>
      </c>
    </row>
    <row r="2960" spans="1:6">
      <c r="A2960" t="s">
        <v>9604</v>
      </c>
      <c r="B2960">
        <v>6386</v>
      </c>
      <c r="C2960" t="s">
        <v>9674</v>
      </c>
      <c r="D2960" t="s">
        <v>9605</v>
      </c>
      <c r="E2960" t="s">
        <v>9826</v>
      </c>
      <c r="F2960" t="s">
        <v>5606</v>
      </c>
    </row>
    <row r="2961" spans="1:6">
      <c r="A2961" t="s">
        <v>9604</v>
      </c>
      <c r="B2961">
        <v>6388</v>
      </c>
      <c r="C2961" t="s">
        <v>9674</v>
      </c>
      <c r="D2961" t="s">
        <v>9605</v>
      </c>
      <c r="E2961" t="s">
        <v>9826</v>
      </c>
      <c r="F2961" t="s">
        <v>5606</v>
      </c>
    </row>
    <row r="2962" spans="1:6">
      <c r="A2962" t="s">
        <v>9604</v>
      </c>
      <c r="B2962">
        <v>6389</v>
      </c>
      <c r="C2962" t="s">
        <v>9674</v>
      </c>
      <c r="D2962" t="s">
        <v>9605</v>
      </c>
      <c r="E2962" t="s">
        <v>9826</v>
      </c>
      <c r="F2962" t="s">
        <v>5606</v>
      </c>
    </row>
    <row r="2963" spans="1:6">
      <c r="A2963" t="s">
        <v>9604</v>
      </c>
      <c r="B2963">
        <v>6390</v>
      </c>
      <c r="C2963" t="s">
        <v>9674</v>
      </c>
      <c r="D2963" t="s">
        <v>9605</v>
      </c>
      <c r="E2963" t="s">
        <v>9826</v>
      </c>
      <c r="F2963" t="s">
        <v>5606</v>
      </c>
    </row>
    <row r="2964" spans="1:6">
      <c r="A2964" t="s">
        <v>9604</v>
      </c>
      <c r="B2964">
        <v>7321</v>
      </c>
      <c r="C2964" t="s">
        <v>9674</v>
      </c>
      <c r="D2964" t="s">
        <v>9605</v>
      </c>
      <c r="E2964" t="s">
        <v>9826</v>
      </c>
      <c r="F2964" t="s">
        <v>5606</v>
      </c>
    </row>
    <row r="2965" spans="1:6">
      <c r="A2965" t="s">
        <v>9604</v>
      </c>
      <c r="B2965">
        <v>7831</v>
      </c>
      <c r="C2965" t="s">
        <v>9674</v>
      </c>
      <c r="D2965" t="s">
        <v>9605</v>
      </c>
      <c r="E2965" t="s">
        <v>9826</v>
      </c>
      <c r="F2965" t="s">
        <v>5606</v>
      </c>
    </row>
    <row r="2966" spans="1:6">
      <c r="A2966" t="s">
        <v>9604</v>
      </c>
      <c r="B2966">
        <v>7832</v>
      </c>
      <c r="C2966" t="s">
        <v>9674</v>
      </c>
      <c r="D2966" t="s">
        <v>9605</v>
      </c>
      <c r="E2966" t="s">
        <v>9826</v>
      </c>
      <c r="F2966" t="s">
        <v>5606</v>
      </c>
    </row>
    <row r="2967" spans="1:6">
      <c r="A2967" t="s">
        <v>9604</v>
      </c>
      <c r="B2967">
        <v>7833</v>
      </c>
      <c r="C2967" t="s">
        <v>9674</v>
      </c>
      <c r="D2967" t="s">
        <v>9605</v>
      </c>
      <c r="E2967" t="s">
        <v>9826</v>
      </c>
      <c r="F2967" t="s">
        <v>5606</v>
      </c>
    </row>
    <row r="2968" spans="1:6">
      <c r="A2968" t="s">
        <v>9604</v>
      </c>
      <c r="B2968">
        <v>7834</v>
      </c>
      <c r="C2968" t="s">
        <v>9674</v>
      </c>
      <c r="D2968" t="s">
        <v>9605</v>
      </c>
      <c r="E2968" t="s">
        <v>9826</v>
      </c>
      <c r="F2968" t="s">
        <v>5606</v>
      </c>
    </row>
    <row r="2969" spans="1:6">
      <c r="A2969" t="s">
        <v>9604</v>
      </c>
      <c r="B2969">
        <v>8722</v>
      </c>
      <c r="C2969" t="s">
        <v>9674</v>
      </c>
      <c r="D2969" t="s">
        <v>9605</v>
      </c>
      <c r="E2969" t="s">
        <v>9826</v>
      </c>
      <c r="F2969" t="s">
        <v>5606</v>
      </c>
    </row>
    <row r="2970" spans="1:6">
      <c r="A2970" t="s">
        <v>9604</v>
      </c>
      <c r="B2970">
        <v>8733</v>
      </c>
      <c r="C2970" t="s">
        <v>9674</v>
      </c>
      <c r="D2970" t="s">
        <v>9605</v>
      </c>
      <c r="E2970" t="s">
        <v>9826</v>
      </c>
      <c r="F2970" t="s">
        <v>5606</v>
      </c>
    </row>
    <row r="2971" spans="1:6">
      <c r="A2971" t="s">
        <v>9604</v>
      </c>
      <c r="B2971">
        <v>8752</v>
      </c>
      <c r="C2971" t="s">
        <v>9674</v>
      </c>
      <c r="D2971" t="s">
        <v>9605</v>
      </c>
      <c r="E2971" t="s">
        <v>9826</v>
      </c>
      <c r="F2971" t="s">
        <v>5606</v>
      </c>
    </row>
    <row r="2972" spans="1:6">
      <c r="A2972" t="s">
        <v>9604</v>
      </c>
      <c r="B2972">
        <v>6205</v>
      </c>
      <c r="C2972" t="s">
        <v>9674</v>
      </c>
      <c r="D2972" t="s">
        <v>9605</v>
      </c>
      <c r="E2972" t="s">
        <v>9826</v>
      </c>
      <c r="F2972" t="s">
        <v>5606</v>
      </c>
    </row>
    <row r="2973" spans="1:6">
      <c r="A2973" t="s">
        <v>9604</v>
      </c>
      <c r="B2973">
        <v>7163</v>
      </c>
      <c r="C2973" t="s">
        <v>9674</v>
      </c>
      <c r="D2973" t="s">
        <v>9605</v>
      </c>
      <c r="E2973" t="s">
        <v>9826</v>
      </c>
      <c r="F2973" t="s">
        <v>5606</v>
      </c>
    </row>
    <row r="2974" spans="1:6">
      <c r="A2974" t="s">
        <v>9604</v>
      </c>
      <c r="B2974">
        <v>8877</v>
      </c>
      <c r="C2974" t="s">
        <v>9674</v>
      </c>
      <c r="D2974" t="s">
        <v>9605</v>
      </c>
      <c r="E2974" t="s">
        <v>9826</v>
      </c>
      <c r="F2974" t="s">
        <v>5606</v>
      </c>
    </row>
    <row r="2975" spans="1:6">
      <c r="A2975" t="s">
        <v>9604</v>
      </c>
      <c r="B2975">
        <v>7164</v>
      </c>
      <c r="C2975" t="s">
        <v>9674</v>
      </c>
      <c r="D2975" t="s">
        <v>9605</v>
      </c>
      <c r="E2975" t="s">
        <v>9826</v>
      </c>
      <c r="F2975" t="s">
        <v>5606</v>
      </c>
    </row>
    <row r="2976" spans="1:6">
      <c r="A2976" t="s">
        <v>9604</v>
      </c>
      <c r="B2976">
        <v>8865</v>
      </c>
      <c r="C2976" t="s">
        <v>9674</v>
      </c>
      <c r="D2976" t="s">
        <v>9605</v>
      </c>
      <c r="E2976" t="s">
        <v>9826</v>
      </c>
      <c r="F2976" t="s">
        <v>5606</v>
      </c>
    </row>
    <row r="2977" spans="1:6">
      <c r="A2977" t="s">
        <v>9604</v>
      </c>
      <c r="B2977">
        <v>8866</v>
      </c>
      <c r="C2977" t="s">
        <v>9674</v>
      </c>
      <c r="D2977" t="s">
        <v>9605</v>
      </c>
      <c r="E2977" t="s">
        <v>9826</v>
      </c>
      <c r="F2977" t="s">
        <v>5606</v>
      </c>
    </row>
    <row r="2978" spans="1:6">
      <c r="A2978" t="s">
        <v>9604</v>
      </c>
      <c r="B2978">
        <v>8864</v>
      </c>
      <c r="C2978" t="s">
        <v>9674</v>
      </c>
      <c r="D2978" t="s">
        <v>9605</v>
      </c>
      <c r="E2978" t="s">
        <v>9826</v>
      </c>
      <c r="F2978" t="s">
        <v>5606</v>
      </c>
    </row>
    <row r="2979" spans="1:6">
      <c r="A2979" t="s">
        <v>9604</v>
      </c>
      <c r="B2979">
        <v>7141</v>
      </c>
      <c r="C2979" t="s">
        <v>9674</v>
      </c>
      <c r="D2979" t="s">
        <v>9605</v>
      </c>
      <c r="E2979" t="s">
        <v>9826</v>
      </c>
      <c r="F2979" t="s">
        <v>5606</v>
      </c>
    </row>
    <row r="2980" spans="1:6">
      <c r="A2980" t="s">
        <v>9604</v>
      </c>
      <c r="B2980">
        <v>7143</v>
      </c>
      <c r="C2980" t="s">
        <v>9674</v>
      </c>
      <c r="D2980" t="s">
        <v>9605</v>
      </c>
      <c r="E2980" t="s">
        <v>9826</v>
      </c>
      <c r="F2980" t="s">
        <v>5606</v>
      </c>
    </row>
    <row r="2981" spans="1:6">
      <c r="A2981" t="s">
        <v>9604</v>
      </c>
      <c r="B2981">
        <v>7145</v>
      </c>
      <c r="C2981" t="s">
        <v>9674</v>
      </c>
      <c r="D2981" t="s">
        <v>9605</v>
      </c>
      <c r="E2981" t="s">
        <v>9826</v>
      </c>
      <c r="F2981" t="s">
        <v>5606</v>
      </c>
    </row>
    <row r="2982" spans="1:6">
      <c r="A2982" t="s">
        <v>9604</v>
      </c>
      <c r="B2982">
        <v>7147</v>
      </c>
      <c r="C2982" t="s">
        <v>9674</v>
      </c>
      <c r="D2982" t="s">
        <v>9605</v>
      </c>
      <c r="E2982" t="s">
        <v>9826</v>
      </c>
      <c r="F2982" t="s">
        <v>5606</v>
      </c>
    </row>
    <row r="2983" spans="1:6">
      <c r="A2983" t="s">
        <v>9604</v>
      </c>
      <c r="B2983">
        <v>3837</v>
      </c>
      <c r="C2983" t="s">
        <v>9674</v>
      </c>
      <c r="D2983" t="s">
        <v>9605</v>
      </c>
      <c r="E2983" t="s">
        <v>9826</v>
      </c>
      <c r="F2983" t="s">
        <v>5606</v>
      </c>
    </row>
    <row r="2984" spans="1:6">
      <c r="A2984" t="s">
        <v>9604</v>
      </c>
      <c r="B2984">
        <v>8878</v>
      </c>
      <c r="C2984" t="s">
        <v>9674</v>
      </c>
      <c r="D2984" t="s">
        <v>9605</v>
      </c>
      <c r="E2984" t="s">
        <v>9826</v>
      </c>
      <c r="F2984" t="s">
        <v>5606</v>
      </c>
    </row>
    <row r="2985" spans="1:6">
      <c r="A2985" t="s">
        <v>9604</v>
      </c>
      <c r="B2985">
        <v>8879</v>
      </c>
      <c r="C2985" t="s">
        <v>9674</v>
      </c>
      <c r="D2985" t="s">
        <v>9605</v>
      </c>
      <c r="E2985" t="s">
        <v>9826</v>
      </c>
      <c r="F2985" t="s">
        <v>5606</v>
      </c>
    </row>
    <row r="2986" spans="1:6">
      <c r="A2986" t="s">
        <v>9604</v>
      </c>
      <c r="B2986">
        <v>7233</v>
      </c>
      <c r="C2986" t="s">
        <v>9674</v>
      </c>
      <c r="D2986" t="s">
        <v>9605</v>
      </c>
      <c r="E2986" t="s">
        <v>9826</v>
      </c>
      <c r="F2986" t="s">
        <v>5606</v>
      </c>
    </row>
    <row r="2987" spans="1:6">
      <c r="A2987" t="s">
        <v>9604</v>
      </c>
      <c r="B2987">
        <v>5464</v>
      </c>
      <c r="C2987" t="s">
        <v>9674</v>
      </c>
      <c r="D2987" t="s">
        <v>9605</v>
      </c>
      <c r="E2987" t="s">
        <v>9826</v>
      </c>
      <c r="F2987" t="s">
        <v>5606</v>
      </c>
    </row>
    <row r="2988" spans="1:6">
      <c r="A2988" t="s">
        <v>9604</v>
      </c>
      <c r="B2988">
        <v>9532</v>
      </c>
      <c r="C2988" t="s">
        <v>9674</v>
      </c>
      <c r="D2988" t="s">
        <v>9605</v>
      </c>
      <c r="E2988" t="s">
        <v>9826</v>
      </c>
      <c r="F2988" t="s">
        <v>5606</v>
      </c>
    </row>
    <row r="2989" spans="1:6">
      <c r="A2989" t="s">
        <v>9604</v>
      </c>
      <c r="B2989">
        <v>5465</v>
      </c>
      <c r="C2989" t="s">
        <v>9674</v>
      </c>
      <c r="D2989" t="s">
        <v>9605</v>
      </c>
      <c r="E2989" t="s">
        <v>9826</v>
      </c>
      <c r="F2989" t="s">
        <v>5606</v>
      </c>
    </row>
    <row r="2990" spans="1:6">
      <c r="A2990" t="s">
        <v>9604</v>
      </c>
      <c r="B2990">
        <v>5456</v>
      </c>
      <c r="C2990" t="s">
        <v>9674</v>
      </c>
      <c r="D2990" t="s">
        <v>9605</v>
      </c>
      <c r="E2990" t="s">
        <v>9826</v>
      </c>
      <c r="F2990" t="s">
        <v>5606</v>
      </c>
    </row>
    <row r="2991" spans="1:6">
      <c r="A2991" t="s">
        <v>9604</v>
      </c>
      <c r="B2991">
        <v>7148</v>
      </c>
      <c r="C2991" t="s">
        <v>9674</v>
      </c>
      <c r="D2991" t="s">
        <v>9605</v>
      </c>
      <c r="E2991" t="s">
        <v>9826</v>
      </c>
      <c r="F2991" t="s">
        <v>5606</v>
      </c>
    </row>
    <row r="2992" spans="1:6">
      <c r="A2992" t="s">
        <v>9604</v>
      </c>
      <c r="B2992">
        <v>7385</v>
      </c>
      <c r="C2992" t="s">
        <v>9674</v>
      </c>
      <c r="D2992" t="s">
        <v>9605</v>
      </c>
      <c r="E2992" t="s">
        <v>9826</v>
      </c>
      <c r="F2992" t="s">
        <v>5606</v>
      </c>
    </row>
    <row r="2993" spans="1:6">
      <c r="A2993" t="s">
        <v>9604</v>
      </c>
      <c r="B2993">
        <v>7162</v>
      </c>
      <c r="C2993" t="s">
        <v>9674</v>
      </c>
      <c r="D2993" t="s">
        <v>9605</v>
      </c>
      <c r="E2993" t="s">
        <v>9826</v>
      </c>
      <c r="F2993" t="s">
        <v>5606</v>
      </c>
    </row>
    <row r="2994" spans="1:6">
      <c r="A2994" t="s">
        <v>9604</v>
      </c>
      <c r="B2994">
        <v>6241</v>
      </c>
      <c r="C2994" t="s">
        <v>9674</v>
      </c>
      <c r="D2994" t="s">
        <v>9605</v>
      </c>
      <c r="E2994" t="s">
        <v>9826</v>
      </c>
      <c r="F2994" t="s">
        <v>5606</v>
      </c>
    </row>
    <row r="2995" spans="1:6">
      <c r="A2995" t="s">
        <v>9604</v>
      </c>
      <c r="B2995">
        <v>8835</v>
      </c>
      <c r="C2995" t="s">
        <v>9674</v>
      </c>
      <c r="D2995" t="s">
        <v>9607</v>
      </c>
      <c r="E2995" t="s">
        <v>9827</v>
      </c>
      <c r="F2995" t="s">
        <v>5606</v>
      </c>
    </row>
    <row r="2996" spans="1:6">
      <c r="A2996" t="s">
        <v>9604</v>
      </c>
      <c r="B2996">
        <v>8848</v>
      </c>
      <c r="C2996" t="s">
        <v>9674</v>
      </c>
      <c r="D2996" t="s">
        <v>9607</v>
      </c>
      <c r="E2996" t="s">
        <v>9827</v>
      </c>
      <c r="F2996" t="s">
        <v>5606</v>
      </c>
    </row>
    <row r="2997" spans="1:6">
      <c r="A2997" t="s">
        <v>9604</v>
      </c>
      <c r="B2997">
        <v>7992</v>
      </c>
      <c r="C2997" t="s">
        <v>9674</v>
      </c>
      <c r="D2997" t="s">
        <v>9607</v>
      </c>
      <c r="E2997" t="s">
        <v>9827</v>
      </c>
      <c r="F2997" t="s">
        <v>5606</v>
      </c>
    </row>
    <row r="2998" spans="1:6">
      <c r="A2998" t="s">
        <v>9604</v>
      </c>
      <c r="B2998">
        <v>8830</v>
      </c>
      <c r="C2998" t="s">
        <v>9674</v>
      </c>
      <c r="D2998" t="s">
        <v>9607</v>
      </c>
      <c r="E2998" t="s">
        <v>9827</v>
      </c>
      <c r="F2998" t="s">
        <v>5606</v>
      </c>
    </row>
    <row r="2999" spans="1:6">
      <c r="A2999" t="s">
        <v>9604</v>
      </c>
      <c r="B2999">
        <v>8837</v>
      </c>
      <c r="C2999" t="s">
        <v>9674</v>
      </c>
      <c r="D2999" t="s">
        <v>9607</v>
      </c>
      <c r="E2999" t="s">
        <v>9827</v>
      </c>
      <c r="F2999" t="s">
        <v>5606</v>
      </c>
    </row>
    <row r="3000" spans="1:6">
      <c r="A3000" t="s">
        <v>9604</v>
      </c>
      <c r="B3000">
        <v>8827</v>
      </c>
      <c r="C3000" t="s">
        <v>9674</v>
      </c>
      <c r="D3000" t="s">
        <v>9607</v>
      </c>
      <c r="E3000" t="s">
        <v>9827</v>
      </c>
      <c r="F3000" t="s">
        <v>5606</v>
      </c>
    </row>
    <row r="3001" spans="1:6">
      <c r="A3001" t="s">
        <v>9604</v>
      </c>
      <c r="B3001">
        <v>8670</v>
      </c>
      <c r="C3001" t="s">
        <v>9674</v>
      </c>
      <c r="D3001" t="s">
        <v>9607</v>
      </c>
      <c r="E3001" t="s">
        <v>9827</v>
      </c>
      <c r="F3001" t="s">
        <v>5606</v>
      </c>
    </row>
    <row r="3002" spans="1:6">
      <c r="A3002" t="s">
        <v>9604</v>
      </c>
      <c r="B3002">
        <v>7977</v>
      </c>
      <c r="C3002" t="s">
        <v>9674</v>
      </c>
      <c r="D3002" t="s">
        <v>9607</v>
      </c>
      <c r="E3002" t="s">
        <v>9827</v>
      </c>
      <c r="F3002" t="s">
        <v>5606</v>
      </c>
    </row>
    <row r="3003" spans="1:6">
      <c r="A3003" t="s">
        <v>9604</v>
      </c>
      <c r="B3003">
        <v>7839</v>
      </c>
      <c r="C3003" t="s">
        <v>9674</v>
      </c>
      <c r="D3003" t="s">
        <v>9607</v>
      </c>
      <c r="E3003" t="s">
        <v>9827</v>
      </c>
      <c r="F3003" t="s">
        <v>5606</v>
      </c>
    </row>
    <row r="3004" spans="1:6">
      <c r="A3004" t="s">
        <v>9604</v>
      </c>
      <c r="B3004">
        <v>7380</v>
      </c>
      <c r="C3004" t="s">
        <v>9674</v>
      </c>
      <c r="D3004" t="s">
        <v>9607</v>
      </c>
      <c r="E3004" t="s">
        <v>9827</v>
      </c>
      <c r="F3004" t="s">
        <v>5606</v>
      </c>
    </row>
    <row r="3005" spans="1:6">
      <c r="A3005" t="s">
        <v>9604</v>
      </c>
      <c r="B3005">
        <v>7383</v>
      </c>
      <c r="C3005" t="s">
        <v>9674</v>
      </c>
      <c r="D3005" t="s">
        <v>9607</v>
      </c>
      <c r="E3005" t="s">
        <v>9827</v>
      </c>
      <c r="F3005" t="s">
        <v>5606</v>
      </c>
    </row>
    <row r="3006" spans="1:6">
      <c r="A3006" t="s">
        <v>9604</v>
      </c>
      <c r="B3006">
        <v>7160</v>
      </c>
      <c r="C3006" t="s">
        <v>9674</v>
      </c>
      <c r="D3006" t="s">
        <v>9607</v>
      </c>
      <c r="E3006" t="s">
        <v>9827</v>
      </c>
      <c r="F3006" t="s">
        <v>5606</v>
      </c>
    </row>
    <row r="3007" spans="1:6">
      <c r="A3007" t="s">
        <v>9604</v>
      </c>
      <c r="B3007">
        <v>7946</v>
      </c>
      <c r="C3007" t="s">
        <v>9674</v>
      </c>
      <c r="D3007" t="s">
        <v>9607</v>
      </c>
      <c r="E3007" t="s">
        <v>9827</v>
      </c>
      <c r="F3007" t="s">
        <v>5606</v>
      </c>
    </row>
    <row r="3008" spans="1:6">
      <c r="A3008" t="s">
        <v>9604</v>
      </c>
      <c r="B3008">
        <v>7978</v>
      </c>
      <c r="C3008" t="s">
        <v>9674</v>
      </c>
      <c r="D3008" t="s">
        <v>9607</v>
      </c>
      <c r="E3008" t="s">
        <v>9827</v>
      </c>
      <c r="F3008" t="s">
        <v>5606</v>
      </c>
    </row>
    <row r="3009" spans="1:6">
      <c r="A3009" t="s">
        <v>9604</v>
      </c>
      <c r="B3009">
        <v>7944</v>
      </c>
      <c r="C3009" t="s">
        <v>9674</v>
      </c>
      <c r="D3009" t="s">
        <v>9607</v>
      </c>
      <c r="E3009" t="s">
        <v>9827</v>
      </c>
      <c r="F3009" t="s">
        <v>5606</v>
      </c>
    </row>
    <row r="3010" spans="1:6">
      <c r="A3010" t="s">
        <v>9604</v>
      </c>
      <c r="B3010">
        <v>7914</v>
      </c>
      <c r="C3010" t="s">
        <v>9674</v>
      </c>
      <c r="D3010" t="s">
        <v>9607</v>
      </c>
      <c r="E3010" t="s">
        <v>9827</v>
      </c>
      <c r="F3010" t="s">
        <v>5606</v>
      </c>
    </row>
    <row r="3011" spans="1:6">
      <c r="A3011" t="s">
        <v>9604</v>
      </c>
      <c r="B3011">
        <v>7942</v>
      </c>
      <c r="C3011" t="s">
        <v>9674</v>
      </c>
      <c r="D3011" t="s">
        <v>9607</v>
      </c>
      <c r="E3011" t="s">
        <v>9827</v>
      </c>
      <c r="F3011" t="s">
        <v>5606</v>
      </c>
    </row>
    <row r="3012" spans="1:6">
      <c r="A3012" t="s">
        <v>9604</v>
      </c>
      <c r="B3012">
        <v>7376</v>
      </c>
      <c r="C3012" t="s">
        <v>9674</v>
      </c>
      <c r="D3012" t="s">
        <v>9607</v>
      </c>
      <c r="E3012" t="s">
        <v>9827</v>
      </c>
      <c r="F3012" t="s">
        <v>5606</v>
      </c>
    </row>
    <row r="3013" spans="1:6">
      <c r="A3013" t="s">
        <v>9604</v>
      </c>
      <c r="B3013">
        <v>7377</v>
      </c>
      <c r="C3013" t="s">
        <v>9674</v>
      </c>
      <c r="D3013" t="s">
        <v>9607</v>
      </c>
      <c r="E3013" t="s">
        <v>9827</v>
      </c>
      <c r="F3013" t="s">
        <v>5606</v>
      </c>
    </row>
    <row r="3014" spans="1:6">
      <c r="A3014" t="s">
        <v>9604</v>
      </c>
      <c r="B3014">
        <v>7158</v>
      </c>
      <c r="C3014" t="s">
        <v>9674</v>
      </c>
      <c r="D3014" t="s">
        <v>9607</v>
      </c>
      <c r="E3014" t="s">
        <v>9827</v>
      </c>
      <c r="F3014" t="s">
        <v>5606</v>
      </c>
    </row>
    <row r="3015" spans="1:6">
      <c r="A3015" t="s">
        <v>9604</v>
      </c>
      <c r="B3015">
        <v>7979</v>
      </c>
      <c r="C3015" t="s">
        <v>9674</v>
      </c>
      <c r="D3015" t="s">
        <v>9607</v>
      </c>
      <c r="E3015" t="s">
        <v>9827</v>
      </c>
      <c r="F3015" t="s">
        <v>5606</v>
      </c>
    </row>
    <row r="3016" spans="1:6">
      <c r="A3016" t="s">
        <v>9604</v>
      </c>
      <c r="B3016">
        <v>7947</v>
      </c>
      <c r="C3016" t="s">
        <v>9674</v>
      </c>
      <c r="D3016" t="s">
        <v>9607</v>
      </c>
      <c r="E3016" t="s">
        <v>9827</v>
      </c>
      <c r="F3016" t="s">
        <v>5606</v>
      </c>
    </row>
    <row r="3017" spans="1:6">
      <c r="A3017" t="s">
        <v>9604</v>
      </c>
      <c r="B3017">
        <v>5454</v>
      </c>
      <c r="C3017" t="s">
        <v>9674</v>
      </c>
      <c r="D3017" t="s">
        <v>9607</v>
      </c>
      <c r="E3017" t="s">
        <v>9827</v>
      </c>
      <c r="F3017" t="s">
        <v>5606</v>
      </c>
    </row>
    <row r="3018" spans="1:6">
      <c r="A3018" t="s">
        <v>9604</v>
      </c>
      <c r="B3018">
        <v>7945</v>
      </c>
      <c r="C3018" t="s">
        <v>9674</v>
      </c>
      <c r="D3018" t="s">
        <v>9607</v>
      </c>
      <c r="E3018" t="s">
        <v>9827</v>
      </c>
      <c r="F3018" t="s">
        <v>5606</v>
      </c>
    </row>
    <row r="3019" spans="1:6">
      <c r="A3019" t="s">
        <v>9604</v>
      </c>
      <c r="B3019">
        <v>7949</v>
      </c>
      <c r="C3019" t="s">
        <v>9674</v>
      </c>
      <c r="D3019" t="s">
        <v>9607</v>
      </c>
      <c r="E3019" t="s">
        <v>9827</v>
      </c>
      <c r="F3019" t="s">
        <v>5606</v>
      </c>
    </row>
    <row r="3020" spans="1:6">
      <c r="A3020" t="s">
        <v>9604</v>
      </c>
      <c r="B3020">
        <v>5460</v>
      </c>
      <c r="C3020" t="s">
        <v>9674</v>
      </c>
      <c r="D3020" t="s">
        <v>9607</v>
      </c>
      <c r="E3020" t="s">
        <v>9827</v>
      </c>
      <c r="F3020" t="s">
        <v>5606</v>
      </c>
    </row>
    <row r="3021" spans="1:6">
      <c r="A3021" t="s">
        <v>9604</v>
      </c>
      <c r="B3021">
        <v>5466</v>
      </c>
      <c r="C3021" t="s">
        <v>9674</v>
      </c>
      <c r="D3021" t="s">
        <v>9607</v>
      </c>
      <c r="E3021" t="s">
        <v>9827</v>
      </c>
      <c r="F3021" t="s">
        <v>5606</v>
      </c>
    </row>
    <row r="3022" spans="1:6">
      <c r="A3022" t="s">
        <v>9604</v>
      </c>
      <c r="B3022">
        <v>7915</v>
      </c>
      <c r="C3022" t="s">
        <v>9674</v>
      </c>
      <c r="D3022" t="s">
        <v>9607</v>
      </c>
      <c r="E3022" t="s">
        <v>9827</v>
      </c>
      <c r="F3022" t="s">
        <v>5606</v>
      </c>
    </row>
    <row r="3023" spans="1:6">
      <c r="A3023" t="s">
        <v>9604</v>
      </c>
      <c r="B3023">
        <v>7980</v>
      </c>
      <c r="C3023" t="s">
        <v>9674</v>
      </c>
      <c r="D3023" t="s">
        <v>9607</v>
      </c>
      <c r="E3023" t="s">
        <v>9827</v>
      </c>
      <c r="F3023" t="s">
        <v>5606</v>
      </c>
    </row>
    <row r="3024" spans="1:6">
      <c r="A3024" t="s">
        <v>9604</v>
      </c>
      <c r="B3024">
        <v>6630</v>
      </c>
      <c r="C3024" t="s">
        <v>9674</v>
      </c>
      <c r="D3024" t="s">
        <v>9607</v>
      </c>
      <c r="E3024" t="s">
        <v>9827</v>
      </c>
      <c r="F3024" t="s">
        <v>5606</v>
      </c>
    </row>
    <row r="3025" spans="1:6">
      <c r="A3025" t="s">
        <v>9604</v>
      </c>
      <c r="B3025">
        <v>7943</v>
      </c>
      <c r="C3025" t="s">
        <v>9674</v>
      </c>
      <c r="D3025" t="s">
        <v>9607</v>
      </c>
      <c r="E3025" t="s">
        <v>9827</v>
      </c>
      <c r="F3025" t="s">
        <v>5606</v>
      </c>
    </row>
    <row r="3026" spans="1:6">
      <c r="A3026" t="s">
        <v>9604</v>
      </c>
      <c r="B3026">
        <v>7985</v>
      </c>
      <c r="C3026" t="s">
        <v>9674</v>
      </c>
      <c r="D3026" t="s">
        <v>9607</v>
      </c>
      <c r="E3026" t="s">
        <v>9827</v>
      </c>
      <c r="F3026" t="s">
        <v>5606</v>
      </c>
    </row>
    <row r="3027" spans="1:6">
      <c r="A3027" t="s">
        <v>9604</v>
      </c>
      <c r="B3027">
        <v>5462</v>
      </c>
      <c r="C3027" t="s">
        <v>9674</v>
      </c>
      <c r="D3027" t="s">
        <v>9607</v>
      </c>
      <c r="E3027" t="s">
        <v>9827</v>
      </c>
      <c r="F3027" t="s">
        <v>5606</v>
      </c>
    </row>
    <row r="3028" spans="1:6">
      <c r="A3028" t="s">
        <v>9604</v>
      </c>
      <c r="B3028">
        <v>5463</v>
      </c>
      <c r="C3028" t="s">
        <v>9674</v>
      </c>
      <c r="D3028" t="s">
        <v>9607</v>
      </c>
      <c r="E3028" t="s">
        <v>9827</v>
      </c>
      <c r="F3028" t="s">
        <v>5606</v>
      </c>
    </row>
    <row r="3029" spans="1:6">
      <c r="A3029" t="s">
        <v>9604</v>
      </c>
      <c r="B3029">
        <v>5495</v>
      </c>
      <c r="C3029" t="s">
        <v>9674</v>
      </c>
      <c r="D3029" t="s">
        <v>9607</v>
      </c>
      <c r="E3029" t="s">
        <v>9827</v>
      </c>
      <c r="F3029" t="s">
        <v>5606</v>
      </c>
    </row>
    <row r="3030" spans="1:6">
      <c r="A3030" t="s">
        <v>9604</v>
      </c>
      <c r="B3030">
        <v>9307</v>
      </c>
      <c r="C3030" t="s">
        <v>9674</v>
      </c>
      <c r="D3030" t="s">
        <v>9607</v>
      </c>
      <c r="E3030" t="s">
        <v>9827</v>
      </c>
      <c r="F3030" t="s">
        <v>5606</v>
      </c>
    </row>
    <row r="3031" spans="1:6">
      <c r="A3031" t="s">
        <v>9604</v>
      </c>
      <c r="B3031">
        <v>9306</v>
      </c>
      <c r="C3031" t="s">
        <v>9674</v>
      </c>
      <c r="D3031" t="s">
        <v>9607</v>
      </c>
      <c r="E3031" t="s">
        <v>9827</v>
      </c>
      <c r="F3031" t="s">
        <v>5606</v>
      </c>
    </row>
    <row r="3032" spans="1:6">
      <c r="A3032" t="s">
        <v>9604</v>
      </c>
      <c r="B3032">
        <v>8655</v>
      </c>
      <c r="C3032" t="s">
        <v>9674</v>
      </c>
      <c r="D3032" t="s">
        <v>9610</v>
      </c>
      <c r="E3032" t="s">
        <v>9828</v>
      </c>
      <c r="F3032" t="s">
        <v>5606</v>
      </c>
    </row>
    <row r="3033" spans="1:6">
      <c r="A3033" t="s">
        <v>9604</v>
      </c>
      <c r="B3033">
        <v>8836</v>
      </c>
      <c r="C3033" t="s">
        <v>9674</v>
      </c>
      <c r="D3033" t="s">
        <v>9610</v>
      </c>
      <c r="E3033" t="s">
        <v>9828</v>
      </c>
      <c r="F3033" t="s">
        <v>5606</v>
      </c>
    </row>
    <row r="3034" spans="1:6">
      <c r="A3034" t="s">
        <v>9604</v>
      </c>
      <c r="B3034">
        <v>8486</v>
      </c>
      <c r="C3034" t="s">
        <v>9674</v>
      </c>
      <c r="D3034" t="s">
        <v>9610</v>
      </c>
      <c r="E3034" t="s">
        <v>9828</v>
      </c>
      <c r="F3034" t="s">
        <v>5606</v>
      </c>
    </row>
    <row r="3035" spans="1:6">
      <c r="A3035" t="s">
        <v>9604</v>
      </c>
      <c r="B3035">
        <v>8478</v>
      </c>
      <c r="C3035" t="s">
        <v>9674</v>
      </c>
      <c r="D3035" t="s">
        <v>9610</v>
      </c>
      <c r="E3035" t="s">
        <v>9828</v>
      </c>
      <c r="F3035" t="s">
        <v>5606</v>
      </c>
    </row>
    <row r="3036" spans="1:6">
      <c r="A3036" t="s">
        <v>9604</v>
      </c>
      <c r="B3036">
        <v>8479</v>
      </c>
      <c r="C3036" t="s">
        <v>9674</v>
      </c>
      <c r="D3036" t="s">
        <v>9610</v>
      </c>
      <c r="E3036" t="s">
        <v>9828</v>
      </c>
      <c r="F3036" t="s">
        <v>5606</v>
      </c>
    </row>
    <row r="3037" spans="1:6">
      <c r="A3037" t="s">
        <v>9604</v>
      </c>
      <c r="B3037">
        <v>8480</v>
      </c>
      <c r="C3037" t="s">
        <v>9674</v>
      </c>
      <c r="D3037" t="s">
        <v>9610</v>
      </c>
      <c r="E3037" t="s">
        <v>9828</v>
      </c>
      <c r="F3037" t="s">
        <v>5606</v>
      </c>
    </row>
    <row r="3038" spans="1:6">
      <c r="A3038" t="s">
        <v>9604</v>
      </c>
      <c r="B3038">
        <v>8482</v>
      </c>
      <c r="C3038" t="s">
        <v>9674</v>
      </c>
      <c r="D3038" t="s">
        <v>9610</v>
      </c>
      <c r="E3038" t="s">
        <v>9828</v>
      </c>
      <c r="F3038" t="s">
        <v>5606</v>
      </c>
    </row>
    <row r="3039" spans="1:6">
      <c r="A3039" t="s">
        <v>9604</v>
      </c>
      <c r="B3039">
        <v>8487</v>
      </c>
      <c r="C3039" t="s">
        <v>9674</v>
      </c>
      <c r="D3039" t="s">
        <v>9610</v>
      </c>
      <c r="E3039" t="s">
        <v>9828</v>
      </c>
      <c r="F3039" t="s">
        <v>5606</v>
      </c>
    </row>
    <row r="3040" spans="1:6">
      <c r="A3040" t="s">
        <v>9604</v>
      </c>
      <c r="B3040">
        <v>8485</v>
      </c>
      <c r="C3040" t="s">
        <v>9674</v>
      </c>
      <c r="D3040" t="s">
        <v>9610</v>
      </c>
      <c r="E3040" t="s">
        <v>9828</v>
      </c>
      <c r="F3040" t="s">
        <v>5606</v>
      </c>
    </row>
    <row r="3041" spans="1:6">
      <c r="A3041" t="s">
        <v>9604</v>
      </c>
      <c r="B3041">
        <v>8490</v>
      </c>
      <c r="C3041" t="s">
        <v>9674</v>
      </c>
      <c r="D3041" t="s">
        <v>9610</v>
      </c>
      <c r="E3041" t="s">
        <v>9828</v>
      </c>
      <c r="F3041" t="s">
        <v>5606</v>
      </c>
    </row>
    <row r="3042" spans="1:6">
      <c r="A3042" t="s">
        <v>9604</v>
      </c>
      <c r="B3042">
        <v>8645</v>
      </c>
      <c r="C3042" t="s">
        <v>9674</v>
      </c>
      <c r="D3042" t="s">
        <v>9610</v>
      </c>
      <c r="E3042" t="s">
        <v>9828</v>
      </c>
      <c r="F3042" t="s">
        <v>5606</v>
      </c>
    </row>
    <row r="3043" spans="1:6">
      <c r="A3043" t="s">
        <v>9604</v>
      </c>
      <c r="B3043">
        <v>8646</v>
      </c>
      <c r="C3043" t="s">
        <v>9674</v>
      </c>
      <c r="D3043" t="s">
        <v>9610</v>
      </c>
      <c r="E3043" t="s">
        <v>9828</v>
      </c>
      <c r="F3043" t="s">
        <v>5606</v>
      </c>
    </row>
    <row r="3044" spans="1:6">
      <c r="A3044" t="s">
        <v>9604</v>
      </c>
      <c r="B3044">
        <v>8647</v>
      </c>
      <c r="C3044" t="s">
        <v>9674</v>
      </c>
      <c r="D3044" t="s">
        <v>9610</v>
      </c>
      <c r="E3044" t="s">
        <v>9828</v>
      </c>
      <c r="F3044" t="s">
        <v>5606</v>
      </c>
    </row>
    <row r="3045" spans="1:6">
      <c r="A3045" t="s">
        <v>9604</v>
      </c>
      <c r="B3045">
        <v>8649</v>
      </c>
      <c r="C3045" t="s">
        <v>9674</v>
      </c>
      <c r="D3045" t="s">
        <v>9610</v>
      </c>
      <c r="E3045" t="s">
        <v>9828</v>
      </c>
      <c r="F3045" t="s">
        <v>5606</v>
      </c>
    </row>
    <row r="3046" spans="1:6">
      <c r="A3046" t="s">
        <v>9604</v>
      </c>
      <c r="B3046">
        <v>8488</v>
      </c>
      <c r="C3046" t="s">
        <v>9674</v>
      </c>
      <c r="D3046" t="s">
        <v>9610</v>
      </c>
      <c r="E3046" t="s">
        <v>9828</v>
      </c>
      <c r="F3046" t="s">
        <v>5606</v>
      </c>
    </row>
    <row r="3047" spans="1:6">
      <c r="A3047" t="s">
        <v>9604</v>
      </c>
      <c r="B3047">
        <v>8648</v>
      </c>
      <c r="C3047" t="s">
        <v>9674</v>
      </c>
      <c r="D3047" t="s">
        <v>9610</v>
      </c>
      <c r="E3047" t="s">
        <v>9828</v>
      </c>
      <c r="F3047" t="s">
        <v>5606</v>
      </c>
    </row>
    <row r="3048" spans="1:6">
      <c r="A3048" t="s">
        <v>9604</v>
      </c>
      <c r="B3048">
        <v>8671</v>
      </c>
      <c r="C3048" t="s">
        <v>9674</v>
      </c>
      <c r="D3048" t="s">
        <v>9610</v>
      </c>
      <c r="E3048" t="s">
        <v>9828</v>
      </c>
      <c r="F3048" t="s">
        <v>5606</v>
      </c>
    </row>
    <row r="3049" spans="1:6">
      <c r="A3049" t="s">
        <v>9604</v>
      </c>
      <c r="B3049">
        <v>8841</v>
      </c>
      <c r="C3049" t="s">
        <v>9674</v>
      </c>
      <c r="D3049" t="s">
        <v>9610</v>
      </c>
      <c r="E3049" t="s">
        <v>9828</v>
      </c>
      <c r="F3049" t="s">
        <v>5606</v>
      </c>
    </row>
    <row r="3050" spans="1:6">
      <c r="A3050" t="s">
        <v>9604</v>
      </c>
      <c r="B3050">
        <v>8672</v>
      </c>
      <c r="C3050" t="s">
        <v>9674</v>
      </c>
      <c r="D3050" t="s">
        <v>9610</v>
      </c>
      <c r="E3050" t="s">
        <v>9828</v>
      </c>
      <c r="F3050" t="s">
        <v>5606</v>
      </c>
    </row>
    <row r="3051" spans="1:6">
      <c r="A3051" t="s">
        <v>9604</v>
      </c>
      <c r="B3051">
        <v>8673</v>
      </c>
      <c r="C3051" t="s">
        <v>9674</v>
      </c>
      <c r="D3051" t="s">
        <v>9610</v>
      </c>
      <c r="E3051" t="s">
        <v>9828</v>
      </c>
      <c r="F3051" t="s">
        <v>5606</v>
      </c>
    </row>
    <row r="3052" spans="1:6">
      <c r="A3052" t="s">
        <v>9604</v>
      </c>
      <c r="B3052">
        <v>8489</v>
      </c>
      <c r="C3052" t="s">
        <v>9674</v>
      </c>
      <c r="D3052" t="s">
        <v>9610</v>
      </c>
      <c r="E3052" t="s">
        <v>9828</v>
      </c>
      <c r="F3052" t="s">
        <v>5606</v>
      </c>
    </row>
    <row r="3053" spans="1:6">
      <c r="A3053" t="s">
        <v>9604</v>
      </c>
      <c r="B3053">
        <v>8491</v>
      </c>
      <c r="C3053" t="s">
        <v>9674</v>
      </c>
      <c r="D3053" t="s">
        <v>9610</v>
      </c>
      <c r="E3053" t="s">
        <v>9828</v>
      </c>
      <c r="F3053" t="s">
        <v>5606</v>
      </c>
    </row>
    <row r="3054" spans="1:6">
      <c r="A3054" t="s">
        <v>9604</v>
      </c>
      <c r="B3054">
        <v>8849</v>
      </c>
      <c r="C3054" t="s">
        <v>9674</v>
      </c>
      <c r="D3054" t="s">
        <v>9610</v>
      </c>
      <c r="E3054" t="s">
        <v>9828</v>
      </c>
      <c r="F3054" t="s">
        <v>5606</v>
      </c>
    </row>
    <row r="3055" spans="1:6">
      <c r="A3055" t="s">
        <v>9604</v>
      </c>
      <c r="B3055">
        <v>7969</v>
      </c>
      <c r="C3055" t="s">
        <v>9674</v>
      </c>
      <c r="D3055" t="s">
        <v>9610</v>
      </c>
      <c r="E3055" t="s">
        <v>9828</v>
      </c>
      <c r="F3055" t="s">
        <v>5606</v>
      </c>
    </row>
    <row r="3056" spans="1:6">
      <c r="A3056" t="s">
        <v>9604</v>
      </c>
      <c r="B3056">
        <v>8654</v>
      </c>
      <c r="C3056" t="s">
        <v>9674</v>
      </c>
      <c r="D3056" t="s">
        <v>9610</v>
      </c>
      <c r="E3056" t="s">
        <v>9828</v>
      </c>
      <c r="F3056" t="s">
        <v>5606</v>
      </c>
    </row>
    <row r="3057" spans="1:6">
      <c r="A3057" t="s">
        <v>9604</v>
      </c>
      <c r="B3057">
        <v>8675</v>
      </c>
      <c r="C3057" t="s">
        <v>9674</v>
      </c>
      <c r="D3057" t="s">
        <v>9610</v>
      </c>
      <c r="E3057" t="s">
        <v>9828</v>
      </c>
      <c r="F3057" t="s">
        <v>5606</v>
      </c>
    </row>
    <row r="3058" spans="1:6">
      <c r="A3058" t="s">
        <v>9604</v>
      </c>
      <c r="B3058">
        <v>8847</v>
      </c>
      <c r="C3058" t="s">
        <v>9674</v>
      </c>
      <c r="D3058" t="s">
        <v>9610</v>
      </c>
      <c r="E3058" t="s">
        <v>9828</v>
      </c>
      <c r="F3058" t="s">
        <v>5606</v>
      </c>
    </row>
    <row r="3059" spans="1:6">
      <c r="A3059" t="s">
        <v>9604</v>
      </c>
      <c r="B3059">
        <v>8840</v>
      </c>
      <c r="C3059" t="s">
        <v>9674</v>
      </c>
      <c r="D3059" t="s">
        <v>9610</v>
      </c>
      <c r="E3059" t="s">
        <v>9828</v>
      </c>
      <c r="F3059" t="s">
        <v>5606</v>
      </c>
    </row>
    <row r="3060" spans="1:6">
      <c r="A3060" t="s">
        <v>9604</v>
      </c>
      <c r="B3060">
        <v>8834</v>
      </c>
      <c r="C3060" t="s">
        <v>9674</v>
      </c>
      <c r="D3060" t="s">
        <v>9610</v>
      </c>
      <c r="E3060" t="s">
        <v>9828</v>
      </c>
      <c r="F3060" t="s">
        <v>5606</v>
      </c>
    </row>
    <row r="3061" spans="1:6">
      <c r="A3061" t="s">
        <v>9604</v>
      </c>
      <c r="B3061">
        <v>4348</v>
      </c>
      <c r="C3061" t="s">
        <v>9674</v>
      </c>
      <c r="D3061" t="s">
        <v>9610</v>
      </c>
      <c r="E3061" t="s">
        <v>9828</v>
      </c>
      <c r="F3061" t="s">
        <v>5606</v>
      </c>
    </row>
    <row r="3062" spans="1:6">
      <c r="A3062" t="s">
        <v>9604</v>
      </c>
      <c r="B3062">
        <v>4253</v>
      </c>
      <c r="C3062" t="s">
        <v>9674</v>
      </c>
      <c r="D3062" t="s">
        <v>9610</v>
      </c>
      <c r="E3062" t="s">
        <v>9828</v>
      </c>
      <c r="F3062" t="s">
        <v>5606</v>
      </c>
    </row>
    <row r="3063" spans="1:6">
      <c r="A3063" t="s">
        <v>9604</v>
      </c>
      <c r="B3063">
        <v>2582</v>
      </c>
      <c r="C3063" t="s">
        <v>9674</v>
      </c>
      <c r="D3063" t="s">
        <v>9610</v>
      </c>
      <c r="E3063" t="s">
        <v>9828</v>
      </c>
      <c r="F3063" t="s">
        <v>5606</v>
      </c>
    </row>
    <row r="3064" spans="1:6">
      <c r="A3064" t="s">
        <v>9604</v>
      </c>
      <c r="B3064">
        <v>5457</v>
      </c>
      <c r="C3064" t="s">
        <v>9674</v>
      </c>
      <c r="D3064" t="s">
        <v>9610</v>
      </c>
      <c r="E3064" t="s">
        <v>9828</v>
      </c>
      <c r="F3064" t="s">
        <v>5606</v>
      </c>
    </row>
    <row r="3065" spans="1:6">
      <c r="A3065" t="s">
        <v>9604</v>
      </c>
      <c r="B3065">
        <v>4347</v>
      </c>
      <c r="C3065" t="s">
        <v>9674</v>
      </c>
      <c r="D3065" t="s">
        <v>9610</v>
      </c>
      <c r="E3065" t="s">
        <v>9828</v>
      </c>
      <c r="F3065" t="s">
        <v>5606</v>
      </c>
    </row>
    <row r="3066" spans="1:6">
      <c r="A3066" t="s">
        <v>9604</v>
      </c>
      <c r="B3066">
        <v>4362</v>
      </c>
      <c r="C3066" t="s">
        <v>9674</v>
      </c>
      <c r="D3066" t="s">
        <v>9610</v>
      </c>
      <c r="E3066" t="s">
        <v>9828</v>
      </c>
      <c r="F3066" t="s">
        <v>5606</v>
      </c>
    </row>
    <row r="3067" spans="1:6">
      <c r="A3067" t="s">
        <v>9604</v>
      </c>
      <c r="B3067">
        <v>4363</v>
      </c>
      <c r="C3067" t="s">
        <v>9674</v>
      </c>
      <c r="D3067" t="s">
        <v>9610</v>
      </c>
      <c r="E3067" t="s">
        <v>9828</v>
      </c>
      <c r="F3067" t="s">
        <v>5606</v>
      </c>
    </row>
    <row r="3068" spans="1:6">
      <c r="A3068" t="s">
        <v>9604</v>
      </c>
      <c r="B3068">
        <v>4367</v>
      </c>
      <c r="C3068" t="s">
        <v>9674</v>
      </c>
      <c r="D3068" t="s">
        <v>9610</v>
      </c>
      <c r="E3068" t="s">
        <v>9828</v>
      </c>
      <c r="F3068" t="s">
        <v>5606</v>
      </c>
    </row>
    <row r="3069" spans="1:6">
      <c r="A3069" t="s">
        <v>9604</v>
      </c>
      <c r="B3069">
        <v>4368</v>
      </c>
      <c r="C3069" t="s">
        <v>9674</v>
      </c>
      <c r="D3069" t="s">
        <v>9610</v>
      </c>
      <c r="E3069" t="s">
        <v>9828</v>
      </c>
      <c r="F3069" t="s">
        <v>5606</v>
      </c>
    </row>
    <row r="3070" spans="1:6">
      <c r="A3070" t="s">
        <v>9604</v>
      </c>
      <c r="B3070">
        <v>7327</v>
      </c>
      <c r="C3070" t="s">
        <v>9674</v>
      </c>
      <c r="D3070" t="s">
        <v>9610</v>
      </c>
      <c r="E3070" t="s">
        <v>9828</v>
      </c>
      <c r="F3070" t="s">
        <v>5606</v>
      </c>
    </row>
    <row r="3071" spans="1:6">
      <c r="A3071" t="s">
        <v>9604</v>
      </c>
      <c r="B3071">
        <v>7328</v>
      </c>
      <c r="C3071" t="s">
        <v>9674</v>
      </c>
      <c r="D3071" t="s">
        <v>9610</v>
      </c>
      <c r="E3071" t="s">
        <v>9828</v>
      </c>
      <c r="F3071" t="s">
        <v>5606</v>
      </c>
    </row>
    <row r="3072" spans="1:6">
      <c r="A3072" t="s">
        <v>9604</v>
      </c>
      <c r="B3072">
        <v>4365</v>
      </c>
      <c r="C3072" t="s">
        <v>9674</v>
      </c>
      <c r="D3072" t="s">
        <v>9610</v>
      </c>
      <c r="E3072" t="s">
        <v>9828</v>
      </c>
      <c r="F3072" t="s">
        <v>5606</v>
      </c>
    </row>
    <row r="3073" spans="1:6">
      <c r="A3073" t="s">
        <v>9604</v>
      </c>
      <c r="B3073">
        <v>4364</v>
      </c>
      <c r="C3073" t="s">
        <v>9674</v>
      </c>
      <c r="D3073" t="s">
        <v>9610</v>
      </c>
      <c r="E3073" t="s">
        <v>9828</v>
      </c>
      <c r="F3073" t="s">
        <v>5606</v>
      </c>
    </row>
    <row r="3074" spans="1:6">
      <c r="A3074" t="s">
        <v>9604</v>
      </c>
      <c r="B3074">
        <v>4194</v>
      </c>
      <c r="C3074" t="s">
        <v>9674</v>
      </c>
      <c r="D3074" t="s">
        <v>9610</v>
      </c>
      <c r="E3074" t="s">
        <v>9828</v>
      </c>
      <c r="F3074" t="s">
        <v>5606</v>
      </c>
    </row>
    <row r="3075" spans="1:6">
      <c r="A3075" t="s">
        <v>9604</v>
      </c>
      <c r="B3075">
        <v>4190</v>
      </c>
      <c r="C3075" t="s">
        <v>9674</v>
      </c>
      <c r="D3075" t="s">
        <v>9610</v>
      </c>
      <c r="E3075" t="s">
        <v>9828</v>
      </c>
      <c r="F3075" t="s">
        <v>5606</v>
      </c>
    </row>
    <row r="3076" spans="1:6">
      <c r="A3076" t="s">
        <v>9604</v>
      </c>
      <c r="B3076">
        <v>4251</v>
      </c>
      <c r="C3076" t="s">
        <v>9674</v>
      </c>
      <c r="D3076" t="s">
        <v>9610</v>
      </c>
      <c r="E3076" t="s">
        <v>9828</v>
      </c>
      <c r="F3076" t="s">
        <v>5606</v>
      </c>
    </row>
    <row r="3077" spans="1:6">
      <c r="A3077" t="s">
        <v>9604</v>
      </c>
      <c r="B3077">
        <v>4252</v>
      </c>
      <c r="C3077" t="s">
        <v>9674</v>
      </c>
      <c r="D3077" t="s">
        <v>9610</v>
      </c>
      <c r="E3077" t="s">
        <v>9828</v>
      </c>
      <c r="F3077" t="s">
        <v>5606</v>
      </c>
    </row>
    <row r="3078" spans="1:6">
      <c r="A3078" t="s">
        <v>9604</v>
      </c>
      <c r="B3078">
        <v>2583</v>
      </c>
      <c r="C3078" t="s">
        <v>9674</v>
      </c>
      <c r="D3078" t="s">
        <v>9610</v>
      </c>
      <c r="E3078" t="s">
        <v>9828</v>
      </c>
      <c r="F3078" t="s">
        <v>5606</v>
      </c>
    </row>
    <row r="3079" spans="1:6">
      <c r="A3079" t="s">
        <v>9604</v>
      </c>
      <c r="B3079">
        <v>5458</v>
      </c>
      <c r="C3079" t="s">
        <v>9674</v>
      </c>
      <c r="D3079" t="s">
        <v>9610</v>
      </c>
      <c r="E3079" t="s">
        <v>9828</v>
      </c>
      <c r="F3079" t="s">
        <v>5606</v>
      </c>
    </row>
    <row r="3080" spans="1:6">
      <c r="A3080" t="s">
        <v>9604</v>
      </c>
      <c r="B3080">
        <v>7382</v>
      </c>
      <c r="C3080" t="s">
        <v>9674</v>
      </c>
      <c r="D3080" t="s">
        <v>9610</v>
      </c>
      <c r="E3080" t="s">
        <v>9828</v>
      </c>
      <c r="F3080" t="s">
        <v>5606</v>
      </c>
    </row>
    <row r="3081" spans="1:6">
      <c r="A3081" t="s">
        <v>9604</v>
      </c>
      <c r="B3081">
        <v>4192</v>
      </c>
      <c r="C3081" t="s">
        <v>9674</v>
      </c>
      <c r="D3081" t="s">
        <v>9610</v>
      </c>
      <c r="E3081" t="s">
        <v>9828</v>
      </c>
      <c r="F3081" t="s">
        <v>5606</v>
      </c>
    </row>
    <row r="3082" spans="1:6">
      <c r="A3082" t="s">
        <v>9604</v>
      </c>
      <c r="B3082">
        <v>4193</v>
      </c>
      <c r="C3082" t="s">
        <v>9674</v>
      </c>
      <c r="D3082" t="s">
        <v>9610</v>
      </c>
      <c r="E3082" t="s">
        <v>9828</v>
      </c>
      <c r="F3082" t="s">
        <v>5606</v>
      </c>
    </row>
    <row r="3083" spans="1:6">
      <c r="A3083" t="s">
        <v>9604</v>
      </c>
      <c r="B3083">
        <v>7973</v>
      </c>
      <c r="C3083" t="s">
        <v>9674</v>
      </c>
      <c r="D3083" t="s">
        <v>9610</v>
      </c>
      <c r="E3083" t="s">
        <v>9828</v>
      </c>
      <c r="F3083" t="s">
        <v>5606</v>
      </c>
    </row>
    <row r="3084" spans="1:6">
      <c r="A3084" t="s">
        <v>9604</v>
      </c>
      <c r="B3084">
        <v>7975</v>
      </c>
      <c r="C3084" t="s">
        <v>9674</v>
      </c>
      <c r="D3084" t="s">
        <v>9610</v>
      </c>
      <c r="E3084" t="s">
        <v>9828</v>
      </c>
      <c r="F3084" t="s">
        <v>5606</v>
      </c>
    </row>
    <row r="3085" spans="1:6">
      <c r="A3085" t="s">
        <v>9604</v>
      </c>
      <c r="B3085">
        <v>7974</v>
      </c>
      <c r="C3085" t="s">
        <v>9674</v>
      </c>
      <c r="D3085" t="s">
        <v>9610</v>
      </c>
      <c r="E3085" t="s">
        <v>9828</v>
      </c>
      <c r="F3085" t="s">
        <v>5606</v>
      </c>
    </row>
    <row r="3086" spans="1:6">
      <c r="A3086" t="s">
        <v>9604</v>
      </c>
      <c r="B3086">
        <v>7976</v>
      </c>
      <c r="C3086" t="s">
        <v>9674</v>
      </c>
      <c r="D3086" t="s">
        <v>9610</v>
      </c>
      <c r="E3086" t="s">
        <v>9828</v>
      </c>
      <c r="F3086" t="s">
        <v>5606</v>
      </c>
    </row>
    <row r="3087" spans="1:6">
      <c r="A3087" t="s">
        <v>9604</v>
      </c>
      <c r="B3087">
        <v>7836</v>
      </c>
      <c r="C3087" t="s">
        <v>9674</v>
      </c>
      <c r="D3087" t="s">
        <v>9610</v>
      </c>
      <c r="E3087" t="s">
        <v>9828</v>
      </c>
      <c r="F3087" t="s">
        <v>5606</v>
      </c>
    </row>
    <row r="3088" spans="1:6">
      <c r="A3088" t="s">
        <v>9604</v>
      </c>
      <c r="B3088">
        <v>7837</v>
      </c>
      <c r="C3088" t="s">
        <v>9674</v>
      </c>
      <c r="D3088" t="s">
        <v>9610</v>
      </c>
      <c r="E3088" t="s">
        <v>9828</v>
      </c>
      <c r="F3088" t="s">
        <v>5606</v>
      </c>
    </row>
    <row r="3089" spans="1:6">
      <c r="A3089" t="s">
        <v>9604</v>
      </c>
      <c r="B3089">
        <v>7379</v>
      </c>
      <c r="C3089" t="s">
        <v>9674</v>
      </c>
      <c r="D3089" t="s">
        <v>9610</v>
      </c>
      <c r="E3089" t="s">
        <v>9828</v>
      </c>
      <c r="F3089" t="s">
        <v>5606</v>
      </c>
    </row>
    <row r="3090" spans="1:6">
      <c r="A3090" t="s">
        <v>9604</v>
      </c>
      <c r="B3090">
        <v>7378</v>
      </c>
      <c r="C3090" t="s">
        <v>9674</v>
      </c>
      <c r="D3090" t="s">
        <v>9610</v>
      </c>
      <c r="E3090" t="s">
        <v>9828</v>
      </c>
      <c r="F3090" t="s">
        <v>5606</v>
      </c>
    </row>
    <row r="3091" spans="1:6">
      <c r="A3091" t="s">
        <v>9604</v>
      </c>
      <c r="B3091">
        <v>7948</v>
      </c>
      <c r="C3091" t="s">
        <v>9674</v>
      </c>
      <c r="D3091" t="s">
        <v>9610</v>
      </c>
      <c r="E3091" t="s">
        <v>9828</v>
      </c>
      <c r="F3091" t="s">
        <v>5606</v>
      </c>
    </row>
    <row r="3092" spans="1:6">
      <c r="A3092" t="s">
        <v>9604</v>
      </c>
      <c r="B3092">
        <v>7940</v>
      </c>
      <c r="C3092" t="s">
        <v>9674</v>
      </c>
      <c r="D3092" t="s">
        <v>9610</v>
      </c>
      <c r="E3092" t="s">
        <v>9828</v>
      </c>
      <c r="F3092" t="s">
        <v>5606</v>
      </c>
    </row>
    <row r="3093" spans="1:6">
      <c r="A3093" t="s">
        <v>9604</v>
      </c>
      <c r="B3093">
        <v>7941</v>
      </c>
      <c r="C3093" t="s">
        <v>9674</v>
      </c>
      <c r="D3093" t="s">
        <v>9610</v>
      </c>
      <c r="E3093" t="s">
        <v>9828</v>
      </c>
      <c r="F3093" t="s">
        <v>5606</v>
      </c>
    </row>
    <row r="3094" spans="1:6">
      <c r="A3094" t="s">
        <v>9604</v>
      </c>
      <c r="B3094">
        <v>7984</v>
      </c>
      <c r="C3094" t="s">
        <v>9674</v>
      </c>
      <c r="D3094" t="s">
        <v>9610</v>
      </c>
      <c r="E3094" t="s">
        <v>9828</v>
      </c>
      <c r="F3094" t="s">
        <v>5606</v>
      </c>
    </row>
    <row r="3095" spans="1:6">
      <c r="A3095" t="s">
        <v>9604</v>
      </c>
      <c r="B3095">
        <v>1911</v>
      </c>
      <c r="C3095" t="s">
        <v>9674</v>
      </c>
      <c r="D3095" t="s">
        <v>9602</v>
      </c>
      <c r="E3095" t="s">
        <v>9825</v>
      </c>
      <c r="F3095" t="s">
        <v>5606</v>
      </c>
    </row>
    <row r="3096" spans="1:6">
      <c r="A3096" t="s">
        <v>9604</v>
      </c>
      <c r="B3096">
        <v>7809</v>
      </c>
      <c r="C3096" t="s">
        <v>9674</v>
      </c>
      <c r="D3096" t="s">
        <v>9602</v>
      </c>
      <c r="E3096" t="s">
        <v>9825</v>
      </c>
      <c r="F3096" t="s">
        <v>5606</v>
      </c>
    </row>
    <row r="3097" spans="1:6">
      <c r="A3097" t="s">
        <v>9604</v>
      </c>
      <c r="B3097">
        <v>7870</v>
      </c>
      <c r="C3097" t="s">
        <v>9674</v>
      </c>
      <c r="D3097" t="s">
        <v>9602</v>
      </c>
      <c r="E3097" t="s">
        <v>9825</v>
      </c>
      <c r="F3097" t="s">
        <v>5606</v>
      </c>
    </row>
    <row r="3098" spans="1:6">
      <c r="A3098" t="s">
        <v>9604</v>
      </c>
      <c r="B3098">
        <v>7871</v>
      </c>
      <c r="C3098" t="s">
        <v>9674</v>
      </c>
      <c r="D3098" t="s">
        <v>9602</v>
      </c>
      <c r="E3098" t="s">
        <v>9825</v>
      </c>
      <c r="F3098" t="s">
        <v>5606</v>
      </c>
    </row>
    <row r="3099" spans="1:6">
      <c r="A3099" t="s">
        <v>9604</v>
      </c>
      <c r="B3099">
        <v>7872</v>
      </c>
      <c r="C3099" t="s">
        <v>9674</v>
      </c>
      <c r="D3099" t="s">
        <v>9602</v>
      </c>
      <c r="E3099" t="s">
        <v>9825</v>
      </c>
      <c r="F3099" t="s">
        <v>5606</v>
      </c>
    </row>
    <row r="3100" spans="1:6">
      <c r="A3100" t="s">
        <v>9604</v>
      </c>
      <c r="B3100">
        <v>7873</v>
      </c>
      <c r="C3100" t="s">
        <v>9674</v>
      </c>
      <c r="D3100" t="s">
        <v>9602</v>
      </c>
      <c r="E3100" t="s">
        <v>9825</v>
      </c>
      <c r="F3100" t="s">
        <v>5606</v>
      </c>
    </row>
    <row r="3101" spans="1:6">
      <c r="A3101" t="s">
        <v>9604</v>
      </c>
      <c r="B3101">
        <v>7875</v>
      </c>
      <c r="C3101" t="s">
        <v>9674</v>
      </c>
      <c r="D3101" t="s">
        <v>9602</v>
      </c>
      <c r="E3101" t="s">
        <v>9825</v>
      </c>
      <c r="F3101" t="s">
        <v>5606</v>
      </c>
    </row>
    <row r="3102" spans="1:6">
      <c r="A3102" t="s">
        <v>9604</v>
      </c>
      <c r="B3102">
        <v>7901</v>
      </c>
      <c r="C3102" t="s">
        <v>9674</v>
      </c>
      <c r="D3102" t="s">
        <v>9602</v>
      </c>
      <c r="E3102" t="s">
        <v>9825</v>
      </c>
      <c r="F3102" t="s">
        <v>5606</v>
      </c>
    </row>
    <row r="3103" spans="1:6">
      <c r="A3103" t="s">
        <v>9604</v>
      </c>
      <c r="B3103">
        <v>7902</v>
      </c>
      <c r="C3103" t="s">
        <v>9674</v>
      </c>
      <c r="D3103" t="s">
        <v>9602</v>
      </c>
      <c r="E3103" t="s">
        <v>9825</v>
      </c>
      <c r="F3103" t="s">
        <v>5606</v>
      </c>
    </row>
    <row r="3104" spans="1:6">
      <c r="A3104" t="s">
        <v>9604</v>
      </c>
      <c r="B3104">
        <v>7967</v>
      </c>
      <c r="C3104" t="s">
        <v>9674</v>
      </c>
      <c r="D3104" t="s">
        <v>9602</v>
      </c>
      <c r="E3104" t="s">
        <v>9825</v>
      </c>
      <c r="F3104" t="s">
        <v>5606</v>
      </c>
    </row>
    <row r="3105" spans="1:6">
      <c r="A3105" t="s">
        <v>9604</v>
      </c>
      <c r="B3105">
        <v>7971</v>
      </c>
      <c r="C3105" t="s">
        <v>9674</v>
      </c>
      <c r="D3105" t="s">
        <v>9602</v>
      </c>
      <c r="E3105" t="s">
        <v>9825</v>
      </c>
      <c r="F3105" t="s">
        <v>5606</v>
      </c>
    </row>
    <row r="3106" spans="1:6">
      <c r="A3106" t="s">
        <v>9604</v>
      </c>
      <c r="B3106">
        <v>7972</v>
      </c>
      <c r="C3106" t="s">
        <v>9674</v>
      </c>
      <c r="D3106" t="s">
        <v>9602</v>
      </c>
      <c r="E3106" t="s">
        <v>9825</v>
      </c>
      <c r="F3106" t="s">
        <v>5606</v>
      </c>
    </row>
    <row r="3107" spans="1:6">
      <c r="A3107" t="s">
        <v>9604</v>
      </c>
      <c r="B3107">
        <v>7981</v>
      </c>
      <c r="C3107" t="s">
        <v>9674</v>
      </c>
      <c r="D3107" t="s">
        <v>9602</v>
      </c>
      <c r="E3107" t="s">
        <v>9825</v>
      </c>
      <c r="F3107" t="s">
        <v>5606</v>
      </c>
    </row>
    <row r="3108" spans="1:6">
      <c r="A3108" t="s">
        <v>9604</v>
      </c>
      <c r="B3108">
        <v>7995</v>
      </c>
      <c r="C3108" t="s">
        <v>9674</v>
      </c>
      <c r="D3108" t="s">
        <v>9602</v>
      </c>
      <c r="E3108" t="s">
        <v>9825</v>
      </c>
      <c r="F3108" t="s">
        <v>5606</v>
      </c>
    </row>
    <row r="3109" spans="1:6">
      <c r="A3109" t="s">
        <v>9604</v>
      </c>
      <c r="B3109">
        <v>7996</v>
      </c>
      <c r="C3109" t="s">
        <v>9674</v>
      </c>
      <c r="D3109" t="s">
        <v>9602</v>
      </c>
      <c r="E3109" t="s">
        <v>9825</v>
      </c>
      <c r="F3109" t="s">
        <v>5606</v>
      </c>
    </row>
    <row r="3110" spans="1:6">
      <c r="A3110" t="s">
        <v>9604</v>
      </c>
      <c r="B3110">
        <v>8014</v>
      </c>
      <c r="C3110" t="s">
        <v>9674</v>
      </c>
      <c r="D3110" t="s">
        <v>9602</v>
      </c>
      <c r="E3110" t="s">
        <v>9825</v>
      </c>
      <c r="F3110" t="s">
        <v>5606</v>
      </c>
    </row>
    <row r="3111" spans="1:6">
      <c r="A3111" t="s">
        <v>9604</v>
      </c>
      <c r="B3111">
        <v>8028</v>
      </c>
      <c r="C3111" t="s">
        <v>9674</v>
      </c>
      <c r="D3111" t="s">
        <v>9602</v>
      </c>
      <c r="E3111" t="s">
        <v>9825</v>
      </c>
      <c r="F3111" t="s">
        <v>5606</v>
      </c>
    </row>
    <row r="3112" spans="1:6">
      <c r="A3112" t="s">
        <v>9604</v>
      </c>
      <c r="B3112">
        <v>8038</v>
      </c>
      <c r="C3112" t="s">
        <v>9674</v>
      </c>
      <c r="D3112" t="s">
        <v>9602</v>
      </c>
      <c r="E3112" t="s">
        <v>9825</v>
      </c>
      <c r="F3112" t="s">
        <v>5606</v>
      </c>
    </row>
    <row r="3113" spans="1:6">
      <c r="A3113" t="s">
        <v>9604</v>
      </c>
      <c r="B3113">
        <v>8667</v>
      </c>
      <c r="C3113" t="s">
        <v>9674</v>
      </c>
      <c r="D3113" t="s">
        <v>9602</v>
      </c>
      <c r="E3113" t="s">
        <v>9825</v>
      </c>
      <c r="F3113" t="s">
        <v>5606</v>
      </c>
    </row>
    <row r="3114" spans="1:6">
      <c r="A3114" t="s">
        <v>9604</v>
      </c>
      <c r="B3114">
        <v>8677</v>
      </c>
      <c r="C3114" t="s">
        <v>9674</v>
      </c>
      <c r="D3114" t="s">
        <v>9602</v>
      </c>
      <c r="E3114" t="s">
        <v>9825</v>
      </c>
      <c r="F3114" t="s">
        <v>5606</v>
      </c>
    </row>
    <row r="3115" spans="1:6">
      <c r="A3115" t="s">
        <v>9604</v>
      </c>
      <c r="B3115">
        <v>8678</v>
      </c>
      <c r="C3115" t="s">
        <v>9674</v>
      </c>
      <c r="D3115" t="s">
        <v>9602</v>
      </c>
      <c r="E3115" t="s">
        <v>9825</v>
      </c>
      <c r="F3115" t="s">
        <v>5606</v>
      </c>
    </row>
    <row r="3116" spans="1:6">
      <c r="A3116" t="s">
        <v>9604</v>
      </c>
      <c r="B3116">
        <v>8720</v>
      </c>
      <c r="C3116" t="s">
        <v>9674</v>
      </c>
      <c r="D3116" t="s">
        <v>9602</v>
      </c>
      <c r="E3116" t="s">
        <v>9825</v>
      </c>
      <c r="F3116" t="s">
        <v>5606</v>
      </c>
    </row>
    <row r="3117" spans="1:6">
      <c r="A3117" t="s">
        <v>9604</v>
      </c>
      <c r="B3117">
        <v>8730</v>
      </c>
      <c r="C3117" t="s">
        <v>9674</v>
      </c>
      <c r="D3117" t="s">
        <v>9602</v>
      </c>
      <c r="E3117" t="s">
        <v>9825</v>
      </c>
      <c r="F3117" t="s">
        <v>5606</v>
      </c>
    </row>
    <row r="3118" spans="1:6">
      <c r="A3118" t="s">
        <v>9604</v>
      </c>
      <c r="B3118">
        <v>8740</v>
      </c>
      <c r="C3118" t="s">
        <v>9674</v>
      </c>
      <c r="D3118" t="s">
        <v>9602</v>
      </c>
      <c r="E3118" t="s">
        <v>9825</v>
      </c>
      <c r="F3118" t="s">
        <v>5606</v>
      </c>
    </row>
    <row r="3119" spans="1:6">
      <c r="A3119" t="s">
        <v>9604</v>
      </c>
      <c r="B3119">
        <v>8750</v>
      </c>
      <c r="C3119" t="s">
        <v>9674</v>
      </c>
      <c r="D3119" t="s">
        <v>9602</v>
      </c>
      <c r="E3119" t="s">
        <v>9825</v>
      </c>
      <c r="F3119" t="s">
        <v>5606</v>
      </c>
    </row>
    <row r="3120" spans="1:6">
      <c r="A3120" t="s">
        <v>9604</v>
      </c>
      <c r="B3120">
        <v>8832</v>
      </c>
      <c r="C3120" t="s">
        <v>9674</v>
      </c>
      <c r="D3120" t="s">
        <v>9602</v>
      </c>
      <c r="E3120" t="s">
        <v>9825</v>
      </c>
      <c r="F3120" t="s">
        <v>5606</v>
      </c>
    </row>
    <row r="3121" spans="1:6">
      <c r="A3121" t="s">
        <v>9604</v>
      </c>
      <c r="B3121">
        <v>8839</v>
      </c>
      <c r="C3121" t="s">
        <v>9674</v>
      </c>
      <c r="D3121" t="s">
        <v>9602</v>
      </c>
      <c r="E3121" t="s">
        <v>9825</v>
      </c>
      <c r="F3121" t="s">
        <v>5606</v>
      </c>
    </row>
    <row r="3122" spans="1:6">
      <c r="A3122" t="s">
        <v>9604</v>
      </c>
      <c r="B3122">
        <v>8843</v>
      </c>
      <c r="C3122" t="s">
        <v>9674</v>
      </c>
      <c r="D3122" t="s">
        <v>9602</v>
      </c>
      <c r="E3122" t="s">
        <v>9825</v>
      </c>
      <c r="F3122" t="s">
        <v>5606</v>
      </c>
    </row>
    <row r="3123" spans="1:6">
      <c r="A3123" t="s">
        <v>9604</v>
      </c>
      <c r="B3123">
        <v>8850</v>
      </c>
      <c r="C3123" t="s">
        <v>9674</v>
      </c>
      <c r="D3123" t="s">
        <v>9602</v>
      </c>
      <c r="E3123" t="s">
        <v>9825</v>
      </c>
      <c r="F3123" t="s">
        <v>5606</v>
      </c>
    </row>
    <row r="3124" spans="1:6">
      <c r="A3124" t="s">
        <v>9604</v>
      </c>
      <c r="B3124">
        <v>8852</v>
      </c>
      <c r="C3124" t="s">
        <v>9674</v>
      </c>
      <c r="D3124" t="s">
        <v>9602</v>
      </c>
      <c r="E3124" t="s">
        <v>9825</v>
      </c>
      <c r="F3124" t="s">
        <v>5606</v>
      </c>
    </row>
    <row r="3125" spans="1:6">
      <c r="A3125" t="s">
        <v>9604</v>
      </c>
      <c r="B3125">
        <v>8853</v>
      </c>
      <c r="C3125" t="s">
        <v>9674</v>
      </c>
      <c r="D3125" t="s">
        <v>9602</v>
      </c>
      <c r="E3125" t="s">
        <v>9825</v>
      </c>
      <c r="F3125" t="s">
        <v>5606</v>
      </c>
    </row>
    <row r="3126" spans="1:6">
      <c r="A3126" t="s">
        <v>9604</v>
      </c>
      <c r="B3126">
        <v>8886</v>
      </c>
      <c r="C3126" t="s">
        <v>9674</v>
      </c>
      <c r="D3126" t="s">
        <v>9602</v>
      </c>
      <c r="E3126" t="s">
        <v>9825</v>
      </c>
      <c r="F3126" t="s">
        <v>5606</v>
      </c>
    </row>
    <row r="3127" spans="1:6">
      <c r="A3127" t="s">
        <v>9604</v>
      </c>
      <c r="B3127">
        <v>8721</v>
      </c>
      <c r="C3127" t="s">
        <v>9674</v>
      </c>
      <c r="D3127" t="s">
        <v>9605</v>
      </c>
      <c r="E3127" t="s">
        <v>9826</v>
      </c>
      <c r="F3127" t="s">
        <v>5606</v>
      </c>
    </row>
    <row r="3128" spans="1:6">
      <c r="A3128" t="s">
        <v>9604</v>
      </c>
      <c r="B3128">
        <v>8731</v>
      </c>
      <c r="C3128" t="s">
        <v>9674</v>
      </c>
      <c r="D3128" t="s">
        <v>9605</v>
      </c>
      <c r="E3128" t="s">
        <v>9826</v>
      </c>
      <c r="F3128" t="s">
        <v>5606</v>
      </c>
    </row>
    <row r="3129" spans="1:6">
      <c r="A3129" t="s">
        <v>9604</v>
      </c>
      <c r="B3129">
        <v>7906</v>
      </c>
      <c r="C3129" t="s">
        <v>9674</v>
      </c>
      <c r="D3129" t="s">
        <v>9605</v>
      </c>
      <c r="E3129" t="s">
        <v>9826</v>
      </c>
      <c r="F3129" t="s">
        <v>5606</v>
      </c>
    </row>
    <row r="3130" spans="1:6">
      <c r="A3130" t="s">
        <v>9604</v>
      </c>
      <c r="B3130">
        <v>7916</v>
      </c>
      <c r="C3130" t="s">
        <v>9674</v>
      </c>
      <c r="D3130" t="s">
        <v>9605</v>
      </c>
      <c r="E3130" t="s">
        <v>9826</v>
      </c>
      <c r="F3130" t="s">
        <v>5606</v>
      </c>
    </row>
    <row r="3131" spans="1:6">
      <c r="A3131" t="s">
        <v>9604</v>
      </c>
      <c r="B3131">
        <v>8737</v>
      </c>
      <c r="C3131" t="s">
        <v>9674</v>
      </c>
      <c r="D3131" t="s">
        <v>9605</v>
      </c>
      <c r="E3131" t="s">
        <v>9826</v>
      </c>
      <c r="F3131" t="s">
        <v>5606</v>
      </c>
    </row>
    <row r="3132" spans="1:6">
      <c r="A3132" t="s">
        <v>9604</v>
      </c>
      <c r="B3132">
        <v>7917</v>
      </c>
      <c r="C3132" t="s">
        <v>9674</v>
      </c>
      <c r="D3132" t="s">
        <v>9605</v>
      </c>
      <c r="E3132" t="s">
        <v>9826</v>
      </c>
      <c r="F3132" t="s">
        <v>5606</v>
      </c>
    </row>
    <row r="3133" spans="1:6">
      <c r="A3133" t="s">
        <v>9604</v>
      </c>
      <c r="B3133">
        <v>7903</v>
      </c>
      <c r="C3133" t="s">
        <v>9674</v>
      </c>
      <c r="D3133" t="s">
        <v>9605</v>
      </c>
      <c r="E3133" t="s">
        <v>9826</v>
      </c>
      <c r="F3133" t="s">
        <v>5606</v>
      </c>
    </row>
    <row r="3134" spans="1:6">
      <c r="A3134" t="s">
        <v>9604</v>
      </c>
      <c r="B3134">
        <v>5455</v>
      </c>
      <c r="C3134" t="s">
        <v>9674</v>
      </c>
      <c r="D3134" t="s">
        <v>9605</v>
      </c>
      <c r="E3134" t="s">
        <v>9826</v>
      </c>
      <c r="F3134" t="s">
        <v>5606</v>
      </c>
    </row>
    <row r="3135" spans="1:6">
      <c r="A3135" t="s">
        <v>9604</v>
      </c>
      <c r="B3135">
        <v>5456</v>
      </c>
      <c r="C3135" t="s">
        <v>9674</v>
      </c>
      <c r="D3135" t="s">
        <v>9605</v>
      </c>
      <c r="E3135" t="s">
        <v>9826</v>
      </c>
      <c r="F3135" t="s">
        <v>5606</v>
      </c>
    </row>
    <row r="3136" spans="1:6">
      <c r="A3136" t="s">
        <v>9604</v>
      </c>
      <c r="B3136">
        <v>6391</v>
      </c>
      <c r="C3136" t="s">
        <v>9674</v>
      </c>
      <c r="D3136" t="s">
        <v>9605</v>
      </c>
      <c r="E3136" t="s">
        <v>9826</v>
      </c>
      <c r="F3136" t="s">
        <v>5606</v>
      </c>
    </row>
    <row r="3137" spans="1:6">
      <c r="A3137" t="s">
        <v>9604</v>
      </c>
      <c r="B3137">
        <v>7912</v>
      </c>
      <c r="C3137" t="s">
        <v>9674</v>
      </c>
      <c r="D3137" t="s">
        <v>9605</v>
      </c>
      <c r="E3137" t="s">
        <v>9826</v>
      </c>
      <c r="F3137" t="s">
        <v>5606</v>
      </c>
    </row>
    <row r="3138" spans="1:6">
      <c r="A3138" t="s">
        <v>9604</v>
      </c>
      <c r="B3138">
        <v>7913</v>
      </c>
      <c r="C3138" t="s">
        <v>9674</v>
      </c>
      <c r="D3138" t="s">
        <v>9605</v>
      </c>
      <c r="E3138" t="s">
        <v>9826</v>
      </c>
      <c r="F3138" t="s">
        <v>5606</v>
      </c>
    </row>
    <row r="3139" spans="1:6">
      <c r="A3139" t="s">
        <v>9604</v>
      </c>
      <c r="B3139">
        <v>7918</v>
      </c>
      <c r="C3139" t="s">
        <v>9674</v>
      </c>
      <c r="D3139" t="s">
        <v>9605</v>
      </c>
      <c r="E3139" t="s">
        <v>9826</v>
      </c>
      <c r="F3139" t="s">
        <v>5606</v>
      </c>
    </row>
    <row r="3140" spans="1:6">
      <c r="A3140" t="s">
        <v>9604</v>
      </c>
      <c r="B3140">
        <v>7919</v>
      </c>
      <c r="C3140" t="s">
        <v>9674</v>
      </c>
      <c r="D3140" t="s">
        <v>9605</v>
      </c>
      <c r="E3140" t="s">
        <v>9826</v>
      </c>
      <c r="F3140" t="s">
        <v>5606</v>
      </c>
    </row>
    <row r="3141" spans="1:6">
      <c r="A3141" t="s">
        <v>9604</v>
      </c>
      <c r="B3141">
        <v>8685</v>
      </c>
      <c r="C3141" t="s">
        <v>9674</v>
      </c>
      <c r="D3141" t="s">
        <v>9605</v>
      </c>
      <c r="E3141" t="s">
        <v>9826</v>
      </c>
      <c r="F3141" t="s">
        <v>5606</v>
      </c>
    </row>
    <row r="3142" spans="1:6">
      <c r="A3142" t="s">
        <v>9604</v>
      </c>
      <c r="B3142">
        <v>8686</v>
      </c>
      <c r="C3142" t="s">
        <v>9674</v>
      </c>
      <c r="D3142" t="s">
        <v>9605</v>
      </c>
      <c r="E3142" t="s">
        <v>9826</v>
      </c>
      <c r="F3142" t="s">
        <v>5606</v>
      </c>
    </row>
    <row r="3143" spans="1:6">
      <c r="A3143" t="s">
        <v>9604</v>
      </c>
      <c r="B3143">
        <v>8861</v>
      </c>
      <c r="C3143" t="s">
        <v>9674</v>
      </c>
      <c r="D3143" t="s">
        <v>9605</v>
      </c>
      <c r="E3143" t="s">
        <v>9826</v>
      </c>
      <c r="F3143" t="s">
        <v>5606</v>
      </c>
    </row>
    <row r="3144" spans="1:6">
      <c r="A3144" t="s">
        <v>9604</v>
      </c>
      <c r="B3144">
        <v>8862</v>
      </c>
      <c r="C3144" t="s">
        <v>9674</v>
      </c>
      <c r="D3144" t="s">
        <v>9605</v>
      </c>
      <c r="E3144" t="s">
        <v>9826</v>
      </c>
      <c r="F3144" t="s">
        <v>5606</v>
      </c>
    </row>
    <row r="3145" spans="1:6">
      <c r="A3145" t="s">
        <v>9604</v>
      </c>
      <c r="B3145">
        <v>8863</v>
      </c>
      <c r="C3145" t="s">
        <v>9674</v>
      </c>
      <c r="D3145" t="s">
        <v>9605</v>
      </c>
      <c r="E3145" t="s">
        <v>9826</v>
      </c>
      <c r="F3145" t="s">
        <v>5606</v>
      </c>
    </row>
    <row r="3146" spans="1:6">
      <c r="A3146" t="s">
        <v>9604</v>
      </c>
      <c r="B3146">
        <v>8683</v>
      </c>
      <c r="C3146" t="s">
        <v>9674</v>
      </c>
      <c r="D3146" t="s">
        <v>9605</v>
      </c>
      <c r="E3146" t="s">
        <v>9826</v>
      </c>
      <c r="F3146" t="s">
        <v>5606</v>
      </c>
    </row>
    <row r="3147" spans="1:6">
      <c r="A3147" t="s">
        <v>9604</v>
      </c>
      <c r="B3147">
        <v>8687</v>
      </c>
      <c r="C3147" t="s">
        <v>9674</v>
      </c>
      <c r="D3147" t="s">
        <v>9605</v>
      </c>
      <c r="E3147" t="s">
        <v>9826</v>
      </c>
      <c r="F3147" t="s">
        <v>5606</v>
      </c>
    </row>
    <row r="3148" spans="1:6">
      <c r="A3148" t="s">
        <v>9604</v>
      </c>
      <c r="B3148">
        <v>8870</v>
      </c>
      <c r="C3148" t="s">
        <v>9674</v>
      </c>
      <c r="D3148" t="s">
        <v>9605</v>
      </c>
      <c r="E3148" t="s">
        <v>9826</v>
      </c>
      <c r="F3148" t="s">
        <v>5606</v>
      </c>
    </row>
    <row r="3149" spans="1:6">
      <c r="A3149" t="s">
        <v>9604</v>
      </c>
      <c r="B3149">
        <v>8688</v>
      </c>
      <c r="C3149" t="s">
        <v>9674</v>
      </c>
      <c r="D3149" t="s">
        <v>9605</v>
      </c>
      <c r="E3149" t="s">
        <v>9826</v>
      </c>
      <c r="F3149" t="s">
        <v>5606</v>
      </c>
    </row>
    <row r="3150" spans="1:6">
      <c r="A3150" t="s">
        <v>9604</v>
      </c>
      <c r="B3150">
        <v>8855</v>
      </c>
      <c r="C3150" t="s">
        <v>9674</v>
      </c>
      <c r="D3150" t="s">
        <v>9605</v>
      </c>
      <c r="E3150" t="s">
        <v>9826</v>
      </c>
      <c r="F3150" t="s">
        <v>5606</v>
      </c>
    </row>
    <row r="3151" spans="1:6">
      <c r="A3151" t="s">
        <v>9604</v>
      </c>
      <c r="B3151">
        <v>8872</v>
      </c>
      <c r="C3151" t="s">
        <v>9674</v>
      </c>
      <c r="D3151" t="s">
        <v>9605</v>
      </c>
      <c r="E3151" t="s">
        <v>9826</v>
      </c>
      <c r="F3151" t="s">
        <v>5606</v>
      </c>
    </row>
    <row r="3152" spans="1:6">
      <c r="A3152" t="s">
        <v>9604</v>
      </c>
      <c r="B3152">
        <v>8874</v>
      </c>
      <c r="C3152" t="s">
        <v>9674</v>
      </c>
      <c r="D3152" t="s">
        <v>9605</v>
      </c>
      <c r="E3152" t="s">
        <v>9826</v>
      </c>
      <c r="F3152" t="s">
        <v>5606</v>
      </c>
    </row>
    <row r="3153" spans="1:6">
      <c r="A3153" t="s">
        <v>9604</v>
      </c>
      <c r="B3153">
        <v>6385</v>
      </c>
      <c r="C3153" t="s">
        <v>9674</v>
      </c>
      <c r="D3153" t="s">
        <v>9605</v>
      </c>
      <c r="E3153" t="s">
        <v>9826</v>
      </c>
      <c r="F3153" t="s">
        <v>5606</v>
      </c>
    </row>
    <row r="3154" spans="1:6">
      <c r="A3154" t="s">
        <v>9604</v>
      </c>
      <c r="B3154">
        <v>6386</v>
      </c>
      <c r="C3154" t="s">
        <v>9674</v>
      </c>
      <c r="D3154" t="s">
        <v>9605</v>
      </c>
      <c r="E3154" t="s">
        <v>9826</v>
      </c>
      <c r="F3154" t="s">
        <v>5606</v>
      </c>
    </row>
    <row r="3155" spans="1:6">
      <c r="A3155" t="s">
        <v>9604</v>
      </c>
      <c r="B3155">
        <v>6388</v>
      </c>
      <c r="C3155" t="s">
        <v>9674</v>
      </c>
      <c r="D3155" t="s">
        <v>9605</v>
      </c>
      <c r="E3155" t="s">
        <v>9826</v>
      </c>
      <c r="F3155" t="s">
        <v>5606</v>
      </c>
    </row>
    <row r="3156" spans="1:6">
      <c r="A3156" t="s">
        <v>9604</v>
      </c>
      <c r="B3156">
        <v>6389</v>
      </c>
      <c r="C3156" t="s">
        <v>9674</v>
      </c>
      <c r="D3156" t="s">
        <v>9605</v>
      </c>
      <c r="E3156" t="s">
        <v>9826</v>
      </c>
      <c r="F3156" t="s">
        <v>5606</v>
      </c>
    </row>
    <row r="3157" spans="1:6">
      <c r="A3157" t="s">
        <v>9604</v>
      </c>
      <c r="B3157">
        <v>6390</v>
      </c>
      <c r="C3157" t="s">
        <v>9674</v>
      </c>
      <c r="D3157" t="s">
        <v>9605</v>
      </c>
      <c r="E3157" t="s">
        <v>9826</v>
      </c>
      <c r="F3157" t="s">
        <v>5606</v>
      </c>
    </row>
    <row r="3158" spans="1:6">
      <c r="A3158" t="s">
        <v>9604</v>
      </c>
      <c r="B3158">
        <v>7321</v>
      </c>
      <c r="C3158" t="s">
        <v>9674</v>
      </c>
      <c r="D3158" t="s">
        <v>9605</v>
      </c>
      <c r="E3158" t="s">
        <v>9826</v>
      </c>
      <c r="F3158" t="s">
        <v>5606</v>
      </c>
    </row>
    <row r="3159" spans="1:6">
      <c r="A3159" t="s">
        <v>9604</v>
      </c>
      <c r="B3159">
        <v>7831</v>
      </c>
      <c r="C3159" t="s">
        <v>9674</v>
      </c>
      <c r="D3159" t="s">
        <v>9605</v>
      </c>
      <c r="E3159" t="s">
        <v>9826</v>
      </c>
      <c r="F3159" t="s">
        <v>5606</v>
      </c>
    </row>
    <row r="3160" spans="1:6">
      <c r="A3160" t="s">
        <v>9604</v>
      </c>
      <c r="B3160">
        <v>7832</v>
      </c>
      <c r="C3160" t="s">
        <v>9674</v>
      </c>
      <c r="D3160" t="s">
        <v>9605</v>
      </c>
      <c r="E3160" t="s">
        <v>9826</v>
      </c>
      <c r="F3160" t="s">
        <v>5606</v>
      </c>
    </row>
    <row r="3161" spans="1:6">
      <c r="A3161" t="s">
        <v>9604</v>
      </c>
      <c r="B3161">
        <v>7833</v>
      </c>
      <c r="C3161" t="s">
        <v>9674</v>
      </c>
      <c r="D3161" t="s">
        <v>9605</v>
      </c>
      <c r="E3161" t="s">
        <v>9826</v>
      </c>
      <c r="F3161" t="s">
        <v>5606</v>
      </c>
    </row>
    <row r="3162" spans="1:6">
      <c r="A3162" t="s">
        <v>9604</v>
      </c>
      <c r="B3162">
        <v>7834</v>
      </c>
      <c r="C3162" t="s">
        <v>9674</v>
      </c>
      <c r="D3162" t="s">
        <v>9605</v>
      </c>
      <c r="E3162" t="s">
        <v>9826</v>
      </c>
      <c r="F3162" t="s">
        <v>5606</v>
      </c>
    </row>
    <row r="3163" spans="1:6">
      <c r="A3163" t="s">
        <v>9604</v>
      </c>
      <c r="B3163">
        <v>8722</v>
      </c>
      <c r="C3163" t="s">
        <v>9674</v>
      </c>
      <c r="D3163" t="s">
        <v>9605</v>
      </c>
      <c r="E3163" t="s">
        <v>9826</v>
      </c>
      <c r="F3163" t="s">
        <v>5606</v>
      </c>
    </row>
    <row r="3164" spans="1:6">
      <c r="A3164" t="s">
        <v>9604</v>
      </c>
      <c r="B3164">
        <v>8733</v>
      </c>
      <c r="C3164" t="s">
        <v>9674</v>
      </c>
      <c r="D3164" t="s">
        <v>9605</v>
      </c>
      <c r="E3164" t="s">
        <v>9826</v>
      </c>
      <c r="F3164" t="s">
        <v>5606</v>
      </c>
    </row>
    <row r="3165" spans="1:6">
      <c r="A3165" t="s">
        <v>9604</v>
      </c>
      <c r="B3165">
        <v>8752</v>
      </c>
      <c r="C3165" t="s">
        <v>9674</v>
      </c>
      <c r="D3165" t="s">
        <v>9605</v>
      </c>
      <c r="E3165" t="s">
        <v>9826</v>
      </c>
      <c r="F3165" t="s">
        <v>5606</v>
      </c>
    </row>
    <row r="3166" spans="1:6">
      <c r="A3166" t="s">
        <v>9604</v>
      </c>
      <c r="B3166">
        <v>6205</v>
      </c>
      <c r="C3166" t="s">
        <v>9674</v>
      </c>
      <c r="D3166" t="s">
        <v>9605</v>
      </c>
      <c r="E3166" t="s">
        <v>9826</v>
      </c>
      <c r="F3166" t="s">
        <v>5606</v>
      </c>
    </row>
    <row r="3167" spans="1:6">
      <c r="A3167" t="s">
        <v>9604</v>
      </c>
      <c r="B3167">
        <v>7163</v>
      </c>
      <c r="C3167" t="s">
        <v>9674</v>
      </c>
      <c r="D3167" t="s">
        <v>9605</v>
      </c>
      <c r="E3167" t="s">
        <v>9826</v>
      </c>
      <c r="F3167" t="s">
        <v>5606</v>
      </c>
    </row>
    <row r="3168" spans="1:6">
      <c r="A3168" t="s">
        <v>9604</v>
      </c>
      <c r="B3168">
        <v>8877</v>
      </c>
      <c r="C3168" t="s">
        <v>9674</v>
      </c>
      <c r="D3168" t="s">
        <v>9605</v>
      </c>
      <c r="E3168" t="s">
        <v>9826</v>
      </c>
      <c r="F3168" t="s">
        <v>5606</v>
      </c>
    </row>
    <row r="3169" spans="1:6">
      <c r="A3169" t="s">
        <v>9604</v>
      </c>
      <c r="B3169">
        <v>7164</v>
      </c>
      <c r="C3169" t="s">
        <v>9674</v>
      </c>
      <c r="D3169" t="s">
        <v>9605</v>
      </c>
      <c r="E3169" t="s">
        <v>9826</v>
      </c>
      <c r="F3169" t="s">
        <v>5606</v>
      </c>
    </row>
    <row r="3170" spans="1:6">
      <c r="A3170" t="s">
        <v>9604</v>
      </c>
      <c r="B3170">
        <v>8865</v>
      </c>
      <c r="C3170" t="s">
        <v>9674</v>
      </c>
      <c r="D3170" t="s">
        <v>9605</v>
      </c>
      <c r="E3170" t="s">
        <v>9826</v>
      </c>
      <c r="F3170" t="s">
        <v>5606</v>
      </c>
    </row>
    <row r="3171" spans="1:6">
      <c r="A3171" t="s">
        <v>9604</v>
      </c>
      <c r="B3171">
        <v>8866</v>
      </c>
      <c r="C3171" t="s">
        <v>9674</v>
      </c>
      <c r="D3171" t="s">
        <v>9605</v>
      </c>
      <c r="E3171" t="s">
        <v>9826</v>
      </c>
      <c r="F3171" t="s">
        <v>5606</v>
      </c>
    </row>
    <row r="3172" spans="1:6">
      <c r="A3172" t="s">
        <v>9604</v>
      </c>
      <c r="B3172">
        <v>8864</v>
      </c>
      <c r="C3172" t="s">
        <v>9674</v>
      </c>
      <c r="D3172" t="s">
        <v>9605</v>
      </c>
      <c r="E3172" t="s">
        <v>9826</v>
      </c>
      <c r="F3172" t="s">
        <v>5606</v>
      </c>
    </row>
    <row r="3173" spans="1:6">
      <c r="A3173" t="s">
        <v>9604</v>
      </c>
      <c r="B3173">
        <v>7141</v>
      </c>
      <c r="C3173" t="s">
        <v>9674</v>
      </c>
      <c r="D3173" t="s">
        <v>9605</v>
      </c>
      <c r="E3173" t="s">
        <v>9826</v>
      </c>
      <c r="F3173" t="s">
        <v>5606</v>
      </c>
    </row>
    <row r="3174" spans="1:6">
      <c r="A3174" t="s">
        <v>9604</v>
      </c>
      <c r="B3174">
        <v>7143</v>
      </c>
      <c r="C3174" t="s">
        <v>9674</v>
      </c>
      <c r="D3174" t="s">
        <v>9605</v>
      </c>
      <c r="E3174" t="s">
        <v>9826</v>
      </c>
      <c r="F3174" t="s">
        <v>5606</v>
      </c>
    </row>
    <row r="3175" spans="1:6">
      <c r="A3175" t="s">
        <v>9604</v>
      </c>
      <c r="B3175">
        <v>7145</v>
      </c>
      <c r="C3175" t="s">
        <v>9674</v>
      </c>
      <c r="D3175" t="s">
        <v>9605</v>
      </c>
      <c r="E3175" t="s">
        <v>9826</v>
      </c>
      <c r="F3175" t="s">
        <v>5606</v>
      </c>
    </row>
    <row r="3176" spans="1:6">
      <c r="A3176" t="s">
        <v>9604</v>
      </c>
      <c r="B3176">
        <v>7147</v>
      </c>
      <c r="C3176" t="s">
        <v>9674</v>
      </c>
      <c r="D3176" t="s">
        <v>9605</v>
      </c>
      <c r="E3176" t="s">
        <v>9826</v>
      </c>
      <c r="F3176" t="s">
        <v>5606</v>
      </c>
    </row>
    <row r="3177" spans="1:6">
      <c r="A3177" t="s">
        <v>9604</v>
      </c>
      <c r="B3177">
        <v>3837</v>
      </c>
      <c r="C3177" t="s">
        <v>9674</v>
      </c>
      <c r="D3177" t="s">
        <v>9605</v>
      </c>
      <c r="E3177" t="s">
        <v>9826</v>
      </c>
      <c r="F3177" t="s">
        <v>5606</v>
      </c>
    </row>
    <row r="3178" spans="1:6">
      <c r="A3178" t="s">
        <v>9604</v>
      </c>
      <c r="B3178">
        <v>8878</v>
      </c>
      <c r="C3178" t="s">
        <v>9674</v>
      </c>
      <c r="D3178" t="s">
        <v>9605</v>
      </c>
      <c r="E3178" t="s">
        <v>9826</v>
      </c>
      <c r="F3178" t="s">
        <v>5606</v>
      </c>
    </row>
    <row r="3179" spans="1:6">
      <c r="A3179" t="s">
        <v>9604</v>
      </c>
      <c r="B3179">
        <v>8879</v>
      </c>
      <c r="C3179" t="s">
        <v>9674</v>
      </c>
      <c r="D3179" t="s">
        <v>9605</v>
      </c>
      <c r="E3179" t="s">
        <v>9826</v>
      </c>
      <c r="F3179" t="s">
        <v>5606</v>
      </c>
    </row>
    <row r="3180" spans="1:6">
      <c r="A3180" t="s">
        <v>9604</v>
      </c>
      <c r="B3180">
        <v>7233</v>
      </c>
      <c r="C3180" t="s">
        <v>9674</v>
      </c>
      <c r="D3180" t="s">
        <v>9605</v>
      </c>
      <c r="E3180" t="s">
        <v>9826</v>
      </c>
      <c r="F3180" t="s">
        <v>5606</v>
      </c>
    </row>
    <row r="3181" spans="1:6">
      <c r="A3181" t="s">
        <v>9604</v>
      </c>
      <c r="B3181">
        <v>5464</v>
      </c>
      <c r="C3181" t="s">
        <v>9674</v>
      </c>
      <c r="D3181" t="s">
        <v>9605</v>
      </c>
      <c r="E3181" t="s">
        <v>9826</v>
      </c>
      <c r="F3181" t="s">
        <v>5606</v>
      </c>
    </row>
    <row r="3182" spans="1:6">
      <c r="A3182" t="s">
        <v>9604</v>
      </c>
      <c r="B3182">
        <v>9532</v>
      </c>
      <c r="C3182" t="s">
        <v>9674</v>
      </c>
      <c r="D3182" t="s">
        <v>9605</v>
      </c>
      <c r="E3182" t="s">
        <v>9826</v>
      </c>
      <c r="F3182" t="s">
        <v>5606</v>
      </c>
    </row>
    <row r="3183" spans="1:6">
      <c r="A3183" t="s">
        <v>9604</v>
      </c>
      <c r="B3183">
        <v>5465</v>
      </c>
      <c r="C3183" t="s">
        <v>9674</v>
      </c>
      <c r="D3183" t="s">
        <v>9605</v>
      </c>
      <c r="E3183" t="s">
        <v>9826</v>
      </c>
      <c r="F3183" t="s">
        <v>5606</v>
      </c>
    </row>
    <row r="3184" spans="1:6">
      <c r="A3184" t="s">
        <v>9604</v>
      </c>
      <c r="B3184">
        <v>5456</v>
      </c>
      <c r="C3184" t="s">
        <v>9674</v>
      </c>
      <c r="D3184" t="s">
        <v>9605</v>
      </c>
      <c r="E3184" t="s">
        <v>9826</v>
      </c>
      <c r="F3184" t="s">
        <v>5606</v>
      </c>
    </row>
    <row r="3185" spans="1:6">
      <c r="A3185" t="s">
        <v>9604</v>
      </c>
      <c r="B3185">
        <v>7148</v>
      </c>
      <c r="C3185" t="s">
        <v>9674</v>
      </c>
      <c r="D3185" t="s">
        <v>9605</v>
      </c>
      <c r="E3185" t="s">
        <v>9826</v>
      </c>
      <c r="F3185" t="s">
        <v>5606</v>
      </c>
    </row>
    <row r="3186" spans="1:6">
      <c r="A3186" t="s">
        <v>9604</v>
      </c>
      <c r="B3186">
        <v>7385</v>
      </c>
      <c r="C3186" t="s">
        <v>9674</v>
      </c>
      <c r="D3186" t="s">
        <v>9605</v>
      </c>
      <c r="E3186" t="s">
        <v>9826</v>
      </c>
      <c r="F3186" t="s">
        <v>5606</v>
      </c>
    </row>
    <row r="3187" spans="1:6">
      <c r="A3187" t="s">
        <v>9604</v>
      </c>
      <c r="B3187">
        <v>7162</v>
      </c>
      <c r="C3187" t="s">
        <v>9674</v>
      </c>
      <c r="D3187" t="s">
        <v>9605</v>
      </c>
      <c r="E3187" t="s">
        <v>9826</v>
      </c>
      <c r="F3187" t="s">
        <v>5606</v>
      </c>
    </row>
    <row r="3188" spans="1:6">
      <c r="A3188" t="s">
        <v>9604</v>
      </c>
      <c r="B3188">
        <v>6241</v>
      </c>
      <c r="C3188" t="s">
        <v>9674</v>
      </c>
      <c r="D3188" t="s">
        <v>9605</v>
      </c>
      <c r="E3188" t="s">
        <v>9826</v>
      </c>
      <c r="F3188" t="s">
        <v>5606</v>
      </c>
    </row>
    <row r="3189" spans="1:6">
      <c r="A3189" t="s">
        <v>9604</v>
      </c>
      <c r="B3189">
        <v>8835</v>
      </c>
      <c r="C3189" t="s">
        <v>9674</v>
      </c>
      <c r="D3189" t="s">
        <v>9607</v>
      </c>
      <c r="E3189" t="s">
        <v>9827</v>
      </c>
      <c r="F3189" t="s">
        <v>5606</v>
      </c>
    </row>
    <row r="3190" spans="1:6">
      <c r="A3190" t="s">
        <v>9604</v>
      </c>
      <c r="B3190">
        <v>8848</v>
      </c>
      <c r="C3190" t="s">
        <v>9674</v>
      </c>
      <c r="D3190" t="s">
        <v>9607</v>
      </c>
      <c r="E3190" t="s">
        <v>9827</v>
      </c>
      <c r="F3190" t="s">
        <v>5606</v>
      </c>
    </row>
    <row r="3191" spans="1:6">
      <c r="A3191" t="s">
        <v>9604</v>
      </c>
      <c r="B3191">
        <v>7992</v>
      </c>
      <c r="C3191" t="s">
        <v>9674</v>
      </c>
      <c r="D3191" t="s">
        <v>9607</v>
      </c>
      <c r="E3191" t="s">
        <v>9827</v>
      </c>
      <c r="F3191" t="s">
        <v>5606</v>
      </c>
    </row>
    <row r="3192" spans="1:6">
      <c r="A3192" t="s">
        <v>9604</v>
      </c>
      <c r="B3192">
        <v>8830</v>
      </c>
      <c r="C3192" t="s">
        <v>9674</v>
      </c>
      <c r="D3192" t="s">
        <v>9607</v>
      </c>
      <c r="E3192" t="s">
        <v>9827</v>
      </c>
      <c r="F3192" t="s">
        <v>5606</v>
      </c>
    </row>
    <row r="3193" spans="1:6">
      <c r="A3193" t="s">
        <v>9604</v>
      </c>
      <c r="B3193">
        <v>8837</v>
      </c>
      <c r="C3193" t="s">
        <v>9674</v>
      </c>
      <c r="D3193" t="s">
        <v>9607</v>
      </c>
      <c r="E3193" t="s">
        <v>9827</v>
      </c>
      <c r="F3193" t="s">
        <v>5606</v>
      </c>
    </row>
    <row r="3194" spans="1:6">
      <c r="A3194" t="s">
        <v>9604</v>
      </c>
      <c r="B3194">
        <v>8827</v>
      </c>
      <c r="C3194" t="s">
        <v>9674</v>
      </c>
      <c r="D3194" t="s">
        <v>9607</v>
      </c>
      <c r="E3194" t="s">
        <v>9827</v>
      </c>
      <c r="F3194" t="s">
        <v>5606</v>
      </c>
    </row>
    <row r="3195" spans="1:6">
      <c r="A3195" t="s">
        <v>9604</v>
      </c>
      <c r="B3195">
        <v>8670</v>
      </c>
      <c r="C3195" t="s">
        <v>9674</v>
      </c>
      <c r="D3195" t="s">
        <v>9607</v>
      </c>
      <c r="E3195" t="s">
        <v>9827</v>
      </c>
      <c r="F3195" t="s">
        <v>5606</v>
      </c>
    </row>
    <row r="3196" spans="1:6">
      <c r="A3196" t="s">
        <v>9604</v>
      </c>
      <c r="B3196">
        <v>7977</v>
      </c>
      <c r="C3196" t="s">
        <v>9674</v>
      </c>
      <c r="D3196" t="s">
        <v>9607</v>
      </c>
      <c r="E3196" t="s">
        <v>9827</v>
      </c>
      <c r="F3196" t="s">
        <v>5606</v>
      </c>
    </row>
    <row r="3197" spans="1:6">
      <c r="A3197" t="s">
        <v>9604</v>
      </c>
      <c r="B3197">
        <v>7839</v>
      </c>
      <c r="C3197" t="s">
        <v>9674</v>
      </c>
      <c r="D3197" t="s">
        <v>9607</v>
      </c>
      <c r="E3197" t="s">
        <v>9827</v>
      </c>
      <c r="F3197" t="s">
        <v>5606</v>
      </c>
    </row>
    <row r="3198" spans="1:6">
      <c r="A3198" t="s">
        <v>9604</v>
      </c>
      <c r="B3198">
        <v>7380</v>
      </c>
      <c r="C3198" t="s">
        <v>9674</v>
      </c>
      <c r="D3198" t="s">
        <v>9607</v>
      </c>
      <c r="E3198" t="s">
        <v>9827</v>
      </c>
      <c r="F3198" t="s">
        <v>5606</v>
      </c>
    </row>
    <row r="3199" spans="1:6">
      <c r="A3199" t="s">
        <v>9604</v>
      </c>
      <c r="B3199">
        <v>7383</v>
      </c>
      <c r="C3199" t="s">
        <v>9674</v>
      </c>
      <c r="D3199" t="s">
        <v>9607</v>
      </c>
      <c r="E3199" t="s">
        <v>9827</v>
      </c>
      <c r="F3199" t="s">
        <v>5606</v>
      </c>
    </row>
    <row r="3200" spans="1:6">
      <c r="A3200" t="s">
        <v>9604</v>
      </c>
      <c r="B3200">
        <v>7160</v>
      </c>
      <c r="C3200" t="s">
        <v>9674</v>
      </c>
      <c r="D3200" t="s">
        <v>9607</v>
      </c>
      <c r="E3200" t="s">
        <v>9827</v>
      </c>
      <c r="F3200" t="s">
        <v>5606</v>
      </c>
    </row>
    <row r="3201" spans="1:6">
      <c r="A3201" t="s">
        <v>9604</v>
      </c>
      <c r="B3201">
        <v>7946</v>
      </c>
      <c r="C3201" t="s">
        <v>9674</v>
      </c>
      <c r="D3201" t="s">
        <v>9607</v>
      </c>
      <c r="E3201" t="s">
        <v>9827</v>
      </c>
      <c r="F3201" t="s">
        <v>5606</v>
      </c>
    </row>
    <row r="3202" spans="1:6">
      <c r="A3202" t="s">
        <v>9604</v>
      </c>
      <c r="B3202">
        <v>7978</v>
      </c>
      <c r="C3202" t="s">
        <v>9674</v>
      </c>
      <c r="D3202" t="s">
        <v>9607</v>
      </c>
      <c r="E3202" t="s">
        <v>9827</v>
      </c>
      <c r="F3202" t="s">
        <v>5606</v>
      </c>
    </row>
    <row r="3203" spans="1:6">
      <c r="A3203" t="s">
        <v>9604</v>
      </c>
      <c r="B3203">
        <v>7944</v>
      </c>
      <c r="C3203" t="s">
        <v>9674</v>
      </c>
      <c r="D3203" t="s">
        <v>9607</v>
      </c>
      <c r="E3203" t="s">
        <v>9827</v>
      </c>
      <c r="F3203" t="s">
        <v>5606</v>
      </c>
    </row>
    <row r="3204" spans="1:6">
      <c r="A3204" t="s">
        <v>9604</v>
      </c>
      <c r="B3204">
        <v>7914</v>
      </c>
      <c r="C3204" t="s">
        <v>9674</v>
      </c>
      <c r="D3204" t="s">
        <v>9607</v>
      </c>
      <c r="E3204" t="s">
        <v>9827</v>
      </c>
      <c r="F3204" t="s">
        <v>5606</v>
      </c>
    </row>
    <row r="3205" spans="1:6">
      <c r="A3205" t="s">
        <v>9604</v>
      </c>
      <c r="B3205">
        <v>7942</v>
      </c>
      <c r="C3205" t="s">
        <v>9674</v>
      </c>
      <c r="D3205" t="s">
        <v>9607</v>
      </c>
      <c r="E3205" t="s">
        <v>9827</v>
      </c>
      <c r="F3205" t="s">
        <v>5606</v>
      </c>
    </row>
    <row r="3206" spans="1:6">
      <c r="A3206" t="s">
        <v>9604</v>
      </c>
      <c r="B3206">
        <v>7376</v>
      </c>
      <c r="C3206" t="s">
        <v>9674</v>
      </c>
      <c r="D3206" t="s">
        <v>9607</v>
      </c>
      <c r="E3206" t="s">
        <v>9827</v>
      </c>
      <c r="F3206" t="s">
        <v>5606</v>
      </c>
    </row>
    <row r="3207" spans="1:6">
      <c r="A3207" t="s">
        <v>9604</v>
      </c>
      <c r="B3207">
        <v>7377</v>
      </c>
      <c r="C3207" t="s">
        <v>9674</v>
      </c>
      <c r="D3207" t="s">
        <v>9607</v>
      </c>
      <c r="E3207" t="s">
        <v>9827</v>
      </c>
      <c r="F3207" t="s">
        <v>5606</v>
      </c>
    </row>
    <row r="3208" spans="1:6">
      <c r="A3208" t="s">
        <v>9604</v>
      </c>
      <c r="B3208">
        <v>7158</v>
      </c>
      <c r="C3208" t="s">
        <v>9674</v>
      </c>
      <c r="D3208" t="s">
        <v>9607</v>
      </c>
      <c r="E3208" t="s">
        <v>9827</v>
      </c>
      <c r="F3208" t="s">
        <v>5606</v>
      </c>
    </row>
    <row r="3209" spans="1:6">
      <c r="A3209" t="s">
        <v>9604</v>
      </c>
      <c r="B3209">
        <v>7979</v>
      </c>
      <c r="C3209" t="s">
        <v>9674</v>
      </c>
      <c r="D3209" t="s">
        <v>9607</v>
      </c>
      <c r="E3209" t="s">
        <v>9827</v>
      </c>
      <c r="F3209" t="s">
        <v>5606</v>
      </c>
    </row>
    <row r="3210" spans="1:6">
      <c r="A3210" t="s">
        <v>9604</v>
      </c>
      <c r="B3210">
        <v>7947</v>
      </c>
      <c r="C3210" t="s">
        <v>9674</v>
      </c>
      <c r="D3210" t="s">
        <v>9607</v>
      </c>
      <c r="E3210" t="s">
        <v>9827</v>
      </c>
      <c r="F3210" t="s">
        <v>5606</v>
      </c>
    </row>
    <row r="3211" spans="1:6">
      <c r="A3211" t="s">
        <v>9604</v>
      </c>
      <c r="B3211">
        <v>5454</v>
      </c>
      <c r="C3211" t="s">
        <v>9674</v>
      </c>
      <c r="D3211" t="s">
        <v>9607</v>
      </c>
      <c r="E3211" t="s">
        <v>9827</v>
      </c>
      <c r="F3211" t="s">
        <v>5606</v>
      </c>
    </row>
    <row r="3212" spans="1:6">
      <c r="A3212" t="s">
        <v>9604</v>
      </c>
      <c r="B3212">
        <v>7945</v>
      </c>
      <c r="C3212" t="s">
        <v>9674</v>
      </c>
      <c r="D3212" t="s">
        <v>9607</v>
      </c>
      <c r="E3212" t="s">
        <v>9827</v>
      </c>
      <c r="F3212" t="s">
        <v>5606</v>
      </c>
    </row>
    <row r="3213" spans="1:6">
      <c r="A3213" t="s">
        <v>9604</v>
      </c>
      <c r="B3213">
        <v>7949</v>
      </c>
      <c r="C3213" t="s">
        <v>9674</v>
      </c>
      <c r="D3213" t="s">
        <v>9607</v>
      </c>
      <c r="E3213" t="s">
        <v>9827</v>
      </c>
      <c r="F3213" t="s">
        <v>5606</v>
      </c>
    </row>
    <row r="3214" spans="1:6">
      <c r="A3214" t="s">
        <v>9604</v>
      </c>
      <c r="B3214">
        <v>5460</v>
      </c>
      <c r="C3214" t="s">
        <v>9674</v>
      </c>
      <c r="D3214" t="s">
        <v>9607</v>
      </c>
      <c r="E3214" t="s">
        <v>9827</v>
      </c>
      <c r="F3214" t="s">
        <v>5606</v>
      </c>
    </row>
    <row r="3215" spans="1:6">
      <c r="A3215" t="s">
        <v>9604</v>
      </c>
      <c r="B3215">
        <v>5466</v>
      </c>
      <c r="C3215" t="s">
        <v>9674</v>
      </c>
      <c r="D3215" t="s">
        <v>9607</v>
      </c>
      <c r="E3215" t="s">
        <v>9827</v>
      </c>
      <c r="F3215" t="s">
        <v>5606</v>
      </c>
    </row>
    <row r="3216" spans="1:6">
      <c r="A3216" t="s">
        <v>9604</v>
      </c>
      <c r="B3216">
        <v>7915</v>
      </c>
      <c r="C3216" t="s">
        <v>9674</v>
      </c>
      <c r="D3216" t="s">
        <v>9607</v>
      </c>
      <c r="E3216" t="s">
        <v>9827</v>
      </c>
      <c r="F3216" t="s">
        <v>5606</v>
      </c>
    </row>
    <row r="3217" spans="1:6">
      <c r="A3217" t="s">
        <v>9604</v>
      </c>
      <c r="B3217">
        <v>7980</v>
      </c>
      <c r="C3217" t="s">
        <v>9674</v>
      </c>
      <c r="D3217" t="s">
        <v>9607</v>
      </c>
      <c r="E3217" t="s">
        <v>9827</v>
      </c>
      <c r="F3217" t="s">
        <v>5606</v>
      </c>
    </row>
    <row r="3218" spans="1:6">
      <c r="A3218" t="s">
        <v>9604</v>
      </c>
      <c r="B3218">
        <v>6630</v>
      </c>
      <c r="C3218" t="s">
        <v>9674</v>
      </c>
      <c r="D3218" t="s">
        <v>9607</v>
      </c>
      <c r="E3218" t="s">
        <v>9827</v>
      </c>
      <c r="F3218" t="s">
        <v>5606</v>
      </c>
    </row>
    <row r="3219" spans="1:6">
      <c r="A3219" t="s">
        <v>9604</v>
      </c>
      <c r="B3219">
        <v>7943</v>
      </c>
      <c r="C3219" t="s">
        <v>9674</v>
      </c>
      <c r="D3219" t="s">
        <v>9607</v>
      </c>
      <c r="E3219" t="s">
        <v>9827</v>
      </c>
      <c r="F3219" t="s">
        <v>5606</v>
      </c>
    </row>
    <row r="3220" spans="1:6">
      <c r="A3220" t="s">
        <v>9604</v>
      </c>
      <c r="B3220">
        <v>7985</v>
      </c>
      <c r="C3220" t="s">
        <v>9674</v>
      </c>
      <c r="D3220" t="s">
        <v>9607</v>
      </c>
      <c r="E3220" t="s">
        <v>9827</v>
      </c>
      <c r="F3220" t="s">
        <v>5606</v>
      </c>
    </row>
    <row r="3221" spans="1:6">
      <c r="A3221" t="s">
        <v>9604</v>
      </c>
      <c r="B3221">
        <v>5462</v>
      </c>
      <c r="C3221" t="s">
        <v>9674</v>
      </c>
      <c r="D3221" t="s">
        <v>9607</v>
      </c>
      <c r="E3221" t="s">
        <v>9827</v>
      </c>
      <c r="F3221" t="s">
        <v>5606</v>
      </c>
    </row>
    <row r="3222" spans="1:6">
      <c r="A3222" t="s">
        <v>9604</v>
      </c>
      <c r="B3222">
        <v>5463</v>
      </c>
      <c r="C3222" t="s">
        <v>9674</v>
      </c>
      <c r="D3222" t="s">
        <v>9607</v>
      </c>
      <c r="E3222" t="s">
        <v>9827</v>
      </c>
      <c r="F3222" t="s">
        <v>5606</v>
      </c>
    </row>
    <row r="3223" spans="1:6">
      <c r="A3223" t="s">
        <v>9604</v>
      </c>
      <c r="B3223">
        <v>5495</v>
      </c>
      <c r="C3223" t="s">
        <v>9674</v>
      </c>
      <c r="D3223" t="s">
        <v>9607</v>
      </c>
      <c r="E3223" t="s">
        <v>9827</v>
      </c>
      <c r="F3223" t="s">
        <v>5606</v>
      </c>
    </row>
    <row r="3224" spans="1:6">
      <c r="A3224" t="s">
        <v>9604</v>
      </c>
      <c r="B3224">
        <v>9307</v>
      </c>
      <c r="C3224" t="s">
        <v>9674</v>
      </c>
      <c r="D3224" t="s">
        <v>9607</v>
      </c>
      <c r="E3224" t="s">
        <v>9827</v>
      </c>
      <c r="F3224" t="s">
        <v>5606</v>
      </c>
    </row>
    <row r="3225" spans="1:6">
      <c r="A3225" t="s">
        <v>9604</v>
      </c>
      <c r="B3225">
        <v>9306</v>
      </c>
      <c r="C3225" t="s">
        <v>9674</v>
      </c>
      <c r="D3225" t="s">
        <v>9607</v>
      </c>
      <c r="E3225" t="s">
        <v>9827</v>
      </c>
      <c r="F3225" t="s">
        <v>5606</v>
      </c>
    </row>
    <row r="3226" spans="1:6">
      <c r="A3226" t="s">
        <v>9604</v>
      </c>
      <c r="B3226">
        <v>8655</v>
      </c>
      <c r="C3226" t="s">
        <v>9674</v>
      </c>
      <c r="D3226" t="s">
        <v>9610</v>
      </c>
      <c r="E3226" t="s">
        <v>9828</v>
      </c>
      <c r="F3226" t="s">
        <v>5606</v>
      </c>
    </row>
    <row r="3227" spans="1:6">
      <c r="A3227" t="s">
        <v>9604</v>
      </c>
      <c r="B3227">
        <v>8836</v>
      </c>
      <c r="C3227" t="s">
        <v>9674</v>
      </c>
      <c r="D3227" t="s">
        <v>9610</v>
      </c>
      <c r="E3227" t="s">
        <v>9828</v>
      </c>
      <c r="F3227" t="s">
        <v>5606</v>
      </c>
    </row>
    <row r="3228" spans="1:6">
      <c r="A3228" t="s">
        <v>9604</v>
      </c>
      <c r="B3228">
        <v>8486</v>
      </c>
      <c r="C3228" t="s">
        <v>9674</v>
      </c>
      <c r="D3228" t="s">
        <v>9610</v>
      </c>
      <c r="E3228" t="s">
        <v>9828</v>
      </c>
      <c r="F3228" t="s">
        <v>5606</v>
      </c>
    </row>
    <row r="3229" spans="1:6">
      <c r="A3229" t="s">
        <v>9604</v>
      </c>
      <c r="B3229">
        <v>8478</v>
      </c>
      <c r="C3229" t="s">
        <v>9674</v>
      </c>
      <c r="D3229" t="s">
        <v>9610</v>
      </c>
      <c r="E3229" t="s">
        <v>9828</v>
      </c>
      <c r="F3229" t="s">
        <v>5606</v>
      </c>
    </row>
    <row r="3230" spans="1:6">
      <c r="A3230" t="s">
        <v>9604</v>
      </c>
      <c r="B3230">
        <v>8479</v>
      </c>
      <c r="C3230" t="s">
        <v>9674</v>
      </c>
      <c r="D3230" t="s">
        <v>9610</v>
      </c>
      <c r="E3230" t="s">
        <v>9828</v>
      </c>
      <c r="F3230" t="s">
        <v>5606</v>
      </c>
    </row>
    <row r="3231" spans="1:6">
      <c r="A3231" t="s">
        <v>9604</v>
      </c>
      <c r="B3231">
        <v>8480</v>
      </c>
      <c r="C3231" t="s">
        <v>9674</v>
      </c>
      <c r="D3231" t="s">
        <v>9610</v>
      </c>
      <c r="E3231" t="s">
        <v>9828</v>
      </c>
      <c r="F3231" t="s">
        <v>5606</v>
      </c>
    </row>
    <row r="3232" spans="1:6">
      <c r="A3232" t="s">
        <v>9604</v>
      </c>
      <c r="B3232">
        <v>8482</v>
      </c>
      <c r="C3232" t="s">
        <v>9674</v>
      </c>
      <c r="D3232" t="s">
        <v>9610</v>
      </c>
      <c r="E3232" t="s">
        <v>9828</v>
      </c>
      <c r="F3232" t="s">
        <v>5606</v>
      </c>
    </row>
    <row r="3233" spans="1:6">
      <c r="A3233" t="s">
        <v>9604</v>
      </c>
      <c r="B3233">
        <v>8487</v>
      </c>
      <c r="C3233" t="s">
        <v>9674</v>
      </c>
      <c r="D3233" t="s">
        <v>9610</v>
      </c>
      <c r="E3233" t="s">
        <v>9828</v>
      </c>
      <c r="F3233" t="s">
        <v>5606</v>
      </c>
    </row>
    <row r="3234" spans="1:6">
      <c r="A3234" t="s">
        <v>9604</v>
      </c>
      <c r="B3234">
        <v>8485</v>
      </c>
      <c r="C3234" t="s">
        <v>9674</v>
      </c>
      <c r="D3234" t="s">
        <v>9610</v>
      </c>
      <c r="E3234" t="s">
        <v>9828</v>
      </c>
      <c r="F3234" t="s">
        <v>5606</v>
      </c>
    </row>
    <row r="3235" spans="1:6">
      <c r="A3235" t="s">
        <v>9604</v>
      </c>
      <c r="B3235">
        <v>8490</v>
      </c>
      <c r="C3235" t="s">
        <v>9674</v>
      </c>
      <c r="D3235" t="s">
        <v>9610</v>
      </c>
      <c r="E3235" t="s">
        <v>9828</v>
      </c>
      <c r="F3235" t="s">
        <v>5606</v>
      </c>
    </row>
    <row r="3236" spans="1:6">
      <c r="A3236" t="s">
        <v>9604</v>
      </c>
      <c r="B3236">
        <v>8645</v>
      </c>
      <c r="C3236" t="s">
        <v>9674</v>
      </c>
      <c r="D3236" t="s">
        <v>9610</v>
      </c>
      <c r="E3236" t="s">
        <v>9828</v>
      </c>
      <c r="F3236" t="s">
        <v>5606</v>
      </c>
    </row>
    <row r="3237" spans="1:6">
      <c r="A3237" t="s">
        <v>9604</v>
      </c>
      <c r="B3237">
        <v>8646</v>
      </c>
      <c r="C3237" t="s">
        <v>9674</v>
      </c>
      <c r="D3237" t="s">
        <v>9610</v>
      </c>
      <c r="E3237" t="s">
        <v>9828</v>
      </c>
      <c r="F3237" t="s">
        <v>5606</v>
      </c>
    </row>
    <row r="3238" spans="1:6">
      <c r="A3238" t="s">
        <v>9604</v>
      </c>
      <c r="B3238">
        <v>8647</v>
      </c>
      <c r="C3238" t="s">
        <v>9674</v>
      </c>
      <c r="D3238" t="s">
        <v>9610</v>
      </c>
      <c r="E3238" t="s">
        <v>9828</v>
      </c>
      <c r="F3238" t="s">
        <v>5606</v>
      </c>
    </row>
    <row r="3239" spans="1:6">
      <c r="A3239" t="s">
        <v>9604</v>
      </c>
      <c r="B3239">
        <v>8649</v>
      </c>
      <c r="C3239" t="s">
        <v>9674</v>
      </c>
      <c r="D3239" t="s">
        <v>9610</v>
      </c>
      <c r="E3239" t="s">
        <v>9828</v>
      </c>
      <c r="F3239" t="s">
        <v>5606</v>
      </c>
    </row>
    <row r="3240" spans="1:6">
      <c r="A3240" t="s">
        <v>9604</v>
      </c>
      <c r="B3240">
        <v>8488</v>
      </c>
      <c r="C3240" t="s">
        <v>9674</v>
      </c>
      <c r="D3240" t="s">
        <v>9610</v>
      </c>
      <c r="E3240" t="s">
        <v>9828</v>
      </c>
      <c r="F3240" t="s">
        <v>5606</v>
      </c>
    </row>
    <row r="3241" spans="1:6">
      <c r="A3241" t="s">
        <v>9604</v>
      </c>
      <c r="B3241">
        <v>8648</v>
      </c>
      <c r="C3241" t="s">
        <v>9674</v>
      </c>
      <c r="D3241" t="s">
        <v>9610</v>
      </c>
      <c r="E3241" t="s">
        <v>9828</v>
      </c>
      <c r="F3241" t="s">
        <v>5606</v>
      </c>
    </row>
    <row r="3242" spans="1:6">
      <c r="A3242" t="s">
        <v>9604</v>
      </c>
      <c r="B3242">
        <v>8671</v>
      </c>
      <c r="C3242" t="s">
        <v>9674</v>
      </c>
      <c r="D3242" t="s">
        <v>9610</v>
      </c>
      <c r="E3242" t="s">
        <v>9828</v>
      </c>
      <c r="F3242" t="s">
        <v>5606</v>
      </c>
    </row>
    <row r="3243" spans="1:6">
      <c r="A3243" t="s">
        <v>9604</v>
      </c>
      <c r="B3243">
        <v>8841</v>
      </c>
      <c r="C3243" t="s">
        <v>9674</v>
      </c>
      <c r="D3243" t="s">
        <v>9610</v>
      </c>
      <c r="E3243" t="s">
        <v>9828</v>
      </c>
      <c r="F3243" t="s">
        <v>5606</v>
      </c>
    </row>
    <row r="3244" spans="1:6">
      <c r="A3244" t="s">
        <v>9604</v>
      </c>
      <c r="B3244">
        <v>8672</v>
      </c>
      <c r="C3244" t="s">
        <v>9674</v>
      </c>
      <c r="D3244" t="s">
        <v>9610</v>
      </c>
      <c r="E3244" t="s">
        <v>9828</v>
      </c>
      <c r="F3244" t="s">
        <v>5606</v>
      </c>
    </row>
    <row r="3245" spans="1:6">
      <c r="A3245" t="s">
        <v>9604</v>
      </c>
      <c r="B3245">
        <v>8673</v>
      </c>
      <c r="C3245" t="s">
        <v>9674</v>
      </c>
      <c r="D3245" t="s">
        <v>9610</v>
      </c>
      <c r="E3245" t="s">
        <v>9828</v>
      </c>
      <c r="F3245" t="s">
        <v>5606</v>
      </c>
    </row>
    <row r="3246" spans="1:6">
      <c r="A3246" t="s">
        <v>9604</v>
      </c>
      <c r="B3246">
        <v>8489</v>
      </c>
      <c r="C3246" t="s">
        <v>9674</v>
      </c>
      <c r="D3246" t="s">
        <v>9610</v>
      </c>
      <c r="E3246" t="s">
        <v>9828</v>
      </c>
      <c r="F3246" t="s">
        <v>5606</v>
      </c>
    </row>
    <row r="3247" spans="1:6">
      <c r="A3247" t="s">
        <v>9604</v>
      </c>
      <c r="B3247">
        <v>8491</v>
      </c>
      <c r="C3247" t="s">
        <v>9674</v>
      </c>
      <c r="D3247" t="s">
        <v>9610</v>
      </c>
      <c r="E3247" t="s">
        <v>9828</v>
      </c>
      <c r="F3247" t="s">
        <v>5606</v>
      </c>
    </row>
    <row r="3248" spans="1:6">
      <c r="A3248" t="s">
        <v>9604</v>
      </c>
      <c r="B3248">
        <v>8849</v>
      </c>
      <c r="C3248" t="s">
        <v>9674</v>
      </c>
      <c r="D3248" t="s">
        <v>9610</v>
      </c>
      <c r="E3248" t="s">
        <v>9828</v>
      </c>
      <c r="F3248" t="s">
        <v>5606</v>
      </c>
    </row>
    <row r="3249" spans="1:6">
      <c r="A3249" t="s">
        <v>9604</v>
      </c>
      <c r="B3249">
        <v>7969</v>
      </c>
      <c r="C3249" t="s">
        <v>9674</v>
      </c>
      <c r="D3249" t="s">
        <v>9610</v>
      </c>
      <c r="E3249" t="s">
        <v>9828</v>
      </c>
      <c r="F3249" t="s">
        <v>5606</v>
      </c>
    </row>
    <row r="3250" spans="1:6">
      <c r="A3250" t="s">
        <v>9604</v>
      </c>
      <c r="B3250">
        <v>8654</v>
      </c>
      <c r="C3250" t="s">
        <v>9674</v>
      </c>
      <c r="D3250" t="s">
        <v>9610</v>
      </c>
      <c r="E3250" t="s">
        <v>9828</v>
      </c>
      <c r="F3250" t="s">
        <v>5606</v>
      </c>
    </row>
    <row r="3251" spans="1:6">
      <c r="A3251" t="s">
        <v>9604</v>
      </c>
      <c r="B3251">
        <v>8675</v>
      </c>
      <c r="C3251" t="s">
        <v>9674</v>
      </c>
      <c r="D3251" t="s">
        <v>9610</v>
      </c>
      <c r="E3251" t="s">
        <v>9828</v>
      </c>
      <c r="F3251" t="s">
        <v>5606</v>
      </c>
    </row>
    <row r="3252" spans="1:6">
      <c r="A3252" t="s">
        <v>9604</v>
      </c>
      <c r="B3252">
        <v>8847</v>
      </c>
      <c r="C3252" t="s">
        <v>9674</v>
      </c>
      <c r="D3252" t="s">
        <v>9610</v>
      </c>
      <c r="E3252" t="s">
        <v>9828</v>
      </c>
      <c r="F3252" t="s">
        <v>5606</v>
      </c>
    </row>
    <row r="3253" spans="1:6">
      <c r="A3253" t="s">
        <v>9604</v>
      </c>
      <c r="B3253">
        <v>8840</v>
      </c>
      <c r="C3253" t="s">
        <v>9674</v>
      </c>
      <c r="D3253" t="s">
        <v>9610</v>
      </c>
      <c r="E3253" t="s">
        <v>9828</v>
      </c>
      <c r="F3253" t="s">
        <v>5606</v>
      </c>
    </row>
    <row r="3254" spans="1:6">
      <c r="A3254" t="s">
        <v>9604</v>
      </c>
      <c r="B3254">
        <v>8834</v>
      </c>
      <c r="C3254" t="s">
        <v>9674</v>
      </c>
      <c r="D3254" t="s">
        <v>9610</v>
      </c>
      <c r="E3254" t="s">
        <v>9828</v>
      </c>
      <c r="F3254" t="s">
        <v>5606</v>
      </c>
    </row>
    <row r="3255" spans="1:6">
      <c r="A3255" t="s">
        <v>9604</v>
      </c>
      <c r="B3255">
        <v>4348</v>
      </c>
      <c r="C3255" t="s">
        <v>9674</v>
      </c>
      <c r="D3255" t="s">
        <v>9610</v>
      </c>
      <c r="E3255" t="s">
        <v>9828</v>
      </c>
      <c r="F3255" t="s">
        <v>5606</v>
      </c>
    </row>
    <row r="3256" spans="1:6">
      <c r="A3256" t="s">
        <v>9604</v>
      </c>
      <c r="B3256">
        <v>4253</v>
      </c>
      <c r="C3256" t="s">
        <v>9674</v>
      </c>
      <c r="D3256" t="s">
        <v>9610</v>
      </c>
      <c r="E3256" t="s">
        <v>9828</v>
      </c>
      <c r="F3256" t="s">
        <v>5606</v>
      </c>
    </row>
    <row r="3257" spans="1:6">
      <c r="A3257" t="s">
        <v>9604</v>
      </c>
      <c r="B3257">
        <v>2582</v>
      </c>
      <c r="C3257" t="s">
        <v>9674</v>
      </c>
      <c r="D3257" t="s">
        <v>9610</v>
      </c>
      <c r="E3257" t="s">
        <v>9828</v>
      </c>
      <c r="F3257" t="s">
        <v>5606</v>
      </c>
    </row>
    <row r="3258" spans="1:6">
      <c r="A3258" t="s">
        <v>9604</v>
      </c>
      <c r="B3258">
        <v>5457</v>
      </c>
      <c r="C3258" t="s">
        <v>9674</v>
      </c>
      <c r="D3258" t="s">
        <v>9610</v>
      </c>
      <c r="E3258" t="s">
        <v>9828</v>
      </c>
      <c r="F3258" t="s">
        <v>5606</v>
      </c>
    </row>
    <row r="3259" spans="1:6">
      <c r="A3259" t="s">
        <v>9604</v>
      </c>
      <c r="B3259">
        <v>4347</v>
      </c>
      <c r="C3259" t="s">
        <v>9674</v>
      </c>
      <c r="D3259" t="s">
        <v>9610</v>
      </c>
      <c r="E3259" t="s">
        <v>9828</v>
      </c>
      <c r="F3259" t="s">
        <v>5606</v>
      </c>
    </row>
    <row r="3260" spans="1:6">
      <c r="A3260" t="s">
        <v>9604</v>
      </c>
      <c r="B3260">
        <v>4362</v>
      </c>
      <c r="C3260" t="s">
        <v>9674</v>
      </c>
      <c r="D3260" t="s">
        <v>9610</v>
      </c>
      <c r="E3260" t="s">
        <v>9828</v>
      </c>
      <c r="F3260" t="s">
        <v>5606</v>
      </c>
    </row>
    <row r="3261" spans="1:6">
      <c r="A3261" t="s">
        <v>9604</v>
      </c>
      <c r="B3261">
        <v>4363</v>
      </c>
      <c r="C3261" t="s">
        <v>9674</v>
      </c>
      <c r="D3261" t="s">
        <v>9610</v>
      </c>
      <c r="E3261" t="s">
        <v>9828</v>
      </c>
      <c r="F3261" t="s">
        <v>5606</v>
      </c>
    </row>
    <row r="3262" spans="1:6">
      <c r="A3262" t="s">
        <v>9604</v>
      </c>
      <c r="B3262">
        <v>4367</v>
      </c>
      <c r="C3262" t="s">
        <v>9674</v>
      </c>
      <c r="D3262" t="s">
        <v>9610</v>
      </c>
      <c r="E3262" t="s">
        <v>9828</v>
      </c>
      <c r="F3262" t="s">
        <v>5606</v>
      </c>
    </row>
    <row r="3263" spans="1:6">
      <c r="A3263" t="s">
        <v>9604</v>
      </c>
      <c r="B3263">
        <v>4368</v>
      </c>
      <c r="C3263" t="s">
        <v>9674</v>
      </c>
      <c r="D3263" t="s">
        <v>9610</v>
      </c>
      <c r="E3263" t="s">
        <v>9828</v>
      </c>
      <c r="F3263" t="s">
        <v>5606</v>
      </c>
    </row>
    <row r="3264" spans="1:6">
      <c r="A3264" t="s">
        <v>9604</v>
      </c>
      <c r="B3264">
        <v>7327</v>
      </c>
      <c r="C3264" t="s">
        <v>9674</v>
      </c>
      <c r="D3264" t="s">
        <v>9610</v>
      </c>
      <c r="E3264" t="s">
        <v>9828</v>
      </c>
      <c r="F3264" t="s">
        <v>5606</v>
      </c>
    </row>
    <row r="3265" spans="1:6">
      <c r="A3265" t="s">
        <v>9604</v>
      </c>
      <c r="B3265">
        <v>7328</v>
      </c>
      <c r="C3265" t="s">
        <v>9674</v>
      </c>
      <c r="D3265" t="s">
        <v>9610</v>
      </c>
      <c r="E3265" t="s">
        <v>9828</v>
      </c>
      <c r="F3265" t="s">
        <v>5606</v>
      </c>
    </row>
    <row r="3266" spans="1:6">
      <c r="A3266" t="s">
        <v>9604</v>
      </c>
      <c r="B3266">
        <v>4365</v>
      </c>
      <c r="C3266" t="s">
        <v>9674</v>
      </c>
      <c r="D3266" t="s">
        <v>9610</v>
      </c>
      <c r="E3266" t="s">
        <v>9828</v>
      </c>
      <c r="F3266" t="s">
        <v>5606</v>
      </c>
    </row>
    <row r="3267" spans="1:6">
      <c r="A3267" t="s">
        <v>9604</v>
      </c>
      <c r="B3267">
        <v>4364</v>
      </c>
      <c r="C3267" t="s">
        <v>9674</v>
      </c>
      <c r="D3267" t="s">
        <v>9610</v>
      </c>
      <c r="E3267" t="s">
        <v>9828</v>
      </c>
      <c r="F3267" t="s">
        <v>5606</v>
      </c>
    </row>
    <row r="3268" spans="1:6">
      <c r="A3268" t="s">
        <v>9604</v>
      </c>
      <c r="B3268">
        <v>4194</v>
      </c>
      <c r="C3268" t="s">
        <v>9674</v>
      </c>
      <c r="D3268" t="s">
        <v>9610</v>
      </c>
      <c r="E3268" t="s">
        <v>9828</v>
      </c>
      <c r="F3268" t="s">
        <v>5606</v>
      </c>
    </row>
    <row r="3269" spans="1:6">
      <c r="A3269" t="s">
        <v>9604</v>
      </c>
      <c r="B3269">
        <v>4190</v>
      </c>
      <c r="C3269" t="s">
        <v>9674</v>
      </c>
      <c r="D3269" t="s">
        <v>9610</v>
      </c>
      <c r="E3269" t="s">
        <v>9828</v>
      </c>
      <c r="F3269" t="s">
        <v>5606</v>
      </c>
    </row>
    <row r="3270" spans="1:6">
      <c r="A3270" t="s">
        <v>9604</v>
      </c>
      <c r="B3270">
        <v>4251</v>
      </c>
      <c r="C3270" t="s">
        <v>9674</v>
      </c>
      <c r="D3270" t="s">
        <v>9610</v>
      </c>
      <c r="E3270" t="s">
        <v>9828</v>
      </c>
      <c r="F3270" t="s">
        <v>5606</v>
      </c>
    </row>
    <row r="3271" spans="1:6">
      <c r="A3271" t="s">
        <v>9604</v>
      </c>
      <c r="B3271">
        <v>4252</v>
      </c>
      <c r="C3271" t="s">
        <v>9674</v>
      </c>
      <c r="D3271" t="s">
        <v>9610</v>
      </c>
      <c r="E3271" t="s">
        <v>9828</v>
      </c>
      <c r="F3271" t="s">
        <v>5606</v>
      </c>
    </row>
    <row r="3272" spans="1:6">
      <c r="A3272" t="s">
        <v>9604</v>
      </c>
      <c r="B3272">
        <v>2583</v>
      </c>
      <c r="C3272" t="s">
        <v>9674</v>
      </c>
      <c r="D3272" t="s">
        <v>9610</v>
      </c>
      <c r="E3272" t="s">
        <v>9828</v>
      </c>
      <c r="F3272" t="s">
        <v>5606</v>
      </c>
    </row>
    <row r="3273" spans="1:6">
      <c r="A3273" t="s">
        <v>9604</v>
      </c>
      <c r="B3273">
        <v>5458</v>
      </c>
      <c r="C3273" t="s">
        <v>9674</v>
      </c>
      <c r="D3273" t="s">
        <v>9610</v>
      </c>
      <c r="E3273" t="s">
        <v>9828</v>
      </c>
      <c r="F3273" t="s">
        <v>5606</v>
      </c>
    </row>
    <row r="3274" spans="1:6">
      <c r="A3274" t="s">
        <v>9604</v>
      </c>
      <c r="B3274">
        <v>7382</v>
      </c>
      <c r="C3274" t="s">
        <v>9674</v>
      </c>
      <c r="D3274" t="s">
        <v>9610</v>
      </c>
      <c r="E3274" t="s">
        <v>9828</v>
      </c>
      <c r="F3274" t="s">
        <v>5606</v>
      </c>
    </row>
    <row r="3275" spans="1:6">
      <c r="A3275" t="s">
        <v>9604</v>
      </c>
      <c r="B3275">
        <v>4192</v>
      </c>
      <c r="C3275" t="s">
        <v>9674</v>
      </c>
      <c r="D3275" t="s">
        <v>9610</v>
      </c>
      <c r="E3275" t="s">
        <v>9828</v>
      </c>
      <c r="F3275" t="s">
        <v>5606</v>
      </c>
    </row>
    <row r="3276" spans="1:6">
      <c r="A3276" t="s">
        <v>9604</v>
      </c>
      <c r="B3276">
        <v>4193</v>
      </c>
      <c r="C3276" t="s">
        <v>9674</v>
      </c>
      <c r="D3276" t="s">
        <v>9610</v>
      </c>
      <c r="E3276" t="s">
        <v>9828</v>
      </c>
      <c r="F3276" t="s">
        <v>5606</v>
      </c>
    </row>
    <row r="3277" spans="1:6">
      <c r="A3277" t="s">
        <v>9604</v>
      </c>
      <c r="B3277">
        <v>7973</v>
      </c>
      <c r="C3277" t="s">
        <v>9674</v>
      </c>
      <c r="D3277" t="s">
        <v>9610</v>
      </c>
      <c r="E3277" t="s">
        <v>9828</v>
      </c>
      <c r="F3277" t="s">
        <v>5606</v>
      </c>
    </row>
    <row r="3278" spans="1:6">
      <c r="A3278" t="s">
        <v>9604</v>
      </c>
      <c r="B3278">
        <v>7975</v>
      </c>
      <c r="C3278" t="s">
        <v>9674</v>
      </c>
      <c r="D3278" t="s">
        <v>9610</v>
      </c>
      <c r="E3278" t="s">
        <v>9828</v>
      </c>
      <c r="F3278" t="s">
        <v>5606</v>
      </c>
    </row>
    <row r="3279" spans="1:6">
      <c r="A3279" t="s">
        <v>9604</v>
      </c>
      <c r="B3279">
        <v>7974</v>
      </c>
      <c r="C3279" t="s">
        <v>9674</v>
      </c>
      <c r="D3279" t="s">
        <v>9610</v>
      </c>
      <c r="E3279" t="s">
        <v>9828</v>
      </c>
      <c r="F3279" t="s">
        <v>5606</v>
      </c>
    </row>
    <row r="3280" spans="1:6">
      <c r="A3280" t="s">
        <v>9604</v>
      </c>
      <c r="B3280">
        <v>7976</v>
      </c>
      <c r="C3280" t="s">
        <v>9674</v>
      </c>
      <c r="D3280" t="s">
        <v>9610</v>
      </c>
      <c r="E3280" t="s">
        <v>9828</v>
      </c>
      <c r="F3280" t="s">
        <v>5606</v>
      </c>
    </row>
    <row r="3281" spans="1:6">
      <c r="A3281" t="s">
        <v>9604</v>
      </c>
      <c r="B3281">
        <v>7836</v>
      </c>
      <c r="C3281" t="s">
        <v>9674</v>
      </c>
      <c r="D3281" t="s">
        <v>9610</v>
      </c>
      <c r="E3281" t="s">
        <v>9828</v>
      </c>
      <c r="F3281" t="s">
        <v>5606</v>
      </c>
    </row>
    <row r="3282" spans="1:6">
      <c r="A3282" t="s">
        <v>9604</v>
      </c>
      <c r="B3282">
        <v>7837</v>
      </c>
      <c r="C3282" t="s">
        <v>9674</v>
      </c>
      <c r="D3282" t="s">
        <v>9610</v>
      </c>
      <c r="E3282" t="s">
        <v>9828</v>
      </c>
      <c r="F3282" t="s">
        <v>5606</v>
      </c>
    </row>
    <row r="3283" spans="1:6">
      <c r="A3283" t="s">
        <v>9604</v>
      </c>
      <c r="B3283">
        <v>7379</v>
      </c>
      <c r="C3283" t="s">
        <v>9674</v>
      </c>
      <c r="D3283" t="s">
        <v>9610</v>
      </c>
      <c r="E3283" t="s">
        <v>9828</v>
      </c>
      <c r="F3283" t="s">
        <v>5606</v>
      </c>
    </row>
    <row r="3284" spans="1:6">
      <c r="A3284" t="s">
        <v>9604</v>
      </c>
      <c r="B3284">
        <v>7378</v>
      </c>
      <c r="C3284" t="s">
        <v>9674</v>
      </c>
      <c r="D3284" t="s">
        <v>9610</v>
      </c>
      <c r="E3284" t="s">
        <v>9828</v>
      </c>
      <c r="F3284" t="s">
        <v>5606</v>
      </c>
    </row>
    <row r="3285" spans="1:6">
      <c r="A3285" t="s">
        <v>9604</v>
      </c>
      <c r="B3285">
        <v>7948</v>
      </c>
      <c r="C3285" t="s">
        <v>9674</v>
      </c>
      <c r="D3285" t="s">
        <v>9610</v>
      </c>
      <c r="E3285" t="s">
        <v>9828</v>
      </c>
      <c r="F3285" t="s">
        <v>5606</v>
      </c>
    </row>
    <row r="3286" spans="1:6">
      <c r="A3286" t="s">
        <v>9604</v>
      </c>
      <c r="B3286">
        <v>7940</v>
      </c>
      <c r="C3286" t="s">
        <v>9674</v>
      </c>
      <c r="D3286" t="s">
        <v>9610</v>
      </c>
      <c r="E3286" t="s">
        <v>9828</v>
      </c>
      <c r="F3286" t="s">
        <v>5606</v>
      </c>
    </row>
    <row r="3287" spans="1:6">
      <c r="A3287" t="s">
        <v>9604</v>
      </c>
      <c r="B3287">
        <v>7941</v>
      </c>
      <c r="C3287" t="s">
        <v>9674</v>
      </c>
      <c r="D3287" t="s">
        <v>9610</v>
      </c>
      <c r="E3287" t="s">
        <v>9828</v>
      </c>
      <c r="F3287" t="s">
        <v>5606</v>
      </c>
    </row>
    <row r="3288" spans="1:6">
      <c r="A3288" t="s">
        <v>9604</v>
      </c>
      <c r="B3288">
        <v>7984</v>
      </c>
      <c r="C3288" t="s">
        <v>9674</v>
      </c>
      <c r="D3288" t="s">
        <v>9610</v>
      </c>
      <c r="E3288" t="s">
        <v>9828</v>
      </c>
      <c r="F3288" t="s">
        <v>5606</v>
      </c>
    </row>
    <row r="3289" spans="1:6">
      <c r="A3289" t="s">
        <v>9656</v>
      </c>
      <c r="B3289">
        <v>1911</v>
      </c>
      <c r="C3289" t="s">
        <v>9674</v>
      </c>
      <c r="D3289" t="s">
        <v>9654</v>
      </c>
      <c r="E3289" t="s">
        <v>9841</v>
      </c>
      <c r="F3289" t="s">
        <v>5606</v>
      </c>
    </row>
    <row r="3290" spans="1:6">
      <c r="A3290" t="s">
        <v>9656</v>
      </c>
      <c r="B3290">
        <v>7809</v>
      </c>
      <c r="C3290" t="s">
        <v>9674</v>
      </c>
      <c r="D3290" t="s">
        <v>9654</v>
      </c>
      <c r="E3290" t="s">
        <v>9841</v>
      </c>
      <c r="F3290" t="s">
        <v>5606</v>
      </c>
    </row>
    <row r="3291" spans="1:6">
      <c r="A3291" t="s">
        <v>9656</v>
      </c>
      <c r="B3291">
        <v>7870</v>
      </c>
      <c r="C3291" t="s">
        <v>9674</v>
      </c>
      <c r="D3291" t="s">
        <v>9654</v>
      </c>
      <c r="E3291" t="s">
        <v>9841</v>
      </c>
      <c r="F3291" t="s">
        <v>5606</v>
      </c>
    </row>
    <row r="3292" spans="1:6">
      <c r="A3292" t="s">
        <v>9656</v>
      </c>
      <c r="B3292">
        <v>7871</v>
      </c>
      <c r="C3292" t="s">
        <v>9674</v>
      </c>
      <c r="D3292" t="s">
        <v>9654</v>
      </c>
      <c r="E3292" t="s">
        <v>9841</v>
      </c>
      <c r="F3292" t="s">
        <v>5606</v>
      </c>
    </row>
    <row r="3293" spans="1:6">
      <c r="A3293" t="s">
        <v>9656</v>
      </c>
      <c r="B3293">
        <v>7872</v>
      </c>
      <c r="C3293" t="s">
        <v>9674</v>
      </c>
      <c r="D3293" t="s">
        <v>9654</v>
      </c>
      <c r="E3293" t="s">
        <v>9841</v>
      </c>
      <c r="F3293" t="s">
        <v>5606</v>
      </c>
    </row>
    <row r="3294" spans="1:6">
      <c r="A3294" t="s">
        <v>9656</v>
      </c>
      <c r="B3294">
        <v>7873</v>
      </c>
      <c r="C3294" t="s">
        <v>9674</v>
      </c>
      <c r="D3294" t="s">
        <v>9654</v>
      </c>
      <c r="E3294" t="s">
        <v>9841</v>
      </c>
      <c r="F3294" t="s">
        <v>5606</v>
      </c>
    </row>
    <row r="3295" spans="1:6">
      <c r="A3295" t="s">
        <v>9656</v>
      </c>
      <c r="B3295">
        <v>7875</v>
      </c>
      <c r="C3295" t="s">
        <v>9674</v>
      </c>
      <c r="D3295" t="s">
        <v>9654</v>
      </c>
      <c r="E3295" t="s">
        <v>9841</v>
      </c>
      <c r="F3295" t="s">
        <v>5606</v>
      </c>
    </row>
    <row r="3296" spans="1:6">
      <c r="A3296" t="s">
        <v>9656</v>
      </c>
      <c r="B3296">
        <v>7901</v>
      </c>
      <c r="C3296" t="s">
        <v>9674</v>
      </c>
      <c r="D3296" t="s">
        <v>9654</v>
      </c>
      <c r="E3296" t="s">
        <v>9841</v>
      </c>
      <c r="F3296" t="s">
        <v>5606</v>
      </c>
    </row>
    <row r="3297" spans="1:6">
      <c r="A3297" t="s">
        <v>9656</v>
      </c>
      <c r="B3297">
        <v>7902</v>
      </c>
      <c r="C3297" t="s">
        <v>9674</v>
      </c>
      <c r="D3297" t="s">
        <v>9654</v>
      </c>
      <c r="E3297" t="s">
        <v>9841</v>
      </c>
      <c r="F3297" t="s">
        <v>5606</v>
      </c>
    </row>
    <row r="3298" spans="1:6">
      <c r="A3298" t="s">
        <v>9656</v>
      </c>
      <c r="B3298">
        <v>7967</v>
      </c>
      <c r="C3298" t="s">
        <v>9674</v>
      </c>
      <c r="D3298" t="s">
        <v>9654</v>
      </c>
      <c r="E3298" t="s">
        <v>9841</v>
      </c>
      <c r="F3298" t="s">
        <v>5606</v>
      </c>
    </row>
    <row r="3299" spans="1:6">
      <c r="A3299" t="s">
        <v>9656</v>
      </c>
      <c r="B3299">
        <v>7971</v>
      </c>
      <c r="C3299" t="s">
        <v>9674</v>
      </c>
      <c r="D3299" t="s">
        <v>9654</v>
      </c>
      <c r="E3299" t="s">
        <v>9841</v>
      </c>
      <c r="F3299" t="s">
        <v>5606</v>
      </c>
    </row>
    <row r="3300" spans="1:6">
      <c r="A3300" t="s">
        <v>9656</v>
      </c>
      <c r="B3300">
        <v>7972</v>
      </c>
      <c r="C3300" t="s">
        <v>9674</v>
      </c>
      <c r="D3300" t="s">
        <v>9654</v>
      </c>
      <c r="E3300" t="s">
        <v>9841</v>
      </c>
      <c r="F3300" t="s">
        <v>5606</v>
      </c>
    </row>
    <row r="3301" spans="1:6">
      <c r="A3301" t="s">
        <v>9656</v>
      </c>
      <c r="B3301">
        <v>7981</v>
      </c>
      <c r="C3301" t="s">
        <v>9674</v>
      </c>
      <c r="D3301" t="s">
        <v>9654</v>
      </c>
      <c r="E3301" t="s">
        <v>9841</v>
      </c>
      <c r="F3301" t="s">
        <v>5606</v>
      </c>
    </row>
    <row r="3302" spans="1:6">
      <c r="A3302" t="s">
        <v>9656</v>
      </c>
      <c r="B3302">
        <v>7995</v>
      </c>
      <c r="C3302" t="s">
        <v>9674</v>
      </c>
      <c r="D3302" t="s">
        <v>9654</v>
      </c>
      <c r="E3302" t="s">
        <v>9841</v>
      </c>
      <c r="F3302" t="s">
        <v>5606</v>
      </c>
    </row>
    <row r="3303" spans="1:6">
      <c r="A3303" t="s">
        <v>9656</v>
      </c>
      <c r="B3303">
        <v>7996</v>
      </c>
      <c r="C3303" t="s">
        <v>9674</v>
      </c>
      <c r="D3303" t="s">
        <v>9654</v>
      </c>
      <c r="E3303" t="s">
        <v>9841</v>
      </c>
      <c r="F3303" t="s">
        <v>5606</v>
      </c>
    </row>
    <row r="3304" spans="1:6">
      <c r="A3304" t="s">
        <v>9656</v>
      </c>
      <c r="B3304">
        <v>8014</v>
      </c>
      <c r="C3304" t="s">
        <v>9674</v>
      </c>
      <c r="D3304" t="s">
        <v>9654</v>
      </c>
      <c r="E3304" t="s">
        <v>9841</v>
      </c>
      <c r="F3304" t="s">
        <v>5606</v>
      </c>
    </row>
    <row r="3305" spans="1:6">
      <c r="A3305" t="s">
        <v>9656</v>
      </c>
      <c r="B3305">
        <v>8028</v>
      </c>
      <c r="C3305" t="s">
        <v>9674</v>
      </c>
      <c r="D3305" t="s">
        <v>9654</v>
      </c>
      <c r="E3305" t="s">
        <v>9841</v>
      </c>
      <c r="F3305" t="s">
        <v>5606</v>
      </c>
    </row>
    <row r="3306" spans="1:6">
      <c r="A3306" t="s">
        <v>9656</v>
      </c>
      <c r="B3306">
        <v>8038</v>
      </c>
      <c r="C3306" t="s">
        <v>9674</v>
      </c>
      <c r="D3306" t="s">
        <v>9654</v>
      </c>
      <c r="E3306" t="s">
        <v>9841</v>
      </c>
      <c r="F3306" t="s">
        <v>5606</v>
      </c>
    </row>
    <row r="3307" spans="1:6">
      <c r="A3307" t="s">
        <v>9656</v>
      </c>
      <c r="B3307">
        <v>8667</v>
      </c>
      <c r="C3307" t="s">
        <v>9674</v>
      </c>
      <c r="D3307" t="s">
        <v>9654</v>
      </c>
      <c r="E3307" t="s">
        <v>9841</v>
      </c>
      <c r="F3307" t="s">
        <v>5606</v>
      </c>
    </row>
    <row r="3308" spans="1:6">
      <c r="A3308" t="s">
        <v>9656</v>
      </c>
      <c r="B3308">
        <v>8677</v>
      </c>
      <c r="C3308" t="s">
        <v>9674</v>
      </c>
      <c r="D3308" t="s">
        <v>9654</v>
      </c>
      <c r="E3308" t="s">
        <v>9841</v>
      </c>
      <c r="F3308" t="s">
        <v>5606</v>
      </c>
    </row>
    <row r="3309" spans="1:6">
      <c r="A3309" t="s">
        <v>9656</v>
      </c>
      <c r="B3309">
        <v>8678</v>
      </c>
      <c r="C3309" t="s">
        <v>9674</v>
      </c>
      <c r="D3309" t="s">
        <v>9654</v>
      </c>
      <c r="E3309" t="s">
        <v>9841</v>
      </c>
      <c r="F3309" t="s">
        <v>5606</v>
      </c>
    </row>
    <row r="3310" spans="1:6">
      <c r="A3310" t="s">
        <v>9656</v>
      </c>
      <c r="B3310">
        <v>8720</v>
      </c>
      <c r="C3310" t="s">
        <v>9674</v>
      </c>
      <c r="D3310" t="s">
        <v>9654</v>
      </c>
      <c r="E3310" t="s">
        <v>9841</v>
      </c>
      <c r="F3310" t="s">
        <v>5606</v>
      </c>
    </row>
    <row r="3311" spans="1:6">
      <c r="A3311" t="s">
        <v>9656</v>
      </c>
      <c r="B3311">
        <v>8730</v>
      </c>
      <c r="C3311" t="s">
        <v>9674</v>
      </c>
      <c r="D3311" t="s">
        <v>9654</v>
      </c>
      <c r="E3311" t="s">
        <v>9841</v>
      </c>
      <c r="F3311" t="s">
        <v>5606</v>
      </c>
    </row>
    <row r="3312" spans="1:6">
      <c r="A3312" t="s">
        <v>9656</v>
      </c>
      <c r="B3312">
        <v>8740</v>
      </c>
      <c r="C3312" t="s">
        <v>9674</v>
      </c>
      <c r="D3312" t="s">
        <v>9654</v>
      </c>
      <c r="E3312" t="s">
        <v>9841</v>
      </c>
      <c r="F3312" t="s">
        <v>5606</v>
      </c>
    </row>
    <row r="3313" spans="1:6">
      <c r="A3313" t="s">
        <v>9656</v>
      </c>
      <c r="B3313">
        <v>8750</v>
      </c>
      <c r="C3313" t="s">
        <v>9674</v>
      </c>
      <c r="D3313" t="s">
        <v>9654</v>
      </c>
      <c r="E3313" t="s">
        <v>9841</v>
      </c>
      <c r="F3313" t="s">
        <v>5606</v>
      </c>
    </row>
    <row r="3314" spans="1:6">
      <c r="A3314" t="s">
        <v>9656</v>
      </c>
      <c r="B3314">
        <v>8832</v>
      </c>
      <c r="C3314" t="s">
        <v>9674</v>
      </c>
      <c r="D3314" t="s">
        <v>9654</v>
      </c>
      <c r="E3314" t="s">
        <v>9841</v>
      </c>
      <c r="F3314" t="s">
        <v>5606</v>
      </c>
    </row>
    <row r="3315" spans="1:6">
      <c r="A3315" t="s">
        <v>9656</v>
      </c>
      <c r="B3315">
        <v>8839</v>
      </c>
      <c r="C3315" t="s">
        <v>9674</v>
      </c>
      <c r="D3315" t="s">
        <v>9654</v>
      </c>
      <c r="E3315" t="s">
        <v>9841</v>
      </c>
      <c r="F3315" t="s">
        <v>5606</v>
      </c>
    </row>
    <row r="3316" spans="1:6">
      <c r="A3316" t="s">
        <v>9656</v>
      </c>
      <c r="B3316">
        <v>8843</v>
      </c>
      <c r="C3316" t="s">
        <v>9674</v>
      </c>
      <c r="D3316" t="s">
        <v>9654</v>
      </c>
      <c r="E3316" t="s">
        <v>9841</v>
      </c>
      <c r="F3316" t="s">
        <v>5606</v>
      </c>
    </row>
    <row r="3317" spans="1:6">
      <c r="A3317" t="s">
        <v>9656</v>
      </c>
      <c r="B3317">
        <v>8850</v>
      </c>
      <c r="C3317" t="s">
        <v>9674</v>
      </c>
      <c r="D3317" t="s">
        <v>9654</v>
      </c>
      <c r="E3317" t="s">
        <v>9841</v>
      </c>
      <c r="F3317" t="s">
        <v>5606</v>
      </c>
    </row>
    <row r="3318" spans="1:6">
      <c r="A3318" t="s">
        <v>9656</v>
      </c>
      <c r="B3318">
        <v>8852</v>
      </c>
      <c r="C3318" t="s">
        <v>9674</v>
      </c>
      <c r="D3318" t="s">
        <v>9654</v>
      </c>
      <c r="E3318" t="s">
        <v>9841</v>
      </c>
      <c r="F3318" t="s">
        <v>5606</v>
      </c>
    </row>
    <row r="3319" spans="1:6">
      <c r="A3319" t="s">
        <v>9656</v>
      </c>
      <c r="B3319">
        <v>8853</v>
      </c>
      <c r="C3319" t="s">
        <v>9674</v>
      </c>
      <c r="D3319" t="s">
        <v>9654</v>
      </c>
      <c r="E3319" t="s">
        <v>9841</v>
      </c>
      <c r="F3319" t="s">
        <v>5606</v>
      </c>
    </row>
    <row r="3320" spans="1:6">
      <c r="A3320" t="s">
        <v>9656</v>
      </c>
      <c r="B3320">
        <v>8886</v>
      </c>
      <c r="C3320" t="s">
        <v>9674</v>
      </c>
      <c r="D3320" t="s">
        <v>9654</v>
      </c>
      <c r="E3320" t="s">
        <v>9841</v>
      </c>
      <c r="F3320" t="s">
        <v>5606</v>
      </c>
    </row>
    <row r="3321" spans="1:6">
      <c r="A3321" t="s">
        <v>9656</v>
      </c>
      <c r="B3321">
        <v>8721</v>
      </c>
      <c r="C3321" t="s">
        <v>9674</v>
      </c>
      <c r="D3321" t="s">
        <v>9657</v>
      </c>
      <c r="E3321" t="s">
        <v>9842</v>
      </c>
      <c r="F3321" t="s">
        <v>5606</v>
      </c>
    </row>
    <row r="3322" spans="1:6">
      <c r="A3322" t="s">
        <v>9656</v>
      </c>
      <c r="B3322">
        <v>8731</v>
      </c>
      <c r="C3322" t="s">
        <v>9674</v>
      </c>
      <c r="D3322" t="s">
        <v>9657</v>
      </c>
      <c r="E3322" t="s">
        <v>9842</v>
      </c>
      <c r="F3322" t="s">
        <v>5606</v>
      </c>
    </row>
    <row r="3323" spans="1:6">
      <c r="A3323" t="s">
        <v>9656</v>
      </c>
      <c r="B3323">
        <v>7906</v>
      </c>
      <c r="C3323" t="s">
        <v>9674</v>
      </c>
      <c r="D3323" t="s">
        <v>9657</v>
      </c>
      <c r="E3323" t="s">
        <v>9842</v>
      </c>
      <c r="F3323" t="s">
        <v>5606</v>
      </c>
    </row>
    <row r="3324" spans="1:6">
      <c r="A3324" t="s">
        <v>9656</v>
      </c>
      <c r="B3324">
        <v>7916</v>
      </c>
      <c r="C3324" t="s">
        <v>9674</v>
      </c>
      <c r="D3324" t="s">
        <v>9657</v>
      </c>
      <c r="E3324" t="s">
        <v>9842</v>
      </c>
      <c r="F3324" t="s">
        <v>5606</v>
      </c>
    </row>
    <row r="3325" spans="1:6">
      <c r="A3325" t="s">
        <v>9656</v>
      </c>
      <c r="B3325">
        <v>8737</v>
      </c>
      <c r="C3325" t="s">
        <v>9674</v>
      </c>
      <c r="D3325" t="s">
        <v>9657</v>
      </c>
      <c r="E3325" t="s">
        <v>9842</v>
      </c>
      <c r="F3325" t="s">
        <v>5606</v>
      </c>
    </row>
    <row r="3326" spans="1:6">
      <c r="A3326" t="s">
        <v>9656</v>
      </c>
      <c r="B3326">
        <v>7917</v>
      </c>
      <c r="C3326" t="s">
        <v>9674</v>
      </c>
      <c r="D3326" t="s">
        <v>9657</v>
      </c>
      <c r="E3326" t="s">
        <v>9842</v>
      </c>
      <c r="F3326" t="s">
        <v>5606</v>
      </c>
    </row>
    <row r="3327" spans="1:6">
      <c r="A3327" t="s">
        <v>9656</v>
      </c>
      <c r="B3327">
        <v>7903</v>
      </c>
      <c r="C3327" t="s">
        <v>9674</v>
      </c>
      <c r="D3327" t="s">
        <v>9657</v>
      </c>
      <c r="E3327" t="s">
        <v>9842</v>
      </c>
      <c r="F3327" t="s">
        <v>5606</v>
      </c>
    </row>
    <row r="3328" spans="1:6">
      <c r="A3328" t="s">
        <v>9656</v>
      </c>
      <c r="B3328">
        <v>5455</v>
      </c>
      <c r="C3328" t="s">
        <v>9674</v>
      </c>
      <c r="D3328" t="s">
        <v>9657</v>
      </c>
      <c r="E3328" t="s">
        <v>9842</v>
      </c>
      <c r="F3328" t="s">
        <v>5606</v>
      </c>
    </row>
    <row r="3329" spans="1:6">
      <c r="A3329" t="s">
        <v>9656</v>
      </c>
      <c r="B3329">
        <v>5456</v>
      </c>
      <c r="C3329" t="s">
        <v>9674</v>
      </c>
      <c r="D3329" t="s">
        <v>9657</v>
      </c>
      <c r="E3329" t="s">
        <v>9842</v>
      </c>
      <c r="F3329" t="s">
        <v>5606</v>
      </c>
    </row>
    <row r="3330" spans="1:6">
      <c r="A3330" t="s">
        <v>9656</v>
      </c>
      <c r="B3330">
        <v>6391</v>
      </c>
      <c r="C3330" t="s">
        <v>9674</v>
      </c>
      <c r="D3330" t="s">
        <v>9657</v>
      </c>
      <c r="E3330" t="s">
        <v>9842</v>
      </c>
      <c r="F3330" t="s">
        <v>5606</v>
      </c>
    </row>
    <row r="3331" spans="1:6">
      <c r="A3331" t="s">
        <v>9656</v>
      </c>
      <c r="B3331">
        <v>7912</v>
      </c>
      <c r="C3331" t="s">
        <v>9674</v>
      </c>
      <c r="D3331" t="s">
        <v>9657</v>
      </c>
      <c r="E3331" t="s">
        <v>9842</v>
      </c>
      <c r="F3331" t="s">
        <v>5606</v>
      </c>
    </row>
    <row r="3332" spans="1:6">
      <c r="A3332" t="s">
        <v>9656</v>
      </c>
      <c r="B3332">
        <v>7913</v>
      </c>
      <c r="C3332" t="s">
        <v>9674</v>
      </c>
      <c r="D3332" t="s">
        <v>9657</v>
      </c>
      <c r="E3332" t="s">
        <v>9842</v>
      </c>
      <c r="F3332" t="s">
        <v>5606</v>
      </c>
    </row>
    <row r="3333" spans="1:6">
      <c r="A3333" t="s">
        <v>9656</v>
      </c>
      <c r="B3333">
        <v>7918</v>
      </c>
      <c r="C3333" t="s">
        <v>9674</v>
      </c>
      <c r="D3333" t="s">
        <v>9657</v>
      </c>
      <c r="E3333" t="s">
        <v>9842</v>
      </c>
      <c r="F3333" t="s">
        <v>5606</v>
      </c>
    </row>
    <row r="3334" spans="1:6">
      <c r="A3334" t="s">
        <v>9656</v>
      </c>
      <c r="B3334">
        <v>7919</v>
      </c>
      <c r="C3334" t="s">
        <v>9674</v>
      </c>
      <c r="D3334" t="s">
        <v>9657</v>
      </c>
      <c r="E3334" t="s">
        <v>9842</v>
      </c>
      <c r="F3334" t="s">
        <v>5606</v>
      </c>
    </row>
    <row r="3335" spans="1:6">
      <c r="A3335" t="s">
        <v>9656</v>
      </c>
      <c r="B3335">
        <v>8685</v>
      </c>
      <c r="C3335" t="s">
        <v>9674</v>
      </c>
      <c r="D3335" t="s">
        <v>9657</v>
      </c>
      <c r="E3335" t="s">
        <v>9842</v>
      </c>
      <c r="F3335" t="s">
        <v>5606</v>
      </c>
    </row>
    <row r="3336" spans="1:6">
      <c r="A3336" t="s">
        <v>9656</v>
      </c>
      <c r="B3336">
        <v>8686</v>
      </c>
      <c r="C3336" t="s">
        <v>9674</v>
      </c>
      <c r="D3336" t="s">
        <v>9657</v>
      </c>
      <c r="E3336" t="s">
        <v>9842</v>
      </c>
      <c r="F3336" t="s">
        <v>5606</v>
      </c>
    </row>
    <row r="3337" spans="1:6">
      <c r="A3337" t="s">
        <v>9656</v>
      </c>
      <c r="B3337">
        <v>8861</v>
      </c>
      <c r="C3337" t="s">
        <v>9674</v>
      </c>
      <c r="D3337" t="s">
        <v>9657</v>
      </c>
      <c r="E3337" t="s">
        <v>9842</v>
      </c>
      <c r="F3337" t="s">
        <v>5606</v>
      </c>
    </row>
    <row r="3338" spans="1:6">
      <c r="A3338" t="s">
        <v>9656</v>
      </c>
      <c r="B3338">
        <v>8862</v>
      </c>
      <c r="C3338" t="s">
        <v>9674</v>
      </c>
      <c r="D3338" t="s">
        <v>9657</v>
      </c>
      <c r="E3338" t="s">
        <v>9842</v>
      </c>
      <c r="F3338" t="s">
        <v>5606</v>
      </c>
    </row>
    <row r="3339" spans="1:6">
      <c r="A3339" t="s">
        <v>9656</v>
      </c>
      <c r="B3339">
        <v>8863</v>
      </c>
      <c r="C3339" t="s">
        <v>9674</v>
      </c>
      <c r="D3339" t="s">
        <v>9657</v>
      </c>
      <c r="E3339" t="s">
        <v>9842</v>
      </c>
      <c r="F3339" t="s">
        <v>5606</v>
      </c>
    </row>
    <row r="3340" spans="1:6">
      <c r="A3340" t="s">
        <v>9656</v>
      </c>
      <c r="B3340">
        <v>8683</v>
      </c>
      <c r="C3340" t="s">
        <v>9674</v>
      </c>
      <c r="D3340" t="s">
        <v>9657</v>
      </c>
      <c r="E3340" t="s">
        <v>9842</v>
      </c>
      <c r="F3340" t="s">
        <v>5606</v>
      </c>
    </row>
    <row r="3341" spans="1:6">
      <c r="A3341" t="s">
        <v>9656</v>
      </c>
      <c r="B3341">
        <v>8687</v>
      </c>
      <c r="C3341" t="s">
        <v>9674</v>
      </c>
      <c r="D3341" t="s">
        <v>9657</v>
      </c>
      <c r="E3341" t="s">
        <v>9842</v>
      </c>
      <c r="F3341" t="s">
        <v>5606</v>
      </c>
    </row>
    <row r="3342" spans="1:6">
      <c r="A3342" t="s">
        <v>9656</v>
      </c>
      <c r="B3342">
        <v>8870</v>
      </c>
      <c r="C3342" t="s">
        <v>9674</v>
      </c>
      <c r="D3342" t="s">
        <v>9657</v>
      </c>
      <c r="E3342" t="s">
        <v>9842</v>
      </c>
      <c r="F3342" t="s">
        <v>5606</v>
      </c>
    </row>
    <row r="3343" spans="1:6">
      <c r="A3343" t="s">
        <v>9656</v>
      </c>
      <c r="B3343">
        <v>8688</v>
      </c>
      <c r="C3343" t="s">
        <v>9674</v>
      </c>
      <c r="D3343" t="s">
        <v>9657</v>
      </c>
      <c r="E3343" t="s">
        <v>9842</v>
      </c>
      <c r="F3343" t="s">
        <v>5606</v>
      </c>
    </row>
    <row r="3344" spans="1:6">
      <c r="A3344" t="s">
        <v>9656</v>
      </c>
      <c r="B3344">
        <v>8855</v>
      </c>
      <c r="C3344" t="s">
        <v>9674</v>
      </c>
      <c r="D3344" t="s">
        <v>9657</v>
      </c>
      <c r="E3344" t="s">
        <v>9842</v>
      </c>
      <c r="F3344" t="s">
        <v>5606</v>
      </c>
    </row>
    <row r="3345" spans="1:6">
      <c r="A3345" t="s">
        <v>9656</v>
      </c>
      <c r="B3345">
        <v>8872</v>
      </c>
      <c r="C3345" t="s">
        <v>9674</v>
      </c>
      <c r="D3345" t="s">
        <v>9657</v>
      </c>
      <c r="E3345" t="s">
        <v>9842</v>
      </c>
      <c r="F3345" t="s">
        <v>5606</v>
      </c>
    </row>
    <row r="3346" spans="1:6">
      <c r="A3346" t="s">
        <v>9656</v>
      </c>
      <c r="B3346">
        <v>8874</v>
      </c>
      <c r="C3346" t="s">
        <v>9674</v>
      </c>
      <c r="D3346" t="s">
        <v>9657</v>
      </c>
      <c r="E3346" t="s">
        <v>9842</v>
      </c>
      <c r="F3346" t="s">
        <v>5606</v>
      </c>
    </row>
    <row r="3347" spans="1:6">
      <c r="A3347" t="s">
        <v>9656</v>
      </c>
      <c r="B3347">
        <v>6385</v>
      </c>
      <c r="C3347" t="s">
        <v>9674</v>
      </c>
      <c r="D3347" t="s">
        <v>9657</v>
      </c>
      <c r="E3347" t="s">
        <v>9842</v>
      </c>
      <c r="F3347" t="s">
        <v>5606</v>
      </c>
    </row>
    <row r="3348" spans="1:6">
      <c r="A3348" t="s">
        <v>9656</v>
      </c>
      <c r="B3348">
        <v>6386</v>
      </c>
      <c r="C3348" t="s">
        <v>9674</v>
      </c>
      <c r="D3348" t="s">
        <v>9657</v>
      </c>
      <c r="E3348" t="s">
        <v>9842</v>
      </c>
      <c r="F3348" t="s">
        <v>5606</v>
      </c>
    </row>
    <row r="3349" spans="1:6">
      <c r="A3349" t="s">
        <v>9656</v>
      </c>
      <c r="B3349">
        <v>6388</v>
      </c>
      <c r="C3349" t="s">
        <v>9674</v>
      </c>
      <c r="D3349" t="s">
        <v>9657</v>
      </c>
      <c r="E3349" t="s">
        <v>9842</v>
      </c>
      <c r="F3349" t="s">
        <v>5606</v>
      </c>
    </row>
    <row r="3350" spans="1:6">
      <c r="A3350" t="s">
        <v>9656</v>
      </c>
      <c r="B3350">
        <v>6389</v>
      </c>
      <c r="C3350" t="s">
        <v>9674</v>
      </c>
      <c r="D3350" t="s">
        <v>9657</v>
      </c>
      <c r="E3350" t="s">
        <v>9842</v>
      </c>
      <c r="F3350" t="s">
        <v>5606</v>
      </c>
    </row>
    <row r="3351" spans="1:6">
      <c r="A3351" t="s">
        <v>9656</v>
      </c>
      <c r="B3351">
        <v>6390</v>
      </c>
      <c r="C3351" t="s">
        <v>9674</v>
      </c>
      <c r="D3351" t="s">
        <v>9657</v>
      </c>
      <c r="E3351" t="s">
        <v>9842</v>
      </c>
      <c r="F3351" t="s">
        <v>5606</v>
      </c>
    </row>
    <row r="3352" spans="1:6">
      <c r="A3352" t="s">
        <v>9656</v>
      </c>
      <c r="B3352">
        <v>7321</v>
      </c>
      <c r="C3352" t="s">
        <v>9674</v>
      </c>
      <c r="D3352" t="s">
        <v>9657</v>
      </c>
      <c r="E3352" t="s">
        <v>9842</v>
      </c>
      <c r="F3352" t="s">
        <v>5606</v>
      </c>
    </row>
    <row r="3353" spans="1:6">
      <c r="A3353" t="s">
        <v>9656</v>
      </c>
      <c r="B3353">
        <v>7831</v>
      </c>
      <c r="C3353" t="s">
        <v>9674</v>
      </c>
      <c r="D3353" t="s">
        <v>9657</v>
      </c>
      <c r="E3353" t="s">
        <v>9842</v>
      </c>
      <c r="F3353" t="s">
        <v>5606</v>
      </c>
    </row>
    <row r="3354" spans="1:6">
      <c r="A3354" t="s">
        <v>9656</v>
      </c>
      <c r="B3354">
        <v>7832</v>
      </c>
      <c r="C3354" t="s">
        <v>9674</v>
      </c>
      <c r="D3354" t="s">
        <v>9657</v>
      </c>
      <c r="E3354" t="s">
        <v>9842</v>
      </c>
      <c r="F3354" t="s">
        <v>5606</v>
      </c>
    </row>
    <row r="3355" spans="1:6">
      <c r="A3355" t="s">
        <v>9656</v>
      </c>
      <c r="B3355">
        <v>7833</v>
      </c>
      <c r="C3355" t="s">
        <v>9674</v>
      </c>
      <c r="D3355" t="s">
        <v>9657</v>
      </c>
      <c r="E3355" t="s">
        <v>9842</v>
      </c>
      <c r="F3355" t="s">
        <v>5606</v>
      </c>
    </row>
    <row r="3356" spans="1:6">
      <c r="A3356" t="s">
        <v>9656</v>
      </c>
      <c r="B3356">
        <v>7834</v>
      </c>
      <c r="C3356" t="s">
        <v>9674</v>
      </c>
      <c r="D3356" t="s">
        <v>9657</v>
      </c>
      <c r="E3356" t="s">
        <v>9842</v>
      </c>
      <c r="F3356" t="s">
        <v>5606</v>
      </c>
    </row>
    <row r="3357" spans="1:6">
      <c r="A3357" t="s">
        <v>9656</v>
      </c>
      <c r="B3357">
        <v>8722</v>
      </c>
      <c r="C3357" t="s">
        <v>9674</v>
      </c>
      <c r="D3357" t="s">
        <v>9657</v>
      </c>
      <c r="E3357" t="s">
        <v>9842</v>
      </c>
      <c r="F3357" t="s">
        <v>5606</v>
      </c>
    </row>
    <row r="3358" spans="1:6">
      <c r="A3358" t="s">
        <v>9656</v>
      </c>
      <c r="B3358">
        <v>8733</v>
      </c>
      <c r="C3358" t="s">
        <v>9674</v>
      </c>
      <c r="D3358" t="s">
        <v>9657</v>
      </c>
      <c r="E3358" t="s">
        <v>9842</v>
      </c>
      <c r="F3358" t="s">
        <v>5606</v>
      </c>
    </row>
    <row r="3359" spans="1:6">
      <c r="A3359" t="s">
        <v>9656</v>
      </c>
      <c r="B3359">
        <v>8752</v>
      </c>
      <c r="C3359" t="s">
        <v>9674</v>
      </c>
      <c r="D3359" t="s">
        <v>9657</v>
      </c>
      <c r="E3359" t="s">
        <v>9842</v>
      </c>
      <c r="F3359" t="s">
        <v>5606</v>
      </c>
    </row>
    <row r="3360" spans="1:6">
      <c r="A3360" t="s">
        <v>9656</v>
      </c>
      <c r="B3360">
        <v>6205</v>
      </c>
      <c r="C3360" t="s">
        <v>9674</v>
      </c>
      <c r="D3360" t="s">
        <v>9657</v>
      </c>
      <c r="E3360" t="s">
        <v>9842</v>
      </c>
      <c r="F3360" t="s">
        <v>5606</v>
      </c>
    </row>
    <row r="3361" spans="1:6">
      <c r="A3361" t="s">
        <v>9656</v>
      </c>
      <c r="B3361">
        <v>7163</v>
      </c>
      <c r="C3361" t="s">
        <v>9674</v>
      </c>
      <c r="D3361" t="s">
        <v>9657</v>
      </c>
      <c r="E3361" t="s">
        <v>9842</v>
      </c>
      <c r="F3361" t="s">
        <v>5606</v>
      </c>
    </row>
    <row r="3362" spans="1:6">
      <c r="A3362" t="s">
        <v>9656</v>
      </c>
      <c r="B3362">
        <v>8877</v>
      </c>
      <c r="C3362" t="s">
        <v>9674</v>
      </c>
      <c r="D3362" t="s">
        <v>9657</v>
      </c>
      <c r="E3362" t="s">
        <v>9842</v>
      </c>
      <c r="F3362" t="s">
        <v>5606</v>
      </c>
    </row>
    <row r="3363" spans="1:6">
      <c r="A3363" t="s">
        <v>9656</v>
      </c>
      <c r="B3363">
        <v>7164</v>
      </c>
      <c r="C3363" t="s">
        <v>9674</v>
      </c>
      <c r="D3363" t="s">
        <v>9657</v>
      </c>
      <c r="E3363" t="s">
        <v>9842</v>
      </c>
      <c r="F3363" t="s">
        <v>5606</v>
      </c>
    </row>
    <row r="3364" spans="1:6">
      <c r="A3364" t="s">
        <v>9656</v>
      </c>
      <c r="B3364">
        <v>8865</v>
      </c>
      <c r="C3364" t="s">
        <v>9674</v>
      </c>
      <c r="D3364" t="s">
        <v>9657</v>
      </c>
      <c r="E3364" t="s">
        <v>9842</v>
      </c>
      <c r="F3364" t="s">
        <v>5606</v>
      </c>
    </row>
    <row r="3365" spans="1:6">
      <c r="A3365" t="s">
        <v>9656</v>
      </c>
      <c r="B3365">
        <v>8866</v>
      </c>
      <c r="C3365" t="s">
        <v>9674</v>
      </c>
      <c r="D3365" t="s">
        <v>9657</v>
      </c>
      <c r="E3365" t="s">
        <v>9842</v>
      </c>
      <c r="F3365" t="s">
        <v>5606</v>
      </c>
    </row>
    <row r="3366" spans="1:6">
      <c r="A3366" t="s">
        <v>9656</v>
      </c>
      <c r="B3366">
        <v>8864</v>
      </c>
      <c r="C3366" t="s">
        <v>9674</v>
      </c>
      <c r="D3366" t="s">
        <v>9657</v>
      </c>
      <c r="E3366" t="s">
        <v>9842</v>
      </c>
      <c r="F3366" t="s">
        <v>5606</v>
      </c>
    </row>
    <row r="3367" spans="1:6">
      <c r="A3367" t="s">
        <v>9656</v>
      </c>
      <c r="B3367">
        <v>7141</v>
      </c>
      <c r="C3367" t="s">
        <v>9674</v>
      </c>
      <c r="D3367" t="s">
        <v>9657</v>
      </c>
      <c r="E3367" t="s">
        <v>9842</v>
      </c>
      <c r="F3367" t="s">
        <v>5606</v>
      </c>
    </row>
    <row r="3368" spans="1:6">
      <c r="A3368" t="s">
        <v>9656</v>
      </c>
      <c r="B3368">
        <v>7143</v>
      </c>
      <c r="C3368" t="s">
        <v>9674</v>
      </c>
      <c r="D3368" t="s">
        <v>9657</v>
      </c>
      <c r="E3368" t="s">
        <v>9842</v>
      </c>
      <c r="F3368" t="s">
        <v>5606</v>
      </c>
    </row>
    <row r="3369" spans="1:6">
      <c r="A3369" t="s">
        <v>9656</v>
      </c>
      <c r="B3369">
        <v>7145</v>
      </c>
      <c r="C3369" t="s">
        <v>9674</v>
      </c>
      <c r="D3369" t="s">
        <v>9657</v>
      </c>
      <c r="E3369" t="s">
        <v>9842</v>
      </c>
      <c r="F3369" t="s">
        <v>5606</v>
      </c>
    </row>
    <row r="3370" spans="1:6">
      <c r="A3370" t="s">
        <v>9656</v>
      </c>
      <c r="B3370">
        <v>7147</v>
      </c>
      <c r="C3370" t="s">
        <v>9674</v>
      </c>
      <c r="D3370" t="s">
        <v>9657</v>
      </c>
      <c r="E3370" t="s">
        <v>9842</v>
      </c>
      <c r="F3370" t="s">
        <v>5606</v>
      </c>
    </row>
    <row r="3371" spans="1:6">
      <c r="A3371" t="s">
        <v>9656</v>
      </c>
      <c r="B3371">
        <v>3837</v>
      </c>
      <c r="C3371" t="s">
        <v>9674</v>
      </c>
      <c r="D3371" t="s">
        <v>9657</v>
      </c>
      <c r="E3371" t="s">
        <v>9842</v>
      </c>
      <c r="F3371" t="s">
        <v>5606</v>
      </c>
    </row>
    <row r="3372" spans="1:6">
      <c r="A3372" t="s">
        <v>9656</v>
      </c>
      <c r="B3372">
        <v>8878</v>
      </c>
      <c r="C3372" t="s">
        <v>9674</v>
      </c>
      <c r="D3372" t="s">
        <v>9657</v>
      </c>
      <c r="E3372" t="s">
        <v>9842</v>
      </c>
      <c r="F3372" t="s">
        <v>5606</v>
      </c>
    </row>
    <row r="3373" spans="1:6">
      <c r="A3373" t="s">
        <v>9656</v>
      </c>
      <c r="B3373">
        <v>8879</v>
      </c>
      <c r="C3373" t="s">
        <v>9674</v>
      </c>
      <c r="D3373" t="s">
        <v>9657</v>
      </c>
      <c r="E3373" t="s">
        <v>9842</v>
      </c>
      <c r="F3373" t="s">
        <v>5606</v>
      </c>
    </row>
    <row r="3374" spans="1:6">
      <c r="A3374" t="s">
        <v>9656</v>
      </c>
      <c r="B3374">
        <v>7233</v>
      </c>
      <c r="C3374" t="s">
        <v>9674</v>
      </c>
      <c r="D3374" t="s">
        <v>9657</v>
      </c>
      <c r="E3374" t="s">
        <v>9842</v>
      </c>
      <c r="F3374" t="s">
        <v>5606</v>
      </c>
    </row>
    <row r="3375" spans="1:6">
      <c r="A3375" t="s">
        <v>9656</v>
      </c>
      <c r="B3375">
        <v>5464</v>
      </c>
      <c r="C3375" t="s">
        <v>9674</v>
      </c>
      <c r="D3375" t="s">
        <v>9657</v>
      </c>
      <c r="E3375" t="s">
        <v>9842</v>
      </c>
      <c r="F3375" t="s">
        <v>5606</v>
      </c>
    </row>
    <row r="3376" spans="1:6">
      <c r="A3376" t="s">
        <v>9656</v>
      </c>
      <c r="B3376">
        <v>9532</v>
      </c>
      <c r="C3376" t="s">
        <v>9674</v>
      </c>
      <c r="D3376" t="s">
        <v>9657</v>
      </c>
      <c r="E3376" t="s">
        <v>9842</v>
      </c>
      <c r="F3376" t="s">
        <v>5606</v>
      </c>
    </row>
    <row r="3377" spans="1:6">
      <c r="A3377" t="s">
        <v>9656</v>
      </c>
      <c r="B3377">
        <v>5465</v>
      </c>
      <c r="C3377" t="s">
        <v>9674</v>
      </c>
      <c r="D3377" t="s">
        <v>9657</v>
      </c>
      <c r="E3377" t="s">
        <v>9842</v>
      </c>
      <c r="F3377" t="s">
        <v>5606</v>
      </c>
    </row>
    <row r="3378" spans="1:6">
      <c r="A3378" t="s">
        <v>9656</v>
      </c>
      <c r="B3378">
        <v>5456</v>
      </c>
      <c r="C3378" t="s">
        <v>9674</v>
      </c>
      <c r="D3378" t="s">
        <v>9657</v>
      </c>
      <c r="E3378" t="s">
        <v>9842</v>
      </c>
      <c r="F3378" t="s">
        <v>5606</v>
      </c>
    </row>
    <row r="3379" spans="1:6">
      <c r="A3379" t="s">
        <v>9656</v>
      </c>
      <c r="B3379">
        <v>7148</v>
      </c>
      <c r="C3379" t="s">
        <v>9674</v>
      </c>
      <c r="D3379" t="s">
        <v>9657</v>
      </c>
      <c r="E3379" t="s">
        <v>9842</v>
      </c>
      <c r="F3379" t="s">
        <v>5606</v>
      </c>
    </row>
    <row r="3380" spans="1:6">
      <c r="A3380" t="s">
        <v>9656</v>
      </c>
      <c r="B3380">
        <v>7385</v>
      </c>
      <c r="C3380" t="s">
        <v>9674</v>
      </c>
      <c r="D3380" t="s">
        <v>9657</v>
      </c>
      <c r="E3380" t="s">
        <v>9842</v>
      </c>
      <c r="F3380" t="s">
        <v>5606</v>
      </c>
    </row>
    <row r="3381" spans="1:6">
      <c r="A3381" t="s">
        <v>9656</v>
      </c>
      <c r="B3381">
        <v>7162</v>
      </c>
      <c r="C3381" t="s">
        <v>9674</v>
      </c>
      <c r="D3381" t="s">
        <v>9657</v>
      </c>
      <c r="E3381" t="s">
        <v>9842</v>
      </c>
      <c r="F3381" t="s">
        <v>5606</v>
      </c>
    </row>
    <row r="3382" spans="1:6">
      <c r="A3382" t="s">
        <v>9656</v>
      </c>
      <c r="B3382">
        <v>6241</v>
      </c>
      <c r="C3382" t="s">
        <v>9674</v>
      </c>
      <c r="D3382" t="s">
        <v>9657</v>
      </c>
      <c r="E3382" t="s">
        <v>9842</v>
      </c>
      <c r="F3382" t="s">
        <v>5606</v>
      </c>
    </row>
    <row r="3383" spans="1:6">
      <c r="A3383" t="s">
        <v>9656</v>
      </c>
      <c r="B3383">
        <v>8835</v>
      </c>
      <c r="C3383" t="s">
        <v>9674</v>
      </c>
      <c r="D3383" t="s">
        <v>9659</v>
      </c>
      <c r="E3383" t="s">
        <v>9843</v>
      </c>
      <c r="F3383" t="s">
        <v>5606</v>
      </c>
    </row>
    <row r="3384" spans="1:6">
      <c r="A3384" t="s">
        <v>9656</v>
      </c>
      <c r="B3384">
        <v>8848</v>
      </c>
      <c r="C3384" t="s">
        <v>9674</v>
      </c>
      <c r="D3384" t="s">
        <v>9659</v>
      </c>
      <c r="E3384" t="s">
        <v>9843</v>
      </c>
      <c r="F3384" t="s">
        <v>5606</v>
      </c>
    </row>
    <row r="3385" spans="1:6">
      <c r="A3385" t="s">
        <v>9656</v>
      </c>
      <c r="B3385">
        <v>7992</v>
      </c>
      <c r="C3385" t="s">
        <v>9674</v>
      </c>
      <c r="D3385" t="s">
        <v>9659</v>
      </c>
      <c r="E3385" t="s">
        <v>9843</v>
      </c>
      <c r="F3385" t="s">
        <v>5606</v>
      </c>
    </row>
    <row r="3386" spans="1:6">
      <c r="A3386" t="s">
        <v>9656</v>
      </c>
      <c r="B3386">
        <v>8830</v>
      </c>
      <c r="C3386" t="s">
        <v>9674</v>
      </c>
      <c r="D3386" t="s">
        <v>9659</v>
      </c>
      <c r="E3386" t="s">
        <v>9843</v>
      </c>
      <c r="F3386" t="s">
        <v>5606</v>
      </c>
    </row>
    <row r="3387" spans="1:6">
      <c r="A3387" t="s">
        <v>9656</v>
      </c>
      <c r="B3387">
        <v>8837</v>
      </c>
      <c r="C3387" t="s">
        <v>9674</v>
      </c>
      <c r="D3387" t="s">
        <v>9659</v>
      </c>
      <c r="E3387" t="s">
        <v>9843</v>
      </c>
      <c r="F3387" t="s">
        <v>5606</v>
      </c>
    </row>
    <row r="3388" spans="1:6">
      <c r="A3388" t="s">
        <v>9656</v>
      </c>
      <c r="B3388">
        <v>8827</v>
      </c>
      <c r="C3388" t="s">
        <v>9674</v>
      </c>
      <c r="D3388" t="s">
        <v>9659</v>
      </c>
      <c r="E3388" t="s">
        <v>9843</v>
      </c>
      <c r="F3388" t="s">
        <v>5606</v>
      </c>
    </row>
    <row r="3389" spans="1:6">
      <c r="A3389" t="s">
        <v>9656</v>
      </c>
      <c r="B3389">
        <v>8670</v>
      </c>
      <c r="C3389" t="s">
        <v>9674</v>
      </c>
      <c r="D3389" t="s">
        <v>9659</v>
      </c>
      <c r="E3389" t="s">
        <v>9843</v>
      </c>
      <c r="F3389" t="s">
        <v>5606</v>
      </c>
    </row>
    <row r="3390" spans="1:6">
      <c r="A3390" t="s">
        <v>9656</v>
      </c>
      <c r="B3390">
        <v>7977</v>
      </c>
      <c r="C3390" t="s">
        <v>9674</v>
      </c>
      <c r="D3390" t="s">
        <v>9659</v>
      </c>
      <c r="E3390" t="s">
        <v>9843</v>
      </c>
      <c r="F3390" t="s">
        <v>5606</v>
      </c>
    </row>
    <row r="3391" spans="1:6">
      <c r="A3391" t="s">
        <v>9656</v>
      </c>
      <c r="B3391">
        <v>7839</v>
      </c>
      <c r="C3391" t="s">
        <v>9674</v>
      </c>
      <c r="D3391" t="s">
        <v>9659</v>
      </c>
      <c r="E3391" t="s">
        <v>9843</v>
      </c>
      <c r="F3391" t="s">
        <v>5606</v>
      </c>
    </row>
    <row r="3392" spans="1:6">
      <c r="A3392" t="s">
        <v>9656</v>
      </c>
      <c r="B3392">
        <v>7380</v>
      </c>
      <c r="C3392" t="s">
        <v>9674</v>
      </c>
      <c r="D3392" t="s">
        <v>9659</v>
      </c>
      <c r="E3392" t="s">
        <v>9843</v>
      </c>
      <c r="F3392" t="s">
        <v>5606</v>
      </c>
    </row>
    <row r="3393" spans="1:6">
      <c r="A3393" t="s">
        <v>9656</v>
      </c>
      <c r="B3393">
        <v>7383</v>
      </c>
      <c r="C3393" t="s">
        <v>9674</v>
      </c>
      <c r="D3393" t="s">
        <v>9659</v>
      </c>
      <c r="E3393" t="s">
        <v>9843</v>
      </c>
      <c r="F3393" t="s">
        <v>5606</v>
      </c>
    </row>
    <row r="3394" spans="1:6">
      <c r="A3394" t="s">
        <v>9656</v>
      </c>
      <c r="B3394">
        <v>7160</v>
      </c>
      <c r="C3394" t="s">
        <v>9674</v>
      </c>
      <c r="D3394" t="s">
        <v>9659</v>
      </c>
      <c r="E3394" t="s">
        <v>9843</v>
      </c>
      <c r="F3394" t="s">
        <v>5606</v>
      </c>
    </row>
    <row r="3395" spans="1:6">
      <c r="A3395" t="s">
        <v>9656</v>
      </c>
      <c r="B3395">
        <v>7946</v>
      </c>
      <c r="C3395" t="s">
        <v>9674</v>
      </c>
      <c r="D3395" t="s">
        <v>9659</v>
      </c>
      <c r="E3395" t="s">
        <v>9843</v>
      </c>
      <c r="F3395" t="s">
        <v>5606</v>
      </c>
    </row>
    <row r="3396" spans="1:6">
      <c r="A3396" t="s">
        <v>9656</v>
      </c>
      <c r="B3396">
        <v>7978</v>
      </c>
      <c r="C3396" t="s">
        <v>9674</v>
      </c>
      <c r="D3396" t="s">
        <v>9659</v>
      </c>
      <c r="E3396" t="s">
        <v>9843</v>
      </c>
      <c r="F3396" t="s">
        <v>5606</v>
      </c>
    </row>
    <row r="3397" spans="1:6">
      <c r="A3397" t="s">
        <v>9656</v>
      </c>
      <c r="B3397">
        <v>7944</v>
      </c>
      <c r="C3397" t="s">
        <v>9674</v>
      </c>
      <c r="D3397" t="s">
        <v>9659</v>
      </c>
      <c r="E3397" t="s">
        <v>9843</v>
      </c>
      <c r="F3397" t="s">
        <v>5606</v>
      </c>
    </row>
    <row r="3398" spans="1:6">
      <c r="A3398" t="s">
        <v>9656</v>
      </c>
      <c r="B3398">
        <v>7914</v>
      </c>
      <c r="C3398" t="s">
        <v>9674</v>
      </c>
      <c r="D3398" t="s">
        <v>9659</v>
      </c>
      <c r="E3398" t="s">
        <v>9843</v>
      </c>
      <c r="F3398" t="s">
        <v>5606</v>
      </c>
    </row>
    <row r="3399" spans="1:6">
      <c r="A3399" t="s">
        <v>9656</v>
      </c>
      <c r="B3399">
        <v>7942</v>
      </c>
      <c r="C3399" t="s">
        <v>9674</v>
      </c>
      <c r="D3399" t="s">
        <v>9659</v>
      </c>
      <c r="E3399" t="s">
        <v>9843</v>
      </c>
      <c r="F3399" t="s">
        <v>5606</v>
      </c>
    </row>
    <row r="3400" spans="1:6">
      <c r="A3400" t="s">
        <v>9656</v>
      </c>
      <c r="B3400">
        <v>7376</v>
      </c>
      <c r="C3400" t="s">
        <v>9674</v>
      </c>
      <c r="D3400" t="s">
        <v>9659</v>
      </c>
      <c r="E3400" t="s">
        <v>9843</v>
      </c>
      <c r="F3400" t="s">
        <v>5606</v>
      </c>
    </row>
    <row r="3401" spans="1:6">
      <c r="A3401" t="s">
        <v>9656</v>
      </c>
      <c r="B3401">
        <v>7377</v>
      </c>
      <c r="C3401" t="s">
        <v>9674</v>
      </c>
      <c r="D3401" t="s">
        <v>9659</v>
      </c>
      <c r="E3401" t="s">
        <v>9843</v>
      </c>
      <c r="F3401" t="s">
        <v>5606</v>
      </c>
    </row>
    <row r="3402" spans="1:6">
      <c r="A3402" t="s">
        <v>9656</v>
      </c>
      <c r="B3402">
        <v>7158</v>
      </c>
      <c r="C3402" t="s">
        <v>9674</v>
      </c>
      <c r="D3402" t="s">
        <v>9659</v>
      </c>
      <c r="E3402" t="s">
        <v>9843</v>
      </c>
      <c r="F3402" t="s">
        <v>5606</v>
      </c>
    </row>
    <row r="3403" spans="1:6">
      <c r="A3403" t="s">
        <v>9656</v>
      </c>
      <c r="B3403">
        <v>7979</v>
      </c>
      <c r="C3403" t="s">
        <v>9674</v>
      </c>
      <c r="D3403" t="s">
        <v>9659</v>
      </c>
      <c r="E3403" t="s">
        <v>9843</v>
      </c>
      <c r="F3403" t="s">
        <v>5606</v>
      </c>
    </row>
    <row r="3404" spans="1:6">
      <c r="A3404" t="s">
        <v>9656</v>
      </c>
      <c r="B3404">
        <v>7947</v>
      </c>
      <c r="C3404" t="s">
        <v>9674</v>
      </c>
      <c r="D3404" t="s">
        <v>9659</v>
      </c>
      <c r="E3404" t="s">
        <v>9843</v>
      </c>
      <c r="F3404" t="s">
        <v>5606</v>
      </c>
    </row>
    <row r="3405" spans="1:6">
      <c r="A3405" t="s">
        <v>9656</v>
      </c>
      <c r="B3405">
        <v>5454</v>
      </c>
      <c r="C3405" t="s">
        <v>9674</v>
      </c>
      <c r="D3405" t="s">
        <v>9659</v>
      </c>
      <c r="E3405" t="s">
        <v>9843</v>
      </c>
      <c r="F3405" t="s">
        <v>5606</v>
      </c>
    </row>
    <row r="3406" spans="1:6">
      <c r="A3406" t="s">
        <v>9656</v>
      </c>
      <c r="B3406">
        <v>7945</v>
      </c>
      <c r="C3406" t="s">
        <v>9674</v>
      </c>
      <c r="D3406" t="s">
        <v>9659</v>
      </c>
      <c r="E3406" t="s">
        <v>9843</v>
      </c>
      <c r="F3406" t="s">
        <v>5606</v>
      </c>
    </row>
    <row r="3407" spans="1:6">
      <c r="A3407" t="s">
        <v>9656</v>
      </c>
      <c r="B3407">
        <v>7949</v>
      </c>
      <c r="C3407" t="s">
        <v>9674</v>
      </c>
      <c r="D3407" t="s">
        <v>9659</v>
      </c>
      <c r="E3407" t="s">
        <v>9843</v>
      </c>
      <c r="F3407" t="s">
        <v>5606</v>
      </c>
    </row>
    <row r="3408" spans="1:6">
      <c r="A3408" t="s">
        <v>9656</v>
      </c>
      <c r="B3408">
        <v>5460</v>
      </c>
      <c r="C3408" t="s">
        <v>9674</v>
      </c>
      <c r="D3408" t="s">
        <v>9659</v>
      </c>
      <c r="E3408" t="s">
        <v>9843</v>
      </c>
      <c r="F3408" t="s">
        <v>5606</v>
      </c>
    </row>
    <row r="3409" spans="1:6">
      <c r="A3409" t="s">
        <v>9656</v>
      </c>
      <c r="B3409">
        <v>5466</v>
      </c>
      <c r="C3409" t="s">
        <v>9674</v>
      </c>
      <c r="D3409" t="s">
        <v>9659</v>
      </c>
      <c r="E3409" t="s">
        <v>9843</v>
      </c>
      <c r="F3409" t="s">
        <v>5606</v>
      </c>
    </row>
    <row r="3410" spans="1:6">
      <c r="A3410" t="s">
        <v>9656</v>
      </c>
      <c r="B3410">
        <v>7915</v>
      </c>
      <c r="C3410" t="s">
        <v>9674</v>
      </c>
      <c r="D3410" t="s">
        <v>9659</v>
      </c>
      <c r="E3410" t="s">
        <v>9843</v>
      </c>
      <c r="F3410" t="s">
        <v>5606</v>
      </c>
    </row>
    <row r="3411" spans="1:6">
      <c r="A3411" t="s">
        <v>9656</v>
      </c>
      <c r="B3411">
        <v>7980</v>
      </c>
      <c r="C3411" t="s">
        <v>9674</v>
      </c>
      <c r="D3411" t="s">
        <v>9659</v>
      </c>
      <c r="E3411" t="s">
        <v>9843</v>
      </c>
      <c r="F3411" t="s">
        <v>5606</v>
      </c>
    </row>
    <row r="3412" spans="1:6">
      <c r="A3412" t="s">
        <v>9656</v>
      </c>
      <c r="B3412">
        <v>6630</v>
      </c>
      <c r="C3412" t="s">
        <v>9674</v>
      </c>
      <c r="D3412" t="s">
        <v>9659</v>
      </c>
      <c r="E3412" t="s">
        <v>9843</v>
      </c>
      <c r="F3412" t="s">
        <v>5606</v>
      </c>
    </row>
    <row r="3413" spans="1:6">
      <c r="A3413" t="s">
        <v>9656</v>
      </c>
      <c r="B3413">
        <v>7943</v>
      </c>
      <c r="C3413" t="s">
        <v>9674</v>
      </c>
      <c r="D3413" t="s">
        <v>9659</v>
      </c>
      <c r="E3413" t="s">
        <v>9843</v>
      </c>
      <c r="F3413" t="s">
        <v>5606</v>
      </c>
    </row>
    <row r="3414" spans="1:6">
      <c r="A3414" t="s">
        <v>9656</v>
      </c>
      <c r="B3414">
        <v>7985</v>
      </c>
      <c r="C3414" t="s">
        <v>9674</v>
      </c>
      <c r="D3414" t="s">
        <v>9659</v>
      </c>
      <c r="E3414" t="s">
        <v>9843</v>
      </c>
      <c r="F3414" t="s">
        <v>5606</v>
      </c>
    </row>
    <row r="3415" spans="1:6">
      <c r="A3415" t="s">
        <v>9656</v>
      </c>
      <c r="B3415">
        <v>5462</v>
      </c>
      <c r="C3415" t="s">
        <v>9674</v>
      </c>
      <c r="D3415" t="s">
        <v>9659</v>
      </c>
      <c r="E3415" t="s">
        <v>9843</v>
      </c>
      <c r="F3415" t="s">
        <v>5606</v>
      </c>
    </row>
    <row r="3416" spans="1:6">
      <c r="A3416" t="s">
        <v>9656</v>
      </c>
      <c r="B3416">
        <v>5463</v>
      </c>
      <c r="C3416" t="s">
        <v>9674</v>
      </c>
      <c r="D3416" t="s">
        <v>9659</v>
      </c>
      <c r="E3416" t="s">
        <v>9843</v>
      </c>
      <c r="F3416" t="s">
        <v>5606</v>
      </c>
    </row>
    <row r="3417" spans="1:6">
      <c r="A3417" t="s">
        <v>9656</v>
      </c>
      <c r="B3417">
        <v>5495</v>
      </c>
      <c r="C3417" t="s">
        <v>9674</v>
      </c>
      <c r="D3417" t="s">
        <v>9659</v>
      </c>
      <c r="E3417" t="s">
        <v>9843</v>
      </c>
      <c r="F3417" t="s">
        <v>5606</v>
      </c>
    </row>
    <row r="3418" spans="1:6">
      <c r="A3418" t="s">
        <v>9656</v>
      </c>
      <c r="B3418">
        <v>8655</v>
      </c>
      <c r="C3418" t="s">
        <v>9674</v>
      </c>
      <c r="D3418" t="s">
        <v>9663</v>
      </c>
      <c r="E3418" t="s">
        <v>9844</v>
      </c>
      <c r="F3418" t="s">
        <v>5606</v>
      </c>
    </row>
    <row r="3419" spans="1:6">
      <c r="A3419" t="s">
        <v>9656</v>
      </c>
      <c r="B3419">
        <v>8836</v>
      </c>
      <c r="C3419" t="s">
        <v>9674</v>
      </c>
      <c r="D3419" t="s">
        <v>9663</v>
      </c>
      <c r="E3419" t="s">
        <v>9844</v>
      </c>
      <c r="F3419" t="s">
        <v>5606</v>
      </c>
    </row>
    <row r="3420" spans="1:6">
      <c r="A3420" t="s">
        <v>9656</v>
      </c>
      <c r="B3420">
        <v>8486</v>
      </c>
      <c r="C3420" t="s">
        <v>9674</v>
      </c>
      <c r="D3420" t="s">
        <v>9663</v>
      </c>
      <c r="E3420" t="s">
        <v>9844</v>
      </c>
      <c r="F3420" t="s">
        <v>5606</v>
      </c>
    </row>
    <row r="3421" spans="1:6">
      <c r="A3421" t="s">
        <v>9656</v>
      </c>
      <c r="B3421">
        <v>8478</v>
      </c>
      <c r="C3421" t="s">
        <v>9674</v>
      </c>
      <c r="D3421" t="s">
        <v>9663</v>
      </c>
      <c r="E3421" t="s">
        <v>9844</v>
      </c>
      <c r="F3421" t="s">
        <v>5606</v>
      </c>
    </row>
    <row r="3422" spans="1:6">
      <c r="A3422" t="s">
        <v>9656</v>
      </c>
      <c r="B3422">
        <v>8479</v>
      </c>
      <c r="C3422" t="s">
        <v>9674</v>
      </c>
      <c r="D3422" t="s">
        <v>9663</v>
      </c>
      <c r="E3422" t="s">
        <v>9844</v>
      </c>
      <c r="F3422" t="s">
        <v>5606</v>
      </c>
    </row>
    <row r="3423" spans="1:6">
      <c r="A3423" t="s">
        <v>9656</v>
      </c>
      <c r="B3423">
        <v>8480</v>
      </c>
      <c r="C3423" t="s">
        <v>9674</v>
      </c>
      <c r="D3423" t="s">
        <v>9663</v>
      </c>
      <c r="E3423" t="s">
        <v>9844</v>
      </c>
      <c r="F3423" t="s">
        <v>5606</v>
      </c>
    </row>
    <row r="3424" spans="1:6">
      <c r="A3424" t="s">
        <v>9656</v>
      </c>
      <c r="B3424">
        <v>8482</v>
      </c>
      <c r="C3424" t="s">
        <v>9674</v>
      </c>
      <c r="D3424" t="s">
        <v>9663</v>
      </c>
      <c r="E3424" t="s">
        <v>9844</v>
      </c>
      <c r="F3424" t="s">
        <v>5606</v>
      </c>
    </row>
    <row r="3425" spans="1:6">
      <c r="A3425" t="s">
        <v>9656</v>
      </c>
      <c r="B3425">
        <v>8487</v>
      </c>
      <c r="C3425" t="s">
        <v>9674</v>
      </c>
      <c r="D3425" t="s">
        <v>9663</v>
      </c>
      <c r="E3425" t="s">
        <v>9844</v>
      </c>
      <c r="F3425" t="s">
        <v>5606</v>
      </c>
    </row>
    <row r="3426" spans="1:6">
      <c r="A3426" t="s">
        <v>9656</v>
      </c>
      <c r="B3426">
        <v>8485</v>
      </c>
      <c r="C3426" t="s">
        <v>9674</v>
      </c>
      <c r="D3426" t="s">
        <v>9663</v>
      </c>
      <c r="E3426" t="s">
        <v>9844</v>
      </c>
      <c r="F3426" t="s">
        <v>5606</v>
      </c>
    </row>
    <row r="3427" spans="1:6">
      <c r="A3427" t="s">
        <v>9656</v>
      </c>
      <c r="B3427">
        <v>8490</v>
      </c>
      <c r="C3427" t="s">
        <v>9674</v>
      </c>
      <c r="D3427" t="s">
        <v>9663</v>
      </c>
      <c r="E3427" t="s">
        <v>9844</v>
      </c>
      <c r="F3427" t="s">
        <v>5606</v>
      </c>
    </row>
    <row r="3428" spans="1:6">
      <c r="A3428" t="s">
        <v>9656</v>
      </c>
      <c r="B3428">
        <v>8645</v>
      </c>
      <c r="C3428" t="s">
        <v>9674</v>
      </c>
      <c r="D3428" t="s">
        <v>9663</v>
      </c>
      <c r="E3428" t="s">
        <v>9844</v>
      </c>
      <c r="F3428" t="s">
        <v>5606</v>
      </c>
    </row>
    <row r="3429" spans="1:6">
      <c r="A3429" t="s">
        <v>9656</v>
      </c>
      <c r="B3429">
        <v>8646</v>
      </c>
      <c r="C3429" t="s">
        <v>9674</v>
      </c>
      <c r="D3429" t="s">
        <v>9663</v>
      </c>
      <c r="E3429" t="s">
        <v>9844</v>
      </c>
      <c r="F3429" t="s">
        <v>5606</v>
      </c>
    </row>
    <row r="3430" spans="1:6">
      <c r="A3430" t="s">
        <v>9656</v>
      </c>
      <c r="B3430">
        <v>8647</v>
      </c>
      <c r="C3430" t="s">
        <v>9674</v>
      </c>
      <c r="D3430" t="s">
        <v>9663</v>
      </c>
      <c r="E3430" t="s">
        <v>9844</v>
      </c>
      <c r="F3430" t="s">
        <v>5606</v>
      </c>
    </row>
    <row r="3431" spans="1:6">
      <c r="A3431" t="s">
        <v>9656</v>
      </c>
      <c r="B3431">
        <v>8649</v>
      </c>
      <c r="C3431" t="s">
        <v>9674</v>
      </c>
      <c r="D3431" t="s">
        <v>9663</v>
      </c>
      <c r="E3431" t="s">
        <v>9844</v>
      </c>
      <c r="F3431" t="s">
        <v>5606</v>
      </c>
    </row>
    <row r="3432" spans="1:6">
      <c r="A3432" t="s">
        <v>9656</v>
      </c>
      <c r="B3432">
        <v>8488</v>
      </c>
      <c r="C3432" t="s">
        <v>9674</v>
      </c>
      <c r="D3432" t="s">
        <v>9663</v>
      </c>
      <c r="E3432" t="s">
        <v>9844</v>
      </c>
      <c r="F3432" t="s">
        <v>5606</v>
      </c>
    </row>
    <row r="3433" spans="1:6">
      <c r="A3433" t="s">
        <v>9656</v>
      </c>
      <c r="B3433">
        <v>8648</v>
      </c>
      <c r="C3433" t="s">
        <v>9674</v>
      </c>
      <c r="D3433" t="s">
        <v>9663</v>
      </c>
      <c r="E3433" t="s">
        <v>9844</v>
      </c>
      <c r="F3433" t="s">
        <v>5606</v>
      </c>
    </row>
    <row r="3434" spans="1:6">
      <c r="A3434" t="s">
        <v>9656</v>
      </c>
      <c r="B3434">
        <v>8671</v>
      </c>
      <c r="C3434" t="s">
        <v>9674</v>
      </c>
      <c r="D3434" t="s">
        <v>9663</v>
      </c>
      <c r="E3434" t="s">
        <v>9844</v>
      </c>
      <c r="F3434" t="s">
        <v>5606</v>
      </c>
    </row>
    <row r="3435" spans="1:6">
      <c r="A3435" t="s">
        <v>9656</v>
      </c>
      <c r="B3435">
        <v>8841</v>
      </c>
      <c r="C3435" t="s">
        <v>9674</v>
      </c>
      <c r="D3435" t="s">
        <v>9663</v>
      </c>
      <c r="E3435" t="s">
        <v>9844</v>
      </c>
      <c r="F3435" t="s">
        <v>5606</v>
      </c>
    </row>
    <row r="3436" spans="1:6">
      <c r="A3436" t="s">
        <v>9656</v>
      </c>
      <c r="B3436">
        <v>8672</v>
      </c>
      <c r="C3436" t="s">
        <v>9674</v>
      </c>
      <c r="D3436" t="s">
        <v>9663</v>
      </c>
      <c r="E3436" t="s">
        <v>9844</v>
      </c>
      <c r="F3436" t="s">
        <v>5606</v>
      </c>
    </row>
    <row r="3437" spans="1:6">
      <c r="A3437" t="s">
        <v>9656</v>
      </c>
      <c r="B3437">
        <v>8673</v>
      </c>
      <c r="C3437" t="s">
        <v>9674</v>
      </c>
      <c r="D3437" t="s">
        <v>9663</v>
      </c>
      <c r="E3437" t="s">
        <v>9844</v>
      </c>
      <c r="F3437" t="s">
        <v>5606</v>
      </c>
    </row>
    <row r="3438" spans="1:6">
      <c r="A3438" t="s">
        <v>9656</v>
      </c>
      <c r="B3438">
        <v>8489</v>
      </c>
      <c r="C3438" t="s">
        <v>9674</v>
      </c>
      <c r="D3438" t="s">
        <v>9663</v>
      </c>
      <c r="E3438" t="s">
        <v>9844</v>
      </c>
      <c r="F3438" t="s">
        <v>5606</v>
      </c>
    </row>
    <row r="3439" spans="1:6">
      <c r="A3439" t="s">
        <v>9656</v>
      </c>
      <c r="B3439">
        <v>8491</v>
      </c>
      <c r="C3439" t="s">
        <v>9674</v>
      </c>
      <c r="D3439" t="s">
        <v>9663</v>
      </c>
      <c r="E3439" t="s">
        <v>9844</v>
      </c>
      <c r="F3439" t="s">
        <v>5606</v>
      </c>
    </row>
    <row r="3440" spans="1:6">
      <c r="A3440" t="s">
        <v>9656</v>
      </c>
      <c r="B3440">
        <v>8849</v>
      </c>
      <c r="C3440" t="s">
        <v>9674</v>
      </c>
      <c r="D3440" t="s">
        <v>9663</v>
      </c>
      <c r="E3440" t="s">
        <v>9844</v>
      </c>
      <c r="F3440" t="s">
        <v>5606</v>
      </c>
    </row>
    <row r="3441" spans="1:6">
      <c r="A3441" t="s">
        <v>9656</v>
      </c>
      <c r="B3441">
        <v>7969</v>
      </c>
      <c r="C3441" t="s">
        <v>9674</v>
      </c>
      <c r="D3441" t="s">
        <v>9663</v>
      </c>
      <c r="E3441" t="s">
        <v>9844</v>
      </c>
      <c r="F3441" t="s">
        <v>5606</v>
      </c>
    </row>
    <row r="3442" spans="1:6">
      <c r="A3442" t="s">
        <v>9656</v>
      </c>
      <c r="B3442">
        <v>8654</v>
      </c>
      <c r="C3442" t="s">
        <v>9674</v>
      </c>
      <c r="D3442" t="s">
        <v>9663</v>
      </c>
      <c r="E3442" t="s">
        <v>9844</v>
      </c>
      <c r="F3442" t="s">
        <v>5606</v>
      </c>
    </row>
    <row r="3443" spans="1:6">
      <c r="A3443" t="s">
        <v>9656</v>
      </c>
      <c r="B3443">
        <v>8675</v>
      </c>
      <c r="C3443" t="s">
        <v>9674</v>
      </c>
      <c r="D3443" t="s">
        <v>9663</v>
      </c>
      <c r="E3443" t="s">
        <v>9844</v>
      </c>
      <c r="F3443" t="s">
        <v>5606</v>
      </c>
    </row>
    <row r="3444" spans="1:6">
      <c r="A3444" t="s">
        <v>9656</v>
      </c>
      <c r="B3444">
        <v>8847</v>
      </c>
      <c r="C3444" t="s">
        <v>9674</v>
      </c>
      <c r="D3444" t="s">
        <v>9663</v>
      </c>
      <c r="E3444" t="s">
        <v>9844</v>
      </c>
      <c r="F3444" t="s">
        <v>5606</v>
      </c>
    </row>
    <row r="3445" spans="1:6">
      <c r="A3445" t="s">
        <v>9656</v>
      </c>
      <c r="B3445">
        <v>8840</v>
      </c>
      <c r="C3445" t="s">
        <v>9674</v>
      </c>
      <c r="D3445" t="s">
        <v>9663</v>
      </c>
      <c r="E3445" t="s">
        <v>9844</v>
      </c>
      <c r="F3445" t="s">
        <v>5606</v>
      </c>
    </row>
    <row r="3446" spans="1:6">
      <c r="A3446" t="s">
        <v>9656</v>
      </c>
      <c r="B3446">
        <v>8834</v>
      </c>
      <c r="C3446" t="s">
        <v>9674</v>
      </c>
      <c r="D3446" t="s">
        <v>9663</v>
      </c>
      <c r="E3446" t="s">
        <v>9844</v>
      </c>
      <c r="F3446" t="s">
        <v>5606</v>
      </c>
    </row>
    <row r="3447" spans="1:6">
      <c r="A3447" t="s">
        <v>9656</v>
      </c>
      <c r="B3447">
        <v>4348</v>
      </c>
      <c r="C3447" t="s">
        <v>9674</v>
      </c>
      <c r="D3447" t="s">
        <v>9663</v>
      </c>
      <c r="E3447" t="s">
        <v>9844</v>
      </c>
      <c r="F3447" t="s">
        <v>5606</v>
      </c>
    </row>
    <row r="3448" spans="1:6">
      <c r="A3448" t="s">
        <v>9656</v>
      </c>
      <c r="B3448">
        <v>4253</v>
      </c>
      <c r="C3448" t="s">
        <v>9674</v>
      </c>
      <c r="D3448" t="s">
        <v>9663</v>
      </c>
      <c r="E3448" t="s">
        <v>9844</v>
      </c>
      <c r="F3448" t="s">
        <v>5606</v>
      </c>
    </row>
    <row r="3449" spans="1:6">
      <c r="A3449" t="s">
        <v>9656</v>
      </c>
      <c r="B3449">
        <v>2582</v>
      </c>
      <c r="C3449" t="s">
        <v>9674</v>
      </c>
      <c r="D3449" t="s">
        <v>9663</v>
      </c>
      <c r="E3449" t="s">
        <v>9844</v>
      </c>
      <c r="F3449" t="s">
        <v>5606</v>
      </c>
    </row>
    <row r="3450" spans="1:6">
      <c r="A3450" t="s">
        <v>9656</v>
      </c>
      <c r="B3450">
        <v>5457</v>
      </c>
      <c r="C3450" t="s">
        <v>9674</v>
      </c>
      <c r="D3450" t="s">
        <v>9663</v>
      </c>
      <c r="E3450" t="s">
        <v>9844</v>
      </c>
      <c r="F3450" t="s">
        <v>5606</v>
      </c>
    </row>
    <row r="3451" spans="1:6">
      <c r="A3451" t="s">
        <v>9656</v>
      </c>
      <c r="B3451">
        <v>4347</v>
      </c>
      <c r="C3451" t="s">
        <v>9674</v>
      </c>
      <c r="D3451" t="s">
        <v>9663</v>
      </c>
      <c r="E3451" t="s">
        <v>9844</v>
      </c>
      <c r="F3451" t="s">
        <v>5606</v>
      </c>
    </row>
    <row r="3452" spans="1:6">
      <c r="A3452" t="s">
        <v>9656</v>
      </c>
      <c r="B3452">
        <v>4362</v>
      </c>
      <c r="C3452" t="s">
        <v>9674</v>
      </c>
      <c r="D3452" t="s">
        <v>9663</v>
      </c>
      <c r="E3452" t="s">
        <v>9844</v>
      </c>
      <c r="F3452" t="s">
        <v>5606</v>
      </c>
    </row>
    <row r="3453" spans="1:6">
      <c r="A3453" t="s">
        <v>9656</v>
      </c>
      <c r="B3453">
        <v>4363</v>
      </c>
      <c r="C3453" t="s">
        <v>9674</v>
      </c>
      <c r="D3453" t="s">
        <v>9663</v>
      </c>
      <c r="E3453" t="s">
        <v>9844</v>
      </c>
      <c r="F3453" t="s">
        <v>5606</v>
      </c>
    </row>
    <row r="3454" spans="1:6">
      <c r="A3454" t="s">
        <v>9656</v>
      </c>
      <c r="B3454">
        <v>4367</v>
      </c>
      <c r="C3454" t="s">
        <v>9674</v>
      </c>
      <c r="D3454" t="s">
        <v>9663</v>
      </c>
      <c r="E3454" t="s">
        <v>9844</v>
      </c>
      <c r="F3454" t="s">
        <v>5606</v>
      </c>
    </row>
    <row r="3455" spans="1:6">
      <c r="A3455" t="s">
        <v>9656</v>
      </c>
      <c r="B3455">
        <v>4368</v>
      </c>
      <c r="C3455" t="s">
        <v>9674</v>
      </c>
      <c r="D3455" t="s">
        <v>9663</v>
      </c>
      <c r="E3455" t="s">
        <v>9844</v>
      </c>
      <c r="F3455" t="s">
        <v>5606</v>
      </c>
    </row>
    <row r="3456" spans="1:6">
      <c r="A3456" t="s">
        <v>9656</v>
      </c>
      <c r="B3456">
        <v>7327</v>
      </c>
      <c r="C3456" t="s">
        <v>9674</v>
      </c>
      <c r="D3456" t="s">
        <v>9663</v>
      </c>
      <c r="E3456" t="s">
        <v>9844</v>
      </c>
      <c r="F3456" t="s">
        <v>5606</v>
      </c>
    </row>
    <row r="3457" spans="1:6">
      <c r="A3457" t="s">
        <v>9656</v>
      </c>
      <c r="B3457">
        <v>7328</v>
      </c>
      <c r="C3457" t="s">
        <v>9674</v>
      </c>
      <c r="D3457" t="s">
        <v>9663</v>
      </c>
      <c r="E3457" t="s">
        <v>9844</v>
      </c>
      <c r="F3457" t="s">
        <v>5606</v>
      </c>
    </row>
    <row r="3458" spans="1:6">
      <c r="A3458" t="s">
        <v>9656</v>
      </c>
      <c r="B3458">
        <v>4365</v>
      </c>
      <c r="C3458" t="s">
        <v>9674</v>
      </c>
      <c r="D3458" t="s">
        <v>9663</v>
      </c>
      <c r="E3458" t="s">
        <v>9844</v>
      </c>
      <c r="F3458" t="s">
        <v>5606</v>
      </c>
    </row>
    <row r="3459" spans="1:6">
      <c r="A3459" t="s">
        <v>9656</v>
      </c>
      <c r="B3459">
        <v>4364</v>
      </c>
      <c r="C3459" t="s">
        <v>9674</v>
      </c>
      <c r="D3459" t="s">
        <v>9663</v>
      </c>
      <c r="E3459" t="s">
        <v>9844</v>
      </c>
      <c r="F3459" t="s">
        <v>5606</v>
      </c>
    </row>
    <row r="3460" spans="1:6">
      <c r="A3460" t="s">
        <v>9656</v>
      </c>
      <c r="B3460">
        <v>4194</v>
      </c>
      <c r="C3460" t="s">
        <v>9674</v>
      </c>
      <c r="D3460" t="s">
        <v>9663</v>
      </c>
      <c r="E3460" t="s">
        <v>9844</v>
      </c>
      <c r="F3460" t="s">
        <v>5606</v>
      </c>
    </row>
    <row r="3461" spans="1:6">
      <c r="A3461" t="s">
        <v>9656</v>
      </c>
      <c r="B3461">
        <v>4190</v>
      </c>
      <c r="C3461" t="s">
        <v>9674</v>
      </c>
      <c r="D3461" t="s">
        <v>9663</v>
      </c>
      <c r="E3461" t="s">
        <v>9844</v>
      </c>
      <c r="F3461" t="s">
        <v>5606</v>
      </c>
    </row>
    <row r="3462" spans="1:6">
      <c r="A3462" t="s">
        <v>9656</v>
      </c>
      <c r="B3462">
        <v>4251</v>
      </c>
      <c r="C3462" t="s">
        <v>9674</v>
      </c>
      <c r="D3462" t="s">
        <v>9663</v>
      </c>
      <c r="E3462" t="s">
        <v>9844</v>
      </c>
      <c r="F3462" t="s">
        <v>5606</v>
      </c>
    </row>
    <row r="3463" spans="1:6">
      <c r="A3463" t="s">
        <v>9656</v>
      </c>
      <c r="B3463">
        <v>4252</v>
      </c>
      <c r="C3463" t="s">
        <v>9674</v>
      </c>
      <c r="D3463" t="s">
        <v>9663</v>
      </c>
      <c r="E3463" t="s">
        <v>9844</v>
      </c>
      <c r="F3463" t="s">
        <v>5606</v>
      </c>
    </row>
    <row r="3464" spans="1:6">
      <c r="A3464" t="s">
        <v>9656</v>
      </c>
      <c r="B3464">
        <v>2583</v>
      </c>
      <c r="C3464" t="s">
        <v>9674</v>
      </c>
      <c r="D3464" t="s">
        <v>9663</v>
      </c>
      <c r="E3464" t="s">
        <v>9844</v>
      </c>
      <c r="F3464" t="s">
        <v>5606</v>
      </c>
    </row>
    <row r="3465" spans="1:6">
      <c r="A3465" t="s">
        <v>9656</v>
      </c>
      <c r="B3465">
        <v>5458</v>
      </c>
      <c r="C3465" t="s">
        <v>9674</v>
      </c>
      <c r="D3465" t="s">
        <v>9663</v>
      </c>
      <c r="E3465" t="s">
        <v>9844</v>
      </c>
      <c r="F3465" t="s">
        <v>5606</v>
      </c>
    </row>
    <row r="3466" spans="1:6">
      <c r="A3466" t="s">
        <v>9656</v>
      </c>
      <c r="B3466">
        <v>7382</v>
      </c>
      <c r="C3466" t="s">
        <v>9674</v>
      </c>
      <c r="D3466" t="s">
        <v>9663</v>
      </c>
      <c r="E3466" t="s">
        <v>9844</v>
      </c>
      <c r="F3466" t="s">
        <v>5606</v>
      </c>
    </row>
    <row r="3467" spans="1:6">
      <c r="A3467" t="s">
        <v>9656</v>
      </c>
      <c r="B3467">
        <v>4192</v>
      </c>
      <c r="C3467" t="s">
        <v>9674</v>
      </c>
      <c r="D3467" t="s">
        <v>9663</v>
      </c>
      <c r="E3467" t="s">
        <v>9844</v>
      </c>
      <c r="F3467" t="s">
        <v>5606</v>
      </c>
    </row>
    <row r="3468" spans="1:6">
      <c r="A3468" t="s">
        <v>9656</v>
      </c>
      <c r="B3468">
        <v>4193</v>
      </c>
      <c r="C3468" t="s">
        <v>9674</v>
      </c>
      <c r="D3468" t="s">
        <v>9663</v>
      </c>
      <c r="E3468" t="s">
        <v>9844</v>
      </c>
      <c r="F3468" t="s">
        <v>5606</v>
      </c>
    </row>
    <row r="3469" spans="1:6">
      <c r="A3469" t="s">
        <v>9656</v>
      </c>
      <c r="B3469">
        <v>7973</v>
      </c>
      <c r="C3469" t="s">
        <v>9674</v>
      </c>
      <c r="D3469" t="s">
        <v>9663</v>
      </c>
      <c r="E3469" t="s">
        <v>9844</v>
      </c>
      <c r="F3469" t="s">
        <v>5606</v>
      </c>
    </row>
    <row r="3470" spans="1:6">
      <c r="A3470" t="s">
        <v>9656</v>
      </c>
      <c r="B3470">
        <v>7975</v>
      </c>
      <c r="C3470" t="s">
        <v>9674</v>
      </c>
      <c r="D3470" t="s">
        <v>9663</v>
      </c>
      <c r="E3470" t="s">
        <v>9844</v>
      </c>
      <c r="F3470" t="s">
        <v>5606</v>
      </c>
    </row>
    <row r="3471" spans="1:6">
      <c r="A3471" t="s">
        <v>9656</v>
      </c>
      <c r="B3471">
        <v>7974</v>
      </c>
      <c r="C3471" t="s">
        <v>9674</v>
      </c>
      <c r="D3471" t="s">
        <v>9663</v>
      </c>
      <c r="E3471" t="s">
        <v>9844</v>
      </c>
      <c r="F3471" t="s">
        <v>5606</v>
      </c>
    </row>
    <row r="3472" spans="1:6">
      <c r="A3472" t="s">
        <v>9656</v>
      </c>
      <c r="B3472">
        <v>7976</v>
      </c>
      <c r="C3472" t="s">
        <v>9674</v>
      </c>
      <c r="D3472" t="s">
        <v>9663</v>
      </c>
      <c r="E3472" t="s">
        <v>9844</v>
      </c>
      <c r="F3472" t="s">
        <v>5606</v>
      </c>
    </row>
    <row r="3473" spans="1:6">
      <c r="A3473" t="s">
        <v>9656</v>
      </c>
      <c r="B3473">
        <v>7836</v>
      </c>
      <c r="C3473" t="s">
        <v>9674</v>
      </c>
      <c r="D3473" t="s">
        <v>9663</v>
      </c>
      <c r="E3473" t="s">
        <v>9844</v>
      </c>
      <c r="F3473" t="s">
        <v>5606</v>
      </c>
    </row>
    <row r="3474" spans="1:6">
      <c r="A3474" t="s">
        <v>9656</v>
      </c>
      <c r="B3474">
        <v>7837</v>
      </c>
      <c r="C3474" t="s">
        <v>9674</v>
      </c>
      <c r="D3474" t="s">
        <v>9663</v>
      </c>
      <c r="E3474" t="s">
        <v>9844</v>
      </c>
      <c r="F3474" t="s">
        <v>5606</v>
      </c>
    </row>
    <row r="3475" spans="1:6">
      <c r="A3475" t="s">
        <v>9656</v>
      </c>
      <c r="B3475">
        <v>7379</v>
      </c>
      <c r="C3475" t="s">
        <v>9674</v>
      </c>
      <c r="D3475" t="s">
        <v>9663</v>
      </c>
      <c r="E3475" t="s">
        <v>9844</v>
      </c>
      <c r="F3475" t="s">
        <v>5606</v>
      </c>
    </row>
    <row r="3476" spans="1:6">
      <c r="A3476" t="s">
        <v>9656</v>
      </c>
      <c r="B3476">
        <v>7378</v>
      </c>
      <c r="C3476" t="s">
        <v>9674</v>
      </c>
      <c r="D3476" t="s">
        <v>9663</v>
      </c>
      <c r="E3476" t="s">
        <v>9844</v>
      </c>
      <c r="F3476" t="s">
        <v>5606</v>
      </c>
    </row>
    <row r="3477" spans="1:6">
      <c r="A3477" t="s">
        <v>9656</v>
      </c>
      <c r="B3477">
        <v>7948</v>
      </c>
      <c r="C3477" t="s">
        <v>9674</v>
      </c>
      <c r="D3477" t="s">
        <v>9663</v>
      </c>
      <c r="E3477" t="s">
        <v>9844</v>
      </c>
      <c r="F3477" t="s">
        <v>5606</v>
      </c>
    </row>
    <row r="3478" spans="1:6">
      <c r="A3478" t="s">
        <v>9656</v>
      </c>
      <c r="B3478">
        <v>7940</v>
      </c>
      <c r="C3478" t="s">
        <v>9674</v>
      </c>
      <c r="D3478" t="s">
        <v>9663</v>
      </c>
      <c r="E3478" t="s">
        <v>9844</v>
      </c>
      <c r="F3478" t="s">
        <v>5606</v>
      </c>
    </row>
    <row r="3479" spans="1:6">
      <c r="A3479" t="s">
        <v>9656</v>
      </c>
      <c r="B3479">
        <v>7941</v>
      </c>
      <c r="C3479" t="s">
        <v>9674</v>
      </c>
      <c r="D3479" t="s">
        <v>9663</v>
      </c>
      <c r="E3479" t="s">
        <v>9844</v>
      </c>
      <c r="F3479" t="s">
        <v>5606</v>
      </c>
    </row>
    <row r="3480" spans="1:6">
      <c r="A3480" t="s">
        <v>9656</v>
      </c>
      <c r="B3480">
        <v>7984</v>
      </c>
      <c r="C3480" t="s">
        <v>9674</v>
      </c>
      <c r="D3480" t="s">
        <v>9663</v>
      </c>
      <c r="E3480" t="s">
        <v>9844</v>
      </c>
      <c r="F3480" t="s">
        <v>5606</v>
      </c>
    </row>
    <row r="3481" spans="1:6">
      <c r="A3481" t="s">
        <v>9656</v>
      </c>
      <c r="B3481">
        <v>1723</v>
      </c>
      <c r="C3481" t="s">
        <v>9674</v>
      </c>
      <c r="D3481" t="s">
        <v>9663</v>
      </c>
      <c r="E3481" t="s">
        <v>9844</v>
      </c>
      <c r="F3481" t="s">
        <v>5606</v>
      </c>
    </row>
    <row r="3482" spans="1:6">
      <c r="A3482" t="s">
        <v>9656</v>
      </c>
      <c r="B3482">
        <v>1911</v>
      </c>
      <c r="C3482" t="s">
        <v>9674</v>
      </c>
      <c r="D3482" t="s">
        <v>9654</v>
      </c>
      <c r="E3482" t="s">
        <v>9841</v>
      </c>
      <c r="F3482" t="s">
        <v>5606</v>
      </c>
    </row>
    <row r="3483" spans="1:6">
      <c r="A3483" t="s">
        <v>9656</v>
      </c>
      <c r="B3483">
        <v>7809</v>
      </c>
      <c r="C3483" t="s">
        <v>9674</v>
      </c>
      <c r="D3483" t="s">
        <v>9654</v>
      </c>
      <c r="E3483" t="s">
        <v>9841</v>
      </c>
      <c r="F3483" t="s">
        <v>5606</v>
      </c>
    </row>
    <row r="3484" spans="1:6">
      <c r="A3484" t="s">
        <v>9656</v>
      </c>
      <c r="B3484">
        <v>7870</v>
      </c>
      <c r="C3484" t="s">
        <v>9674</v>
      </c>
      <c r="D3484" t="s">
        <v>9654</v>
      </c>
      <c r="E3484" t="s">
        <v>9841</v>
      </c>
      <c r="F3484" t="s">
        <v>5606</v>
      </c>
    </row>
    <row r="3485" spans="1:6">
      <c r="A3485" t="s">
        <v>9656</v>
      </c>
      <c r="B3485">
        <v>7871</v>
      </c>
      <c r="C3485" t="s">
        <v>9674</v>
      </c>
      <c r="D3485" t="s">
        <v>9654</v>
      </c>
      <c r="E3485" t="s">
        <v>9841</v>
      </c>
      <c r="F3485" t="s">
        <v>5606</v>
      </c>
    </row>
    <row r="3486" spans="1:6">
      <c r="A3486" t="s">
        <v>9656</v>
      </c>
      <c r="B3486">
        <v>7872</v>
      </c>
      <c r="C3486" t="s">
        <v>9674</v>
      </c>
      <c r="D3486" t="s">
        <v>9654</v>
      </c>
      <c r="E3486" t="s">
        <v>9841</v>
      </c>
      <c r="F3486" t="s">
        <v>5606</v>
      </c>
    </row>
    <row r="3487" spans="1:6">
      <c r="A3487" t="s">
        <v>9656</v>
      </c>
      <c r="B3487">
        <v>7873</v>
      </c>
      <c r="C3487" t="s">
        <v>9674</v>
      </c>
      <c r="D3487" t="s">
        <v>9654</v>
      </c>
      <c r="E3487" t="s">
        <v>9841</v>
      </c>
      <c r="F3487" t="s">
        <v>5606</v>
      </c>
    </row>
    <row r="3488" spans="1:6">
      <c r="A3488" t="s">
        <v>9656</v>
      </c>
      <c r="B3488">
        <v>7875</v>
      </c>
      <c r="C3488" t="s">
        <v>9674</v>
      </c>
      <c r="D3488" t="s">
        <v>9654</v>
      </c>
      <c r="E3488" t="s">
        <v>9841</v>
      </c>
      <c r="F3488" t="s">
        <v>5606</v>
      </c>
    </row>
    <row r="3489" spans="1:6">
      <c r="A3489" t="s">
        <v>9656</v>
      </c>
      <c r="B3489">
        <v>7901</v>
      </c>
      <c r="C3489" t="s">
        <v>9674</v>
      </c>
      <c r="D3489" t="s">
        <v>9654</v>
      </c>
      <c r="E3489" t="s">
        <v>9841</v>
      </c>
      <c r="F3489" t="s">
        <v>5606</v>
      </c>
    </row>
    <row r="3490" spans="1:6">
      <c r="A3490" t="s">
        <v>9656</v>
      </c>
      <c r="B3490">
        <v>7902</v>
      </c>
      <c r="C3490" t="s">
        <v>9674</v>
      </c>
      <c r="D3490" t="s">
        <v>9654</v>
      </c>
      <c r="E3490" t="s">
        <v>9841</v>
      </c>
      <c r="F3490" t="s">
        <v>5606</v>
      </c>
    </row>
    <row r="3491" spans="1:6">
      <c r="A3491" t="s">
        <v>9656</v>
      </c>
      <c r="B3491">
        <v>7967</v>
      </c>
      <c r="C3491" t="s">
        <v>9674</v>
      </c>
      <c r="D3491" t="s">
        <v>9654</v>
      </c>
      <c r="E3491" t="s">
        <v>9841</v>
      </c>
      <c r="F3491" t="s">
        <v>5606</v>
      </c>
    </row>
    <row r="3492" spans="1:6">
      <c r="A3492" t="s">
        <v>9656</v>
      </c>
      <c r="B3492">
        <v>7971</v>
      </c>
      <c r="C3492" t="s">
        <v>9674</v>
      </c>
      <c r="D3492" t="s">
        <v>9654</v>
      </c>
      <c r="E3492" t="s">
        <v>9841</v>
      </c>
      <c r="F3492" t="s">
        <v>5606</v>
      </c>
    </row>
    <row r="3493" spans="1:6">
      <c r="A3493" t="s">
        <v>9656</v>
      </c>
      <c r="B3493">
        <v>7972</v>
      </c>
      <c r="C3493" t="s">
        <v>9674</v>
      </c>
      <c r="D3493" t="s">
        <v>9654</v>
      </c>
      <c r="E3493" t="s">
        <v>9841</v>
      </c>
      <c r="F3493" t="s">
        <v>5606</v>
      </c>
    </row>
    <row r="3494" spans="1:6">
      <c r="A3494" t="s">
        <v>9656</v>
      </c>
      <c r="B3494">
        <v>7981</v>
      </c>
      <c r="C3494" t="s">
        <v>9674</v>
      </c>
      <c r="D3494" t="s">
        <v>9654</v>
      </c>
      <c r="E3494" t="s">
        <v>9841</v>
      </c>
      <c r="F3494" t="s">
        <v>5606</v>
      </c>
    </row>
    <row r="3495" spans="1:6">
      <c r="A3495" t="s">
        <v>9656</v>
      </c>
      <c r="B3495">
        <v>7995</v>
      </c>
      <c r="C3495" t="s">
        <v>9674</v>
      </c>
      <c r="D3495" t="s">
        <v>9654</v>
      </c>
      <c r="E3495" t="s">
        <v>9841</v>
      </c>
      <c r="F3495" t="s">
        <v>5606</v>
      </c>
    </row>
    <row r="3496" spans="1:6">
      <c r="A3496" t="s">
        <v>9656</v>
      </c>
      <c r="B3496">
        <v>7996</v>
      </c>
      <c r="C3496" t="s">
        <v>9674</v>
      </c>
      <c r="D3496" t="s">
        <v>9654</v>
      </c>
      <c r="E3496" t="s">
        <v>9841</v>
      </c>
      <c r="F3496" t="s">
        <v>5606</v>
      </c>
    </row>
    <row r="3497" spans="1:6">
      <c r="A3497" t="s">
        <v>9656</v>
      </c>
      <c r="B3497">
        <v>8014</v>
      </c>
      <c r="C3497" t="s">
        <v>9674</v>
      </c>
      <c r="D3497" t="s">
        <v>9654</v>
      </c>
      <c r="E3497" t="s">
        <v>9841</v>
      </c>
      <c r="F3497" t="s">
        <v>5606</v>
      </c>
    </row>
    <row r="3498" spans="1:6">
      <c r="A3498" t="s">
        <v>9656</v>
      </c>
      <c r="B3498">
        <v>8028</v>
      </c>
      <c r="C3498" t="s">
        <v>9674</v>
      </c>
      <c r="D3498" t="s">
        <v>9654</v>
      </c>
      <c r="E3498" t="s">
        <v>9841</v>
      </c>
      <c r="F3498" t="s">
        <v>5606</v>
      </c>
    </row>
    <row r="3499" spans="1:6">
      <c r="A3499" t="s">
        <v>9656</v>
      </c>
      <c r="B3499">
        <v>8038</v>
      </c>
      <c r="C3499" t="s">
        <v>9674</v>
      </c>
      <c r="D3499" t="s">
        <v>9654</v>
      </c>
      <c r="E3499" t="s">
        <v>9841</v>
      </c>
      <c r="F3499" t="s">
        <v>5606</v>
      </c>
    </row>
    <row r="3500" spans="1:6">
      <c r="A3500" t="s">
        <v>9656</v>
      </c>
      <c r="B3500">
        <v>8667</v>
      </c>
      <c r="C3500" t="s">
        <v>9674</v>
      </c>
      <c r="D3500" t="s">
        <v>9654</v>
      </c>
      <c r="E3500" t="s">
        <v>9841</v>
      </c>
      <c r="F3500" t="s">
        <v>5606</v>
      </c>
    </row>
    <row r="3501" spans="1:6">
      <c r="A3501" t="s">
        <v>9656</v>
      </c>
      <c r="B3501">
        <v>8677</v>
      </c>
      <c r="C3501" t="s">
        <v>9674</v>
      </c>
      <c r="D3501" t="s">
        <v>9654</v>
      </c>
      <c r="E3501" t="s">
        <v>9841</v>
      </c>
      <c r="F3501" t="s">
        <v>5606</v>
      </c>
    </row>
    <row r="3502" spans="1:6">
      <c r="A3502" t="s">
        <v>9656</v>
      </c>
      <c r="B3502">
        <v>8678</v>
      </c>
      <c r="C3502" t="s">
        <v>9674</v>
      </c>
      <c r="D3502" t="s">
        <v>9654</v>
      </c>
      <c r="E3502" t="s">
        <v>9841</v>
      </c>
      <c r="F3502" t="s">
        <v>5606</v>
      </c>
    </row>
    <row r="3503" spans="1:6">
      <c r="A3503" t="s">
        <v>9656</v>
      </c>
      <c r="B3503">
        <v>8720</v>
      </c>
      <c r="C3503" t="s">
        <v>9674</v>
      </c>
      <c r="D3503" t="s">
        <v>9654</v>
      </c>
      <c r="E3503" t="s">
        <v>9841</v>
      </c>
      <c r="F3503" t="s">
        <v>5606</v>
      </c>
    </row>
    <row r="3504" spans="1:6">
      <c r="A3504" t="s">
        <v>9656</v>
      </c>
      <c r="B3504">
        <v>8730</v>
      </c>
      <c r="C3504" t="s">
        <v>9674</v>
      </c>
      <c r="D3504" t="s">
        <v>9654</v>
      </c>
      <c r="E3504" t="s">
        <v>9841</v>
      </c>
      <c r="F3504" t="s">
        <v>5606</v>
      </c>
    </row>
    <row r="3505" spans="1:6">
      <c r="A3505" t="s">
        <v>9656</v>
      </c>
      <c r="B3505">
        <v>8740</v>
      </c>
      <c r="C3505" t="s">
        <v>9674</v>
      </c>
      <c r="D3505" t="s">
        <v>9654</v>
      </c>
      <c r="E3505" t="s">
        <v>9841</v>
      </c>
      <c r="F3505" t="s">
        <v>5606</v>
      </c>
    </row>
    <row r="3506" spans="1:6">
      <c r="A3506" t="s">
        <v>9656</v>
      </c>
      <c r="B3506">
        <v>8750</v>
      </c>
      <c r="C3506" t="s">
        <v>9674</v>
      </c>
      <c r="D3506" t="s">
        <v>9654</v>
      </c>
      <c r="E3506" t="s">
        <v>9841</v>
      </c>
      <c r="F3506" t="s">
        <v>5606</v>
      </c>
    </row>
    <row r="3507" spans="1:6">
      <c r="A3507" t="s">
        <v>9656</v>
      </c>
      <c r="B3507">
        <v>8832</v>
      </c>
      <c r="C3507" t="s">
        <v>9674</v>
      </c>
      <c r="D3507" t="s">
        <v>9654</v>
      </c>
      <c r="E3507" t="s">
        <v>9841</v>
      </c>
      <c r="F3507" t="s">
        <v>5606</v>
      </c>
    </row>
    <row r="3508" spans="1:6">
      <c r="A3508" t="s">
        <v>9656</v>
      </c>
      <c r="B3508">
        <v>8839</v>
      </c>
      <c r="C3508" t="s">
        <v>9674</v>
      </c>
      <c r="D3508" t="s">
        <v>9654</v>
      </c>
      <c r="E3508" t="s">
        <v>9841</v>
      </c>
      <c r="F3508" t="s">
        <v>5606</v>
      </c>
    </row>
    <row r="3509" spans="1:6">
      <c r="A3509" t="s">
        <v>9656</v>
      </c>
      <c r="B3509">
        <v>8843</v>
      </c>
      <c r="C3509" t="s">
        <v>9674</v>
      </c>
      <c r="D3509" t="s">
        <v>9654</v>
      </c>
      <c r="E3509" t="s">
        <v>9841</v>
      </c>
      <c r="F3509" t="s">
        <v>5606</v>
      </c>
    </row>
    <row r="3510" spans="1:6">
      <c r="A3510" t="s">
        <v>9656</v>
      </c>
      <c r="B3510">
        <v>8850</v>
      </c>
      <c r="C3510" t="s">
        <v>9674</v>
      </c>
      <c r="D3510" t="s">
        <v>9654</v>
      </c>
      <c r="E3510" t="s">
        <v>9841</v>
      </c>
      <c r="F3510" t="s">
        <v>5606</v>
      </c>
    </row>
    <row r="3511" spans="1:6">
      <c r="A3511" t="s">
        <v>9656</v>
      </c>
      <c r="B3511">
        <v>8852</v>
      </c>
      <c r="C3511" t="s">
        <v>9674</v>
      </c>
      <c r="D3511" t="s">
        <v>9654</v>
      </c>
      <c r="E3511" t="s">
        <v>9841</v>
      </c>
      <c r="F3511" t="s">
        <v>5606</v>
      </c>
    </row>
    <row r="3512" spans="1:6">
      <c r="A3512" t="s">
        <v>9656</v>
      </c>
      <c r="B3512">
        <v>8853</v>
      </c>
      <c r="C3512" t="s">
        <v>9674</v>
      </c>
      <c r="D3512" t="s">
        <v>9654</v>
      </c>
      <c r="E3512" t="s">
        <v>9841</v>
      </c>
      <c r="F3512" t="s">
        <v>5606</v>
      </c>
    </row>
    <row r="3513" spans="1:6">
      <c r="A3513" t="s">
        <v>9656</v>
      </c>
      <c r="B3513">
        <v>8886</v>
      </c>
      <c r="C3513" t="s">
        <v>9674</v>
      </c>
      <c r="D3513" t="s">
        <v>9654</v>
      </c>
      <c r="E3513" t="s">
        <v>9841</v>
      </c>
      <c r="F3513" t="s">
        <v>5606</v>
      </c>
    </row>
    <row r="3514" spans="1:6">
      <c r="A3514" t="s">
        <v>9656</v>
      </c>
      <c r="B3514">
        <v>8721</v>
      </c>
      <c r="C3514" t="s">
        <v>9674</v>
      </c>
      <c r="D3514" t="s">
        <v>9657</v>
      </c>
      <c r="E3514" t="s">
        <v>9842</v>
      </c>
      <c r="F3514" t="s">
        <v>5606</v>
      </c>
    </row>
    <row r="3515" spans="1:6">
      <c r="A3515" t="s">
        <v>9656</v>
      </c>
      <c r="B3515">
        <v>8731</v>
      </c>
      <c r="C3515" t="s">
        <v>9674</v>
      </c>
      <c r="D3515" t="s">
        <v>9657</v>
      </c>
      <c r="E3515" t="s">
        <v>9842</v>
      </c>
      <c r="F3515" t="s">
        <v>5606</v>
      </c>
    </row>
    <row r="3516" spans="1:6">
      <c r="A3516" t="s">
        <v>9656</v>
      </c>
      <c r="B3516">
        <v>7906</v>
      </c>
      <c r="C3516" t="s">
        <v>9674</v>
      </c>
      <c r="D3516" t="s">
        <v>9657</v>
      </c>
      <c r="E3516" t="s">
        <v>9842</v>
      </c>
      <c r="F3516" t="s">
        <v>5606</v>
      </c>
    </row>
    <row r="3517" spans="1:6">
      <c r="A3517" t="s">
        <v>9656</v>
      </c>
      <c r="B3517">
        <v>7916</v>
      </c>
      <c r="C3517" t="s">
        <v>9674</v>
      </c>
      <c r="D3517" t="s">
        <v>9657</v>
      </c>
      <c r="E3517" t="s">
        <v>9842</v>
      </c>
      <c r="F3517" t="s">
        <v>5606</v>
      </c>
    </row>
    <row r="3518" spans="1:6">
      <c r="A3518" t="s">
        <v>9656</v>
      </c>
      <c r="B3518">
        <v>8737</v>
      </c>
      <c r="C3518" t="s">
        <v>9674</v>
      </c>
      <c r="D3518" t="s">
        <v>9657</v>
      </c>
      <c r="E3518" t="s">
        <v>9842</v>
      </c>
      <c r="F3518" t="s">
        <v>5606</v>
      </c>
    </row>
    <row r="3519" spans="1:6">
      <c r="A3519" t="s">
        <v>9656</v>
      </c>
      <c r="B3519">
        <v>7917</v>
      </c>
      <c r="C3519" t="s">
        <v>9674</v>
      </c>
      <c r="D3519" t="s">
        <v>9657</v>
      </c>
      <c r="E3519" t="s">
        <v>9842</v>
      </c>
      <c r="F3519" t="s">
        <v>5606</v>
      </c>
    </row>
    <row r="3520" spans="1:6">
      <c r="A3520" t="s">
        <v>9656</v>
      </c>
      <c r="B3520">
        <v>7903</v>
      </c>
      <c r="C3520" t="s">
        <v>9674</v>
      </c>
      <c r="D3520" t="s">
        <v>9657</v>
      </c>
      <c r="E3520" t="s">
        <v>9842</v>
      </c>
      <c r="F3520" t="s">
        <v>5606</v>
      </c>
    </row>
    <row r="3521" spans="1:6">
      <c r="A3521" t="s">
        <v>9656</v>
      </c>
      <c r="B3521">
        <v>5455</v>
      </c>
      <c r="C3521" t="s">
        <v>9674</v>
      </c>
      <c r="D3521" t="s">
        <v>9657</v>
      </c>
      <c r="E3521" t="s">
        <v>9842</v>
      </c>
      <c r="F3521" t="s">
        <v>5606</v>
      </c>
    </row>
    <row r="3522" spans="1:6">
      <c r="A3522" t="s">
        <v>9656</v>
      </c>
      <c r="B3522">
        <v>5456</v>
      </c>
      <c r="C3522" t="s">
        <v>9674</v>
      </c>
      <c r="D3522" t="s">
        <v>9657</v>
      </c>
      <c r="E3522" t="s">
        <v>9842</v>
      </c>
      <c r="F3522" t="s">
        <v>5606</v>
      </c>
    </row>
    <row r="3523" spans="1:6">
      <c r="A3523" t="s">
        <v>9656</v>
      </c>
      <c r="B3523">
        <v>6391</v>
      </c>
      <c r="C3523" t="s">
        <v>9674</v>
      </c>
      <c r="D3523" t="s">
        <v>9657</v>
      </c>
      <c r="E3523" t="s">
        <v>9842</v>
      </c>
      <c r="F3523" t="s">
        <v>5606</v>
      </c>
    </row>
    <row r="3524" spans="1:6">
      <c r="A3524" t="s">
        <v>9656</v>
      </c>
      <c r="B3524">
        <v>7912</v>
      </c>
      <c r="C3524" t="s">
        <v>9674</v>
      </c>
      <c r="D3524" t="s">
        <v>9657</v>
      </c>
      <c r="E3524" t="s">
        <v>9842</v>
      </c>
      <c r="F3524" t="s">
        <v>5606</v>
      </c>
    </row>
    <row r="3525" spans="1:6">
      <c r="A3525" t="s">
        <v>9656</v>
      </c>
      <c r="B3525">
        <v>7913</v>
      </c>
      <c r="C3525" t="s">
        <v>9674</v>
      </c>
      <c r="D3525" t="s">
        <v>9657</v>
      </c>
      <c r="E3525" t="s">
        <v>9842</v>
      </c>
      <c r="F3525" t="s">
        <v>5606</v>
      </c>
    </row>
    <row r="3526" spans="1:6">
      <c r="A3526" t="s">
        <v>9656</v>
      </c>
      <c r="B3526">
        <v>7918</v>
      </c>
      <c r="C3526" t="s">
        <v>9674</v>
      </c>
      <c r="D3526" t="s">
        <v>9657</v>
      </c>
      <c r="E3526" t="s">
        <v>9842</v>
      </c>
      <c r="F3526" t="s">
        <v>5606</v>
      </c>
    </row>
    <row r="3527" spans="1:6">
      <c r="A3527" t="s">
        <v>9656</v>
      </c>
      <c r="B3527">
        <v>7919</v>
      </c>
      <c r="C3527" t="s">
        <v>9674</v>
      </c>
      <c r="D3527" t="s">
        <v>9657</v>
      </c>
      <c r="E3527" t="s">
        <v>9842</v>
      </c>
      <c r="F3527" t="s">
        <v>5606</v>
      </c>
    </row>
    <row r="3528" spans="1:6">
      <c r="A3528" t="s">
        <v>9656</v>
      </c>
      <c r="B3528">
        <v>8685</v>
      </c>
      <c r="C3528" t="s">
        <v>9674</v>
      </c>
      <c r="D3528" t="s">
        <v>9657</v>
      </c>
      <c r="E3528" t="s">
        <v>9842</v>
      </c>
      <c r="F3528" t="s">
        <v>5606</v>
      </c>
    </row>
    <row r="3529" spans="1:6">
      <c r="A3529" t="s">
        <v>9656</v>
      </c>
      <c r="B3529">
        <v>8686</v>
      </c>
      <c r="C3529" t="s">
        <v>9674</v>
      </c>
      <c r="D3529" t="s">
        <v>9657</v>
      </c>
      <c r="E3529" t="s">
        <v>9842</v>
      </c>
      <c r="F3529" t="s">
        <v>5606</v>
      </c>
    </row>
    <row r="3530" spans="1:6">
      <c r="A3530" t="s">
        <v>9656</v>
      </c>
      <c r="B3530">
        <v>8861</v>
      </c>
      <c r="C3530" t="s">
        <v>9674</v>
      </c>
      <c r="D3530" t="s">
        <v>9657</v>
      </c>
      <c r="E3530" t="s">
        <v>9842</v>
      </c>
      <c r="F3530" t="s">
        <v>5606</v>
      </c>
    </row>
    <row r="3531" spans="1:6">
      <c r="A3531" t="s">
        <v>9656</v>
      </c>
      <c r="B3531">
        <v>8862</v>
      </c>
      <c r="C3531" t="s">
        <v>9674</v>
      </c>
      <c r="D3531" t="s">
        <v>9657</v>
      </c>
      <c r="E3531" t="s">
        <v>9842</v>
      </c>
      <c r="F3531" t="s">
        <v>5606</v>
      </c>
    </row>
    <row r="3532" spans="1:6">
      <c r="A3532" t="s">
        <v>9656</v>
      </c>
      <c r="B3532">
        <v>8863</v>
      </c>
      <c r="C3532" t="s">
        <v>9674</v>
      </c>
      <c r="D3532" t="s">
        <v>9657</v>
      </c>
      <c r="E3532" t="s">
        <v>9842</v>
      </c>
      <c r="F3532" t="s">
        <v>5606</v>
      </c>
    </row>
    <row r="3533" spans="1:6">
      <c r="A3533" t="s">
        <v>9656</v>
      </c>
      <c r="B3533">
        <v>8683</v>
      </c>
      <c r="C3533" t="s">
        <v>9674</v>
      </c>
      <c r="D3533" t="s">
        <v>9657</v>
      </c>
      <c r="E3533" t="s">
        <v>9842</v>
      </c>
      <c r="F3533" t="s">
        <v>5606</v>
      </c>
    </row>
    <row r="3534" spans="1:6">
      <c r="A3534" t="s">
        <v>9656</v>
      </c>
      <c r="B3534">
        <v>8687</v>
      </c>
      <c r="C3534" t="s">
        <v>9674</v>
      </c>
      <c r="D3534" t="s">
        <v>9657</v>
      </c>
      <c r="E3534" t="s">
        <v>9842</v>
      </c>
      <c r="F3534" t="s">
        <v>5606</v>
      </c>
    </row>
    <row r="3535" spans="1:6">
      <c r="A3535" t="s">
        <v>9656</v>
      </c>
      <c r="B3535">
        <v>8870</v>
      </c>
      <c r="C3535" t="s">
        <v>9674</v>
      </c>
      <c r="D3535" t="s">
        <v>9657</v>
      </c>
      <c r="E3535" t="s">
        <v>9842</v>
      </c>
      <c r="F3535" t="s">
        <v>5606</v>
      </c>
    </row>
    <row r="3536" spans="1:6">
      <c r="A3536" t="s">
        <v>9656</v>
      </c>
      <c r="B3536">
        <v>8688</v>
      </c>
      <c r="C3536" t="s">
        <v>9674</v>
      </c>
      <c r="D3536" t="s">
        <v>9657</v>
      </c>
      <c r="E3536" t="s">
        <v>9842</v>
      </c>
      <c r="F3536" t="s">
        <v>5606</v>
      </c>
    </row>
    <row r="3537" spans="1:6">
      <c r="A3537" t="s">
        <v>9656</v>
      </c>
      <c r="B3537">
        <v>8855</v>
      </c>
      <c r="C3537" t="s">
        <v>9674</v>
      </c>
      <c r="D3537" t="s">
        <v>9657</v>
      </c>
      <c r="E3537" t="s">
        <v>9842</v>
      </c>
      <c r="F3537" t="s">
        <v>5606</v>
      </c>
    </row>
    <row r="3538" spans="1:6">
      <c r="A3538" t="s">
        <v>9656</v>
      </c>
      <c r="B3538">
        <v>8872</v>
      </c>
      <c r="C3538" t="s">
        <v>9674</v>
      </c>
      <c r="D3538" t="s">
        <v>9657</v>
      </c>
      <c r="E3538" t="s">
        <v>9842</v>
      </c>
      <c r="F3538" t="s">
        <v>5606</v>
      </c>
    </row>
    <row r="3539" spans="1:6">
      <c r="A3539" t="s">
        <v>9656</v>
      </c>
      <c r="B3539">
        <v>8874</v>
      </c>
      <c r="C3539" t="s">
        <v>9674</v>
      </c>
      <c r="D3539" t="s">
        <v>9657</v>
      </c>
      <c r="E3539" t="s">
        <v>9842</v>
      </c>
      <c r="F3539" t="s">
        <v>5606</v>
      </c>
    </row>
    <row r="3540" spans="1:6">
      <c r="A3540" t="s">
        <v>9656</v>
      </c>
      <c r="B3540">
        <v>6385</v>
      </c>
      <c r="C3540" t="s">
        <v>9674</v>
      </c>
      <c r="D3540" t="s">
        <v>9657</v>
      </c>
      <c r="E3540" t="s">
        <v>9842</v>
      </c>
      <c r="F3540" t="s">
        <v>5606</v>
      </c>
    </row>
    <row r="3541" spans="1:6">
      <c r="A3541" t="s">
        <v>9656</v>
      </c>
      <c r="B3541">
        <v>6386</v>
      </c>
      <c r="C3541" t="s">
        <v>9674</v>
      </c>
      <c r="D3541" t="s">
        <v>9657</v>
      </c>
      <c r="E3541" t="s">
        <v>9842</v>
      </c>
      <c r="F3541" t="s">
        <v>5606</v>
      </c>
    </row>
    <row r="3542" spans="1:6">
      <c r="A3542" t="s">
        <v>9656</v>
      </c>
      <c r="B3542">
        <v>6388</v>
      </c>
      <c r="C3542" t="s">
        <v>9674</v>
      </c>
      <c r="D3542" t="s">
        <v>9657</v>
      </c>
      <c r="E3542" t="s">
        <v>9842</v>
      </c>
      <c r="F3542" t="s">
        <v>5606</v>
      </c>
    </row>
    <row r="3543" spans="1:6">
      <c r="A3543" t="s">
        <v>9656</v>
      </c>
      <c r="B3543">
        <v>6389</v>
      </c>
      <c r="C3543" t="s">
        <v>9674</v>
      </c>
      <c r="D3543" t="s">
        <v>9657</v>
      </c>
      <c r="E3543" t="s">
        <v>9842</v>
      </c>
      <c r="F3543" t="s">
        <v>5606</v>
      </c>
    </row>
    <row r="3544" spans="1:6">
      <c r="A3544" t="s">
        <v>9656</v>
      </c>
      <c r="B3544">
        <v>6390</v>
      </c>
      <c r="C3544" t="s">
        <v>9674</v>
      </c>
      <c r="D3544" t="s">
        <v>9657</v>
      </c>
      <c r="E3544" t="s">
        <v>9842</v>
      </c>
      <c r="F3544" t="s">
        <v>5606</v>
      </c>
    </row>
    <row r="3545" spans="1:6">
      <c r="A3545" t="s">
        <v>9656</v>
      </c>
      <c r="B3545">
        <v>7321</v>
      </c>
      <c r="C3545" t="s">
        <v>9674</v>
      </c>
      <c r="D3545" t="s">
        <v>9657</v>
      </c>
      <c r="E3545" t="s">
        <v>9842</v>
      </c>
      <c r="F3545" t="s">
        <v>5606</v>
      </c>
    </row>
    <row r="3546" spans="1:6">
      <c r="A3546" t="s">
        <v>9656</v>
      </c>
      <c r="B3546">
        <v>7831</v>
      </c>
      <c r="C3546" t="s">
        <v>9674</v>
      </c>
      <c r="D3546" t="s">
        <v>9657</v>
      </c>
      <c r="E3546" t="s">
        <v>9842</v>
      </c>
      <c r="F3546" t="s">
        <v>5606</v>
      </c>
    </row>
    <row r="3547" spans="1:6">
      <c r="A3547" t="s">
        <v>9656</v>
      </c>
      <c r="B3547">
        <v>7832</v>
      </c>
      <c r="C3547" t="s">
        <v>9674</v>
      </c>
      <c r="D3547" t="s">
        <v>9657</v>
      </c>
      <c r="E3547" t="s">
        <v>9842</v>
      </c>
      <c r="F3547" t="s">
        <v>5606</v>
      </c>
    </row>
    <row r="3548" spans="1:6">
      <c r="A3548" t="s">
        <v>9656</v>
      </c>
      <c r="B3548">
        <v>7833</v>
      </c>
      <c r="C3548" t="s">
        <v>9674</v>
      </c>
      <c r="D3548" t="s">
        <v>9657</v>
      </c>
      <c r="E3548" t="s">
        <v>9842</v>
      </c>
      <c r="F3548" t="s">
        <v>5606</v>
      </c>
    </row>
    <row r="3549" spans="1:6">
      <c r="A3549" t="s">
        <v>9656</v>
      </c>
      <c r="B3549">
        <v>7834</v>
      </c>
      <c r="C3549" t="s">
        <v>9674</v>
      </c>
      <c r="D3549" t="s">
        <v>9657</v>
      </c>
      <c r="E3549" t="s">
        <v>9842</v>
      </c>
      <c r="F3549" t="s">
        <v>5606</v>
      </c>
    </row>
    <row r="3550" spans="1:6">
      <c r="A3550" t="s">
        <v>9656</v>
      </c>
      <c r="B3550">
        <v>8722</v>
      </c>
      <c r="C3550" t="s">
        <v>9674</v>
      </c>
      <c r="D3550" t="s">
        <v>9657</v>
      </c>
      <c r="E3550" t="s">
        <v>9842</v>
      </c>
      <c r="F3550" t="s">
        <v>5606</v>
      </c>
    </row>
    <row r="3551" spans="1:6">
      <c r="A3551" t="s">
        <v>9656</v>
      </c>
      <c r="B3551">
        <v>8733</v>
      </c>
      <c r="C3551" t="s">
        <v>9674</v>
      </c>
      <c r="D3551" t="s">
        <v>9657</v>
      </c>
      <c r="E3551" t="s">
        <v>9842</v>
      </c>
      <c r="F3551" t="s">
        <v>5606</v>
      </c>
    </row>
    <row r="3552" spans="1:6">
      <c r="A3552" t="s">
        <v>9656</v>
      </c>
      <c r="B3552">
        <v>8752</v>
      </c>
      <c r="C3552" t="s">
        <v>9674</v>
      </c>
      <c r="D3552" t="s">
        <v>9657</v>
      </c>
      <c r="E3552" t="s">
        <v>9842</v>
      </c>
      <c r="F3552" t="s">
        <v>5606</v>
      </c>
    </row>
    <row r="3553" spans="1:6">
      <c r="A3553" t="s">
        <v>9656</v>
      </c>
      <c r="B3553">
        <v>6205</v>
      </c>
      <c r="C3553" t="s">
        <v>9674</v>
      </c>
      <c r="D3553" t="s">
        <v>9657</v>
      </c>
      <c r="E3553" t="s">
        <v>9842</v>
      </c>
      <c r="F3553" t="s">
        <v>5606</v>
      </c>
    </row>
    <row r="3554" spans="1:6">
      <c r="A3554" t="s">
        <v>9656</v>
      </c>
      <c r="B3554">
        <v>7163</v>
      </c>
      <c r="C3554" t="s">
        <v>9674</v>
      </c>
      <c r="D3554" t="s">
        <v>9657</v>
      </c>
      <c r="E3554" t="s">
        <v>9842</v>
      </c>
      <c r="F3554" t="s">
        <v>5606</v>
      </c>
    </row>
    <row r="3555" spans="1:6">
      <c r="A3555" t="s">
        <v>9656</v>
      </c>
      <c r="B3555">
        <v>8877</v>
      </c>
      <c r="C3555" t="s">
        <v>9674</v>
      </c>
      <c r="D3555" t="s">
        <v>9657</v>
      </c>
      <c r="E3555" t="s">
        <v>9842</v>
      </c>
      <c r="F3555" t="s">
        <v>5606</v>
      </c>
    </row>
    <row r="3556" spans="1:6">
      <c r="A3556" t="s">
        <v>9656</v>
      </c>
      <c r="B3556">
        <v>7164</v>
      </c>
      <c r="C3556" t="s">
        <v>9674</v>
      </c>
      <c r="D3556" t="s">
        <v>9657</v>
      </c>
      <c r="E3556" t="s">
        <v>9842</v>
      </c>
      <c r="F3556" t="s">
        <v>5606</v>
      </c>
    </row>
    <row r="3557" spans="1:6">
      <c r="A3557" t="s">
        <v>9656</v>
      </c>
      <c r="B3557">
        <v>8865</v>
      </c>
      <c r="C3557" t="s">
        <v>9674</v>
      </c>
      <c r="D3557" t="s">
        <v>9657</v>
      </c>
      <c r="E3557" t="s">
        <v>9842</v>
      </c>
      <c r="F3557" t="s">
        <v>5606</v>
      </c>
    </row>
    <row r="3558" spans="1:6">
      <c r="A3558" t="s">
        <v>9656</v>
      </c>
      <c r="B3558">
        <v>8866</v>
      </c>
      <c r="C3558" t="s">
        <v>9674</v>
      </c>
      <c r="D3558" t="s">
        <v>9657</v>
      </c>
      <c r="E3558" t="s">
        <v>9842</v>
      </c>
      <c r="F3558" t="s">
        <v>5606</v>
      </c>
    </row>
    <row r="3559" spans="1:6">
      <c r="A3559" t="s">
        <v>9656</v>
      </c>
      <c r="B3559">
        <v>8864</v>
      </c>
      <c r="C3559" t="s">
        <v>9674</v>
      </c>
      <c r="D3559" t="s">
        <v>9657</v>
      </c>
      <c r="E3559" t="s">
        <v>9842</v>
      </c>
      <c r="F3559" t="s">
        <v>5606</v>
      </c>
    </row>
    <row r="3560" spans="1:6">
      <c r="A3560" t="s">
        <v>9656</v>
      </c>
      <c r="B3560">
        <v>7141</v>
      </c>
      <c r="C3560" t="s">
        <v>9674</v>
      </c>
      <c r="D3560" t="s">
        <v>9657</v>
      </c>
      <c r="E3560" t="s">
        <v>9842</v>
      </c>
      <c r="F3560" t="s">
        <v>5606</v>
      </c>
    </row>
    <row r="3561" spans="1:6">
      <c r="A3561" t="s">
        <v>9656</v>
      </c>
      <c r="B3561">
        <v>7143</v>
      </c>
      <c r="C3561" t="s">
        <v>9674</v>
      </c>
      <c r="D3561" t="s">
        <v>9657</v>
      </c>
      <c r="E3561" t="s">
        <v>9842</v>
      </c>
      <c r="F3561" t="s">
        <v>5606</v>
      </c>
    </row>
    <row r="3562" spans="1:6">
      <c r="A3562" t="s">
        <v>9656</v>
      </c>
      <c r="B3562">
        <v>7145</v>
      </c>
      <c r="C3562" t="s">
        <v>9674</v>
      </c>
      <c r="D3562" t="s">
        <v>9657</v>
      </c>
      <c r="E3562" t="s">
        <v>9842</v>
      </c>
      <c r="F3562" t="s">
        <v>5606</v>
      </c>
    </row>
    <row r="3563" spans="1:6">
      <c r="A3563" t="s">
        <v>9656</v>
      </c>
      <c r="B3563">
        <v>7147</v>
      </c>
      <c r="C3563" t="s">
        <v>9674</v>
      </c>
      <c r="D3563" t="s">
        <v>9657</v>
      </c>
      <c r="E3563" t="s">
        <v>9842</v>
      </c>
      <c r="F3563" t="s">
        <v>5606</v>
      </c>
    </row>
    <row r="3564" spans="1:6">
      <c r="A3564" t="s">
        <v>9656</v>
      </c>
      <c r="B3564">
        <v>3837</v>
      </c>
      <c r="C3564" t="s">
        <v>9674</v>
      </c>
      <c r="D3564" t="s">
        <v>9657</v>
      </c>
      <c r="E3564" t="s">
        <v>9842</v>
      </c>
      <c r="F3564" t="s">
        <v>5606</v>
      </c>
    </row>
    <row r="3565" spans="1:6">
      <c r="A3565" t="s">
        <v>9656</v>
      </c>
      <c r="B3565">
        <v>8878</v>
      </c>
      <c r="C3565" t="s">
        <v>9674</v>
      </c>
      <c r="D3565" t="s">
        <v>9657</v>
      </c>
      <c r="E3565" t="s">
        <v>9842</v>
      </c>
      <c r="F3565" t="s">
        <v>5606</v>
      </c>
    </row>
    <row r="3566" spans="1:6">
      <c r="A3566" t="s">
        <v>9656</v>
      </c>
      <c r="B3566">
        <v>8879</v>
      </c>
      <c r="C3566" t="s">
        <v>9674</v>
      </c>
      <c r="D3566" t="s">
        <v>9657</v>
      </c>
      <c r="E3566" t="s">
        <v>9842</v>
      </c>
      <c r="F3566" t="s">
        <v>5606</v>
      </c>
    </row>
    <row r="3567" spans="1:6">
      <c r="A3567" t="s">
        <v>9656</v>
      </c>
      <c r="B3567">
        <v>7233</v>
      </c>
      <c r="C3567" t="s">
        <v>9674</v>
      </c>
      <c r="D3567" t="s">
        <v>9657</v>
      </c>
      <c r="E3567" t="s">
        <v>9842</v>
      </c>
      <c r="F3567" t="s">
        <v>5606</v>
      </c>
    </row>
    <row r="3568" spans="1:6">
      <c r="A3568" t="s">
        <v>9656</v>
      </c>
      <c r="B3568">
        <v>5464</v>
      </c>
      <c r="C3568" t="s">
        <v>9674</v>
      </c>
      <c r="D3568" t="s">
        <v>9657</v>
      </c>
      <c r="E3568" t="s">
        <v>9842</v>
      </c>
      <c r="F3568" t="s">
        <v>5606</v>
      </c>
    </row>
    <row r="3569" spans="1:6">
      <c r="A3569" t="s">
        <v>9656</v>
      </c>
      <c r="B3569">
        <v>9532</v>
      </c>
      <c r="C3569" t="s">
        <v>9674</v>
      </c>
      <c r="D3569" t="s">
        <v>9657</v>
      </c>
      <c r="E3569" t="s">
        <v>9842</v>
      </c>
      <c r="F3569" t="s">
        <v>5606</v>
      </c>
    </row>
    <row r="3570" spans="1:6">
      <c r="A3570" t="s">
        <v>9656</v>
      </c>
      <c r="B3570">
        <v>5465</v>
      </c>
      <c r="C3570" t="s">
        <v>9674</v>
      </c>
      <c r="D3570" t="s">
        <v>9657</v>
      </c>
      <c r="E3570" t="s">
        <v>9842</v>
      </c>
      <c r="F3570" t="s">
        <v>5606</v>
      </c>
    </row>
    <row r="3571" spans="1:6">
      <c r="A3571" t="s">
        <v>9656</v>
      </c>
      <c r="B3571">
        <v>5456</v>
      </c>
      <c r="C3571" t="s">
        <v>9674</v>
      </c>
      <c r="D3571" t="s">
        <v>9657</v>
      </c>
      <c r="E3571" t="s">
        <v>9842</v>
      </c>
      <c r="F3571" t="s">
        <v>5606</v>
      </c>
    </row>
    <row r="3572" spans="1:6">
      <c r="A3572" t="s">
        <v>9656</v>
      </c>
      <c r="B3572">
        <v>7148</v>
      </c>
      <c r="C3572" t="s">
        <v>9674</v>
      </c>
      <c r="D3572" t="s">
        <v>9657</v>
      </c>
      <c r="E3572" t="s">
        <v>9842</v>
      </c>
      <c r="F3572" t="s">
        <v>5606</v>
      </c>
    </row>
    <row r="3573" spans="1:6">
      <c r="A3573" t="s">
        <v>9656</v>
      </c>
      <c r="B3573">
        <v>7385</v>
      </c>
      <c r="C3573" t="s">
        <v>9674</v>
      </c>
      <c r="D3573" t="s">
        <v>9657</v>
      </c>
      <c r="E3573" t="s">
        <v>9842</v>
      </c>
      <c r="F3573" t="s">
        <v>5606</v>
      </c>
    </row>
    <row r="3574" spans="1:6">
      <c r="A3574" t="s">
        <v>9656</v>
      </c>
      <c r="B3574">
        <v>7162</v>
      </c>
      <c r="C3574" t="s">
        <v>9674</v>
      </c>
      <c r="D3574" t="s">
        <v>9657</v>
      </c>
      <c r="E3574" t="s">
        <v>9842</v>
      </c>
      <c r="F3574" t="s">
        <v>5606</v>
      </c>
    </row>
    <row r="3575" spans="1:6">
      <c r="A3575" t="s">
        <v>9656</v>
      </c>
      <c r="B3575">
        <v>6241</v>
      </c>
      <c r="C3575" t="s">
        <v>9674</v>
      </c>
      <c r="D3575" t="s">
        <v>9657</v>
      </c>
      <c r="E3575" t="s">
        <v>9842</v>
      </c>
      <c r="F3575" t="s">
        <v>5606</v>
      </c>
    </row>
    <row r="3576" spans="1:6">
      <c r="A3576" t="s">
        <v>9656</v>
      </c>
      <c r="B3576">
        <v>8835</v>
      </c>
      <c r="C3576" t="s">
        <v>9674</v>
      </c>
      <c r="D3576" t="s">
        <v>9659</v>
      </c>
      <c r="E3576" t="s">
        <v>9843</v>
      </c>
      <c r="F3576" t="s">
        <v>5606</v>
      </c>
    </row>
    <row r="3577" spans="1:6">
      <c r="A3577" t="s">
        <v>9656</v>
      </c>
      <c r="B3577">
        <v>8848</v>
      </c>
      <c r="C3577" t="s">
        <v>9674</v>
      </c>
      <c r="D3577" t="s">
        <v>9659</v>
      </c>
      <c r="E3577" t="s">
        <v>9843</v>
      </c>
      <c r="F3577" t="s">
        <v>5606</v>
      </c>
    </row>
    <row r="3578" spans="1:6">
      <c r="A3578" t="s">
        <v>9656</v>
      </c>
      <c r="B3578">
        <v>7992</v>
      </c>
      <c r="C3578" t="s">
        <v>9674</v>
      </c>
      <c r="D3578" t="s">
        <v>9659</v>
      </c>
      <c r="E3578" t="s">
        <v>9843</v>
      </c>
      <c r="F3578" t="s">
        <v>5606</v>
      </c>
    </row>
    <row r="3579" spans="1:6">
      <c r="A3579" t="s">
        <v>9656</v>
      </c>
      <c r="B3579">
        <v>8830</v>
      </c>
      <c r="C3579" t="s">
        <v>9674</v>
      </c>
      <c r="D3579" t="s">
        <v>9659</v>
      </c>
      <c r="E3579" t="s">
        <v>9843</v>
      </c>
      <c r="F3579" t="s">
        <v>5606</v>
      </c>
    </row>
    <row r="3580" spans="1:6">
      <c r="A3580" t="s">
        <v>9656</v>
      </c>
      <c r="B3580">
        <v>8837</v>
      </c>
      <c r="C3580" t="s">
        <v>9674</v>
      </c>
      <c r="D3580" t="s">
        <v>9659</v>
      </c>
      <c r="E3580" t="s">
        <v>9843</v>
      </c>
      <c r="F3580" t="s">
        <v>5606</v>
      </c>
    </row>
    <row r="3581" spans="1:6">
      <c r="A3581" t="s">
        <v>9656</v>
      </c>
      <c r="B3581">
        <v>8827</v>
      </c>
      <c r="C3581" t="s">
        <v>9674</v>
      </c>
      <c r="D3581" t="s">
        <v>9659</v>
      </c>
      <c r="E3581" t="s">
        <v>9843</v>
      </c>
      <c r="F3581" t="s">
        <v>5606</v>
      </c>
    </row>
    <row r="3582" spans="1:6">
      <c r="A3582" t="s">
        <v>9656</v>
      </c>
      <c r="B3582">
        <v>8670</v>
      </c>
      <c r="C3582" t="s">
        <v>9674</v>
      </c>
      <c r="D3582" t="s">
        <v>9659</v>
      </c>
      <c r="E3582" t="s">
        <v>9843</v>
      </c>
      <c r="F3582" t="s">
        <v>5606</v>
      </c>
    </row>
    <row r="3583" spans="1:6">
      <c r="A3583" t="s">
        <v>9656</v>
      </c>
      <c r="B3583">
        <v>7977</v>
      </c>
      <c r="C3583" t="s">
        <v>9674</v>
      </c>
      <c r="D3583" t="s">
        <v>9659</v>
      </c>
      <c r="E3583" t="s">
        <v>9843</v>
      </c>
      <c r="F3583" t="s">
        <v>5606</v>
      </c>
    </row>
    <row r="3584" spans="1:6">
      <c r="A3584" t="s">
        <v>9656</v>
      </c>
      <c r="B3584">
        <v>7839</v>
      </c>
      <c r="C3584" t="s">
        <v>9674</v>
      </c>
      <c r="D3584" t="s">
        <v>9659</v>
      </c>
      <c r="E3584" t="s">
        <v>9843</v>
      </c>
      <c r="F3584" t="s">
        <v>5606</v>
      </c>
    </row>
    <row r="3585" spans="1:6">
      <c r="A3585" t="s">
        <v>9656</v>
      </c>
      <c r="B3585">
        <v>7380</v>
      </c>
      <c r="C3585" t="s">
        <v>9674</v>
      </c>
      <c r="D3585" t="s">
        <v>9659</v>
      </c>
      <c r="E3585" t="s">
        <v>9843</v>
      </c>
      <c r="F3585" t="s">
        <v>5606</v>
      </c>
    </row>
    <row r="3586" spans="1:6">
      <c r="A3586" t="s">
        <v>9656</v>
      </c>
      <c r="B3586">
        <v>7383</v>
      </c>
      <c r="C3586" t="s">
        <v>9674</v>
      </c>
      <c r="D3586" t="s">
        <v>9659</v>
      </c>
      <c r="E3586" t="s">
        <v>9843</v>
      </c>
      <c r="F3586" t="s">
        <v>5606</v>
      </c>
    </row>
    <row r="3587" spans="1:6">
      <c r="A3587" t="s">
        <v>9656</v>
      </c>
      <c r="B3587">
        <v>7160</v>
      </c>
      <c r="C3587" t="s">
        <v>9674</v>
      </c>
      <c r="D3587" t="s">
        <v>9659</v>
      </c>
      <c r="E3587" t="s">
        <v>9843</v>
      </c>
      <c r="F3587" t="s">
        <v>5606</v>
      </c>
    </row>
    <row r="3588" spans="1:6">
      <c r="A3588" t="s">
        <v>9656</v>
      </c>
      <c r="B3588">
        <v>7946</v>
      </c>
      <c r="C3588" t="s">
        <v>9674</v>
      </c>
      <c r="D3588" t="s">
        <v>9659</v>
      </c>
      <c r="E3588" t="s">
        <v>9843</v>
      </c>
      <c r="F3588" t="s">
        <v>5606</v>
      </c>
    </row>
    <row r="3589" spans="1:6">
      <c r="A3589" t="s">
        <v>9656</v>
      </c>
      <c r="B3589">
        <v>7978</v>
      </c>
      <c r="C3589" t="s">
        <v>9674</v>
      </c>
      <c r="D3589" t="s">
        <v>9659</v>
      </c>
      <c r="E3589" t="s">
        <v>9843</v>
      </c>
      <c r="F3589" t="s">
        <v>5606</v>
      </c>
    </row>
    <row r="3590" spans="1:6">
      <c r="A3590" t="s">
        <v>9656</v>
      </c>
      <c r="B3590">
        <v>7944</v>
      </c>
      <c r="C3590" t="s">
        <v>9674</v>
      </c>
      <c r="D3590" t="s">
        <v>9659</v>
      </c>
      <c r="E3590" t="s">
        <v>9843</v>
      </c>
      <c r="F3590" t="s">
        <v>5606</v>
      </c>
    </row>
    <row r="3591" spans="1:6">
      <c r="A3591" t="s">
        <v>9656</v>
      </c>
      <c r="B3591">
        <v>7914</v>
      </c>
      <c r="C3591" t="s">
        <v>9674</v>
      </c>
      <c r="D3591" t="s">
        <v>9659</v>
      </c>
      <c r="E3591" t="s">
        <v>9843</v>
      </c>
      <c r="F3591" t="s">
        <v>5606</v>
      </c>
    </row>
    <row r="3592" spans="1:6">
      <c r="A3592" t="s">
        <v>9656</v>
      </c>
      <c r="B3592">
        <v>7942</v>
      </c>
      <c r="C3592" t="s">
        <v>9674</v>
      </c>
      <c r="D3592" t="s">
        <v>9659</v>
      </c>
      <c r="E3592" t="s">
        <v>9843</v>
      </c>
      <c r="F3592" t="s">
        <v>5606</v>
      </c>
    </row>
    <row r="3593" spans="1:6">
      <c r="A3593" t="s">
        <v>9656</v>
      </c>
      <c r="B3593">
        <v>7376</v>
      </c>
      <c r="C3593" t="s">
        <v>9674</v>
      </c>
      <c r="D3593" t="s">
        <v>9659</v>
      </c>
      <c r="E3593" t="s">
        <v>9843</v>
      </c>
      <c r="F3593" t="s">
        <v>5606</v>
      </c>
    </row>
    <row r="3594" spans="1:6">
      <c r="A3594" t="s">
        <v>9656</v>
      </c>
      <c r="B3594">
        <v>7377</v>
      </c>
      <c r="C3594" t="s">
        <v>9674</v>
      </c>
      <c r="D3594" t="s">
        <v>9659</v>
      </c>
      <c r="E3594" t="s">
        <v>9843</v>
      </c>
      <c r="F3594" t="s">
        <v>5606</v>
      </c>
    </row>
    <row r="3595" spans="1:6">
      <c r="A3595" t="s">
        <v>9656</v>
      </c>
      <c r="B3595">
        <v>7158</v>
      </c>
      <c r="C3595" t="s">
        <v>9674</v>
      </c>
      <c r="D3595" t="s">
        <v>9659</v>
      </c>
      <c r="E3595" t="s">
        <v>9843</v>
      </c>
      <c r="F3595" t="s">
        <v>5606</v>
      </c>
    </row>
    <row r="3596" spans="1:6">
      <c r="A3596" t="s">
        <v>9656</v>
      </c>
      <c r="B3596">
        <v>7979</v>
      </c>
      <c r="C3596" t="s">
        <v>9674</v>
      </c>
      <c r="D3596" t="s">
        <v>9659</v>
      </c>
      <c r="E3596" t="s">
        <v>9843</v>
      </c>
      <c r="F3596" t="s">
        <v>5606</v>
      </c>
    </row>
    <row r="3597" spans="1:6">
      <c r="A3597" t="s">
        <v>9656</v>
      </c>
      <c r="B3597">
        <v>7947</v>
      </c>
      <c r="C3597" t="s">
        <v>9674</v>
      </c>
      <c r="D3597" t="s">
        <v>9659</v>
      </c>
      <c r="E3597" t="s">
        <v>9843</v>
      </c>
      <c r="F3597" t="s">
        <v>5606</v>
      </c>
    </row>
    <row r="3598" spans="1:6">
      <c r="A3598" t="s">
        <v>9656</v>
      </c>
      <c r="B3598">
        <v>5454</v>
      </c>
      <c r="C3598" t="s">
        <v>9674</v>
      </c>
      <c r="D3598" t="s">
        <v>9659</v>
      </c>
      <c r="E3598" t="s">
        <v>9843</v>
      </c>
      <c r="F3598" t="s">
        <v>5606</v>
      </c>
    </row>
    <row r="3599" spans="1:6">
      <c r="A3599" t="s">
        <v>9656</v>
      </c>
      <c r="B3599">
        <v>7945</v>
      </c>
      <c r="C3599" t="s">
        <v>9674</v>
      </c>
      <c r="D3599" t="s">
        <v>9659</v>
      </c>
      <c r="E3599" t="s">
        <v>9843</v>
      </c>
      <c r="F3599" t="s">
        <v>5606</v>
      </c>
    </row>
    <row r="3600" spans="1:6">
      <c r="A3600" t="s">
        <v>9656</v>
      </c>
      <c r="B3600">
        <v>7949</v>
      </c>
      <c r="C3600" t="s">
        <v>9674</v>
      </c>
      <c r="D3600" t="s">
        <v>9659</v>
      </c>
      <c r="E3600" t="s">
        <v>9843</v>
      </c>
      <c r="F3600" t="s">
        <v>5606</v>
      </c>
    </row>
    <row r="3601" spans="1:6">
      <c r="A3601" t="s">
        <v>9656</v>
      </c>
      <c r="B3601">
        <v>5460</v>
      </c>
      <c r="C3601" t="s">
        <v>9674</v>
      </c>
      <c r="D3601" t="s">
        <v>9659</v>
      </c>
      <c r="E3601" t="s">
        <v>9843</v>
      </c>
      <c r="F3601" t="s">
        <v>5606</v>
      </c>
    </row>
    <row r="3602" spans="1:6">
      <c r="A3602" t="s">
        <v>9656</v>
      </c>
      <c r="B3602">
        <v>5466</v>
      </c>
      <c r="C3602" t="s">
        <v>9674</v>
      </c>
      <c r="D3602" t="s">
        <v>9659</v>
      </c>
      <c r="E3602" t="s">
        <v>9843</v>
      </c>
      <c r="F3602" t="s">
        <v>5606</v>
      </c>
    </row>
    <row r="3603" spans="1:6">
      <c r="A3603" t="s">
        <v>9656</v>
      </c>
      <c r="B3603">
        <v>7915</v>
      </c>
      <c r="C3603" t="s">
        <v>9674</v>
      </c>
      <c r="D3603" t="s">
        <v>9659</v>
      </c>
      <c r="E3603" t="s">
        <v>9843</v>
      </c>
      <c r="F3603" t="s">
        <v>5606</v>
      </c>
    </row>
    <row r="3604" spans="1:6">
      <c r="A3604" t="s">
        <v>9656</v>
      </c>
      <c r="B3604">
        <v>7980</v>
      </c>
      <c r="C3604" t="s">
        <v>9674</v>
      </c>
      <c r="D3604" t="s">
        <v>9659</v>
      </c>
      <c r="E3604" t="s">
        <v>9843</v>
      </c>
      <c r="F3604" t="s">
        <v>5606</v>
      </c>
    </row>
    <row r="3605" spans="1:6">
      <c r="A3605" t="s">
        <v>9656</v>
      </c>
      <c r="B3605">
        <v>6630</v>
      </c>
      <c r="C3605" t="s">
        <v>9674</v>
      </c>
      <c r="D3605" t="s">
        <v>9659</v>
      </c>
      <c r="E3605" t="s">
        <v>9843</v>
      </c>
      <c r="F3605" t="s">
        <v>5606</v>
      </c>
    </row>
    <row r="3606" spans="1:6">
      <c r="A3606" t="s">
        <v>9656</v>
      </c>
      <c r="B3606">
        <v>7943</v>
      </c>
      <c r="C3606" t="s">
        <v>9674</v>
      </c>
      <c r="D3606" t="s">
        <v>9659</v>
      </c>
      <c r="E3606" t="s">
        <v>9843</v>
      </c>
      <c r="F3606" t="s">
        <v>5606</v>
      </c>
    </row>
    <row r="3607" spans="1:6">
      <c r="A3607" t="s">
        <v>9656</v>
      </c>
      <c r="B3607">
        <v>7985</v>
      </c>
      <c r="C3607" t="s">
        <v>9674</v>
      </c>
      <c r="D3607" t="s">
        <v>9659</v>
      </c>
      <c r="E3607" t="s">
        <v>9843</v>
      </c>
      <c r="F3607" t="s">
        <v>5606</v>
      </c>
    </row>
    <row r="3608" spans="1:6">
      <c r="A3608" t="s">
        <v>9656</v>
      </c>
      <c r="B3608">
        <v>5462</v>
      </c>
      <c r="C3608" t="s">
        <v>9674</v>
      </c>
      <c r="D3608" t="s">
        <v>9659</v>
      </c>
      <c r="E3608" t="s">
        <v>9843</v>
      </c>
      <c r="F3608" t="s">
        <v>5606</v>
      </c>
    </row>
    <row r="3609" spans="1:6">
      <c r="A3609" t="s">
        <v>9656</v>
      </c>
      <c r="B3609">
        <v>5463</v>
      </c>
      <c r="C3609" t="s">
        <v>9674</v>
      </c>
      <c r="D3609" t="s">
        <v>9659</v>
      </c>
      <c r="E3609" t="s">
        <v>9843</v>
      </c>
      <c r="F3609" t="s">
        <v>5606</v>
      </c>
    </row>
    <row r="3610" spans="1:6">
      <c r="A3610" t="s">
        <v>9656</v>
      </c>
      <c r="B3610">
        <v>5495</v>
      </c>
      <c r="C3610" t="s">
        <v>9674</v>
      </c>
      <c r="D3610" t="s">
        <v>9659</v>
      </c>
      <c r="E3610" t="s">
        <v>9843</v>
      </c>
      <c r="F3610" t="s">
        <v>5606</v>
      </c>
    </row>
    <row r="3611" spans="1:6">
      <c r="A3611" t="s">
        <v>9656</v>
      </c>
      <c r="B3611">
        <v>8655</v>
      </c>
      <c r="C3611" t="s">
        <v>9674</v>
      </c>
      <c r="D3611" t="s">
        <v>9663</v>
      </c>
      <c r="E3611" t="s">
        <v>9844</v>
      </c>
      <c r="F3611" t="s">
        <v>5606</v>
      </c>
    </row>
    <row r="3612" spans="1:6">
      <c r="A3612" t="s">
        <v>9656</v>
      </c>
      <c r="B3612">
        <v>8836</v>
      </c>
      <c r="C3612" t="s">
        <v>9674</v>
      </c>
      <c r="D3612" t="s">
        <v>9663</v>
      </c>
      <c r="E3612" t="s">
        <v>9844</v>
      </c>
      <c r="F3612" t="s">
        <v>5606</v>
      </c>
    </row>
    <row r="3613" spans="1:6">
      <c r="A3613" t="s">
        <v>9656</v>
      </c>
      <c r="B3613">
        <v>8486</v>
      </c>
      <c r="C3613" t="s">
        <v>9674</v>
      </c>
      <c r="D3613" t="s">
        <v>9663</v>
      </c>
      <c r="E3613" t="s">
        <v>9844</v>
      </c>
      <c r="F3613" t="s">
        <v>5606</v>
      </c>
    </row>
    <row r="3614" spans="1:6">
      <c r="A3614" t="s">
        <v>9656</v>
      </c>
      <c r="B3614">
        <v>8478</v>
      </c>
      <c r="C3614" t="s">
        <v>9674</v>
      </c>
      <c r="D3614" t="s">
        <v>9663</v>
      </c>
      <c r="E3614" t="s">
        <v>9844</v>
      </c>
      <c r="F3614" t="s">
        <v>5606</v>
      </c>
    </row>
    <row r="3615" spans="1:6">
      <c r="A3615" t="s">
        <v>9656</v>
      </c>
      <c r="B3615">
        <v>8479</v>
      </c>
      <c r="C3615" t="s">
        <v>9674</v>
      </c>
      <c r="D3615" t="s">
        <v>9663</v>
      </c>
      <c r="E3615" t="s">
        <v>9844</v>
      </c>
      <c r="F3615" t="s">
        <v>5606</v>
      </c>
    </row>
    <row r="3616" spans="1:6">
      <c r="A3616" t="s">
        <v>9656</v>
      </c>
      <c r="B3616">
        <v>8480</v>
      </c>
      <c r="C3616" t="s">
        <v>9674</v>
      </c>
      <c r="D3616" t="s">
        <v>9663</v>
      </c>
      <c r="E3616" t="s">
        <v>9844</v>
      </c>
      <c r="F3616" t="s">
        <v>5606</v>
      </c>
    </row>
    <row r="3617" spans="1:6">
      <c r="A3617" t="s">
        <v>9656</v>
      </c>
      <c r="B3617">
        <v>8482</v>
      </c>
      <c r="C3617" t="s">
        <v>9674</v>
      </c>
      <c r="D3617" t="s">
        <v>9663</v>
      </c>
      <c r="E3617" t="s">
        <v>9844</v>
      </c>
      <c r="F3617" t="s">
        <v>5606</v>
      </c>
    </row>
    <row r="3618" spans="1:6">
      <c r="A3618" t="s">
        <v>9656</v>
      </c>
      <c r="B3618">
        <v>8487</v>
      </c>
      <c r="C3618" t="s">
        <v>9674</v>
      </c>
      <c r="D3618" t="s">
        <v>9663</v>
      </c>
      <c r="E3618" t="s">
        <v>9844</v>
      </c>
      <c r="F3618" t="s">
        <v>5606</v>
      </c>
    </row>
    <row r="3619" spans="1:6">
      <c r="A3619" t="s">
        <v>9656</v>
      </c>
      <c r="B3619">
        <v>8485</v>
      </c>
      <c r="C3619" t="s">
        <v>9674</v>
      </c>
      <c r="D3619" t="s">
        <v>9663</v>
      </c>
      <c r="E3619" t="s">
        <v>9844</v>
      </c>
      <c r="F3619" t="s">
        <v>5606</v>
      </c>
    </row>
    <row r="3620" spans="1:6">
      <c r="A3620" t="s">
        <v>9656</v>
      </c>
      <c r="B3620">
        <v>8490</v>
      </c>
      <c r="C3620" t="s">
        <v>9674</v>
      </c>
      <c r="D3620" t="s">
        <v>9663</v>
      </c>
      <c r="E3620" t="s">
        <v>9844</v>
      </c>
      <c r="F3620" t="s">
        <v>5606</v>
      </c>
    </row>
    <row r="3621" spans="1:6">
      <c r="A3621" t="s">
        <v>9656</v>
      </c>
      <c r="B3621">
        <v>8645</v>
      </c>
      <c r="C3621" t="s">
        <v>9674</v>
      </c>
      <c r="D3621" t="s">
        <v>9663</v>
      </c>
      <c r="E3621" t="s">
        <v>9844</v>
      </c>
      <c r="F3621" t="s">
        <v>5606</v>
      </c>
    </row>
    <row r="3622" spans="1:6">
      <c r="A3622" t="s">
        <v>9656</v>
      </c>
      <c r="B3622">
        <v>8646</v>
      </c>
      <c r="C3622" t="s">
        <v>9674</v>
      </c>
      <c r="D3622" t="s">
        <v>9663</v>
      </c>
      <c r="E3622" t="s">
        <v>9844</v>
      </c>
      <c r="F3622" t="s">
        <v>5606</v>
      </c>
    </row>
    <row r="3623" spans="1:6">
      <c r="A3623" t="s">
        <v>9656</v>
      </c>
      <c r="B3623">
        <v>8647</v>
      </c>
      <c r="C3623" t="s">
        <v>9674</v>
      </c>
      <c r="D3623" t="s">
        <v>9663</v>
      </c>
      <c r="E3623" t="s">
        <v>9844</v>
      </c>
      <c r="F3623" t="s">
        <v>5606</v>
      </c>
    </row>
    <row r="3624" spans="1:6">
      <c r="A3624" t="s">
        <v>9656</v>
      </c>
      <c r="B3624">
        <v>8649</v>
      </c>
      <c r="C3624" t="s">
        <v>9674</v>
      </c>
      <c r="D3624" t="s">
        <v>9663</v>
      </c>
      <c r="E3624" t="s">
        <v>9844</v>
      </c>
      <c r="F3624" t="s">
        <v>5606</v>
      </c>
    </row>
    <row r="3625" spans="1:6">
      <c r="A3625" t="s">
        <v>9656</v>
      </c>
      <c r="B3625">
        <v>8488</v>
      </c>
      <c r="C3625" t="s">
        <v>9674</v>
      </c>
      <c r="D3625" t="s">
        <v>9663</v>
      </c>
      <c r="E3625" t="s">
        <v>9844</v>
      </c>
      <c r="F3625" t="s">
        <v>5606</v>
      </c>
    </row>
    <row r="3626" spans="1:6">
      <c r="A3626" t="s">
        <v>9656</v>
      </c>
      <c r="B3626">
        <v>8648</v>
      </c>
      <c r="C3626" t="s">
        <v>9674</v>
      </c>
      <c r="D3626" t="s">
        <v>9663</v>
      </c>
      <c r="E3626" t="s">
        <v>9844</v>
      </c>
      <c r="F3626" t="s">
        <v>5606</v>
      </c>
    </row>
    <row r="3627" spans="1:6">
      <c r="A3627" t="s">
        <v>9656</v>
      </c>
      <c r="B3627">
        <v>8671</v>
      </c>
      <c r="C3627" t="s">
        <v>9674</v>
      </c>
      <c r="D3627" t="s">
        <v>9663</v>
      </c>
      <c r="E3627" t="s">
        <v>9844</v>
      </c>
      <c r="F3627" t="s">
        <v>5606</v>
      </c>
    </row>
    <row r="3628" spans="1:6">
      <c r="A3628" t="s">
        <v>9656</v>
      </c>
      <c r="B3628">
        <v>8841</v>
      </c>
      <c r="C3628" t="s">
        <v>9674</v>
      </c>
      <c r="D3628" t="s">
        <v>9663</v>
      </c>
      <c r="E3628" t="s">
        <v>9844</v>
      </c>
      <c r="F3628" t="s">
        <v>5606</v>
      </c>
    </row>
    <row r="3629" spans="1:6">
      <c r="A3629" t="s">
        <v>9656</v>
      </c>
      <c r="B3629">
        <v>8672</v>
      </c>
      <c r="C3629" t="s">
        <v>9674</v>
      </c>
      <c r="D3629" t="s">
        <v>9663</v>
      </c>
      <c r="E3629" t="s">
        <v>9844</v>
      </c>
      <c r="F3629" t="s">
        <v>5606</v>
      </c>
    </row>
    <row r="3630" spans="1:6">
      <c r="A3630" t="s">
        <v>9656</v>
      </c>
      <c r="B3630">
        <v>8673</v>
      </c>
      <c r="C3630" t="s">
        <v>9674</v>
      </c>
      <c r="D3630" t="s">
        <v>9663</v>
      </c>
      <c r="E3630" t="s">
        <v>9844</v>
      </c>
      <c r="F3630" t="s">
        <v>5606</v>
      </c>
    </row>
    <row r="3631" spans="1:6">
      <c r="A3631" t="s">
        <v>9656</v>
      </c>
      <c r="B3631">
        <v>8489</v>
      </c>
      <c r="C3631" t="s">
        <v>9674</v>
      </c>
      <c r="D3631" t="s">
        <v>9663</v>
      </c>
      <c r="E3631" t="s">
        <v>9844</v>
      </c>
      <c r="F3631" t="s">
        <v>5606</v>
      </c>
    </row>
    <row r="3632" spans="1:6">
      <c r="A3632" t="s">
        <v>9656</v>
      </c>
      <c r="B3632">
        <v>8491</v>
      </c>
      <c r="C3632" t="s">
        <v>9674</v>
      </c>
      <c r="D3632" t="s">
        <v>9663</v>
      </c>
      <c r="E3632" t="s">
        <v>9844</v>
      </c>
      <c r="F3632" t="s">
        <v>5606</v>
      </c>
    </row>
    <row r="3633" spans="1:6">
      <c r="A3633" t="s">
        <v>9656</v>
      </c>
      <c r="B3633">
        <v>8849</v>
      </c>
      <c r="C3633" t="s">
        <v>9674</v>
      </c>
      <c r="D3633" t="s">
        <v>9663</v>
      </c>
      <c r="E3633" t="s">
        <v>9844</v>
      </c>
      <c r="F3633" t="s">
        <v>5606</v>
      </c>
    </row>
    <row r="3634" spans="1:6">
      <c r="A3634" t="s">
        <v>9656</v>
      </c>
      <c r="B3634">
        <v>7969</v>
      </c>
      <c r="C3634" t="s">
        <v>9674</v>
      </c>
      <c r="D3634" t="s">
        <v>9663</v>
      </c>
      <c r="E3634" t="s">
        <v>9844</v>
      </c>
      <c r="F3634" t="s">
        <v>5606</v>
      </c>
    </row>
    <row r="3635" spans="1:6">
      <c r="A3635" t="s">
        <v>9656</v>
      </c>
      <c r="B3635">
        <v>8654</v>
      </c>
      <c r="C3635" t="s">
        <v>9674</v>
      </c>
      <c r="D3635" t="s">
        <v>9663</v>
      </c>
      <c r="E3635" t="s">
        <v>9844</v>
      </c>
      <c r="F3635" t="s">
        <v>5606</v>
      </c>
    </row>
    <row r="3636" spans="1:6">
      <c r="A3636" t="s">
        <v>9656</v>
      </c>
      <c r="B3636">
        <v>8675</v>
      </c>
      <c r="C3636" t="s">
        <v>9674</v>
      </c>
      <c r="D3636" t="s">
        <v>9663</v>
      </c>
      <c r="E3636" t="s">
        <v>9844</v>
      </c>
      <c r="F3636" t="s">
        <v>5606</v>
      </c>
    </row>
    <row r="3637" spans="1:6">
      <c r="A3637" t="s">
        <v>9656</v>
      </c>
      <c r="B3637">
        <v>8847</v>
      </c>
      <c r="C3637" t="s">
        <v>9674</v>
      </c>
      <c r="D3637" t="s">
        <v>9663</v>
      </c>
      <c r="E3637" t="s">
        <v>9844</v>
      </c>
      <c r="F3637" t="s">
        <v>5606</v>
      </c>
    </row>
    <row r="3638" spans="1:6">
      <c r="A3638" t="s">
        <v>9656</v>
      </c>
      <c r="B3638">
        <v>8840</v>
      </c>
      <c r="C3638" t="s">
        <v>9674</v>
      </c>
      <c r="D3638" t="s">
        <v>9663</v>
      </c>
      <c r="E3638" t="s">
        <v>9844</v>
      </c>
      <c r="F3638" t="s">
        <v>5606</v>
      </c>
    </row>
    <row r="3639" spans="1:6">
      <c r="A3639" t="s">
        <v>9656</v>
      </c>
      <c r="B3639">
        <v>8834</v>
      </c>
      <c r="C3639" t="s">
        <v>9674</v>
      </c>
      <c r="D3639" t="s">
        <v>9663</v>
      </c>
      <c r="E3639" t="s">
        <v>9844</v>
      </c>
      <c r="F3639" t="s">
        <v>5606</v>
      </c>
    </row>
    <row r="3640" spans="1:6">
      <c r="A3640" t="s">
        <v>9656</v>
      </c>
      <c r="B3640">
        <v>4348</v>
      </c>
      <c r="C3640" t="s">
        <v>9674</v>
      </c>
      <c r="D3640" t="s">
        <v>9663</v>
      </c>
      <c r="E3640" t="s">
        <v>9844</v>
      </c>
      <c r="F3640" t="s">
        <v>5606</v>
      </c>
    </row>
    <row r="3641" spans="1:6">
      <c r="A3641" t="s">
        <v>9656</v>
      </c>
      <c r="B3641">
        <v>4253</v>
      </c>
      <c r="C3641" t="s">
        <v>9674</v>
      </c>
      <c r="D3641" t="s">
        <v>9663</v>
      </c>
      <c r="E3641" t="s">
        <v>9844</v>
      </c>
      <c r="F3641" t="s">
        <v>5606</v>
      </c>
    </row>
    <row r="3642" spans="1:6">
      <c r="A3642" t="s">
        <v>9656</v>
      </c>
      <c r="B3642">
        <v>2582</v>
      </c>
      <c r="C3642" t="s">
        <v>9674</v>
      </c>
      <c r="D3642" t="s">
        <v>9663</v>
      </c>
      <c r="E3642" t="s">
        <v>9844</v>
      </c>
      <c r="F3642" t="s">
        <v>5606</v>
      </c>
    </row>
    <row r="3643" spans="1:6">
      <c r="A3643" t="s">
        <v>9656</v>
      </c>
      <c r="B3643">
        <v>5457</v>
      </c>
      <c r="C3643" t="s">
        <v>9674</v>
      </c>
      <c r="D3643" t="s">
        <v>9663</v>
      </c>
      <c r="E3643" t="s">
        <v>9844</v>
      </c>
      <c r="F3643" t="s">
        <v>5606</v>
      </c>
    </row>
    <row r="3644" spans="1:6">
      <c r="A3644" t="s">
        <v>9656</v>
      </c>
      <c r="B3644">
        <v>4347</v>
      </c>
      <c r="C3644" t="s">
        <v>9674</v>
      </c>
      <c r="D3644" t="s">
        <v>9663</v>
      </c>
      <c r="E3644" t="s">
        <v>9844</v>
      </c>
      <c r="F3644" t="s">
        <v>5606</v>
      </c>
    </row>
    <row r="3645" spans="1:6">
      <c r="A3645" t="s">
        <v>9656</v>
      </c>
      <c r="B3645">
        <v>4362</v>
      </c>
      <c r="C3645" t="s">
        <v>9674</v>
      </c>
      <c r="D3645" t="s">
        <v>9663</v>
      </c>
      <c r="E3645" t="s">
        <v>9844</v>
      </c>
      <c r="F3645" t="s">
        <v>5606</v>
      </c>
    </row>
    <row r="3646" spans="1:6">
      <c r="A3646" t="s">
        <v>9656</v>
      </c>
      <c r="B3646">
        <v>4363</v>
      </c>
      <c r="C3646" t="s">
        <v>9674</v>
      </c>
      <c r="D3646" t="s">
        <v>9663</v>
      </c>
      <c r="E3646" t="s">
        <v>9844</v>
      </c>
      <c r="F3646" t="s">
        <v>5606</v>
      </c>
    </row>
    <row r="3647" spans="1:6">
      <c r="A3647" t="s">
        <v>9656</v>
      </c>
      <c r="B3647">
        <v>4367</v>
      </c>
      <c r="C3647" t="s">
        <v>9674</v>
      </c>
      <c r="D3647" t="s">
        <v>9663</v>
      </c>
      <c r="E3647" t="s">
        <v>9844</v>
      </c>
      <c r="F3647" t="s">
        <v>5606</v>
      </c>
    </row>
    <row r="3648" spans="1:6">
      <c r="A3648" t="s">
        <v>9656</v>
      </c>
      <c r="B3648">
        <v>4368</v>
      </c>
      <c r="C3648" t="s">
        <v>9674</v>
      </c>
      <c r="D3648" t="s">
        <v>9663</v>
      </c>
      <c r="E3648" t="s">
        <v>9844</v>
      </c>
      <c r="F3648" t="s">
        <v>5606</v>
      </c>
    </row>
    <row r="3649" spans="1:6">
      <c r="A3649" t="s">
        <v>9656</v>
      </c>
      <c r="B3649">
        <v>7327</v>
      </c>
      <c r="C3649" t="s">
        <v>9674</v>
      </c>
      <c r="D3649" t="s">
        <v>9663</v>
      </c>
      <c r="E3649" t="s">
        <v>9844</v>
      </c>
      <c r="F3649" t="s">
        <v>5606</v>
      </c>
    </row>
    <row r="3650" spans="1:6">
      <c r="A3650" t="s">
        <v>9656</v>
      </c>
      <c r="B3650">
        <v>7328</v>
      </c>
      <c r="C3650" t="s">
        <v>9674</v>
      </c>
      <c r="D3650" t="s">
        <v>9663</v>
      </c>
      <c r="E3650" t="s">
        <v>9844</v>
      </c>
      <c r="F3650" t="s">
        <v>5606</v>
      </c>
    </row>
    <row r="3651" spans="1:6">
      <c r="A3651" t="s">
        <v>9656</v>
      </c>
      <c r="B3651">
        <v>4365</v>
      </c>
      <c r="C3651" t="s">
        <v>9674</v>
      </c>
      <c r="D3651" t="s">
        <v>9663</v>
      </c>
      <c r="E3651" t="s">
        <v>9844</v>
      </c>
      <c r="F3651" t="s">
        <v>5606</v>
      </c>
    </row>
    <row r="3652" spans="1:6">
      <c r="A3652" t="s">
        <v>9656</v>
      </c>
      <c r="B3652">
        <v>4364</v>
      </c>
      <c r="C3652" t="s">
        <v>9674</v>
      </c>
      <c r="D3652" t="s">
        <v>9663</v>
      </c>
      <c r="E3652" t="s">
        <v>9844</v>
      </c>
      <c r="F3652" t="s">
        <v>5606</v>
      </c>
    </row>
    <row r="3653" spans="1:6">
      <c r="A3653" t="s">
        <v>9656</v>
      </c>
      <c r="B3653">
        <v>4194</v>
      </c>
      <c r="C3653" t="s">
        <v>9674</v>
      </c>
      <c r="D3653" t="s">
        <v>9663</v>
      </c>
      <c r="E3653" t="s">
        <v>9844</v>
      </c>
      <c r="F3653" t="s">
        <v>5606</v>
      </c>
    </row>
    <row r="3654" spans="1:6">
      <c r="A3654" t="s">
        <v>9656</v>
      </c>
      <c r="B3654">
        <v>4190</v>
      </c>
      <c r="C3654" t="s">
        <v>9674</v>
      </c>
      <c r="D3654" t="s">
        <v>9663</v>
      </c>
      <c r="E3654" t="s">
        <v>9844</v>
      </c>
      <c r="F3654" t="s">
        <v>5606</v>
      </c>
    </row>
    <row r="3655" spans="1:6">
      <c r="A3655" t="s">
        <v>9656</v>
      </c>
      <c r="B3655">
        <v>4251</v>
      </c>
      <c r="C3655" t="s">
        <v>9674</v>
      </c>
      <c r="D3655" t="s">
        <v>9663</v>
      </c>
      <c r="E3655" t="s">
        <v>9844</v>
      </c>
      <c r="F3655" t="s">
        <v>5606</v>
      </c>
    </row>
    <row r="3656" spans="1:6">
      <c r="A3656" t="s">
        <v>9656</v>
      </c>
      <c r="B3656">
        <v>4252</v>
      </c>
      <c r="C3656" t="s">
        <v>9674</v>
      </c>
      <c r="D3656" t="s">
        <v>9663</v>
      </c>
      <c r="E3656" t="s">
        <v>9844</v>
      </c>
      <c r="F3656" t="s">
        <v>5606</v>
      </c>
    </row>
    <row r="3657" spans="1:6">
      <c r="A3657" t="s">
        <v>9656</v>
      </c>
      <c r="B3657">
        <v>2583</v>
      </c>
      <c r="C3657" t="s">
        <v>9674</v>
      </c>
      <c r="D3657" t="s">
        <v>9663</v>
      </c>
      <c r="E3657" t="s">
        <v>9844</v>
      </c>
      <c r="F3657" t="s">
        <v>5606</v>
      </c>
    </row>
    <row r="3658" spans="1:6">
      <c r="A3658" t="s">
        <v>9656</v>
      </c>
      <c r="B3658">
        <v>5458</v>
      </c>
      <c r="C3658" t="s">
        <v>9674</v>
      </c>
      <c r="D3658" t="s">
        <v>9663</v>
      </c>
      <c r="E3658" t="s">
        <v>9844</v>
      </c>
      <c r="F3658" t="s">
        <v>5606</v>
      </c>
    </row>
    <row r="3659" spans="1:6">
      <c r="A3659" t="s">
        <v>9656</v>
      </c>
      <c r="B3659">
        <v>7382</v>
      </c>
      <c r="C3659" t="s">
        <v>9674</v>
      </c>
      <c r="D3659" t="s">
        <v>9663</v>
      </c>
      <c r="E3659" t="s">
        <v>9844</v>
      </c>
      <c r="F3659" t="s">
        <v>5606</v>
      </c>
    </row>
    <row r="3660" spans="1:6">
      <c r="A3660" t="s">
        <v>9656</v>
      </c>
      <c r="B3660">
        <v>4192</v>
      </c>
      <c r="C3660" t="s">
        <v>9674</v>
      </c>
      <c r="D3660" t="s">
        <v>9663</v>
      </c>
      <c r="E3660" t="s">
        <v>9844</v>
      </c>
      <c r="F3660" t="s">
        <v>5606</v>
      </c>
    </row>
    <row r="3661" spans="1:6">
      <c r="A3661" t="s">
        <v>9656</v>
      </c>
      <c r="B3661">
        <v>4193</v>
      </c>
      <c r="C3661" t="s">
        <v>9674</v>
      </c>
      <c r="D3661" t="s">
        <v>9663</v>
      </c>
      <c r="E3661" t="s">
        <v>9844</v>
      </c>
      <c r="F3661" t="s">
        <v>5606</v>
      </c>
    </row>
    <row r="3662" spans="1:6">
      <c r="A3662" t="s">
        <v>9656</v>
      </c>
      <c r="B3662">
        <v>7973</v>
      </c>
      <c r="C3662" t="s">
        <v>9674</v>
      </c>
      <c r="D3662" t="s">
        <v>9663</v>
      </c>
      <c r="E3662" t="s">
        <v>9844</v>
      </c>
      <c r="F3662" t="s">
        <v>5606</v>
      </c>
    </row>
    <row r="3663" spans="1:6">
      <c r="A3663" t="s">
        <v>9656</v>
      </c>
      <c r="B3663">
        <v>7975</v>
      </c>
      <c r="C3663" t="s">
        <v>9674</v>
      </c>
      <c r="D3663" t="s">
        <v>9663</v>
      </c>
      <c r="E3663" t="s">
        <v>9844</v>
      </c>
      <c r="F3663" t="s">
        <v>5606</v>
      </c>
    </row>
    <row r="3664" spans="1:6">
      <c r="A3664" t="s">
        <v>9656</v>
      </c>
      <c r="B3664">
        <v>7974</v>
      </c>
      <c r="C3664" t="s">
        <v>9674</v>
      </c>
      <c r="D3664" t="s">
        <v>9663</v>
      </c>
      <c r="E3664" t="s">
        <v>9844</v>
      </c>
      <c r="F3664" t="s">
        <v>5606</v>
      </c>
    </row>
    <row r="3665" spans="1:6">
      <c r="A3665" t="s">
        <v>9656</v>
      </c>
      <c r="B3665">
        <v>7976</v>
      </c>
      <c r="C3665" t="s">
        <v>9674</v>
      </c>
      <c r="D3665" t="s">
        <v>9663</v>
      </c>
      <c r="E3665" t="s">
        <v>9844</v>
      </c>
      <c r="F3665" t="s">
        <v>5606</v>
      </c>
    </row>
    <row r="3666" spans="1:6">
      <c r="A3666" t="s">
        <v>9656</v>
      </c>
      <c r="B3666">
        <v>7836</v>
      </c>
      <c r="C3666" t="s">
        <v>9674</v>
      </c>
      <c r="D3666" t="s">
        <v>9663</v>
      </c>
      <c r="E3666" t="s">
        <v>9844</v>
      </c>
      <c r="F3666" t="s">
        <v>5606</v>
      </c>
    </row>
    <row r="3667" spans="1:6">
      <c r="A3667" t="s">
        <v>9656</v>
      </c>
      <c r="B3667">
        <v>7837</v>
      </c>
      <c r="C3667" t="s">
        <v>9674</v>
      </c>
      <c r="D3667" t="s">
        <v>9663</v>
      </c>
      <c r="E3667" t="s">
        <v>9844</v>
      </c>
      <c r="F3667" t="s">
        <v>5606</v>
      </c>
    </row>
    <row r="3668" spans="1:6">
      <c r="A3668" t="s">
        <v>9656</v>
      </c>
      <c r="B3668">
        <v>7379</v>
      </c>
      <c r="C3668" t="s">
        <v>9674</v>
      </c>
      <c r="D3668" t="s">
        <v>9663</v>
      </c>
      <c r="E3668" t="s">
        <v>9844</v>
      </c>
      <c r="F3668" t="s">
        <v>5606</v>
      </c>
    </row>
    <row r="3669" spans="1:6">
      <c r="A3669" t="s">
        <v>9656</v>
      </c>
      <c r="B3669">
        <v>7378</v>
      </c>
      <c r="C3669" t="s">
        <v>9674</v>
      </c>
      <c r="D3669" t="s">
        <v>9663</v>
      </c>
      <c r="E3669" t="s">
        <v>9844</v>
      </c>
      <c r="F3669" t="s">
        <v>5606</v>
      </c>
    </row>
    <row r="3670" spans="1:6">
      <c r="A3670" t="s">
        <v>9656</v>
      </c>
      <c r="B3670">
        <v>7948</v>
      </c>
      <c r="C3670" t="s">
        <v>9674</v>
      </c>
      <c r="D3670" t="s">
        <v>9663</v>
      </c>
      <c r="E3670" t="s">
        <v>9844</v>
      </c>
      <c r="F3670" t="s">
        <v>5606</v>
      </c>
    </row>
    <row r="3671" spans="1:6">
      <c r="A3671" t="s">
        <v>9656</v>
      </c>
      <c r="B3671">
        <v>7940</v>
      </c>
      <c r="C3671" t="s">
        <v>9674</v>
      </c>
      <c r="D3671" t="s">
        <v>9663</v>
      </c>
      <c r="E3671" t="s">
        <v>9844</v>
      </c>
      <c r="F3671" t="s">
        <v>5606</v>
      </c>
    </row>
    <row r="3672" spans="1:6">
      <c r="A3672" t="s">
        <v>9656</v>
      </c>
      <c r="B3672">
        <v>7941</v>
      </c>
      <c r="C3672" t="s">
        <v>9674</v>
      </c>
      <c r="D3672" t="s">
        <v>9663</v>
      </c>
      <c r="E3672" t="s">
        <v>9844</v>
      </c>
      <c r="F3672" t="s">
        <v>5606</v>
      </c>
    </row>
    <row r="3673" spans="1:6">
      <c r="A3673" t="s">
        <v>9656</v>
      </c>
      <c r="B3673">
        <v>7984</v>
      </c>
      <c r="C3673" t="s">
        <v>9674</v>
      </c>
      <c r="D3673" t="s">
        <v>9663</v>
      </c>
      <c r="E3673" t="s">
        <v>9844</v>
      </c>
      <c r="F3673" t="s">
        <v>5606</v>
      </c>
    </row>
    <row r="3674" spans="1:6">
      <c r="A3674" t="s">
        <v>9656</v>
      </c>
      <c r="B3674">
        <v>1723</v>
      </c>
      <c r="C3674" t="s">
        <v>9674</v>
      </c>
      <c r="D3674" t="s">
        <v>9663</v>
      </c>
      <c r="E3674" t="s">
        <v>9844</v>
      </c>
      <c r="F3674" t="s">
        <v>5606</v>
      </c>
    </row>
    <row r="3675" spans="1:6">
      <c r="A3675" t="s">
        <v>9797</v>
      </c>
      <c r="B3675">
        <v>1911</v>
      </c>
      <c r="C3675" t="s">
        <v>9674</v>
      </c>
      <c r="D3675" t="s">
        <v>9521</v>
      </c>
      <c r="E3675">
        <v>652</v>
      </c>
      <c r="F3675" t="s">
        <v>9527</v>
      </c>
    </row>
    <row r="3676" spans="1:6">
      <c r="A3676" t="s">
        <v>9797</v>
      </c>
      <c r="B3676">
        <v>7809</v>
      </c>
      <c r="C3676" t="s">
        <v>9674</v>
      </c>
      <c r="D3676" t="s">
        <v>9521</v>
      </c>
      <c r="E3676">
        <v>652</v>
      </c>
      <c r="F3676" t="s">
        <v>9527</v>
      </c>
    </row>
    <row r="3677" spans="1:6">
      <c r="A3677" t="s">
        <v>9797</v>
      </c>
      <c r="B3677">
        <v>7870</v>
      </c>
      <c r="C3677" t="s">
        <v>9674</v>
      </c>
      <c r="D3677" t="s">
        <v>9521</v>
      </c>
      <c r="E3677">
        <v>652</v>
      </c>
      <c r="F3677" t="s">
        <v>9527</v>
      </c>
    </row>
    <row r="3678" spans="1:6">
      <c r="A3678" t="s">
        <v>9797</v>
      </c>
      <c r="B3678">
        <v>7871</v>
      </c>
      <c r="C3678" t="s">
        <v>9674</v>
      </c>
      <c r="D3678" t="s">
        <v>9521</v>
      </c>
      <c r="E3678">
        <v>652</v>
      </c>
      <c r="F3678" t="s">
        <v>9527</v>
      </c>
    </row>
    <row r="3679" spans="1:6">
      <c r="A3679" t="s">
        <v>9797</v>
      </c>
      <c r="B3679">
        <v>7872</v>
      </c>
      <c r="C3679" t="s">
        <v>9674</v>
      </c>
      <c r="D3679" t="s">
        <v>9521</v>
      </c>
      <c r="E3679">
        <v>652</v>
      </c>
      <c r="F3679" t="s">
        <v>9527</v>
      </c>
    </row>
    <row r="3680" spans="1:6">
      <c r="A3680" t="s">
        <v>9797</v>
      </c>
      <c r="B3680">
        <v>7873</v>
      </c>
      <c r="C3680" t="s">
        <v>9674</v>
      </c>
      <c r="D3680" t="s">
        <v>9521</v>
      </c>
      <c r="E3680">
        <v>652</v>
      </c>
      <c r="F3680" t="s">
        <v>9527</v>
      </c>
    </row>
    <row r="3681" spans="1:6">
      <c r="A3681" t="s">
        <v>9797</v>
      </c>
      <c r="B3681">
        <v>7875</v>
      </c>
      <c r="C3681" t="s">
        <v>9674</v>
      </c>
      <c r="D3681" t="s">
        <v>9521</v>
      </c>
      <c r="E3681">
        <v>652</v>
      </c>
      <c r="F3681" t="s">
        <v>9527</v>
      </c>
    </row>
    <row r="3682" spans="1:6">
      <c r="A3682" t="s">
        <v>9797</v>
      </c>
      <c r="B3682">
        <v>7901</v>
      </c>
      <c r="C3682" t="s">
        <v>9674</v>
      </c>
      <c r="D3682" t="s">
        <v>9521</v>
      </c>
      <c r="E3682">
        <v>652</v>
      </c>
      <c r="F3682" t="s">
        <v>9527</v>
      </c>
    </row>
    <row r="3683" spans="1:6">
      <c r="A3683" t="s">
        <v>9797</v>
      </c>
      <c r="B3683">
        <v>7902</v>
      </c>
      <c r="C3683" t="s">
        <v>9674</v>
      </c>
      <c r="D3683" t="s">
        <v>9521</v>
      </c>
      <c r="E3683">
        <v>652</v>
      </c>
      <c r="F3683" t="s">
        <v>9527</v>
      </c>
    </row>
    <row r="3684" spans="1:6">
      <c r="A3684" t="s">
        <v>9797</v>
      </c>
      <c r="B3684">
        <v>7967</v>
      </c>
      <c r="C3684" t="s">
        <v>9674</v>
      </c>
      <c r="D3684" t="s">
        <v>9521</v>
      </c>
      <c r="E3684">
        <v>652</v>
      </c>
      <c r="F3684" t="s">
        <v>9527</v>
      </c>
    </row>
    <row r="3685" spans="1:6">
      <c r="A3685" t="s">
        <v>9797</v>
      </c>
      <c r="B3685">
        <v>7971</v>
      </c>
      <c r="C3685" t="s">
        <v>9674</v>
      </c>
      <c r="D3685" t="s">
        <v>9521</v>
      </c>
      <c r="E3685">
        <v>652</v>
      </c>
      <c r="F3685" t="s">
        <v>9527</v>
      </c>
    </row>
    <row r="3686" spans="1:6">
      <c r="A3686" t="s">
        <v>9797</v>
      </c>
      <c r="B3686">
        <v>7972</v>
      </c>
      <c r="C3686" t="s">
        <v>9674</v>
      </c>
      <c r="D3686" t="s">
        <v>9521</v>
      </c>
      <c r="E3686">
        <v>652</v>
      </c>
      <c r="F3686" t="s">
        <v>9527</v>
      </c>
    </row>
    <row r="3687" spans="1:6">
      <c r="A3687" t="s">
        <v>9797</v>
      </c>
      <c r="B3687">
        <v>7981</v>
      </c>
      <c r="C3687" t="s">
        <v>9674</v>
      </c>
      <c r="D3687" t="s">
        <v>9521</v>
      </c>
      <c r="E3687">
        <v>652</v>
      </c>
      <c r="F3687" t="s">
        <v>9527</v>
      </c>
    </row>
    <row r="3688" spans="1:6">
      <c r="A3688" t="s">
        <v>9797</v>
      </c>
      <c r="B3688">
        <v>7995</v>
      </c>
      <c r="C3688" t="s">
        <v>9674</v>
      </c>
      <c r="D3688" t="s">
        <v>9521</v>
      </c>
      <c r="E3688">
        <v>652</v>
      </c>
      <c r="F3688" t="s">
        <v>9527</v>
      </c>
    </row>
    <row r="3689" spans="1:6">
      <c r="A3689" t="s">
        <v>9797</v>
      </c>
      <c r="B3689">
        <v>7996</v>
      </c>
      <c r="C3689" t="s">
        <v>9674</v>
      </c>
      <c r="D3689" t="s">
        <v>9521</v>
      </c>
      <c r="E3689">
        <v>652</v>
      </c>
      <c r="F3689" t="s">
        <v>9527</v>
      </c>
    </row>
    <row r="3690" spans="1:6">
      <c r="A3690" t="s">
        <v>9797</v>
      </c>
      <c r="B3690">
        <v>8014</v>
      </c>
      <c r="C3690" t="s">
        <v>9674</v>
      </c>
      <c r="D3690" t="s">
        <v>9521</v>
      </c>
      <c r="E3690">
        <v>652</v>
      </c>
      <c r="F3690" t="s">
        <v>9527</v>
      </c>
    </row>
    <row r="3691" spans="1:6">
      <c r="A3691" t="s">
        <v>9797</v>
      </c>
      <c r="B3691">
        <v>8028</v>
      </c>
      <c r="C3691" t="s">
        <v>9674</v>
      </c>
      <c r="D3691" t="s">
        <v>9521</v>
      </c>
      <c r="E3691">
        <v>652</v>
      </c>
      <c r="F3691" t="s">
        <v>9527</v>
      </c>
    </row>
    <row r="3692" spans="1:6">
      <c r="A3692" t="s">
        <v>9797</v>
      </c>
      <c r="B3692">
        <v>8038</v>
      </c>
      <c r="C3692" t="s">
        <v>9674</v>
      </c>
      <c r="D3692" t="s">
        <v>9521</v>
      </c>
      <c r="E3692">
        <v>652</v>
      </c>
      <c r="F3692" t="s">
        <v>9527</v>
      </c>
    </row>
    <row r="3693" spans="1:6">
      <c r="A3693" t="s">
        <v>9797</v>
      </c>
      <c r="B3693">
        <v>8667</v>
      </c>
      <c r="C3693" t="s">
        <v>9674</v>
      </c>
      <c r="D3693" t="s">
        <v>9521</v>
      </c>
      <c r="E3693">
        <v>652</v>
      </c>
      <c r="F3693" t="s">
        <v>9527</v>
      </c>
    </row>
    <row r="3694" spans="1:6">
      <c r="A3694" t="s">
        <v>9797</v>
      </c>
      <c r="B3694">
        <v>8677</v>
      </c>
      <c r="C3694" t="s">
        <v>9674</v>
      </c>
      <c r="D3694" t="s">
        <v>9521</v>
      </c>
      <c r="E3694">
        <v>652</v>
      </c>
      <c r="F3694" t="s">
        <v>9527</v>
      </c>
    </row>
    <row r="3695" spans="1:6">
      <c r="A3695" t="s">
        <v>9797</v>
      </c>
      <c r="B3695">
        <v>8678</v>
      </c>
      <c r="C3695" t="s">
        <v>9674</v>
      </c>
      <c r="D3695" t="s">
        <v>9521</v>
      </c>
      <c r="E3695">
        <v>652</v>
      </c>
      <c r="F3695" t="s">
        <v>9527</v>
      </c>
    </row>
    <row r="3696" spans="1:6">
      <c r="A3696" t="s">
        <v>9797</v>
      </c>
      <c r="B3696">
        <v>8720</v>
      </c>
      <c r="C3696" t="s">
        <v>9674</v>
      </c>
      <c r="D3696" t="s">
        <v>9521</v>
      </c>
      <c r="E3696">
        <v>652</v>
      </c>
      <c r="F3696" t="s">
        <v>9527</v>
      </c>
    </row>
    <row r="3697" spans="1:6">
      <c r="A3697" t="s">
        <v>9797</v>
      </c>
      <c r="B3697">
        <v>8730</v>
      </c>
      <c r="C3697" t="s">
        <v>9674</v>
      </c>
      <c r="D3697" t="s">
        <v>9521</v>
      </c>
      <c r="E3697">
        <v>652</v>
      </c>
      <c r="F3697" t="s">
        <v>9527</v>
      </c>
    </row>
    <row r="3698" spans="1:6">
      <c r="A3698" t="s">
        <v>9797</v>
      </c>
      <c r="B3698">
        <v>8740</v>
      </c>
      <c r="C3698" t="s">
        <v>9674</v>
      </c>
      <c r="D3698" t="s">
        <v>9521</v>
      </c>
      <c r="E3698">
        <v>652</v>
      </c>
      <c r="F3698" t="s">
        <v>9527</v>
      </c>
    </row>
    <row r="3699" spans="1:6">
      <c r="A3699" t="s">
        <v>9797</v>
      </c>
      <c r="B3699">
        <v>8750</v>
      </c>
      <c r="C3699" t="s">
        <v>9674</v>
      </c>
      <c r="D3699" t="s">
        <v>9521</v>
      </c>
      <c r="E3699">
        <v>652</v>
      </c>
      <c r="F3699" t="s">
        <v>9527</v>
      </c>
    </row>
    <row r="3700" spans="1:6">
      <c r="A3700" t="s">
        <v>9797</v>
      </c>
      <c r="B3700">
        <v>8832</v>
      </c>
      <c r="C3700" t="s">
        <v>9674</v>
      </c>
      <c r="D3700" t="s">
        <v>9521</v>
      </c>
      <c r="E3700">
        <v>652</v>
      </c>
      <c r="F3700" t="s">
        <v>9527</v>
      </c>
    </row>
    <row r="3701" spans="1:6">
      <c r="A3701" t="s">
        <v>9797</v>
      </c>
      <c r="B3701">
        <v>8839</v>
      </c>
      <c r="C3701" t="s">
        <v>9674</v>
      </c>
      <c r="D3701" t="s">
        <v>9521</v>
      </c>
      <c r="E3701">
        <v>652</v>
      </c>
      <c r="F3701" t="s">
        <v>9527</v>
      </c>
    </row>
    <row r="3702" spans="1:6">
      <c r="A3702" t="s">
        <v>9797</v>
      </c>
      <c r="B3702">
        <v>8843</v>
      </c>
      <c r="C3702" t="s">
        <v>9674</v>
      </c>
      <c r="D3702" t="s">
        <v>9521</v>
      </c>
      <c r="E3702">
        <v>652</v>
      </c>
      <c r="F3702" t="s">
        <v>9527</v>
      </c>
    </row>
    <row r="3703" spans="1:6">
      <c r="A3703" t="s">
        <v>9797</v>
      </c>
      <c r="B3703">
        <v>8850</v>
      </c>
      <c r="C3703" t="s">
        <v>9674</v>
      </c>
      <c r="D3703" t="s">
        <v>9521</v>
      </c>
      <c r="E3703">
        <v>652</v>
      </c>
      <c r="F3703" t="s">
        <v>9527</v>
      </c>
    </row>
    <row r="3704" spans="1:6">
      <c r="A3704" t="s">
        <v>9797</v>
      </c>
      <c r="B3704">
        <v>8852</v>
      </c>
      <c r="C3704" t="s">
        <v>9674</v>
      </c>
      <c r="D3704" t="s">
        <v>9521</v>
      </c>
      <c r="E3704">
        <v>652</v>
      </c>
      <c r="F3704" t="s">
        <v>9527</v>
      </c>
    </row>
    <row r="3705" spans="1:6">
      <c r="A3705" t="s">
        <v>9797</v>
      </c>
      <c r="B3705">
        <v>8853</v>
      </c>
      <c r="C3705" t="s">
        <v>9674</v>
      </c>
      <c r="D3705" t="s">
        <v>9521</v>
      </c>
      <c r="E3705">
        <v>652</v>
      </c>
      <c r="F3705" t="s">
        <v>9527</v>
      </c>
    </row>
    <row r="3706" spans="1:6">
      <c r="A3706" t="s">
        <v>9797</v>
      </c>
      <c r="B3706">
        <v>8886</v>
      </c>
      <c r="C3706" t="s">
        <v>9674</v>
      </c>
      <c r="D3706" t="s">
        <v>9521</v>
      </c>
      <c r="E3706">
        <v>652</v>
      </c>
      <c r="F3706" t="s">
        <v>9527</v>
      </c>
    </row>
    <row r="3707" spans="1:6">
      <c r="A3707" t="s">
        <v>9797</v>
      </c>
      <c r="B3707">
        <v>1911</v>
      </c>
      <c r="C3707" t="s">
        <v>9674</v>
      </c>
      <c r="D3707" t="s">
        <v>9521</v>
      </c>
      <c r="E3707">
        <v>652</v>
      </c>
      <c r="F3707" t="s">
        <v>9527</v>
      </c>
    </row>
    <row r="3708" spans="1:6">
      <c r="A3708" t="s">
        <v>9797</v>
      </c>
      <c r="B3708">
        <v>7809</v>
      </c>
      <c r="C3708" t="s">
        <v>9674</v>
      </c>
      <c r="D3708" t="s">
        <v>9521</v>
      </c>
      <c r="E3708">
        <v>652</v>
      </c>
      <c r="F3708" t="s">
        <v>9527</v>
      </c>
    </row>
    <row r="3709" spans="1:6">
      <c r="A3709" t="s">
        <v>9797</v>
      </c>
      <c r="B3709">
        <v>7870</v>
      </c>
      <c r="C3709" t="s">
        <v>9674</v>
      </c>
      <c r="D3709" t="s">
        <v>9521</v>
      </c>
      <c r="E3709">
        <v>652</v>
      </c>
      <c r="F3709" t="s">
        <v>9527</v>
      </c>
    </row>
    <row r="3710" spans="1:6">
      <c r="A3710" t="s">
        <v>9797</v>
      </c>
      <c r="B3710">
        <v>7871</v>
      </c>
      <c r="C3710" t="s">
        <v>9674</v>
      </c>
      <c r="D3710" t="s">
        <v>9521</v>
      </c>
      <c r="E3710">
        <v>652</v>
      </c>
      <c r="F3710" t="s">
        <v>9527</v>
      </c>
    </row>
    <row r="3711" spans="1:6">
      <c r="A3711" t="s">
        <v>9797</v>
      </c>
      <c r="B3711">
        <v>7872</v>
      </c>
      <c r="C3711" t="s">
        <v>9674</v>
      </c>
      <c r="D3711" t="s">
        <v>9521</v>
      </c>
      <c r="E3711">
        <v>652</v>
      </c>
      <c r="F3711" t="s">
        <v>9527</v>
      </c>
    </row>
    <row r="3712" spans="1:6">
      <c r="A3712" t="s">
        <v>9797</v>
      </c>
      <c r="B3712">
        <v>7873</v>
      </c>
      <c r="C3712" t="s">
        <v>9674</v>
      </c>
      <c r="D3712" t="s">
        <v>9521</v>
      </c>
      <c r="E3712">
        <v>652</v>
      </c>
      <c r="F3712" t="s">
        <v>9527</v>
      </c>
    </row>
    <row r="3713" spans="1:6">
      <c r="A3713" t="s">
        <v>9797</v>
      </c>
      <c r="B3713">
        <v>7875</v>
      </c>
      <c r="C3713" t="s">
        <v>9674</v>
      </c>
      <c r="D3713" t="s">
        <v>9521</v>
      </c>
      <c r="E3713">
        <v>652</v>
      </c>
      <c r="F3713" t="s">
        <v>9527</v>
      </c>
    </row>
    <row r="3714" spans="1:6">
      <c r="A3714" t="s">
        <v>9797</v>
      </c>
      <c r="B3714">
        <v>7901</v>
      </c>
      <c r="C3714" t="s">
        <v>9674</v>
      </c>
      <c r="D3714" t="s">
        <v>9521</v>
      </c>
      <c r="E3714">
        <v>652</v>
      </c>
      <c r="F3714" t="s">
        <v>9527</v>
      </c>
    </row>
    <row r="3715" spans="1:6">
      <c r="A3715" t="s">
        <v>9797</v>
      </c>
      <c r="B3715">
        <v>7902</v>
      </c>
      <c r="C3715" t="s">
        <v>9674</v>
      </c>
      <c r="D3715" t="s">
        <v>9521</v>
      </c>
      <c r="E3715">
        <v>652</v>
      </c>
      <c r="F3715" t="s">
        <v>9527</v>
      </c>
    </row>
    <row r="3716" spans="1:6">
      <c r="A3716" t="s">
        <v>9797</v>
      </c>
      <c r="B3716">
        <v>7967</v>
      </c>
      <c r="C3716" t="s">
        <v>9674</v>
      </c>
      <c r="D3716" t="s">
        <v>9521</v>
      </c>
      <c r="E3716">
        <v>652</v>
      </c>
      <c r="F3716" t="s">
        <v>9527</v>
      </c>
    </row>
    <row r="3717" spans="1:6">
      <c r="A3717" t="s">
        <v>9797</v>
      </c>
      <c r="B3717">
        <v>7971</v>
      </c>
      <c r="C3717" t="s">
        <v>9674</v>
      </c>
      <c r="D3717" t="s">
        <v>9521</v>
      </c>
      <c r="E3717">
        <v>652</v>
      </c>
      <c r="F3717" t="s">
        <v>9527</v>
      </c>
    </row>
    <row r="3718" spans="1:6">
      <c r="A3718" t="s">
        <v>9797</v>
      </c>
      <c r="B3718">
        <v>7972</v>
      </c>
      <c r="C3718" t="s">
        <v>9674</v>
      </c>
      <c r="D3718" t="s">
        <v>9521</v>
      </c>
      <c r="E3718">
        <v>652</v>
      </c>
      <c r="F3718" t="s">
        <v>9527</v>
      </c>
    </row>
    <row r="3719" spans="1:6">
      <c r="A3719" t="s">
        <v>9797</v>
      </c>
      <c r="B3719">
        <v>7981</v>
      </c>
      <c r="C3719" t="s">
        <v>9674</v>
      </c>
      <c r="D3719" t="s">
        <v>9521</v>
      </c>
      <c r="E3719">
        <v>652</v>
      </c>
      <c r="F3719" t="s">
        <v>9527</v>
      </c>
    </row>
    <row r="3720" spans="1:6">
      <c r="A3720" t="s">
        <v>9797</v>
      </c>
      <c r="B3720">
        <v>7995</v>
      </c>
      <c r="C3720" t="s">
        <v>9674</v>
      </c>
      <c r="D3720" t="s">
        <v>9521</v>
      </c>
      <c r="E3720">
        <v>652</v>
      </c>
      <c r="F3720" t="s">
        <v>9527</v>
      </c>
    </row>
    <row r="3721" spans="1:6">
      <c r="A3721" t="s">
        <v>9797</v>
      </c>
      <c r="B3721">
        <v>7996</v>
      </c>
      <c r="C3721" t="s">
        <v>9674</v>
      </c>
      <c r="D3721" t="s">
        <v>9521</v>
      </c>
      <c r="E3721">
        <v>652</v>
      </c>
      <c r="F3721" t="s">
        <v>9527</v>
      </c>
    </row>
    <row r="3722" spans="1:6">
      <c r="A3722" t="s">
        <v>9797</v>
      </c>
      <c r="B3722">
        <v>8014</v>
      </c>
      <c r="C3722" t="s">
        <v>9674</v>
      </c>
      <c r="D3722" t="s">
        <v>9521</v>
      </c>
      <c r="E3722">
        <v>652</v>
      </c>
      <c r="F3722" t="s">
        <v>9527</v>
      </c>
    </row>
    <row r="3723" spans="1:6">
      <c r="A3723" t="s">
        <v>9797</v>
      </c>
      <c r="B3723">
        <v>8028</v>
      </c>
      <c r="C3723" t="s">
        <v>9674</v>
      </c>
      <c r="D3723" t="s">
        <v>9521</v>
      </c>
      <c r="E3723">
        <v>652</v>
      </c>
      <c r="F3723" t="s">
        <v>9527</v>
      </c>
    </row>
    <row r="3724" spans="1:6">
      <c r="A3724" t="s">
        <v>9797</v>
      </c>
      <c r="B3724">
        <v>8038</v>
      </c>
      <c r="C3724" t="s">
        <v>9674</v>
      </c>
      <c r="D3724" t="s">
        <v>9521</v>
      </c>
      <c r="E3724">
        <v>652</v>
      </c>
      <c r="F3724" t="s">
        <v>9527</v>
      </c>
    </row>
    <row r="3725" spans="1:6">
      <c r="A3725" t="s">
        <v>9797</v>
      </c>
      <c r="B3725">
        <v>8667</v>
      </c>
      <c r="C3725" t="s">
        <v>9674</v>
      </c>
      <c r="D3725" t="s">
        <v>9521</v>
      </c>
      <c r="E3725">
        <v>652</v>
      </c>
      <c r="F3725" t="s">
        <v>9527</v>
      </c>
    </row>
    <row r="3726" spans="1:6">
      <c r="A3726" t="s">
        <v>9797</v>
      </c>
      <c r="B3726">
        <v>8677</v>
      </c>
      <c r="C3726" t="s">
        <v>9674</v>
      </c>
      <c r="D3726" t="s">
        <v>9521</v>
      </c>
      <c r="E3726">
        <v>652</v>
      </c>
      <c r="F3726" t="s">
        <v>9527</v>
      </c>
    </row>
    <row r="3727" spans="1:6">
      <c r="A3727" t="s">
        <v>9797</v>
      </c>
      <c r="B3727">
        <v>8678</v>
      </c>
      <c r="C3727" t="s">
        <v>9674</v>
      </c>
      <c r="D3727" t="s">
        <v>9521</v>
      </c>
      <c r="E3727">
        <v>652</v>
      </c>
      <c r="F3727" t="s">
        <v>9527</v>
      </c>
    </row>
    <row r="3728" spans="1:6">
      <c r="A3728" t="s">
        <v>9797</v>
      </c>
      <c r="B3728">
        <v>8720</v>
      </c>
      <c r="C3728" t="s">
        <v>9674</v>
      </c>
      <c r="D3728" t="s">
        <v>9521</v>
      </c>
      <c r="E3728">
        <v>652</v>
      </c>
      <c r="F3728" t="s">
        <v>9527</v>
      </c>
    </row>
    <row r="3729" spans="1:6">
      <c r="A3729" t="s">
        <v>9797</v>
      </c>
      <c r="B3729">
        <v>8730</v>
      </c>
      <c r="C3729" t="s">
        <v>9674</v>
      </c>
      <c r="D3729" t="s">
        <v>9521</v>
      </c>
      <c r="E3729">
        <v>652</v>
      </c>
      <c r="F3729" t="s">
        <v>9527</v>
      </c>
    </row>
    <row r="3730" spans="1:6">
      <c r="A3730" t="s">
        <v>9797</v>
      </c>
      <c r="B3730">
        <v>8740</v>
      </c>
      <c r="C3730" t="s">
        <v>9674</v>
      </c>
      <c r="D3730" t="s">
        <v>9521</v>
      </c>
      <c r="E3730">
        <v>652</v>
      </c>
      <c r="F3730" t="s">
        <v>9527</v>
      </c>
    </row>
    <row r="3731" spans="1:6">
      <c r="A3731" t="s">
        <v>9797</v>
      </c>
      <c r="B3731">
        <v>8750</v>
      </c>
      <c r="C3731" t="s">
        <v>9674</v>
      </c>
      <c r="D3731" t="s">
        <v>9521</v>
      </c>
      <c r="E3731">
        <v>652</v>
      </c>
      <c r="F3731" t="s">
        <v>9527</v>
      </c>
    </row>
    <row r="3732" spans="1:6">
      <c r="A3732" t="s">
        <v>9797</v>
      </c>
      <c r="B3732">
        <v>8832</v>
      </c>
      <c r="C3732" t="s">
        <v>9674</v>
      </c>
      <c r="D3732" t="s">
        <v>9521</v>
      </c>
      <c r="E3732">
        <v>652</v>
      </c>
      <c r="F3732" t="s">
        <v>9527</v>
      </c>
    </row>
    <row r="3733" spans="1:6">
      <c r="A3733" t="s">
        <v>9797</v>
      </c>
      <c r="B3733">
        <v>8839</v>
      </c>
      <c r="C3733" t="s">
        <v>9674</v>
      </c>
      <c r="D3733" t="s">
        <v>9521</v>
      </c>
      <c r="E3733">
        <v>652</v>
      </c>
      <c r="F3733" t="s">
        <v>9527</v>
      </c>
    </row>
    <row r="3734" spans="1:6">
      <c r="A3734" t="s">
        <v>9797</v>
      </c>
      <c r="B3734">
        <v>8843</v>
      </c>
      <c r="C3734" t="s">
        <v>9674</v>
      </c>
      <c r="D3734" t="s">
        <v>9521</v>
      </c>
      <c r="E3734">
        <v>652</v>
      </c>
      <c r="F3734" t="s">
        <v>9527</v>
      </c>
    </row>
    <row r="3735" spans="1:6">
      <c r="A3735" t="s">
        <v>9797</v>
      </c>
      <c r="B3735">
        <v>8850</v>
      </c>
      <c r="C3735" t="s">
        <v>9674</v>
      </c>
      <c r="D3735" t="s">
        <v>9521</v>
      </c>
      <c r="E3735">
        <v>652</v>
      </c>
      <c r="F3735" t="s">
        <v>9527</v>
      </c>
    </row>
    <row r="3736" spans="1:6">
      <c r="A3736" t="s">
        <v>9797</v>
      </c>
      <c r="B3736">
        <v>8852</v>
      </c>
      <c r="C3736" t="s">
        <v>9674</v>
      </c>
      <c r="D3736" t="s">
        <v>9521</v>
      </c>
      <c r="E3736">
        <v>652</v>
      </c>
      <c r="F3736" t="s">
        <v>9527</v>
      </c>
    </row>
    <row r="3737" spans="1:6">
      <c r="A3737" t="s">
        <v>9797</v>
      </c>
      <c r="B3737">
        <v>8853</v>
      </c>
      <c r="C3737" t="s">
        <v>9674</v>
      </c>
      <c r="D3737" t="s">
        <v>9521</v>
      </c>
      <c r="E3737">
        <v>652</v>
      </c>
      <c r="F3737" t="s">
        <v>9527</v>
      </c>
    </row>
    <row r="3738" spans="1:6">
      <c r="A3738" t="s">
        <v>9797</v>
      </c>
      <c r="B3738">
        <v>8886</v>
      </c>
      <c r="C3738" t="s">
        <v>9674</v>
      </c>
      <c r="D3738" t="s">
        <v>9521</v>
      </c>
      <c r="E3738">
        <v>652</v>
      </c>
      <c r="F3738" t="s">
        <v>9527</v>
      </c>
    </row>
    <row r="3739" spans="1:6">
      <c r="A3739" t="s">
        <v>9798</v>
      </c>
      <c r="B3739">
        <v>8721</v>
      </c>
      <c r="C3739" t="s">
        <v>9674</v>
      </c>
      <c r="D3739" t="s">
        <v>9531</v>
      </c>
      <c r="E3739">
        <v>1034</v>
      </c>
      <c r="F3739" t="s">
        <v>9527</v>
      </c>
    </row>
    <row r="3740" spans="1:6">
      <c r="A3740" t="s">
        <v>9798</v>
      </c>
      <c r="B3740">
        <v>8731</v>
      </c>
      <c r="C3740" t="s">
        <v>9674</v>
      </c>
      <c r="D3740" t="s">
        <v>9531</v>
      </c>
      <c r="E3740">
        <v>1034</v>
      </c>
      <c r="F3740" t="s">
        <v>9527</v>
      </c>
    </row>
    <row r="3741" spans="1:6">
      <c r="A3741" t="s">
        <v>9798</v>
      </c>
      <c r="B3741">
        <v>7906</v>
      </c>
      <c r="C3741" t="s">
        <v>9674</v>
      </c>
      <c r="D3741" t="s">
        <v>9531</v>
      </c>
      <c r="E3741">
        <v>1034</v>
      </c>
      <c r="F3741" t="s">
        <v>9527</v>
      </c>
    </row>
    <row r="3742" spans="1:6">
      <c r="A3742" t="s">
        <v>9798</v>
      </c>
      <c r="B3742">
        <v>7916</v>
      </c>
      <c r="C3742" t="s">
        <v>9674</v>
      </c>
      <c r="D3742" t="s">
        <v>9531</v>
      </c>
      <c r="E3742">
        <v>1034</v>
      </c>
      <c r="F3742" t="s">
        <v>9527</v>
      </c>
    </row>
    <row r="3743" spans="1:6">
      <c r="A3743" t="s">
        <v>9798</v>
      </c>
      <c r="B3743">
        <v>8737</v>
      </c>
      <c r="C3743" t="s">
        <v>9674</v>
      </c>
      <c r="D3743" t="s">
        <v>9531</v>
      </c>
      <c r="E3743">
        <v>1034</v>
      </c>
      <c r="F3743" t="s">
        <v>9527</v>
      </c>
    </row>
    <row r="3744" spans="1:6">
      <c r="A3744" t="s">
        <v>9798</v>
      </c>
      <c r="B3744">
        <v>7917</v>
      </c>
      <c r="C3744" t="s">
        <v>9674</v>
      </c>
      <c r="D3744" t="s">
        <v>9531</v>
      </c>
      <c r="E3744">
        <v>1034</v>
      </c>
      <c r="F3744" t="s">
        <v>9527</v>
      </c>
    </row>
    <row r="3745" spans="1:6">
      <c r="A3745" t="s">
        <v>9798</v>
      </c>
      <c r="B3745">
        <v>7903</v>
      </c>
      <c r="C3745" t="s">
        <v>9674</v>
      </c>
      <c r="D3745" t="s">
        <v>9531</v>
      </c>
      <c r="E3745">
        <v>1034</v>
      </c>
      <c r="F3745" t="s">
        <v>9527</v>
      </c>
    </row>
    <row r="3746" spans="1:6">
      <c r="A3746" t="s">
        <v>9798</v>
      </c>
      <c r="B3746">
        <v>5455</v>
      </c>
      <c r="C3746" t="s">
        <v>9674</v>
      </c>
      <c r="D3746" t="s">
        <v>9531</v>
      </c>
      <c r="E3746">
        <v>1034</v>
      </c>
      <c r="F3746" t="s">
        <v>9527</v>
      </c>
    </row>
    <row r="3747" spans="1:6">
      <c r="A3747" t="s">
        <v>9798</v>
      </c>
      <c r="B3747">
        <v>5456</v>
      </c>
      <c r="C3747" t="s">
        <v>9674</v>
      </c>
      <c r="D3747" t="s">
        <v>9531</v>
      </c>
      <c r="E3747">
        <v>1034</v>
      </c>
      <c r="F3747" t="s">
        <v>9527</v>
      </c>
    </row>
    <row r="3748" spans="1:6">
      <c r="A3748" t="s">
        <v>9798</v>
      </c>
      <c r="B3748">
        <v>6391</v>
      </c>
      <c r="C3748" t="s">
        <v>9674</v>
      </c>
      <c r="D3748" t="s">
        <v>9531</v>
      </c>
      <c r="E3748">
        <v>1034</v>
      </c>
      <c r="F3748" t="s">
        <v>9527</v>
      </c>
    </row>
    <row r="3749" spans="1:6">
      <c r="A3749" t="s">
        <v>9798</v>
      </c>
      <c r="B3749">
        <v>7912</v>
      </c>
      <c r="C3749" t="s">
        <v>9674</v>
      </c>
      <c r="D3749" t="s">
        <v>9531</v>
      </c>
      <c r="E3749">
        <v>1034</v>
      </c>
      <c r="F3749" t="s">
        <v>9527</v>
      </c>
    </row>
    <row r="3750" spans="1:6">
      <c r="A3750" t="s">
        <v>9798</v>
      </c>
      <c r="B3750">
        <v>7913</v>
      </c>
      <c r="C3750" t="s">
        <v>9674</v>
      </c>
      <c r="D3750" t="s">
        <v>9531</v>
      </c>
      <c r="E3750">
        <v>1034</v>
      </c>
      <c r="F3750" t="s">
        <v>9527</v>
      </c>
    </row>
    <row r="3751" spans="1:6">
      <c r="A3751" t="s">
        <v>9798</v>
      </c>
      <c r="B3751">
        <v>7918</v>
      </c>
      <c r="C3751" t="s">
        <v>9674</v>
      </c>
      <c r="D3751" t="s">
        <v>9531</v>
      </c>
      <c r="E3751">
        <v>1034</v>
      </c>
      <c r="F3751" t="s">
        <v>9527</v>
      </c>
    </row>
    <row r="3752" spans="1:6">
      <c r="A3752" t="s">
        <v>9798</v>
      </c>
      <c r="B3752">
        <v>7919</v>
      </c>
      <c r="C3752" t="s">
        <v>9674</v>
      </c>
      <c r="D3752" t="s">
        <v>9531</v>
      </c>
      <c r="E3752">
        <v>1034</v>
      </c>
      <c r="F3752" t="s">
        <v>9527</v>
      </c>
    </row>
    <row r="3753" spans="1:6">
      <c r="A3753" t="s">
        <v>9798</v>
      </c>
      <c r="B3753">
        <v>8685</v>
      </c>
      <c r="C3753" t="s">
        <v>9674</v>
      </c>
      <c r="D3753" t="s">
        <v>9531</v>
      </c>
      <c r="E3753">
        <v>1034</v>
      </c>
      <c r="F3753" t="s">
        <v>9527</v>
      </c>
    </row>
    <row r="3754" spans="1:6">
      <c r="A3754" t="s">
        <v>9798</v>
      </c>
      <c r="B3754">
        <v>8686</v>
      </c>
      <c r="C3754" t="s">
        <v>9674</v>
      </c>
      <c r="D3754" t="s">
        <v>9531</v>
      </c>
      <c r="E3754">
        <v>1034</v>
      </c>
      <c r="F3754" t="s">
        <v>9527</v>
      </c>
    </row>
    <row r="3755" spans="1:6">
      <c r="A3755" t="s">
        <v>9798</v>
      </c>
      <c r="B3755">
        <v>8861</v>
      </c>
      <c r="C3755" t="s">
        <v>9674</v>
      </c>
      <c r="D3755" t="s">
        <v>9531</v>
      </c>
      <c r="E3755">
        <v>1034</v>
      </c>
      <c r="F3755" t="s">
        <v>9527</v>
      </c>
    </row>
    <row r="3756" spans="1:6">
      <c r="A3756" t="s">
        <v>9798</v>
      </c>
      <c r="B3756">
        <v>8862</v>
      </c>
      <c r="C3756" t="s">
        <v>9674</v>
      </c>
      <c r="D3756" t="s">
        <v>9531</v>
      </c>
      <c r="E3756">
        <v>1034</v>
      </c>
      <c r="F3756" t="s">
        <v>9527</v>
      </c>
    </row>
    <row r="3757" spans="1:6">
      <c r="A3757" t="s">
        <v>9798</v>
      </c>
      <c r="B3757">
        <v>8863</v>
      </c>
      <c r="C3757" t="s">
        <v>9674</v>
      </c>
      <c r="D3757" t="s">
        <v>9531</v>
      </c>
      <c r="E3757">
        <v>1034</v>
      </c>
      <c r="F3757" t="s">
        <v>9527</v>
      </c>
    </row>
    <row r="3758" spans="1:6">
      <c r="A3758" t="s">
        <v>9798</v>
      </c>
      <c r="B3758">
        <v>8683</v>
      </c>
      <c r="C3758" t="s">
        <v>9674</v>
      </c>
      <c r="D3758" t="s">
        <v>9531</v>
      </c>
      <c r="E3758">
        <v>1034</v>
      </c>
      <c r="F3758" t="s">
        <v>9527</v>
      </c>
    </row>
    <row r="3759" spans="1:6">
      <c r="A3759" t="s">
        <v>9798</v>
      </c>
      <c r="B3759">
        <v>8687</v>
      </c>
      <c r="C3759" t="s">
        <v>9674</v>
      </c>
      <c r="D3759" t="s">
        <v>9531</v>
      </c>
      <c r="E3759">
        <v>1034</v>
      </c>
      <c r="F3759" t="s">
        <v>9527</v>
      </c>
    </row>
    <row r="3760" spans="1:6">
      <c r="A3760" t="s">
        <v>9798</v>
      </c>
      <c r="B3760">
        <v>8870</v>
      </c>
      <c r="C3760" t="s">
        <v>9674</v>
      </c>
      <c r="D3760" t="s">
        <v>9531</v>
      </c>
      <c r="E3760">
        <v>1034</v>
      </c>
      <c r="F3760" t="s">
        <v>9527</v>
      </c>
    </row>
    <row r="3761" spans="1:6">
      <c r="A3761" t="s">
        <v>9798</v>
      </c>
      <c r="B3761">
        <v>8688</v>
      </c>
      <c r="C3761" t="s">
        <v>9674</v>
      </c>
      <c r="D3761" t="s">
        <v>9531</v>
      </c>
      <c r="E3761">
        <v>1034</v>
      </c>
      <c r="F3761" t="s">
        <v>9527</v>
      </c>
    </row>
    <row r="3762" spans="1:6">
      <c r="A3762" t="s">
        <v>9798</v>
      </c>
      <c r="B3762">
        <v>8855</v>
      </c>
      <c r="C3762" t="s">
        <v>9674</v>
      </c>
      <c r="D3762" t="s">
        <v>9531</v>
      </c>
      <c r="E3762">
        <v>1034</v>
      </c>
      <c r="F3762" t="s">
        <v>9527</v>
      </c>
    </row>
    <row r="3763" spans="1:6">
      <c r="A3763" t="s">
        <v>9798</v>
      </c>
      <c r="B3763">
        <v>8872</v>
      </c>
      <c r="C3763" t="s">
        <v>9674</v>
      </c>
      <c r="D3763" t="s">
        <v>9531</v>
      </c>
      <c r="E3763">
        <v>1034</v>
      </c>
      <c r="F3763" t="s">
        <v>9527</v>
      </c>
    </row>
    <row r="3764" spans="1:6">
      <c r="A3764" t="s">
        <v>9798</v>
      </c>
      <c r="B3764">
        <v>8874</v>
      </c>
      <c r="C3764" t="s">
        <v>9674</v>
      </c>
      <c r="D3764" t="s">
        <v>9531</v>
      </c>
      <c r="E3764">
        <v>1034</v>
      </c>
      <c r="F3764" t="s">
        <v>9527</v>
      </c>
    </row>
    <row r="3765" spans="1:6">
      <c r="A3765" t="s">
        <v>9798</v>
      </c>
      <c r="B3765">
        <v>6385</v>
      </c>
      <c r="C3765" t="s">
        <v>9674</v>
      </c>
      <c r="D3765" t="s">
        <v>9531</v>
      </c>
      <c r="E3765">
        <v>1034</v>
      </c>
      <c r="F3765" t="s">
        <v>9527</v>
      </c>
    </row>
    <row r="3766" spans="1:6">
      <c r="A3766" t="s">
        <v>9798</v>
      </c>
      <c r="B3766">
        <v>6386</v>
      </c>
      <c r="C3766" t="s">
        <v>9674</v>
      </c>
      <c r="D3766" t="s">
        <v>9531</v>
      </c>
      <c r="E3766">
        <v>1034</v>
      </c>
      <c r="F3766" t="s">
        <v>9527</v>
      </c>
    </row>
    <row r="3767" spans="1:6">
      <c r="A3767" t="s">
        <v>9798</v>
      </c>
      <c r="B3767">
        <v>6388</v>
      </c>
      <c r="C3767" t="s">
        <v>9674</v>
      </c>
      <c r="D3767" t="s">
        <v>9531</v>
      </c>
      <c r="E3767">
        <v>1034</v>
      </c>
      <c r="F3767" t="s">
        <v>9527</v>
      </c>
    </row>
    <row r="3768" spans="1:6">
      <c r="A3768" t="s">
        <v>9798</v>
      </c>
      <c r="B3768">
        <v>6389</v>
      </c>
      <c r="C3768" t="s">
        <v>9674</v>
      </c>
      <c r="D3768" t="s">
        <v>9531</v>
      </c>
      <c r="E3768">
        <v>1034</v>
      </c>
      <c r="F3768" t="s">
        <v>9527</v>
      </c>
    </row>
    <row r="3769" spans="1:6">
      <c r="A3769" t="s">
        <v>9798</v>
      </c>
      <c r="B3769">
        <v>6390</v>
      </c>
      <c r="C3769" t="s">
        <v>9674</v>
      </c>
      <c r="D3769" t="s">
        <v>9531</v>
      </c>
      <c r="E3769">
        <v>1034</v>
      </c>
      <c r="F3769" t="s">
        <v>9527</v>
      </c>
    </row>
    <row r="3770" spans="1:6">
      <c r="A3770" t="s">
        <v>9798</v>
      </c>
      <c r="B3770">
        <v>7321</v>
      </c>
      <c r="C3770" t="s">
        <v>9674</v>
      </c>
      <c r="D3770" t="s">
        <v>9531</v>
      </c>
      <c r="E3770">
        <v>1034</v>
      </c>
      <c r="F3770" t="s">
        <v>9527</v>
      </c>
    </row>
    <row r="3771" spans="1:6">
      <c r="A3771" t="s">
        <v>9798</v>
      </c>
      <c r="B3771">
        <v>7831</v>
      </c>
      <c r="C3771" t="s">
        <v>9674</v>
      </c>
      <c r="D3771" t="s">
        <v>9531</v>
      </c>
      <c r="E3771">
        <v>1034</v>
      </c>
      <c r="F3771" t="s">
        <v>9527</v>
      </c>
    </row>
    <row r="3772" spans="1:6">
      <c r="A3772" t="s">
        <v>9798</v>
      </c>
      <c r="B3772">
        <v>7832</v>
      </c>
      <c r="C3772" t="s">
        <v>9674</v>
      </c>
      <c r="D3772" t="s">
        <v>9531</v>
      </c>
      <c r="E3772">
        <v>1034</v>
      </c>
      <c r="F3772" t="s">
        <v>9527</v>
      </c>
    </row>
    <row r="3773" spans="1:6">
      <c r="A3773" t="s">
        <v>9798</v>
      </c>
      <c r="B3773">
        <v>7833</v>
      </c>
      <c r="C3773" t="s">
        <v>9674</v>
      </c>
      <c r="D3773" t="s">
        <v>9531</v>
      </c>
      <c r="E3773">
        <v>1034</v>
      </c>
      <c r="F3773" t="s">
        <v>9527</v>
      </c>
    </row>
    <row r="3774" spans="1:6">
      <c r="A3774" t="s">
        <v>9798</v>
      </c>
      <c r="B3774">
        <v>7834</v>
      </c>
      <c r="C3774" t="s">
        <v>9674</v>
      </c>
      <c r="D3774" t="s">
        <v>9531</v>
      </c>
      <c r="E3774">
        <v>1034</v>
      </c>
      <c r="F3774" t="s">
        <v>9527</v>
      </c>
    </row>
    <row r="3775" spans="1:6">
      <c r="A3775" t="s">
        <v>9798</v>
      </c>
      <c r="B3775">
        <v>8722</v>
      </c>
      <c r="C3775" t="s">
        <v>9674</v>
      </c>
      <c r="D3775" t="s">
        <v>9531</v>
      </c>
      <c r="E3775">
        <v>1034</v>
      </c>
      <c r="F3775" t="s">
        <v>9527</v>
      </c>
    </row>
    <row r="3776" spans="1:6">
      <c r="A3776" t="s">
        <v>9798</v>
      </c>
      <c r="B3776">
        <v>8733</v>
      </c>
      <c r="C3776" t="s">
        <v>9674</v>
      </c>
      <c r="D3776" t="s">
        <v>9531</v>
      </c>
      <c r="E3776">
        <v>1034</v>
      </c>
      <c r="F3776" t="s">
        <v>9527</v>
      </c>
    </row>
    <row r="3777" spans="1:6">
      <c r="A3777" t="s">
        <v>9798</v>
      </c>
      <c r="B3777">
        <v>8752</v>
      </c>
      <c r="C3777" t="s">
        <v>9674</v>
      </c>
      <c r="D3777" t="s">
        <v>9531</v>
      </c>
      <c r="E3777">
        <v>1034</v>
      </c>
      <c r="F3777" t="s">
        <v>9527</v>
      </c>
    </row>
    <row r="3778" spans="1:6">
      <c r="A3778" t="s">
        <v>9798</v>
      </c>
      <c r="B3778">
        <v>6205</v>
      </c>
      <c r="C3778" t="s">
        <v>9674</v>
      </c>
      <c r="D3778" t="s">
        <v>9531</v>
      </c>
      <c r="E3778">
        <v>1034</v>
      </c>
      <c r="F3778" t="s">
        <v>9527</v>
      </c>
    </row>
    <row r="3779" spans="1:6">
      <c r="A3779" t="s">
        <v>9798</v>
      </c>
      <c r="B3779">
        <v>7163</v>
      </c>
      <c r="C3779" t="s">
        <v>9674</v>
      </c>
      <c r="D3779" t="s">
        <v>9531</v>
      </c>
      <c r="E3779">
        <v>1034</v>
      </c>
      <c r="F3779" t="s">
        <v>9527</v>
      </c>
    </row>
    <row r="3780" spans="1:6">
      <c r="A3780" t="s">
        <v>9798</v>
      </c>
      <c r="B3780">
        <v>8877</v>
      </c>
      <c r="C3780" t="s">
        <v>9674</v>
      </c>
      <c r="D3780" t="s">
        <v>9531</v>
      </c>
      <c r="E3780">
        <v>1034</v>
      </c>
      <c r="F3780" t="s">
        <v>9527</v>
      </c>
    </row>
    <row r="3781" spans="1:6">
      <c r="A3781" t="s">
        <v>9798</v>
      </c>
      <c r="B3781">
        <v>7164</v>
      </c>
      <c r="C3781" t="s">
        <v>9674</v>
      </c>
      <c r="D3781" t="s">
        <v>9531</v>
      </c>
      <c r="E3781">
        <v>1034</v>
      </c>
      <c r="F3781" t="s">
        <v>9527</v>
      </c>
    </row>
    <row r="3782" spans="1:6">
      <c r="A3782" t="s">
        <v>9798</v>
      </c>
      <c r="B3782">
        <v>8865</v>
      </c>
      <c r="C3782" t="s">
        <v>9674</v>
      </c>
      <c r="D3782" t="s">
        <v>9531</v>
      </c>
      <c r="E3782">
        <v>1034</v>
      </c>
      <c r="F3782" t="s">
        <v>9527</v>
      </c>
    </row>
    <row r="3783" spans="1:6">
      <c r="A3783" t="s">
        <v>9798</v>
      </c>
      <c r="B3783">
        <v>8866</v>
      </c>
      <c r="C3783" t="s">
        <v>9674</v>
      </c>
      <c r="D3783" t="s">
        <v>9531</v>
      </c>
      <c r="E3783">
        <v>1034</v>
      </c>
      <c r="F3783" t="s">
        <v>9527</v>
      </c>
    </row>
    <row r="3784" spans="1:6">
      <c r="A3784" t="s">
        <v>9798</v>
      </c>
      <c r="B3784">
        <v>8864</v>
      </c>
      <c r="C3784" t="s">
        <v>9674</v>
      </c>
      <c r="D3784" t="s">
        <v>9531</v>
      </c>
      <c r="E3784">
        <v>1034</v>
      </c>
      <c r="F3784" t="s">
        <v>9527</v>
      </c>
    </row>
    <row r="3785" spans="1:6">
      <c r="A3785" t="s">
        <v>9798</v>
      </c>
      <c r="B3785">
        <v>7141</v>
      </c>
      <c r="C3785" t="s">
        <v>9674</v>
      </c>
      <c r="D3785" t="s">
        <v>9531</v>
      </c>
      <c r="E3785">
        <v>1034</v>
      </c>
      <c r="F3785" t="s">
        <v>9527</v>
      </c>
    </row>
    <row r="3786" spans="1:6">
      <c r="A3786" t="s">
        <v>9798</v>
      </c>
      <c r="B3786">
        <v>7143</v>
      </c>
      <c r="C3786" t="s">
        <v>9674</v>
      </c>
      <c r="D3786" t="s">
        <v>9531</v>
      </c>
      <c r="E3786">
        <v>1034</v>
      </c>
      <c r="F3786" t="s">
        <v>9527</v>
      </c>
    </row>
    <row r="3787" spans="1:6">
      <c r="A3787" t="s">
        <v>9798</v>
      </c>
      <c r="B3787">
        <v>7145</v>
      </c>
      <c r="C3787" t="s">
        <v>9674</v>
      </c>
      <c r="D3787" t="s">
        <v>9531</v>
      </c>
      <c r="E3787">
        <v>1034</v>
      </c>
      <c r="F3787" t="s">
        <v>9527</v>
      </c>
    </row>
    <row r="3788" spans="1:6">
      <c r="A3788" t="s">
        <v>9798</v>
      </c>
      <c r="B3788">
        <v>7147</v>
      </c>
      <c r="C3788" t="s">
        <v>9674</v>
      </c>
      <c r="D3788" t="s">
        <v>9531</v>
      </c>
      <c r="E3788">
        <v>1034</v>
      </c>
      <c r="F3788" t="s">
        <v>9527</v>
      </c>
    </row>
    <row r="3789" spans="1:6">
      <c r="A3789" t="s">
        <v>9798</v>
      </c>
      <c r="B3789">
        <v>3837</v>
      </c>
      <c r="C3789" t="s">
        <v>9674</v>
      </c>
      <c r="D3789" t="s">
        <v>9531</v>
      </c>
      <c r="E3789">
        <v>1034</v>
      </c>
      <c r="F3789" t="s">
        <v>9527</v>
      </c>
    </row>
    <row r="3790" spans="1:6">
      <c r="A3790" t="s">
        <v>9798</v>
      </c>
      <c r="B3790">
        <v>8878</v>
      </c>
      <c r="C3790" t="s">
        <v>9674</v>
      </c>
      <c r="D3790" t="s">
        <v>9531</v>
      </c>
      <c r="E3790">
        <v>1034</v>
      </c>
      <c r="F3790" t="s">
        <v>9527</v>
      </c>
    </row>
    <row r="3791" spans="1:6">
      <c r="A3791" t="s">
        <v>9798</v>
      </c>
      <c r="B3791">
        <v>8879</v>
      </c>
      <c r="C3791" t="s">
        <v>9674</v>
      </c>
      <c r="D3791" t="s">
        <v>9531</v>
      </c>
      <c r="E3791">
        <v>1034</v>
      </c>
      <c r="F3791" t="s">
        <v>9527</v>
      </c>
    </row>
    <row r="3792" spans="1:6">
      <c r="A3792" t="s">
        <v>9798</v>
      </c>
      <c r="B3792">
        <v>7233</v>
      </c>
      <c r="C3792" t="s">
        <v>9674</v>
      </c>
      <c r="D3792" t="s">
        <v>9531</v>
      </c>
      <c r="E3792">
        <v>1034</v>
      </c>
      <c r="F3792" t="s">
        <v>9527</v>
      </c>
    </row>
    <row r="3793" spans="1:6">
      <c r="A3793" t="s">
        <v>9798</v>
      </c>
      <c r="B3793">
        <v>5464</v>
      </c>
      <c r="C3793" t="s">
        <v>9674</v>
      </c>
      <c r="D3793" t="s">
        <v>9531</v>
      </c>
      <c r="E3793">
        <v>1034</v>
      </c>
      <c r="F3793" t="s">
        <v>9527</v>
      </c>
    </row>
    <row r="3794" spans="1:6">
      <c r="A3794" t="s">
        <v>9798</v>
      </c>
      <c r="B3794">
        <v>9532</v>
      </c>
      <c r="C3794" t="s">
        <v>9674</v>
      </c>
      <c r="D3794" t="s">
        <v>9531</v>
      </c>
      <c r="E3794">
        <v>1034</v>
      </c>
      <c r="F3794" t="s">
        <v>9527</v>
      </c>
    </row>
    <row r="3795" spans="1:6">
      <c r="A3795" t="s">
        <v>9798</v>
      </c>
      <c r="B3795">
        <v>5465</v>
      </c>
      <c r="C3795" t="s">
        <v>9674</v>
      </c>
      <c r="D3795" t="s">
        <v>9531</v>
      </c>
      <c r="E3795">
        <v>1034</v>
      </c>
      <c r="F3795" t="s">
        <v>9527</v>
      </c>
    </row>
    <row r="3796" spans="1:6">
      <c r="A3796" t="s">
        <v>9798</v>
      </c>
      <c r="B3796">
        <v>5456</v>
      </c>
      <c r="C3796" t="s">
        <v>9674</v>
      </c>
      <c r="D3796" t="s">
        <v>9531</v>
      </c>
      <c r="E3796">
        <v>1034</v>
      </c>
      <c r="F3796" t="s">
        <v>9527</v>
      </c>
    </row>
    <row r="3797" spans="1:6">
      <c r="A3797" t="s">
        <v>9798</v>
      </c>
      <c r="B3797">
        <v>7148</v>
      </c>
      <c r="C3797" t="s">
        <v>9674</v>
      </c>
      <c r="D3797" t="s">
        <v>9531</v>
      </c>
      <c r="E3797">
        <v>1034</v>
      </c>
      <c r="F3797" t="s">
        <v>9527</v>
      </c>
    </row>
    <row r="3798" spans="1:6">
      <c r="A3798" t="s">
        <v>9798</v>
      </c>
      <c r="B3798">
        <v>7385</v>
      </c>
      <c r="C3798" t="s">
        <v>9674</v>
      </c>
      <c r="D3798" t="s">
        <v>9531</v>
      </c>
      <c r="E3798">
        <v>1034</v>
      </c>
      <c r="F3798" t="s">
        <v>9527</v>
      </c>
    </row>
    <row r="3799" spans="1:6">
      <c r="A3799" t="s">
        <v>9798</v>
      </c>
      <c r="B3799">
        <v>7162</v>
      </c>
      <c r="C3799" t="s">
        <v>9674</v>
      </c>
      <c r="D3799" t="s">
        <v>9531</v>
      </c>
      <c r="E3799">
        <v>1034</v>
      </c>
      <c r="F3799" t="s">
        <v>9527</v>
      </c>
    </row>
    <row r="3800" spans="1:6">
      <c r="A3800" t="s">
        <v>9798</v>
      </c>
      <c r="B3800">
        <v>6241</v>
      </c>
      <c r="C3800" t="s">
        <v>9674</v>
      </c>
      <c r="D3800" t="s">
        <v>9531</v>
      </c>
      <c r="E3800">
        <v>1034</v>
      </c>
      <c r="F3800" t="s">
        <v>9527</v>
      </c>
    </row>
    <row r="3801" spans="1:6">
      <c r="A3801" t="s">
        <v>9798</v>
      </c>
      <c r="B3801">
        <v>8721</v>
      </c>
      <c r="C3801" t="s">
        <v>9674</v>
      </c>
      <c r="D3801" t="s">
        <v>9531</v>
      </c>
      <c r="E3801">
        <v>1034</v>
      </c>
      <c r="F3801" t="s">
        <v>9527</v>
      </c>
    </row>
    <row r="3802" spans="1:6">
      <c r="A3802" t="s">
        <v>9798</v>
      </c>
      <c r="B3802">
        <v>8731</v>
      </c>
      <c r="C3802" t="s">
        <v>9674</v>
      </c>
      <c r="D3802" t="s">
        <v>9531</v>
      </c>
      <c r="E3802">
        <v>1034</v>
      </c>
      <c r="F3802" t="s">
        <v>9527</v>
      </c>
    </row>
    <row r="3803" spans="1:6">
      <c r="A3803" t="s">
        <v>9798</v>
      </c>
      <c r="B3803">
        <v>7906</v>
      </c>
      <c r="C3803" t="s">
        <v>9674</v>
      </c>
      <c r="D3803" t="s">
        <v>9531</v>
      </c>
      <c r="E3803">
        <v>1034</v>
      </c>
      <c r="F3803" t="s">
        <v>9527</v>
      </c>
    </row>
    <row r="3804" spans="1:6">
      <c r="A3804" t="s">
        <v>9798</v>
      </c>
      <c r="B3804">
        <v>7916</v>
      </c>
      <c r="C3804" t="s">
        <v>9674</v>
      </c>
      <c r="D3804" t="s">
        <v>9531</v>
      </c>
      <c r="E3804">
        <v>1034</v>
      </c>
      <c r="F3804" t="s">
        <v>9527</v>
      </c>
    </row>
    <row r="3805" spans="1:6">
      <c r="A3805" t="s">
        <v>9798</v>
      </c>
      <c r="B3805">
        <v>8737</v>
      </c>
      <c r="C3805" t="s">
        <v>9674</v>
      </c>
      <c r="D3805" t="s">
        <v>9531</v>
      </c>
      <c r="E3805">
        <v>1034</v>
      </c>
      <c r="F3805" t="s">
        <v>9527</v>
      </c>
    </row>
    <row r="3806" spans="1:6">
      <c r="A3806" t="s">
        <v>9798</v>
      </c>
      <c r="B3806">
        <v>7917</v>
      </c>
      <c r="C3806" t="s">
        <v>9674</v>
      </c>
      <c r="D3806" t="s">
        <v>9531</v>
      </c>
      <c r="E3806">
        <v>1034</v>
      </c>
      <c r="F3806" t="s">
        <v>9527</v>
      </c>
    </row>
    <row r="3807" spans="1:6">
      <c r="A3807" t="s">
        <v>9798</v>
      </c>
      <c r="B3807">
        <v>7903</v>
      </c>
      <c r="C3807" t="s">
        <v>9674</v>
      </c>
      <c r="D3807" t="s">
        <v>9531</v>
      </c>
      <c r="E3807">
        <v>1034</v>
      </c>
      <c r="F3807" t="s">
        <v>9527</v>
      </c>
    </row>
    <row r="3808" spans="1:6">
      <c r="A3808" t="s">
        <v>9798</v>
      </c>
      <c r="B3808">
        <v>5455</v>
      </c>
      <c r="C3808" t="s">
        <v>9674</v>
      </c>
      <c r="D3808" t="s">
        <v>9531</v>
      </c>
      <c r="E3808">
        <v>1034</v>
      </c>
      <c r="F3808" t="s">
        <v>9527</v>
      </c>
    </row>
    <row r="3809" spans="1:6">
      <c r="A3809" t="s">
        <v>9798</v>
      </c>
      <c r="B3809">
        <v>5456</v>
      </c>
      <c r="C3809" t="s">
        <v>9674</v>
      </c>
      <c r="D3809" t="s">
        <v>9531</v>
      </c>
      <c r="E3809">
        <v>1034</v>
      </c>
      <c r="F3809" t="s">
        <v>9527</v>
      </c>
    </row>
    <row r="3810" spans="1:6">
      <c r="A3810" t="s">
        <v>9798</v>
      </c>
      <c r="B3810">
        <v>6391</v>
      </c>
      <c r="C3810" t="s">
        <v>9674</v>
      </c>
      <c r="D3810" t="s">
        <v>9531</v>
      </c>
      <c r="E3810">
        <v>1034</v>
      </c>
      <c r="F3810" t="s">
        <v>9527</v>
      </c>
    </row>
    <row r="3811" spans="1:6">
      <c r="A3811" t="s">
        <v>9798</v>
      </c>
      <c r="B3811">
        <v>7912</v>
      </c>
      <c r="C3811" t="s">
        <v>9674</v>
      </c>
      <c r="D3811" t="s">
        <v>9531</v>
      </c>
      <c r="E3811">
        <v>1034</v>
      </c>
      <c r="F3811" t="s">
        <v>9527</v>
      </c>
    </row>
    <row r="3812" spans="1:6">
      <c r="A3812" t="s">
        <v>9798</v>
      </c>
      <c r="B3812">
        <v>7913</v>
      </c>
      <c r="C3812" t="s">
        <v>9674</v>
      </c>
      <c r="D3812" t="s">
        <v>9531</v>
      </c>
      <c r="E3812">
        <v>1034</v>
      </c>
      <c r="F3812" t="s">
        <v>9527</v>
      </c>
    </row>
    <row r="3813" spans="1:6">
      <c r="A3813" t="s">
        <v>9798</v>
      </c>
      <c r="B3813">
        <v>7918</v>
      </c>
      <c r="C3813" t="s">
        <v>9674</v>
      </c>
      <c r="D3813" t="s">
        <v>9531</v>
      </c>
      <c r="E3813">
        <v>1034</v>
      </c>
      <c r="F3813" t="s">
        <v>9527</v>
      </c>
    </row>
    <row r="3814" spans="1:6">
      <c r="A3814" t="s">
        <v>9798</v>
      </c>
      <c r="B3814">
        <v>7919</v>
      </c>
      <c r="C3814" t="s">
        <v>9674</v>
      </c>
      <c r="D3814" t="s">
        <v>9531</v>
      </c>
      <c r="E3814">
        <v>1034</v>
      </c>
      <c r="F3814" t="s">
        <v>9527</v>
      </c>
    </row>
    <row r="3815" spans="1:6">
      <c r="A3815" t="s">
        <v>9798</v>
      </c>
      <c r="B3815">
        <v>8685</v>
      </c>
      <c r="C3815" t="s">
        <v>9674</v>
      </c>
      <c r="D3815" t="s">
        <v>9531</v>
      </c>
      <c r="E3815">
        <v>1034</v>
      </c>
      <c r="F3815" t="s">
        <v>9527</v>
      </c>
    </row>
    <row r="3816" spans="1:6">
      <c r="A3816" t="s">
        <v>9798</v>
      </c>
      <c r="B3816">
        <v>8686</v>
      </c>
      <c r="C3816" t="s">
        <v>9674</v>
      </c>
      <c r="D3816" t="s">
        <v>9531</v>
      </c>
      <c r="E3816">
        <v>1034</v>
      </c>
      <c r="F3816" t="s">
        <v>9527</v>
      </c>
    </row>
    <row r="3817" spans="1:6">
      <c r="A3817" t="s">
        <v>9798</v>
      </c>
      <c r="B3817">
        <v>8861</v>
      </c>
      <c r="C3817" t="s">
        <v>9674</v>
      </c>
      <c r="D3817" t="s">
        <v>9531</v>
      </c>
      <c r="E3817">
        <v>1034</v>
      </c>
      <c r="F3817" t="s">
        <v>9527</v>
      </c>
    </row>
    <row r="3818" spans="1:6">
      <c r="A3818" t="s">
        <v>9798</v>
      </c>
      <c r="B3818">
        <v>8862</v>
      </c>
      <c r="C3818" t="s">
        <v>9674</v>
      </c>
      <c r="D3818" t="s">
        <v>9531</v>
      </c>
      <c r="E3818">
        <v>1034</v>
      </c>
      <c r="F3818" t="s">
        <v>9527</v>
      </c>
    </row>
    <row r="3819" spans="1:6">
      <c r="A3819" t="s">
        <v>9798</v>
      </c>
      <c r="B3819">
        <v>8863</v>
      </c>
      <c r="C3819" t="s">
        <v>9674</v>
      </c>
      <c r="D3819" t="s">
        <v>9531</v>
      </c>
      <c r="E3819">
        <v>1034</v>
      </c>
      <c r="F3819" t="s">
        <v>9527</v>
      </c>
    </row>
    <row r="3820" spans="1:6">
      <c r="A3820" t="s">
        <v>9798</v>
      </c>
      <c r="B3820">
        <v>8683</v>
      </c>
      <c r="C3820" t="s">
        <v>9674</v>
      </c>
      <c r="D3820" t="s">
        <v>9531</v>
      </c>
      <c r="E3820">
        <v>1034</v>
      </c>
      <c r="F3820" t="s">
        <v>9527</v>
      </c>
    </row>
    <row r="3821" spans="1:6">
      <c r="A3821" t="s">
        <v>9798</v>
      </c>
      <c r="B3821">
        <v>8687</v>
      </c>
      <c r="C3821" t="s">
        <v>9674</v>
      </c>
      <c r="D3821" t="s">
        <v>9531</v>
      </c>
      <c r="E3821">
        <v>1034</v>
      </c>
      <c r="F3821" t="s">
        <v>9527</v>
      </c>
    </row>
    <row r="3822" spans="1:6">
      <c r="A3822" t="s">
        <v>9798</v>
      </c>
      <c r="B3822">
        <v>8870</v>
      </c>
      <c r="C3822" t="s">
        <v>9674</v>
      </c>
      <c r="D3822" t="s">
        <v>9531</v>
      </c>
      <c r="E3822">
        <v>1034</v>
      </c>
      <c r="F3822" t="s">
        <v>9527</v>
      </c>
    </row>
    <row r="3823" spans="1:6">
      <c r="A3823" t="s">
        <v>9798</v>
      </c>
      <c r="B3823">
        <v>8688</v>
      </c>
      <c r="C3823" t="s">
        <v>9674</v>
      </c>
      <c r="D3823" t="s">
        <v>9531</v>
      </c>
      <c r="E3823">
        <v>1034</v>
      </c>
      <c r="F3823" t="s">
        <v>9527</v>
      </c>
    </row>
    <row r="3824" spans="1:6">
      <c r="A3824" t="s">
        <v>9798</v>
      </c>
      <c r="B3824">
        <v>8855</v>
      </c>
      <c r="C3824" t="s">
        <v>9674</v>
      </c>
      <c r="D3824" t="s">
        <v>9531</v>
      </c>
      <c r="E3824">
        <v>1034</v>
      </c>
      <c r="F3824" t="s">
        <v>9527</v>
      </c>
    </row>
    <row r="3825" spans="1:6">
      <c r="A3825" t="s">
        <v>9798</v>
      </c>
      <c r="B3825">
        <v>8872</v>
      </c>
      <c r="C3825" t="s">
        <v>9674</v>
      </c>
      <c r="D3825" t="s">
        <v>9531</v>
      </c>
      <c r="E3825">
        <v>1034</v>
      </c>
      <c r="F3825" t="s">
        <v>9527</v>
      </c>
    </row>
    <row r="3826" spans="1:6">
      <c r="A3826" t="s">
        <v>9798</v>
      </c>
      <c r="B3826">
        <v>8874</v>
      </c>
      <c r="C3826" t="s">
        <v>9674</v>
      </c>
      <c r="D3826" t="s">
        <v>9531</v>
      </c>
      <c r="E3826">
        <v>1034</v>
      </c>
      <c r="F3826" t="s">
        <v>9527</v>
      </c>
    </row>
    <row r="3827" spans="1:6">
      <c r="A3827" t="s">
        <v>9798</v>
      </c>
      <c r="B3827">
        <v>6385</v>
      </c>
      <c r="C3827" t="s">
        <v>9674</v>
      </c>
      <c r="D3827" t="s">
        <v>9531</v>
      </c>
      <c r="E3827">
        <v>1034</v>
      </c>
      <c r="F3827" t="s">
        <v>9527</v>
      </c>
    </row>
    <row r="3828" spans="1:6">
      <c r="A3828" t="s">
        <v>9798</v>
      </c>
      <c r="B3828">
        <v>6386</v>
      </c>
      <c r="C3828" t="s">
        <v>9674</v>
      </c>
      <c r="D3828" t="s">
        <v>9531</v>
      </c>
      <c r="E3828">
        <v>1034</v>
      </c>
      <c r="F3828" t="s">
        <v>9527</v>
      </c>
    </row>
    <row r="3829" spans="1:6">
      <c r="A3829" t="s">
        <v>9798</v>
      </c>
      <c r="B3829">
        <v>6388</v>
      </c>
      <c r="C3829" t="s">
        <v>9674</v>
      </c>
      <c r="D3829" t="s">
        <v>9531</v>
      </c>
      <c r="E3829">
        <v>1034</v>
      </c>
      <c r="F3829" t="s">
        <v>9527</v>
      </c>
    </row>
    <row r="3830" spans="1:6">
      <c r="A3830" t="s">
        <v>9798</v>
      </c>
      <c r="B3830">
        <v>6389</v>
      </c>
      <c r="C3830" t="s">
        <v>9674</v>
      </c>
      <c r="D3830" t="s">
        <v>9531</v>
      </c>
      <c r="E3830">
        <v>1034</v>
      </c>
      <c r="F3830" t="s">
        <v>9527</v>
      </c>
    </row>
    <row r="3831" spans="1:6">
      <c r="A3831" t="s">
        <v>9798</v>
      </c>
      <c r="B3831">
        <v>6390</v>
      </c>
      <c r="C3831" t="s">
        <v>9674</v>
      </c>
      <c r="D3831" t="s">
        <v>9531</v>
      </c>
      <c r="E3831">
        <v>1034</v>
      </c>
      <c r="F3831" t="s">
        <v>9527</v>
      </c>
    </row>
    <row r="3832" spans="1:6">
      <c r="A3832" t="s">
        <v>9798</v>
      </c>
      <c r="B3832">
        <v>7321</v>
      </c>
      <c r="C3832" t="s">
        <v>9674</v>
      </c>
      <c r="D3832" t="s">
        <v>9531</v>
      </c>
      <c r="E3832">
        <v>1034</v>
      </c>
      <c r="F3832" t="s">
        <v>9527</v>
      </c>
    </row>
    <row r="3833" spans="1:6">
      <c r="A3833" t="s">
        <v>9798</v>
      </c>
      <c r="B3833">
        <v>7831</v>
      </c>
      <c r="C3833" t="s">
        <v>9674</v>
      </c>
      <c r="D3833" t="s">
        <v>9531</v>
      </c>
      <c r="E3833">
        <v>1034</v>
      </c>
      <c r="F3833" t="s">
        <v>9527</v>
      </c>
    </row>
    <row r="3834" spans="1:6">
      <c r="A3834" t="s">
        <v>9798</v>
      </c>
      <c r="B3834">
        <v>7832</v>
      </c>
      <c r="C3834" t="s">
        <v>9674</v>
      </c>
      <c r="D3834" t="s">
        <v>9531</v>
      </c>
      <c r="E3834">
        <v>1034</v>
      </c>
      <c r="F3834" t="s">
        <v>9527</v>
      </c>
    </row>
    <row r="3835" spans="1:6">
      <c r="A3835" t="s">
        <v>9798</v>
      </c>
      <c r="B3835">
        <v>7833</v>
      </c>
      <c r="C3835" t="s">
        <v>9674</v>
      </c>
      <c r="D3835" t="s">
        <v>9531</v>
      </c>
      <c r="E3835">
        <v>1034</v>
      </c>
      <c r="F3835" t="s">
        <v>9527</v>
      </c>
    </row>
    <row r="3836" spans="1:6">
      <c r="A3836" t="s">
        <v>9798</v>
      </c>
      <c r="B3836">
        <v>7834</v>
      </c>
      <c r="C3836" t="s">
        <v>9674</v>
      </c>
      <c r="D3836" t="s">
        <v>9531</v>
      </c>
      <c r="E3836">
        <v>1034</v>
      </c>
      <c r="F3836" t="s">
        <v>9527</v>
      </c>
    </row>
    <row r="3837" spans="1:6">
      <c r="A3837" t="s">
        <v>9798</v>
      </c>
      <c r="B3837">
        <v>8722</v>
      </c>
      <c r="C3837" t="s">
        <v>9674</v>
      </c>
      <c r="D3837" t="s">
        <v>9531</v>
      </c>
      <c r="E3837">
        <v>1034</v>
      </c>
      <c r="F3837" t="s">
        <v>9527</v>
      </c>
    </row>
    <row r="3838" spans="1:6">
      <c r="A3838" t="s">
        <v>9798</v>
      </c>
      <c r="B3838">
        <v>8733</v>
      </c>
      <c r="C3838" t="s">
        <v>9674</v>
      </c>
      <c r="D3838" t="s">
        <v>9531</v>
      </c>
      <c r="E3838">
        <v>1034</v>
      </c>
      <c r="F3838" t="s">
        <v>9527</v>
      </c>
    </row>
    <row r="3839" spans="1:6">
      <c r="A3839" t="s">
        <v>9798</v>
      </c>
      <c r="B3839">
        <v>8752</v>
      </c>
      <c r="C3839" t="s">
        <v>9674</v>
      </c>
      <c r="D3839" t="s">
        <v>9531</v>
      </c>
      <c r="E3839">
        <v>1034</v>
      </c>
      <c r="F3839" t="s">
        <v>9527</v>
      </c>
    </row>
    <row r="3840" spans="1:6">
      <c r="A3840" t="s">
        <v>9798</v>
      </c>
      <c r="B3840">
        <v>6205</v>
      </c>
      <c r="C3840" t="s">
        <v>9674</v>
      </c>
      <c r="D3840" t="s">
        <v>9531</v>
      </c>
      <c r="E3840">
        <v>1034</v>
      </c>
      <c r="F3840" t="s">
        <v>9527</v>
      </c>
    </row>
    <row r="3841" spans="1:6">
      <c r="A3841" t="s">
        <v>9798</v>
      </c>
      <c r="B3841">
        <v>7163</v>
      </c>
      <c r="C3841" t="s">
        <v>9674</v>
      </c>
      <c r="D3841" t="s">
        <v>9531</v>
      </c>
      <c r="E3841">
        <v>1034</v>
      </c>
      <c r="F3841" t="s">
        <v>9527</v>
      </c>
    </row>
    <row r="3842" spans="1:6">
      <c r="A3842" t="s">
        <v>9798</v>
      </c>
      <c r="B3842">
        <v>8877</v>
      </c>
      <c r="C3842" t="s">
        <v>9674</v>
      </c>
      <c r="D3842" t="s">
        <v>9531</v>
      </c>
      <c r="E3842">
        <v>1034</v>
      </c>
      <c r="F3842" t="s">
        <v>9527</v>
      </c>
    </row>
    <row r="3843" spans="1:6">
      <c r="A3843" t="s">
        <v>9798</v>
      </c>
      <c r="B3843">
        <v>7164</v>
      </c>
      <c r="C3843" t="s">
        <v>9674</v>
      </c>
      <c r="D3843" t="s">
        <v>9531</v>
      </c>
      <c r="E3843">
        <v>1034</v>
      </c>
      <c r="F3843" t="s">
        <v>9527</v>
      </c>
    </row>
    <row r="3844" spans="1:6">
      <c r="A3844" t="s">
        <v>9798</v>
      </c>
      <c r="B3844">
        <v>8865</v>
      </c>
      <c r="C3844" t="s">
        <v>9674</v>
      </c>
      <c r="D3844" t="s">
        <v>9531</v>
      </c>
      <c r="E3844">
        <v>1034</v>
      </c>
      <c r="F3844" t="s">
        <v>9527</v>
      </c>
    </row>
    <row r="3845" spans="1:6">
      <c r="A3845" t="s">
        <v>9798</v>
      </c>
      <c r="B3845">
        <v>8866</v>
      </c>
      <c r="C3845" t="s">
        <v>9674</v>
      </c>
      <c r="D3845" t="s">
        <v>9531</v>
      </c>
      <c r="E3845">
        <v>1034</v>
      </c>
      <c r="F3845" t="s">
        <v>9527</v>
      </c>
    </row>
    <row r="3846" spans="1:6">
      <c r="A3846" t="s">
        <v>9798</v>
      </c>
      <c r="B3846">
        <v>8864</v>
      </c>
      <c r="C3846" t="s">
        <v>9674</v>
      </c>
      <c r="D3846" t="s">
        <v>9531</v>
      </c>
      <c r="E3846">
        <v>1034</v>
      </c>
      <c r="F3846" t="s">
        <v>9527</v>
      </c>
    </row>
    <row r="3847" spans="1:6">
      <c r="A3847" t="s">
        <v>9798</v>
      </c>
      <c r="B3847">
        <v>7141</v>
      </c>
      <c r="C3847" t="s">
        <v>9674</v>
      </c>
      <c r="D3847" t="s">
        <v>9531</v>
      </c>
      <c r="E3847">
        <v>1034</v>
      </c>
      <c r="F3847" t="s">
        <v>9527</v>
      </c>
    </row>
    <row r="3848" spans="1:6">
      <c r="A3848" t="s">
        <v>9798</v>
      </c>
      <c r="B3848">
        <v>7143</v>
      </c>
      <c r="C3848" t="s">
        <v>9674</v>
      </c>
      <c r="D3848" t="s">
        <v>9531</v>
      </c>
      <c r="E3848">
        <v>1034</v>
      </c>
      <c r="F3848" t="s">
        <v>9527</v>
      </c>
    </row>
    <row r="3849" spans="1:6">
      <c r="A3849" t="s">
        <v>9798</v>
      </c>
      <c r="B3849">
        <v>7145</v>
      </c>
      <c r="C3849" t="s">
        <v>9674</v>
      </c>
      <c r="D3849" t="s">
        <v>9531</v>
      </c>
      <c r="E3849">
        <v>1034</v>
      </c>
      <c r="F3849" t="s">
        <v>9527</v>
      </c>
    </row>
    <row r="3850" spans="1:6">
      <c r="A3850" t="s">
        <v>9798</v>
      </c>
      <c r="B3850">
        <v>7147</v>
      </c>
      <c r="C3850" t="s">
        <v>9674</v>
      </c>
      <c r="D3850" t="s">
        <v>9531</v>
      </c>
      <c r="E3850">
        <v>1034</v>
      </c>
      <c r="F3850" t="s">
        <v>9527</v>
      </c>
    </row>
    <row r="3851" spans="1:6">
      <c r="A3851" t="s">
        <v>9798</v>
      </c>
      <c r="B3851">
        <v>3837</v>
      </c>
      <c r="C3851" t="s">
        <v>9674</v>
      </c>
      <c r="D3851" t="s">
        <v>9531</v>
      </c>
      <c r="E3851">
        <v>1034</v>
      </c>
      <c r="F3851" t="s">
        <v>9527</v>
      </c>
    </row>
    <row r="3852" spans="1:6">
      <c r="A3852" t="s">
        <v>9798</v>
      </c>
      <c r="B3852">
        <v>8878</v>
      </c>
      <c r="C3852" t="s">
        <v>9674</v>
      </c>
      <c r="D3852" t="s">
        <v>9531</v>
      </c>
      <c r="E3852">
        <v>1034</v>
      </c>
      <c r="F3852" t="s">
        <v>9527</v>
      </c>
    </row>
    <row r="3853" spans="1:6">
      <c r="A3853" t="s">
        <v>9798</v>
      </c>
      <c r="B3853">
        <v>8879</v>
      </c>
      <c r="C3853" t="s">
        <v>9674</v>
      </c>
      <c r="D3853" t="s">
        <v>9531</v>
      </c>
      <c r="E3853">
        <v>1034</v>
      </c>
      <c r="F3853" t="s">
        <v>9527</v>
      </c>
    </row>
    <row r="3854" spans="1:6">
      <c r="A3854" t="s">
        <v>9798</v>
      </c>
      <c r="B3854">
        <v>7233</v>
      </c>
      <c r="C3854" t="s">
        <v>9674</v>
      </c>
      <c r="D3854" t="s">
        <v>9531</v>
      </c>
      <c r="E3854">
        <v>1034</v>
      </c>
      <c r="F3854" t="s">
        <v>9527</v>
      </c>
    </row>
    <row r="3855" spans="1:6">
      <c r="A3855" t="s">
        <v>9798</v>
      </c>
      <c r="B3855">
        <v>5464</v>
      </c>
      <c r="C3855" t="s">
        <v>9674</v>
      </c>
      <c r="D3855" t="s">
        <v>9531</v>
      </c>
      <c r="E3855">
        <v>1034</v>
      </c>
      <c r="F3855" t="s">
        <v>9527</v>
      </c>
    </row>
    <row r="3856" spans="1:6">
      <c r="A3856" t="s">
        <v>9798</v>
      </c>
      <c r="B3856">
        <v>9532</v>
      </c>
      <c r="C3856" t="s">
        <v>9674</v>
      </c>
      <c r="D3856" t="s">
        <v>9531</v>
      </c>
      <c r="E3856">
        <v>1034</v>
      </c>
      <c r="F3856" t="s">
        <v>9527</v>
      </c>
    </row>
    <row r="3857" spans="1:6">
      <c r="A3857" t="s">
        <v>9798</v>
      </c>
      <c r="B3857">
        <v>5465</v>
      </c>
      <c r="C3857" t="s">
        <v>9674</v>
      </c>
      <c r="D3857" t="s">
        <v>9531</v>
      </c>
      <c r="E3857">
        <v>1034</v>
      </c>
      <c r="F3857" t="s">
        <v>9527</v>
      </c>
    </row>
    <row r="3858" spans="1:6">
      <c r="A3858" t="s">
        <v>9798</v>
      </c>
      <c r="B3858">
        <v>5456</v>
      </c>
      <c r="C3858" t="s">
        <v>9674</v>
      </c>
      <c r="D3858" t="s">
        <v>9531</v>
      </c>
      <c r="E3858">
        <v>1034</v>
      </c>
      <c r="F3858" t="s">
        <v>9527</v>
      </c>
    </row>
    <row r="3859" spans="1:6">
      <c r="A3859" t="s">
        <v>9798</v>
      </c>
      <c r="B3859">
        <v>7148</v>
      </c>
      <c r="C3859" t="s">
        <v>9674</v>
      </c>
      <c r="D3859" t="s">
        <v>9531</v>
      </c>
      <c r="E3859">
        <v>1034</v>
      </c>
      <c r="F3859" t="s">
        <v>9527</v>
      </c>
    </row>
    <row r="3860" spans="1:6">
      <c r="A3860" t="s">
        <v>9798</v>
      </c>
      <c r="B3860">
        <v>7385</v>
      </c>
      <c r="C3860" t="s">
        <v>9674</v>
      </c>
      <c r="D3860" t="s">
        <v>9531</v>
      </c>
      <c r="E3860">
        <v>1034</v>
      </c>
      <c r="F3860" t="s">
        <v>9527</v>
      </c>
    </row>
    <row r="3861" spans="1:6">
      <c r="A3861" t="s">
        <v>9798</v>
      </c>
      <c r="B3861">
        <v>7162</v>
      </c>
      <c r="C3861" t="s">
        <v>9674</v>
      </c>
      <c r="D3861" t="s">
        <v>9531</v>
      </c>
      <c r="E3861">
        <v>1034</v>
      </c>
      <c r="F3861" t="s">
        <v>9527</v>
      </c>
    </row>
    <row r="3862" spans="1:6">
      <c r="A3862" t="s">
        <v>9798</v>
      </c>
      <c r="B3862">
        <v>6241</v>
      </c>
      <c r="C3862" t="s">
        <v>9674</v>
      </c>
      <c r="D3862" t="s">
        <v>9531</v>
      </c>
      <c r="E3862">
        <v>1034</v>
      </c>
      <c r="F3862" t="s">
        <v>9527</v>
      </c>
    </row>
    <row r="3863" spans="1:6">
      <c r="A3863" t="s">
        <v>9799</v>
      </c>
      <c r="B3863">
        <v>8835</v>
      </c>
      <c r="C3863" t="s">
        <v>9674</v>
      </c>
      <c r="D3863" t="s">
        <v>9537</v>
      </c>
      <c r="E3863" t="s">
        <v>9800</v>
      </c>
      <c r="F3863" t="s">
        <v>9527</v>
      </c>
    </row>
    <row r="3864" spans="1:6">
      <c r="A3864" t="s">
        <v>9799</v>
      </c>
      <c r="B3864">
        <v>8848</v>
      </c>
      <c r="C3864" t="s">
        <v>9674</v>
      </c>
      <c r="D3864" t="s">
        <v>9537</v>
      </c>
      <c r="E3864" t="s">
        <v>9800</v>
      </c>
      <c r="F3864" t="s">
        <v>9527</v>
      </c>
    </row>
    <row r="3865" spans="1:6">
      <c r="A3865" t="s">
        <v>9799</v>
      </c>
      <c r="B3865">
        <v>7992</v>
      </c>
      <c r="C3865" t="s">
        <v>9674</v>
      </c>
      <c r="D3865" t="s">
        <v>9537</v>
      </c>
      <c r="E3865" t="s">
        <v>9800</v>
      </c>
      <c r="F3865" t="s">
        <v>9527</v>
      </c>
    </row>
    <row r="3866" spans="1:6">
      <c r="A3866" t="s">
        <v>9799</v>
      </c>
      <c r="B3866">
        <v>8830</v>
      </c>
      <c r="C3866" t="s">
        <v>9674</v>
      </c>
      <c r="D3866" t="s">
        <v>9537</v>
      </c>
      <c r="E3866" t="s">
        <v>9800</v>
      </c>
      <c r="F3866" t="s">
        <v>9527</v>
      </c>
    </row>
    <row r="3867" spans="1:6">
      <c r="A3867" t="s">
        <v>9799</v>
      </c>
      <c r="B3867">
        <v>8837</v>
      </c>
      <c r="C3867" t="s">
        <v>9674</v>
      </c>
      <c r="D3867" t="s">
        <v>9537</v>
      </c>
      <c r="E3867" t="s">
        <v>9800</v>
      </c>
      <c r="F3867" t="s">
        <v>9527</v>
      </c>
    </row>
    <row r="3868" spans="1:6">
      <c r="A3868" t="s">
        <v>9799</v>
      </c>
      <c r="B3868">
        <v>8827</v>
      </c>
      <c r="C3868" t="s">
        <v>9674</v>
      </c>
      <c r="D3868" t="s">
        <v>9537</v>
      </c>
      <c r="E3868" t="s">
        <v>9800</v>
      </c>
      <c r="F3868" t="s">
        <v>9527</v>
      </c>
    </row>
    <row r="3869" spans="1:6">
      <c r="A3869" t="s">
        <v>9799</v>
      </c>
      <c r="B3869">
        <v>8670</v>
      </c>
      <c r="C3869" t="s">
        <v>9674</v>
      </c>
      <c r="D3869" t="s">
        <v>9537</v>
      </c>
      <c r="E3869" t="s">
        <v>9800</v>
      </c>
      <c r="F3869" t="s">
        <v>9527</v>
      </c>
    </row>
    <row r="3870" spans="1:6">
      <c r="A3870" t="s">
        <v>9799</v>
      </c>
      <c r="B3870">
        <v>7977</v>
      </c>
      <c r="C3870" t="s">
        <v>9674</v>
      </c>
      <c r="D3870" t="s">
        <v>9537</v>
      </c>
      <c r="E3870" t="s">
        <v>9800</v>
      </c>
      <c r="F3870" t="s">
        <v>9527</v>
      </c>
    </row>
    <row r="3871" spans="1:6">
      <c r="A3871" t="s">
        <v>9799</v>
      </c>
      <c r="B3871">
        <v>7839</v>
      </c>
      <c r="C3871" t="s">
        <v>9674</v>
      </c>
      <c r="D3871" t="s">
        <v>9537</v>
      </c>
      <c r="E3871" t="s">
        <v>9800</v>
      </c>
      <c r="F3871" t="s">
        <v>9527</v>
      </c>
    </row>
    <row r="3872" spans="1:6">
      <c r="A3872" t="s">
        <v>9799</v>
      </c>
      <c r="B3872">
        <v>7380</v>
      </c>
      <c r="C3872" t="s">
        <v>9674</v>
      </c>
      <c r="D3872" t="s">
        <v>9537</v>
      </c>
      <c r="E3872" t="s">
        <v>9800</v>
      </c>
      <c r="F3872" t="s">
        <v>9527</v>
      </c>
    </row>
    <row r="3873" spans="1:6">
      <c r="A3873" t="s">
        <v>9799</v>
      </c>
      <c r="B3873">
        <v>7383</v>
      </c>
      <c r="C3873" t="s">
        <v>9674</v>
      </c>
      <c r="D3873" t="s">
        <v>9537</v>
      </c>
      <c r="E3873" t="s">
        <v>9800</v>
      </c>
      <c r="F3873" t="s">
        <v>9527</v>
      </c>
    </row>
    <row r="3874" spans="1:6">
      <c r="A3874" t="s">
        <v>9799</v>
      </c>
      <c r="B3874">
        <v>7160</v>
      </c>
      <c r="C3874" t="s">
        <v>9674</v>
      </c>
      <c r="D3874" t="s">
        <v>9537</v>
      </c>
      <c r="E3874" t="s">
        <v>9800</v>
      </c>
      <c r="F3874" t="s">
        <v>9527</v>
      </c>
    </row>
    <row r="3875" spans="1:6">
      <c r="A3875" t="s">
        <v>9799</v>
      </c>
      <c r="B3875">
        <v>7946</v>
      </c>
      <c r="C3875" t="s">
        <v>9674</v>
      </c>
      <c r="D3875" t="s">
        <v>9537</v>
      </c>
      <c r="E3875" t="s">
        <v>9800</v>
      </c>
      <c r="F3875" t="s">
        <v>9527</v>
      </c>
    </row>
    <row r="3876" spans="1:6">
      <c r="A3876" t="s">
        <v>9799</v>
      </c>
      <c r="B3876">
        <v>7978</v>
      </c>
      <c r="C3876" t="s">
        <v>9674</v>
      </c>
      <c r="D3876" t="s">
        <v>9537</v>
      </c>
      <c r="E3876" t="s">
        <v>9800</v>
      </c>
      <c r="F3876" t="s">
        <v>9527</v>
      </c>
    </row>
    <row r="3877" spans="1:6">
      <c r="A3877" t="s">
        <v>9799</v>
      </c>
      <c r="B3877">
        <v>7944</v>
      </c>
      <c r="C3877" t="s">
        <v>9674</v>
      </c>
      <c r="D3877" t="s">
        <v>9537</v>
      </c>
      <c r="E3877" t="s">
        <v>9800</v>
      </c>
      <c r="F3877" t="s">
        <v>9527</v>
      </c>
    </row>
    <row r="3878" spans="1:6">
      <c r="A3878" t="s">
        <v>9799</v>
      </c>
      <c r="B3878">
        <v>7914</v>
      </c>
      <c r="C3878" t="s">
        <v>9674</v>
      </c>
      <c r="D3878" t="s">
        <v>9537</v>
      </c>
      <c r="E3878" t="s">
        <v>9800</v>
      </c>
      <c r="F3878" t="s">
        <v>9527</v>
      </c>
    </row>
    <row r="3879" spans="1:6">
      <c r="A3879" t="s">
        <v>9799</v>
      </c>
      <c r="B3879">
        <v>7942</v>
      </c>
      <c r="C3879" t="s">
        <v>9674</v>
      </c>
      <c r="D3879" t="s">
        <v>9537</v>
      </c>
      <c r="E3879" t="s">
        <v>9800</v>
      </c>
      <c r="F3879" t="s">
        <v>9527</v>
      </c>
    </row>
    <row r="3880" spans="1:6">
      <c r="A3880" t="s">
        <v>9799</v>
      </c>
      <c r="B3880">
        <v>7376</v>
      </c>
      <c r="C3880" t="s">
        <v>9674</v>
      </c>
      <c r="D3880" t="s">
        <v>9537</v>
      </c>
      <c r="E3880" t="s">
        <v>9800</v>
      </c>
      <c r="F3880" t="s">
        <v>9527</v>
      </c>
    </row>
    <row r="3881" spans="1:6">
      <c r="A3881" t="s">
        <v>9799</v>
      </c>
      <c r="B3881">
        <v>7377</v>
      </c>
      <c r="C3881" t="s">
        <v>9674</v>
      </c>
      <c r="D3881" t="s">
        <v>9537</v>
      </c>
      <c r="E3881" t="s">
        <v>9800</v>
      </c>
      <c r="F3881" t="s">
        <v>9527</v>
      </c>
    </row>
    <row r="3882" spans="1:6">
      <c r="A3882" t="s">
        <v>9799</v>
      </c>
      <c r="B3882">
        <v>7158</v>
      </c>
      <c r="C3882" t="s">
        <v>9674</v>
      </c>
      <c r="D3882" t="s">
        <v>9537</v>
      </c>
      <c r="E3882" t="s">
        <v>9800</v>
      </c>
      <c r="F3882" t="s">
        <v>9527</v>
      </c>
    </row>
    <row r="3883" spans="1:6">
      <c r="A3883" t="s">
        <v>9799</v>
      </c>
      <c r="B3883">
        <v>7979</v>
      </c>
      <c r="C3883" t="s">
        <v>9674</v>
      </c>
      <c r="D3883" t="s">
        <v>9537</v>
      </c>
      <c r="E3883" t="s">
        <v>9800</v>
      </c>
      <c r="F3883" t="s">
        <v>9527</v>
      </c>
    </row>
    <row r="3884" spans="1:6">
      <c r="A3884" t="s">
        <v>9799</v>
      </c>
      <c r="B3884">
        <v>7947</v>
      </c>
      <c r="C3884" t="s">
        <v>9674</v>
      </c>
      <c r="D3884" t="s">
        <v>9537</v>
      </c>
      <c r="E3884" t="s">
        <v>9800</v>
      </c>
      <c r="F3884" t="s">
        <v>9527</v>
      </c>
    </row>
    <row r="3885" spans="1:6">
      <c r="A3885" t="s">
        <v>9799</v>
      </c>
      <c r="B3885">
        <v>5454</v>
      </c>
      <c r="C3885" t="s">
        <v>9674</v>
      </c>
      <c r="D3885" t="s">
        <v>9537</v>
      </c>
      <c r="E3885" t="s">
        <v>9800</v>
      </c>
      <c r="F3885" t="s">
        <v>9527</v>
      </c>
    </row>
    <row r="3886" spans="1:6">
      <c r="A3886" t="s">
        <v>9799</v>
      </c>
      <c r="B3886">
        <v>7945</v>
      </c>
      <c r="C3886" t="s">
        <v>9674</v>
      </c>
      <c r="D3886" t="s">
        <v>9537</v>
      </c>
      <c r="E3886" t="s">
        <v>9800</v>
      </c>
      <c r="F3886" t="s">
        <v>9527</v>
      </c>
    </row>
    <row r="3887" spans="1:6">
      <c r="A3887" t="s">
        <v>9799</v>
      </c>
      <c r="B3887">
        <v>7949</v>
      </c>
      <c r="C3887" t="s">
        <v>9674</v>
      </c>
      <c r="D3887" t="s">
        <v>9537</v>
      </c>
      <c r="E3887" t="s">
        <v>9800</v>
      </c>
      <c r="F3887" t="s">
        <v>9527</v>
      </c>
    </row>
    <row r="3888" spans="1:6">
      <c r="A3888" t="s">
        <v>9799</v>
      </c>
      <c r="B3888">
        <v>5460</v>
      </c>
      <c r="C3888" t="s">
        <v>9674</v>
      </c>
      <c r="D3888" t="s">
        <v>9537</v>
      </c>
      <c r="E3888" t="s">
        <v>9800</v>
      </c>
      <c r="F3888" t="s">
        <v>9527</v>
      </c>
    </row>
    <row r="3889" spans="1:6">
      <c r="A3889" t="s">
        <v>9799</v>
      </c>
      <c r="B3889">
        <v>5466</v>
      </c>
      <c r="C3889" t="s">
        <v>9674</v>
      </c>
      <c r="D3889" t="s">
        <v>9537</v>
      </c>
      <c r="E3889" t="s">
        <v>9800</v>
      </c>
      <c r="F3889" t="s">
        <v>9527</v>
      </c>
    </row>
    <row r="3890" spans="1:6">
      <c r="A3890" t="s">
        <v>9799</v>
      </c>
      <c r="B3890">
        <v>7915</v>
      </c>
      <c r="C3890" t="s">
        <v>9674</v>
      </c>
      <c r="D3890" t="s">
        <v>9537</v>
      </c>
      <c r="E3890" t="s">
        <v>9800</v>
      </c>
      <c r="F3890" t="s">
        <v>9527</v>
      </c>
    </row>
    <row r="3891" spans="1:6">
      <c r="A3891" t="s">
        <v>9799</v>
      </c>
      <c r="B3891">
        <v>7980</v>
      </c>
      <c r="C3891" t="s">
        <v>9674</v>
      </c>
      <c r="D3891" t="s">
        <v>9537</v>
      </c>
      <c r="E3891" t="s">
        <v>9800</v>
      </c>
      <c r="F3891" t="s">
        <v>9527</v>
      </c>
    </row>
    <row r="3892" spans="1:6">
      <c r="A3892" t="s">
        <v>9799</v>
      </c>
      <c r="B3892">
        <v>6630</v>
      </c>
      <c r="C3892" t="s">
        <v>9674</v>
      </c>
      <c r="D3892" t="s">
        <v>9537</v>
      </c>
      <c r="E3892" t="s">
        <v>9800</v>
      </c>
      <c r="F3892" t="s">
        <v>9527</v>
      </c>
    </row>
    <row r="3893" spans="1:6">
      <c r="A3893" t="s">
        <v>9799</v>
      </c>
      <c r="B3893">
        <v>7943</v>
      </c>
      <c r="C3893" t="s">
        <v>9674</v>
      </c>
      <c r="D3893" t="s">
        <v>9537</v>
      </c>
      <c r="E3893" t="s">
        <v>9800</v>
      </c>
      <c r="F3893" t="s">
        <v>9527</v>
      </c>
    </row>
    <row r="3894" spans="1:6">
      <c r="A3894" t="s">
        <v>9799</v>
      </c>
      <c r="B3894">
        <v>7985</v>
      </c>
      <c r="C3894" t="s">
        <v>9674</v>
      </c>
      <c r="D3894" t="s">
        <v>9537</v>
      </c>
      <c r="E3894" t="s">
        <v>9800</v>
      </c>
      <c r="F3894" t="s">
        <v>9527</v>
      </c>
    </row>
    <row r="3895" spans="1:6">
      <c r="A3895" t="s">
        <v>9799</v>
      </c>
      <c r="B3895">
        <v>8836</v>
      </c>
      <c r="C3895" t="s">
        <v>9674</v>
      </c>
      <c r="D3895" t="s">
        <v>9537</v>
      </c>
      <c r="E3895" t="s">
        <v>9800</v>
      </c>
      <c r="F3895" t="s">
        <v>9527</v>
      </c>
    </row>
    <row r="3896" spans="1:6">
      <c r="A3896" t="s">
        <v>9799</v>
      </c>
      <c r="B3896">
        <v>8671</v>
      </c>
      <c r="C3896" t="s">
        <v>9674</v>
      </c>
      <c r="D3896" t="s">
        <v>9537</v>
      </c>
      <c r="E3896" t="s">
        <v>9800</v>
      </c>
      <c r="F3896" t="s">
        <v>9527</v>
      </c>
    </row>
    <row r="3897" spans="1:6">
      <c r="A3897" t="s">
        <v>9799</v>
      </c>
      <c r="B3897">
        <v>8841</v>
      </c>
      <c r="C3897" t="s">
        <v>9674</v>
      </c>
      <c r="D3897" t="s">
        <v>9537</v>
      </c>
      <c r="E3897" t="s">
        <v>9800</v>
      </c>
      <c r="F3897" t="s">
        <v>9527</v>
      </c>
    </row>
    <row r="3898" spans="1:6">
      <c r="A3898" t="s">
        <v>9799</v>
      </c>
      <c r="B3898">
        <v>8672</v>
      </c>
      <c r="C3898" t="s">
        <v>9674</v>
      </c>
      <c r="D3898" t="s">
        <v>9537</v>
      </c>
      <c r="E3898" t="s">
        <v>9800</v>
      </c>
      <c r="F3898" t="s">
        <v>9527</v>
      </c>
    </row>
    <row r="3899" spans="1:6">
      <c r="A3899" t="s">
        <v>9799</v>
      </c>
      <c r="B3899">
        <v>8673</v>
      </c>
      <c r="C3899" t="s">
        <v>9674</v>
      </c>
      <c r="D3899" t="s">
        <v>9537</v>
      </c>
      <c r="E3899" t="s">
        <v>9800</v>
      </c>
      <c r="F3899" t="s">
        <v>9527</v>
      </c>
    </row>
    <row r="3900" spans="1:6">
      <c r="A3900" t="s">
        <v>9799</v>
      </c>
      <c r="B3900">
        <v>8849</v>
      </c>
      <c r="C3900" t="s">
        <v>9674</v>
      </c>
      <c r="D3900" t="s">
        <v>9537</v>
      </c>
      <c r="E3900" t="s">
        <v>9800</v>
      </c>
      <c r="F3900" t="s">
        <v>9527</v>
      </c>
    </row>
    <row r="3901" spans="1:6">
      <c r="A3901" t="s">
        <v>9799</v>
      </c>
      <c r="B3901">
        <v>7969</v>
      </c>
      <c r="C3901" t="s">
        <v>9674</v>
      </c>
      <c r="D3901" t="s">
        <v>9537</v>
      </c>
      <c r="E3901" t="s">
        <v>9800</v>
      </c>
      <c r="F3901" t="s">
        <v>9527</v>
      </c>
    </row>
    <row r="3902" spans="1:6">
      <c r="A3902" t="s">
        <v>9799</v>
      </c>
      <c r="B3902">
        <v>8675</v>
      </c>
      <c r="C3902" t="s">
        <v>9674</v>
      </c>
      <c r="D3902" t="s">
        <v>9537</v>
      </c>
      <c r="E3902" t="s">
        <v>9800</v>
      </c>
      <c r="F3902" t="s">
        <v>9527</v>
      </c>
    </row>
    <row r="3903" spans="1:6">
      <c r="A3903" t="s">
        <v>9799</v>
      </c>
      <c r="B3903">
        <v>8847</v>
      </c>
      <c r="C3903" t="s">
        <v>9674</v>
      </c>
      <c r="D3903" t="s">
        <v>9537</v>
      </c>
      <c r="E3903" t="s">
        <v>9800</v>
      </c>
      <c r="F3903" t="s">
        <v>9527</v>
      </c>
    </row>
    <row r="3904" spans="1:6">
      <c r="A3904" t="s">
        <v>9799</v>
      </c>
      <c r="B3904">
        <v>8840</v>
      </c>
      <c r="C3904" t="s">
        <v>9674</v>
      </c>
      <c r="D3904" t="s">
        <v>9537</v>
      </c>
      <c r="E3904" t="s">
        <v>9800</v>
      </c>
      <c r="F3904" t="s">
        <v>9527</v>
      </c>
    </row>
    <row r="3905" spans="1:6">
      <c r="A3905" t="s">
        <v>9799</v>
      </c>
      <c r="B3905">
        <v>8834</v>
      </c>
      <c r="C3905" t="s">
        <v>9674</v>
      </c>
      <c r="D3905" t="s">
        <v>9537</v>
      </c>
      <c r="E3905" t="s">
        <v>9800</v>
      </c>
      <c r="F3905" t="s">
        <v>9527</v>
      </c>
    </row>
    <row r="3906" spans="1:6">
      <c r="A3906" t="s">
        <v>9799</v>
      </c>
      <c r="B3906">
        <v>4348</v>
      </c>
      <c r="C3906" t="s">
        <v>9674</v>
      </c>
      <c r="D3906" t="s">
        <v>9537</v>
      </c>
      <c r="E3906" t="s">
        <v>9800</v>
      </c>
      <c r="F3906" t="s">
        <v>9527</v>
      </c>
    </row>
    <row r="3907" spans="1:6">
      <c r="A3907" t="s">
        <v>9799</v>
      </c>
      <c r="B3907">
        <v>4253</v>
      </c>
      <c r="C3907" t="s">
        <v>9674</v>
      </c>
      <c r="D3907" t="s">
        <v>9537</v>
      </c>
      <c r="E3907" t="s">
        <v>9800</v>
      </c>
      <c r="F3907" t="s">
        <v>9527</v>
      </c>
    </row>
    <row r="3908" spans="1:6">
      <c r="A3908" t="s">
        <v>9799</v>
      </c>
      <c r="B3908">
        <v>2582</v>
      </c>
      <c r="C3908" t="s">
        <v>9674</v>
      </c>
      <c r="D3908" t="s">
        <v>9537</v>
      </c>
      <c r="E3908" t="s">
        <v>9800</v>
      </c>
      <c r="F3908" t="s">
        <v>9527</v>
      </c>
    </row>
    <row r="3909" spans="1:6">
      <c r="A3909" t="s">
        <v>9799</v>
      </c>
      <c r="B3909">
        <v>5457</v>
      </c>
      <c r="C3909" t="s">
        <v>9674</v>
      </c>
      <c r="D3909" t="s">
        <v>9537</v>
      </c>
      <c r="E3909" t="s">
        <v>9800</v>
      </c>
      <c r="F3909" t="s">
        <v>9527</v>
      </c>
    </row>
    <row r="3910" spans="1:6">
      <c r="A3910" t="s">
        <v>9799</v>
      </c>
      <c r="B3910">
        <v>4347</v>
      </c>
      <c r="C3910" t="s">
        <v>9674</v>
      </c>
      <c r="D3910" t="s">
        <v>9537</v>
      </c>
      <c r="E3910" t="s">
        <v>9800</v>
      </c>
      <c r="F3910" t="s">
        <v>9527</v>
      </c>
    </row>
    <row r="3911" spans="1:6">
      <c r="A3911" t="s">
        <v>9799</v>
      </c>
      <c r="B3911">
        <v>4362</v>
      </c>
      <c r="C3911" t="s">
        <v>9674</v>
      </c>
      <c r="D3911" t="s">
        <v>9537</v>
      </c>
      <c r="E3911" t="s">
        <v>9800</v>
      </c>
      <c r="F3911" t="s">
        <v>9527</v>
      </c>
    </row>
    <row r="3912" spans="1:6">
      <c r="A3912" t="s">
        <v>9799</v>
      </c>
      <c r="B3912">
        <v>4363</v>
      </c>
      <c r="C3912" t="s">
        <v>9674</v>
      </c>
      <c r="D3912" t="s">
        <v>9537</v>
      </c>
      <c r="E3912" t="s">
        <v>9800</v>
      </c>
      <c r="F3912" t="s">
        <v>9527</v>
      </c>
    </row>
    <row r="3913" spans="1:6">
      <c r="A3913" t="s">
        <v>9799</v>
      </c>
      <c r="B3913">
        <v>4367</v>
      </c>
      <c r="C3913" t="s">
        <v>9674</v>
      </c>
      <c r="D3913" t="s">
        <v>9537</v>
      </c>
      <c r="E3913" t="s">
        <v>9800</v>
      </c>
      <c r="F3913" t="s">
        <v>9527</v>
      </c>
    </row>
    <row r="3914" spans="1:6">
      <c r="A3914" t="s">
        <v>9799</v>
      </c>
      <c r="B3914">
        <v>4368</v>
      </c>
      <c r="C3914" t="s">
        <v>9674</v>
      </c>
      <c r="D3914" t="s">
        <v>9537</v>
      </c>
      <c r="E3914" t="s">
        <v>9800</v>
      </c>
      <c r="F3914" t="s">
        <v>9527</v>
      </c>
    </row>
    <row r="3915" spans="1:6">
      <c r="A3915" t="s">
        <v>9799</v>
      </c>
      <c r="B3915">
        <v>7327</v>
      </c>
      <c r="C3915" t="s">
        <v>9674</v>
      </c>
      <c r="D3915" t="s">
        <v>9537</v>
      </c>
      <c r="E3915" t="s">
        <v>9800</v>
      </c>
      <c r="F3915" t="s">
        <v>9527</v>
      </c>
    </row>
    <row r="3916" spans="1:6">
      <c r="A3916" t="s">
        <v>9799</v>
      </c>
      <c r="B3916">
        <v>7328</v>
      </c>
      <c r="C3916" t="s">
        <v>9674</v>
      </c>
      <c r="D3916" t="s">
        <v>9537</v>
      </c>
      <c r="E3916" t="s">
        <v>9800</v>
      </c>
      <c r="F3916" t="s">
        <v>9527</v>
      </c>
    </row>
    <row r="3917" spans="1:6">
      <c r="A3917" t="s">
        <v>9799</v>
      </c>
      <c r="B3917">
        <v>4365</v>
      </c>
      <c r="C3917" t="s">
        <v>9674</v>
      </c>
      <c r="D3917" t="s">
        <v>9537</v>
      </c>
      <c r="E3917" t="s">
        <v>9800</v>
      </c>
      <c r="F3917" t="s">
        <v>9527</v>
      </c>
    </row>
    <row r="3918" spans="1:6">
      <c r="A3918" t="s">
        <v>9799</v>
      </c>
      <c r="B3918">
        <v>4364</v>
      </c>
      <c r="C3918" t="s">
        <v>9674</v>
      </c>
      <c r="D3918" t="s">
        <v>9537</v>
      </c>
      <c r="E3918" t="s">
        <v>9800</v>
      </c>
      <c r="F3918" t="s">
        <v>9527</v>
      </c>
    </row>
    <row r="3919" spans="1:6">
      <c r="A3919" t="s">
        <v>9799</v>
      </c>
      <c r="B3919">
        <v>4194</v>
      </c>
      <c r="C3919" t="s">
        <v>9674</v>
      </c>
      <c r="D3919" t="s">
        <v>9537</v>
      </c>
      <c r="E3919" t="s">
        <v>9800</v>
      </c>
      <c r="F3919" t="s">
        <v>9527</v>
      </c>
    </row>
    <row r="3920" spans="1:6">
      <c r="A3920" t="s">
        <v>9799</v>
      </c>
      <c r="B3920">
        <v>4190</v>
      </c>
      <c r="C3920" t="s">
        <v>9674</v>
      </c>
      <c r="D3920" t="s">
        <v>9537</v>
      </c>
      <c r="E3920" t="s">
        <v>9800</v>
      </c>
      <c r="F3920" t="s">
        <v>9527</v>
      </c>
    </row>
    <row r="3921" spans="1:6">
      <c r="A3921" t="s">
        <v>9799</v>
      </c>
      <c r="B3921">
        <v>4251</v>
      </c>
      <c r="C3921" t="s">
        <v>9674</v>
      </c>
      <c r="D3921" t="s">
        <v>9537</v>
      </c>
      <c r="E3921" t="s">
        <v>9800</v>
      </c>
      <c r="F3921" t="s">
        <v>9527</v>
      </c>
    </row>
    <row r="3922" spans="1:6">
      <c r="A3922" t="s">
        <v>9799</v>
      </c>
      <c r="B3922">
        <v>4252</v>
      </c>
      <c r="C3922" t="s">
        <v>9674</v>
      </c>
      <c r="D3922" t="s">
        <v>9537</v>
      </c>
      <c r="E3922" t="s">
        <v>9800</v>
      </c>
      <c r="F3922" t="s">
        <v>9527</v>
      </c>
    </row>
    <row r="3923" spans="1:6">
      <c r="A3923" t="s">
        <v>9799</v>
      </c>
      <c r="B3923">
        <v>2583</v>
      </c>
      <c r="C3923" t="s">
        <v>9674</v>
      </c>
      <c r="D3923" t="s">
        <v>9537</v>
      </c>
      <c r="E3923" t="s">
        <v>9800</v>
      </c>
      <c r="F3923" t="s">
        <v>9527</v>
      </c>
    </row>
    <row r="3924" spans="1:6">
      <c r="A3924" t="s">
        <v>9799</v>
      </c>
      <c r="B3924">
        <v>5458</v>
      </c>
      <c r="C3924" t="s">
        <v>9674</v>
      </c>
      <c r="D3924" t="s">
        <v>9537</v>
      </c>
      <c r="E3924" t="s">
        <v>9800</v>
      </c>
      <c r="F3924" t="s">
        <v>9527</v>
      </c>
    </row>
    <row r="3925" spans="1:6">
      <c r="A3925" t="s">
        <v>9799</v>
      </c>
      <c r="B3925">
        <v>7382</v>
      </c>
      <c r="C3925" t="s">
        <v>9674</v>
      </c>
      <c r="D3925" t="s">
        <v>9537</v>
      </c>
      <c r="E3925" t="s">
        <v>9800</v>
      </c>
      <c r="F3925" t="s">
        <v>9527</v>
      </c>
    </row>
    <row r="3926" spans="1:6">
      <c r="A3926" t="s">
        <v>9799</v>
      </c>
      <c r="B3926">
        <v>4192</v>
      </c>
      <c r="C3926" t="s">
        <v>9674</v>
      </c>
      <c r="D3926" t="s">
        <v>9537</v>
      </c>
      <c r="E3926" t="s">
        <v>9800</v>
      </c>
      <c r="F3926" t="s">
        <v>9527</v>
      </c>
    </row>
    <row r="3927" spans="1:6">
      <c r="A3927" t="s">
        <v>9799</v>
      </c>
      <c r="B3927">
        <v>4193</v>
      </c>
      <c r="C3927" t="s">
        <v>9674</v>
      </c>
      <c r="D3927" t="s">
        <v>9537</v>
      </c>
      <c r="E3927" t="s">
        <v>9800</v>
      </c>
      <c r="F3927" t="s">
        <v>9527</v>
      </c>
    </row>
    <row r="3928" spans="1:6">
      <c r="A3928" t="s">
        <v>9799</v>
      </c>
      <c r="B3928">
        <v>7973</v>
      </c>
      <c r="C3928" t="s">
        <v>9674</v>
      </c>
      <c r="D3928" t="s">
        <v>9537</v>
      </c>
      <c r="E3928" t="s">
        <v>9800</v>
      </c>
      <c r="F3928" t="s">
        <v>9527</v>
      </c>
    </row>
    <row r="3929" spans="1:6">
      <c r="A3929" t="s">
        <v>9799</v>
      </c>
      <c r="B3929">
        <v>7975</v>
      </c>
      <c r="C3929" t="s">
        <v>9674</v>
      </c>
      <c r="D3929" t="s">
        <v>9537</v>
      </c>
      <c r="E3929" t="s">
        <v>9800</v>
      </c>
      <c r="F3929" t="s">
        <v>9527</v>
      </c>
    </row>
    <row r="3930" spans="1:6">
      <c r="A3930" t="s">
        <v>9799</v>
      </c>
      <c r="B3930">
        <v>7974</v>
      </c>
      <c r="C3930" t="s">
        <v>9674</v>
      </c>
      <c r="D3930" t="s">
        <v>9537</v>
      </c>
      <c r="E3930" t="s">
        <v>9800</v>
      </c>
      <c r="F3930" t="s">
        <v>9527</v>
      </c>
    </row>
    <row r="3931" spans="1:6">
      <c r="A3931" t="s">
        <v>9799</v>
      </c>
      <c r="B3931">
        <v>7976</v>
      </c>
      <c r="C3931" t="s">
        <v>9674</v>
      </c>
      <c r="D3931" t="s">
        <v>9537</v>
      </c>
      <c r="E3931" t="s">
        <v>9800</v>
      </c>
      <c r="F3931" t="s">
        <v>9527</v>
      </c>
    </row>
    <row r="3932" spans="1:6">
      <c r="A3932" t="s">
        <v>9799</v>
      </c>
      <c r="B3932">
        <v>7836</v>
      </c>
      <c r="C3932" t="s">
        <v>9674</v>
      </c>
      <c r="D3932" t="s">
        <v>9537</v>
      </c>
      <c r="E3932" t="s">
        <v>9800</v>
      </c>
      <c r="F3932" t="s">
        <v>9527</v>
      </c>
    </row>
    <row r="3933" spans="1:6">
      <c r="A3933" t="s">
        <v>9799</v>
      </c>
      <c r="B3933">
        <v>7837</v>
      </c>
      <c r="C3933" t="s">
        <v>9674</v>
      </c>
      <c r="D3933" t="s">
        <v>9537</v>
      </c>
      <c r="E3933" t="s">
        <v>9800</v>
      </c>
      <c r="F3933" t="s">
        <v>9527</v>
      </c>
    </row>
    <row r="3934" spans="1:6">
      <c r="A3934" t="s">
        <v>9799</v>
      </c>
      <c r="B3934">
        <v>7379</v>
      </c>
      <c r="C3934" t="s">
        <v>9674</v>
      </c>
      <c r="D3934" t="s">
        <v>9537</v>
      </c>
      <c r="E3934" t="s">
        <v>9800</v>
      </c>
      <c r="F3934" t="s">
        <v>9527</v>
      </c>
    </row>
    <row r="3935" spans="1:6">
      <c r="A3935" t="s">
        <v>9799</v>
      </c>
      <c r="B3935">
        <v>7378</v>
      </c>
      <c r="C3935" t="s">
        <v>9674</v>
      </c>
      <c r="D3935" t="s">
        <v>9537</v>
      </c>
      <c r="E3935" t="s">
        <v>9800</v>
      </c>
      <c r="F3935" t="s">
        <v>9527</v>
      </c>
    </row>
    <row r="3936" spans="1:6">
      <c r="A3936" t="s">
        <v>9799</v>
      </c>
      <c r="B3936">
        <v>7948</v>
      </c>
      <c r="C3936" t="s">
        <v>9674</v>
      </c>
      <c r="D3936" t="s">
        <v>9537</v>
      </c>
      <c r="E3936" t="s">
        <v>9800</v>
      </c>
      <c r="F3936" t="s">
        <v>9527</v>
      </c>
    </row>
    <row r="3937" spans="1:6">
      <c r="A3937" t="s">
        <v>9799</v>
      </c>
      <c r="B3937">
        <v>7940</v>
      </c>
      <c r="C3937" t="s">
        <v>9674</v>
      </c>
      <c r="D3937" t="s">
        <v>9537</v>
      </c>
      <c r="E3937" t="s">
        <v>9800</v>
      </c>
      <c r="F3937" t="s">
        <v>9527</v>
      </c>
    </row>
    <row r="3938" spans="1:6">
      <c r="A3938" t="s">
        <v>9799</v>
      </c>
      <c r="B3938">
        <v>7941</v>
      </c>
      <c r="C3938" t="s">
        <v>9674</v>
      </c>
      <c r="D3938" t="s">
        <v>9537</v>
      </c>
      <c r="E3938" t="s">
        <v>9800</v>
      </c>
      <c r="F3938" t="s">
        <v>9527</v>
      </c>
    </row>
    <row r="3939" spans="1:6">
      <c r="A3939" t="s">
        <v>9799</v>
      </c>
      <c r="B3939">
        <v>7984</v>
      </c>
      <c r="C3939" t="s">
        <v>9674</v>
      </c>
      <c r="D3939" t="s">
        <v>9537</v>
      </c>
      <c r="E3939" t="s">
        <v>9800</v>
      </c>
      <c r="F3939" t="s">
        <v>9527</v>
      </c>
    </row>
    <row r="3940" spans="1:6">
      <c r="A3940" t="s">
        <v>9799</v>
      </c>
      <c r="B3940">
        <v>9307</v>
      </c>
      <c r="C3940" t="s">
        <v>9674</v>
      </c>
      <c r="D3940" t="s">
        <v>9537</v>
      </c>
      <c r="E3940" t="s">
        <v>9800</v>
      </c>
      <c r="F3940" t="s">
        <v>9527</v>
      </c>
    </row>
    <row r="3941" spans="1:6">
      <c r="A3941" t="s">
        <v>9799</v>
      </c>
      <c r="B3941">
        <v>9306</v>
      </c>
      <c r="C3941" t="s">
        <v>9674</v>
      </c>
      <c r="D3941" t="s">
        <v>9537</v>
      </c>
      <c r="E3941" t="s">
        <v>9800</v>
      </c>
      <c r="F3941" t="s">
        <v>9527</v>
      </c>
    </row>
    <row r="3942" spans="1:6">
      <c r="A3942" t="s">
        <v>9799</v>
      </c>
      <c r="B3942">
        <v>8835</v>
      </c>
      <c r="C3942" t="s">
        <v>9674</v>
      </c>
      <c r="D3942" t="s">
        <v>9537</v>
      </c>
      <c r="E3942" t="s">
        <v>9800</v>
      </c>
      <c r="F3942" t="s">
        <v>9527</v>
      </c>
    </row>
    <row r="3943" spans="1:6">
      <c r="A3943" t="s">
        <v>9799</v>
      </c>
      <c r="B3943">
        <v>8848</v>
      </c>
      <c r="C3943" t="s">
        <v>9674</v>
      </c>
      <c r="D3943" t="s">
        <v>9537</v>
      </c>
      <c r="E3943" t="s">
        <v>9800</v>
      </c>
      <c r="F3943" t="s">
        <v>9527</v>
      </c>
    </row>
    <row r="3944" spans="1:6">
      <c r="A3944" t="s">
        <v>9799</v>
      </c>
      <c r="B3944">
        <v>7992</v>
      </c>
      <c r="C3944" t="s">
        <v>9674</v>
      </c>
      <c r="D3944" t="s">
        <v>9537</v>
      </c>
      <c r="E3944" t="s">
        <v>9800</v>
      </c>
      <c r="F3944" t="s">
        <v>9527</v>
      </c>
    </row>
    <row r="3945" spans="1:6">
      <c r="A3945" t="s">
        <v>9799</v>
      </c>
      <c r="B3945">
        <v>8830</v>
      </c>
      <c r="C3945" t="s">
        <v>9674</v>
      </c>
      <c r="D3945" t="s">
        <v>9537</v>
      </c>
      <c r="E3945" t="s">
        <v>9800</v>
      </c>
      <c r="F3945" t="s">
        <v>9527</v>
      </c>
    </row>
    <row r="3946" spans="1:6">
      <c r="A3946" t="s">
        <v>9799</v>
      </c>
      <c r="B3946">
        <v>8837</v>
      </c>
      <c r="C3946" t="s">
        <v>9674</v>
      </c>
      <c r="D3946" t="s">
        <v>9537</v>
      </c>
      <c r="E3946" t="s">
        <v>9800</v>
      </c>
      <c r="F3946" t="s">
        <v>9527</v>
      </c>
    </row>
    <row r="3947" spans="1:6">
      <c r="A3947" t="s">
        <v>9799</v>
      </c>
      <c r="B3947">
        <v>8827</v>
      </c>
      <c r="C3947" t="s">
        <v>9674</v>
      </c>
      <c r="D3947" t="s">
        <v>9537</v>
      </c>
      <c r="E3947" t="s">
        <v>9800</v>
      </c>
      <c r="F3947" t="s">
        <v>9527</v>
      </c>
    </row>
    <row r="3948" spans="1:6">
      <c r="A3948" t="s">
        <v>9799</v>
      </c>
      <c r="B3948">
        <v>8670</v>
      </c>
      <c r="C3948" t="s">
        <v>9674</v>
      </c>
      <c r="D3948" t="s">
        <v>9537</v>
      </c>
      <c r="E3948" t="s">
        <v>9800</v>
      </c>
      <c r="F3948" t="s">
        <v>9527</v>
      </c>
    </row>
    <row r="3949" spans="1:6">
      <c r="A3949" t="s">
        <v>9799</v>
      </c>
      <c r="B3949">
        <v>7977</v>
      </c>
      <c r="C3949" t="s">
        <v>9674</v>
      </c>
      <c r="D3949" t="s">
        <v>9537</v>
      </c>
      <c r="E3949" t="s">
        <v>9800</v>
      </c>
      <c r="F3949" t="s">
        <v>9527</v>
      </c>
    </row>
    <row r="3950" spans="1:6">
      <c r="A3950" t="s">
        <v>9799</v>
      </c>
      <c r="B3950">
        <v>7839</v>
      </c>
      <c r="C3950" t="s">
        <v>9674</v>
      </c>
      <c r="D3950" t="s">
        <v>9537</v>
      </c>
      <c r="E3950" t="s">
        <v>9800</v>
      </c>
      <c r="F3950" t="s">
        <v>9527</v>
      </c>
    </row>
    <row r="3951" spans="1:6">
      <c r="A3951" t="s">
        <v>9799</v>
      </c>
      <c r="B3951">
        <v>7380</v>
      </c>
      <c r="C3951" t="s">
        <v>9674</v>
      </c>
      <c r="D3951" t="s">
        <v>9537</v>
      </c>
      <c r="E3951" t="s">
        <v>9800</v>
      </c>
      <c r="F3951" t="s">
        <v>9527</v>
      </c>
    </row>
    <row r="3952" spans="1:6">
      <c r="A3952" t="s">
        <v>9799</v>
      </c>
      <c r="B3952">
        <v>7383</v>
      </c>
      <c r="C3952" t="s">
        <v>9674</v>
      </c>
      <c r="D3952" t="s">
        <v>9537</v>
      </c>
      <c r="E3952" t="s">
        <v>9800</v>
      </c>
      <c r="F3952" t="s">
        <v>9527</v>
      </c>
    </row>
    <row r="3953" spans="1:6">
      <c r="A3953" t="s">
        <v>9799</v>
      </c>
      <c r="B3953">
        <v>7160</v>
      </c>
      <c r="C3953" t="s">
        <v>9674</v>
      </c>
      <c r="D3953" t="s">
        <v>9537</v>
      </c>
      <c r="E3953" t="s">
        <v>9800</v>
      </c>
      <c r="F3953" t="s">
        <v>9527</v>
      </c>
    </row>
    <row r="3954" spans="1:6">
      <c r="A3954" t="s">
        <v>9799</v>
      </c>
      <c r="B3954">
        <v>7946</v>
      </c>
      <c r="C3954" t="s">
        <v>9674</v>
      </c>
      <c r="D3954" t="s">
        <v>9537</v>
      </c>
      <c r="E3954" t="s">
        <v>9800</v>
      </c>
      <c r="F3954" t="s">
        <v>9527</v>
      </c>
    </row>
    <row r="3955" spans="1:6">
      <c r="A3955" t="s">
        <v>9799</v>
      </c>
      <c r="B3955">
        <v>7978</v>
      </c>
      <c r="C3955" t="s">
        <v>9674</v>
      </c>
      <c r="D3955" t="s">
        <v>9537</v>
      </c>
      <c r="E3955" t="s">
        <v>9800</v>
      </c>
      <c r="F3955" t="s">
        <v>9527</v>
      </c>
    </row>
    <row r="3956" spans="1:6">
      <c r="A3956" t="s">
        <v>9799</v>
      </c>
      <c r="B3956">
        <v>7944</v>
      </c>
      <c r="C3956" t="s">
        <v>9674</v>
      </c>
      <c r="D3956" t="s">
        <v>9537</v>
      </c>
      <c r="E3956" t="s">
        <v>9800</v>
      </c>
      <c r="F3956" t="s">
        <v>9527</v>
      </c>
    </row>
    <row r="3957" spans="1:6">
      <c r="A3957" t="s">
        <v>9799</v>
      </c>
      <c r="B3957">
        <v>7914</v>
      </c>
      <c r="C3957" t="s">
        <v>9674</v>
      </c>
      <c r="D3957" t="s">
        <v>9537</v>
      </c>
      <c r="E3957" t="s">
        <v>9800</v>
      </c>
      <c r="F3957" t="s">
        <v>9527</v>
      </c>
    </row>
    <row r="3958" spans="1:6">
      <c r="A3958" t="s">
        <v>9799</v>
      </c>
      <c r="B3958">
        <v>7942</v>
      </c>
      <c r="C3958" t="s">
        <v>9674</v>
      </c>
      <c r="D3958" t="s">
        <v>9537</v>
      </c>
      <c r="E3958" t="s">
        <v>9800</v>
      </c>
      <c r="F3958" t="s">
        <v>9527</v>
      </c>
    </row>
    <row r="3959" spans="1:6">
      <c r="A3959" t="s">
        <v>9799</v>
      </c>
      <c r="B3959">
        <v>7376</v>
      </c>
      <c r="C3959" t="s">
        <v>9674</v>
      </c>
      <c r="D3959" t="s">
        <v>9537</v>
      </c>
      <c r="E3959" t="s">
        <v>9800</v>
      </c>
      <c r="F3959" t="s">
        <v>9527</v>
      </c>
    </row>
    <row r="3960" spans="1:6">
      <c r="A3960" t="s">
        <v>9799</v>
      </c>
      <c r="B3960">
        <v>7377</v>
      </c>
      <c r="C3960" t="s">
        <v>9674</v>
      </c>
      <c r="D3960" t="s">
        <v>9537</v>
      </c>
      <c r="E3960" t="s">
        <v>9800</v>
      </c>
      <c r="F3960" t="s">
        <v>9527</v>
      </c>
    </row>
    <row r="3961" spans="1:6">
      <c r="A3961" t="s">
        <v>9799</v>
      </c>
      <c r="B3961">
        <v>7158</v>
      </c>
      <c r="C3961" t="s">
        <v>9674</v>
      </c>
      <c r="D3961" t="s">
        <v>9537</v>
      </c>
      <c r="E3961" t="s">
        <v>9800</v>
      </c>
      <c r="F3961" t="s">
        <v>9527</v>
      </c>
    </row>
    <row r="3962" spans="1:6">
      <c r="A3962" t="s">
        <v>9799</v>
      </c>
      <c r="B3962">
        <v>7979</v>
      </c>
      <c r="C3962" t="s">
        <v>9674</v>
      </c>
      <c r="D3962" t="s">
        <v>9537</v>
      </c>
      <c r="E3962" t="s">
        <v>9800</v>
      </c>
      <c r="F3962" t="s">
        <v>9527</v>
      </c>
    </row>
    <row r="3963" spans="1:6">
      <c r="A3963" t="s">
        <v>9799</v>
      </c>
      <c r="B3963">
        <v>7947</v>
      </c>
      <c r="C3963" t="s">
        <v>9674</v>
      </c>
      <c r="D3963" t="s">
        <v>9537</v>
      </c>
      <c r="E3963" t="s">
        <v>9800</v>
      </c>
      <c r="F3963" t="s">
        <v>9527</v>
      </c>
    </row>
    <row r="3964" spans="1:6">
      <c r="A3964" t="s">
        <v>9799</v>
      </c>
      <c r="B3964">
        <v>5454</v>
      </c>
      <c r="C3964" t="s">
        <v>9674</v>
      </c>
      <c r="D3964" t="s">
        <v>9537</v>
      </c>
      <c r="E3964" t="s">
        <v>9800</v>
      </c>
      <c r="F3964" t="s">
        <v>9527</v>
      </c>
    </row>
    <row r="3965" spans="1:6">
      <c r="A3965" t="s">
        <v>9799</v>
      </c>
      <c r="B3965">
        <v>7945</v>
      </c>
      <c r="C3965" t="s">
        <v>9674</v>
      </c>
      <c r="D3965" t="s">
        <v>9537</v>
      </c>
      <c r="E3965" t="s">
        <v>9800</v>
      </c>
      <c r="F3965" t="s">
        <v>9527</v>
      </c>
    </row>
    <row r="3966" spans="1:6">
      <c r="A3966" t="s">
        <v>9799</v>
      </c>
      <c r="B3966">
        <v>7949</v>
      </c>
      <c r="C3966" t="s">
        <v>9674</v>
      </c>
      <c r="D3966" t="s">
        <v>9537</v>
      </c>
      <c r="E3966" t="s">
        <v>9800</v>
      </c>
      <c r="F3966" t="s">
        <v>9527</v>
      </c>
    </row>
    <row r="3967" spans="1:6">
      <c r="A3967" t="s">
        <v>9799</v>
      </c>
      <c r="B3967">
        <v>5460</v>
      </c>
      <c r="C3967" t="s">
        <v>9674</v>
      </c>
      <c r="D3967" t="s">
        <v>9537</v>
      </c>
      <c r="E3967" t="s">
        <v>9800</v>
      </c>
      <c r="F3967" t="s">
        <v>9527</v>
      </c>
    </row>
    <row r="3968" spans="1:6">
      <c r="A3968" t="s">
        <v>9799</v>
      </c>
      <c r="B3968">
        <v>5466</v>
      </c>
      <c r="C3968" t="s">
        <v>9674</v>
      </c>
      <c r="D3968" t="s">
        <v>9537</v>
      </c>
      <c r="E3968" t="s">
        <v>9800</v>
      </c>
      <c r="F3968" t="s">
        <v>9527</v>
      </c>
    </row>
    <row r="3969" spans="1:6">
      <c r="A3969" t="s">
        <v>9799</v>
      </c>
      <c r="B3969">
        <v>7915</v>
      </c>
      <c r="C3969" t="s">
        <v>9674</v>
      </c>
      <c r="D3969" t="s">
        <v>9537</v>
      </c>
      <c r="E3969" t="s">
        <v>9800</v>
      </c>
      <c r="F3969" t="s">
        <v>9527</v>
      </c>
    </row>
    <row r="3970" spans="1:6">
      <c r="A3970" t="s">
        <v>9799</v>
      </c>
      <c r="B3970">
        <v>7980</v>
      </c>
      <c r="C3970" t="s">
        <v>9674</v>
      </c>
      <c r="D3970" t="s">
        <v>9537</v>
      </c>
      <c r="E3970" t="s">
        <v>9800</v>
      </c>
      <c r="F3970" t="s">
        <v>9527</v>
      </c>
    </row>
    <row r="3971" spans="1:6">
      <c r="A3971" t="s">
        <v>9799</v>
      </c>
      <c r="B3971">
        <v>6630</v>
      </c>
      <c r="C3971" t="s">
        <v>9674</v>
      </c>
      <c r="D3971" t="s">
        <v>9537</v>
      </c>
      <c r="E3971" t="s">
        <v>9800</v>
      </c>
      <c r="F3971" t="s">
        <v>9527</v>
      </c>
    </row>
    <row r="3972" spans="1:6">
      <c r="A3972" t="s">
        <v>9799</v>
      </c>
      <c r="B3972">
        <v>7943</v>
      </c>
      <c r="C3972" t="s">
        <v>9674</v>
      </c>
      <c r="D3972" t="s">
        <v>9537</v>
      </c>
      <c r="E3972" t="s">
        <v>9800</v>
      </c>
      <c r="F3972" t="s">
        <v>9527</v>
      </c>
    </row>
    <row r="3973" spans="1:6">
      <c r="A3973" t="s">
        <v>9799</v>
      </c>
      <c r="B3973">
        <v>7985</v>
      </c>
      <c r="C3973" t="s">
        <v>9674</v>
      </c>
      <c r="D3973" t="s">
        <v>9537</v>
      </c>
      <c r="E3973" t="s">
        <v>9800</v>
      </c>
      <c r="F3973" t="s">
        <v>9527</v>
      </c>
    </row>
    <row r="3974" spans="1:6">
      <c r="A3974" t="s">
        <v>9799</v>
      </c>
      <c r="B3974">
        <v>8836</v>
      </c>
      <c r="C3974" t="s">
        <v>9674</v>
      </c>
      <c r="D3974" t="s">
        <v>9537</v>
      </c>
      <c r="E3974" t="s">
        <v>9800</v>
      </c>
      <c r="F3974" t="s">
        <v>9527</v>
      </c>
    </row>
    <row r="3975" spans="1:6">
      <c r="A3975" t="s">
        <v>9799</v>
      </c>
      <c r="B3975">
        <v>8671</v>
      </c>
      <c r="C3975" t="s">
        <v>9674</v>
      </c>
      <c r="D3975" t="s">
        <v>9537</v>
      </c>
      <c r="E3975" t="s">
        <v>9800</v>
      </c>
      <c r="F3975" t="s">
        <v>9527</v>
      </c>
    </row>
    <row r="3976" spans="1:6">
      <c r="A3976" t="s">
        <v>9799</v>
      </c>
      <c r="B3976">
        <v>8841</v>
      </c>
      <c r="C3976" t="s">
        <v>9674</v>
      </c>
      <c r="D3976" t="s">
        <v>9537</v>
      </c>
      <c r="E3976" t="s">
        <v>9800</v>
      </c>
      <c r="F3976" t="s">
        <v>9527</v>
      </c>
    </row>
    <row r="3977" spans="1:6">
      <c r="A3977" t="s">
        <v>9799</v>
      </c>
      <c r="B3977">
        <v>8672</v>
      </c>
      <c r="C3977" t="s">
        <v>9674</v>
      </c>
      <c r="D3977" t="s">
        <v>9537</v>
      </c>
      <c r="E3977" t="s">
        <v>9800</v>
      </c>
      <c r="F3977" t="s">
        <v>9527</v>
      </c>
    </row>
    <row r="3978" spans="1:6">
      <c r="A3978" t="s">
        <v>9799</v>
      </c>
      <c r="B3978">
        <v>8673</v>
      </c>
      <c r="C3978" t="s">
        <v>9674</v>
      </c>
      <c r="D3978" t="s">
        <v>9537</v>
      </c>
      <c r="E3978" t="s">
        <v>9800</v>
      </c>
      <c r="F3978" t="s">
        <v>9527</v>
      </c>
    </row>
    <row r="3979" spans="1:6">
      <c r="A3979" t="s">
        <v>9799</v>
      </c>
      <c r="B3979">
        <v>8849</v>
      </c>
      <c r="C3979" t="s">
        <v>9674</v>
      </c>
      <c r="D3979" t="s">
        <v>9537</v>
      </c>
      <c r="E3979" t="s">
        <v>9800</v>
      </c>
      <c r="F3979" t="s">
        <v>9527</v>
      </c>
    </row>
    <row r="3980" spans="1:6">
      <c r="A3980" t="s">
        <v>9799</v>
      </c>
      <c r="B3980">
        <v>7969</v>
      </c>
      <c r="C3980" t="s">
        <v>9674</v>
      </c>
      <c r="D3980" t="s">
        <v>9537</v>
      </c>
      <c r="E3980" t="s">
        <v>9800</v>
      </c>
      <c r="F3980" t="s">
        <v>9527</v>
      </c>
    </row>
    <row r="3981" spans="1:6">
      <c r="A3981" t="s">
        <v>9799</v>
      </c>
      <c r="B3981">
        <v>8675</v>
      </c>
      <c r="C3981" t="s">
        <v>9674</v>
      </c>
      <c r="D3981" t="s">
        <v>9537</v>
      </c>
      <c r="E3981" t="s">
        <v>9800</v>
      </c>
      <c r="F3981" t="s">
        <v>9527</v>
      </c>
    </row>
    <row r="3982" spans="1:6">
      <c r="A3982" t="s">
        <v>9799</v>
      </c>
      <c r="B3982">
        <v>8847</v>
      </c>
      <c r="C3982" t="s">
        <v>9674</v>
      </c>
      <c r="D3982" t="s">
        <v>9537</v>
      </c>
      <c r="E3982" t="s">
        <v>9800</v>
      </c>
      <c r="F3982" t="s">
        <v>9527</v>
      </c>
    </row>
    <row r="3983" spans="1:6">
      <c r="A3983" t="s">
        <v>9799</v>
      </c>
      <c r="B3983">
        <v>8840</v>
      </c>
      <c r="C3983" t="s">
        <v>9674</v>
      </c>
      <c r="D3983" t="s">
        <v>9537</v>
      </c>
      <c r="E3983" t="s">
        <v>9800</v>
      </c>
      <c r="F3983" t="s">
        <v>9527</v>
      </c>
    </row>
    <row r="3984" spans="1:6">
      <c r="A3984" t="s">
        <v>9799</v>
      </c>
      <c r="B3984">
        <v>8834</v>
      </c>
      <c r="C3984" t="s">
        <v>9674</v>
      </c>
      <c r="D3984" t="s">
        <v>9537</v>
      </c>
      <c r="E3984" t="s">
        <v>9800</v>
      </c>
      <c r="F3984" t="s">
        <v>9527</v>
      </c>
    </row>
    <row r="3985" spans="1:6">
      <c r="A3985" t="s">
        <v>9799</v>
      </c>
      <c r="B3985">
        <v>4348</v>
      </c>
      <c r="C3985" t="s">
        <v>9674</v>
      </c>
      <c r="D3985" t="s">
        <v>9537</v>
      </c>
      <c r="E3985" t="s">
        <v>9800</v>
      </c>
      <c r="F3985" t="s">
        <v>9527</v>
      </c>
    </row>
    <row r="3986" spans="1:6">
      <c r="A3986" t="s">
        <v>9799</v>
      </c>
      <c r="B3986">
        <v>4253</v>
      </c>
      <c r="C3986" t="s">
        <v>9674</v>
      </c>
      <c r="D3986" t="s">
        <v>9537</v>
      </c>
      <c r="E3986" t="s">
        <v>9800</v>
      </c>
      <c r="F3986" t="s">
        <v>9527</v>
      </c>
    </row>
    <row r="3987" spans="1:6">
      <c r="A3987" t="s">
        <v>9799</v>
      </c>
      <c r="B3987">
        <v>2582</v>
      </c>
      <c r="C3987" t="s">
        <v>9674</v>
      </c>
      <c r="D3987" t="s">
        <v>9537</v>
      </c>
      <c r="E3987" t="s">
        <v>9800</v>
      </c>
      <c r="F3987" t="s">
        <v>9527</v>
      </c>
    </row>
    <row r="3988" spans="1:6">
      <c r="A3988" t="s">
        <v>9799</v>
      </c>
      <c r="B3988">
        <v>5457</v>
      </c>
      <c r="C3988" t="s">
        <v>9674</v>
      </c>
      <c r="D3988" t="s">
        <v>9537</v>
      </c>
      <c r="E3988" t="s">
        <v>9800</v>
      </c>
      <c r="F3988" t="s">
        <v>9527</v>
      </c>
    </row>
    <row r="3989" spans="1:6">
      <c r="A3989" t="s">
        <v>9799</v>
      </c>
      <c r="B3989">
        <v>4347</v>
      </c>
      <c r="C3989" t="s">
        <v>9674</v>
      </c>
      <c r="D3989" t="s">
        <v>9537</v>
      </c>
      <c r="E3989" t="s">
        <v>9800</v>
      </c>
      <c r="F3989" t="s">
        <v>9527</v>
      </c>
    </row>
    <row r="3990" spans="1:6">
      <c r="A3990" t="s">
        <v>9799</v>
      </c>
      <c r="B3990">
        <v>4362</v>
      </c>
      <c r="C3990" t="s">
        <v>9674</v>
      </c>
      <c r="D3990" t="s">
        <v>9537</v>
      </c>
      <c r="E3990" t="s">
        <v>9800</v>
      </c>
      <c r="F3990" t="s">
        <v>9527</v>
      </c>
    </row>
    <row r="3991" spans="1:6">
      <c r="A3991" t="s">
        <v>9799</v>
      </c>
      <c r="B3991">
        <v>4363</v>
      </c>
      <c r="C3991" t="s">
        <v>9674</v>
      </c>
      <c r="D3991" t="s">
        <v>9537</v>
      </c>
      <c r="E3991" t="s">
        <v>9800</v>
      </c>
      <c r="F3991" t="s">
        <v>9527</v>
      </c>
    </row>
    <row r="3992" spans="1:6">
      <c r="A3992" t="s">
        <v>9799</v>
      </c>
      <c r="B3992">
        <v>4367</v>
      </c>
      <c r="C3992" t="s">
        <v>9674</v>
      </c>
      <c r="D3992" t="s">
        <v>9537</v>
      </c>
      <c r="E3992" t="s">
        <v>9800</v>
      </c>
      <c r="F3992" t="s">
        <v>9527</v>
      </c>
    </row>
    <row r="3993" spans="1:6">
      <c r="A3993" t="s">
        <v>9799</v>
      </c>
      <c r="B3993">
        <v>4368</v>
      </c>
      <c r="C3993" t="s">
        <v>9674</v>
      </c>
      <c r="D3993" t="s">
        <v>9537</v>
      </c>
      <c r="E3993" t="s">
        <v>9800</v>
      </c>
      <c r="F3993" t="s">
        <v>9527</v>
      </c>
    </row>
    <row r="3994" spans="1:6">
      <c r="A3994" t="s">
        <v>9799</v>
      </c>
      <c r="B3994">
        <v>7327</v>
      </c>
      <c r="C3994" t="s">
        <v>9674</v>
      </c>
      <c r="D3994" t="s">
        <v>9537</v>
      </c>
      <c r="E3994" t="s">
        <v>9800</v>
      </c>
      <c r="F3994" t="s">
        <v>9527</v>
      </c>
    </row>
    <row r="3995" spans="1:6">
      <c r="A3995" t="s">
        <v>9799</v>
      </c>
      <c r="B3995">
        <v>7328</v>
      </c>
      <c r="C3995" t="s">
        <v>9674</v>
      </c>
      <c r="D3995" t="s">
        <v>9537</v>
      </c>
      <c r="E3995" t="s">
        <v>9800</v>
      </c>
      <c r="F3995" t="s">
        <v>9527</v>
      </c>
    </row>
    <row r="3996" spans="1:6">
      <c r="A3996" t="s">
        <v>9799</v>
      </c>
      <c r="B3996">
        <v>4365</v>
      </c>
      <c r="C3996" t="s">
        <v>9674</v>
      </c>
      <c r="D3996" t="s">
        <v>9537</v>
      </c>
      <c r="E3996" t="s">
        <v>9800</v>
      </c>
      <c r="F3996" t="s">
        <v>9527</v>
      </c>
    </row>
    <row r="3997" spans="1:6">
      <c r="A3997" t="s">
        <v>9799</v>
      </c>
      <c r="B3997">
        <v>4364</v>
      </c>
      <c r="C3997" t="s">
        <v>9674</v>
      </c>
      <c r="D3997" t="s">
        <v>9537</v>
      </c>
      <c r="E3997" t="s">
        <v>9800</v>
      </c>
      <c r="F3997" t="s">
        <v>9527</v>
      </c>
    </row>
    <row r="3998" spans="1:6">
      <c r="A3998" t="s">
        <v>9799</v>
      </c>
      <c r="B3998">
        <v>4194</v>
      </c>
      <c r="C3998" t="s">
        <v>9674</v>
      </c>
      <c r="D3998" t="s">
        <v>9537</v>
      </c>
      <c r="E3998" t="s">
        <v>9800</v>
      </c>
      <c r="F3998" t="s">
        <v>9527</v>
      </c>
    </row>
    <row r="3999" spans="1:6">
      <c r="A3999" t="s">
        <v>9799</v>
      </c>
      <c r="B3999">
        <v>4190</v>
      </c>
      <c r="C3999" t="s">
        <v>9674</v>
      </c>
      <c r="D3999" t="s">
        <v>9537</v>
      </c>
      <c r="E3999" t="s">
        <v>9800</v>
      </c>
      <c r="F3999" t="s">
        <v>9527</v>
      </c>
    </row>
    <row r="4000" spans="1:6">
      <c r="A4000" t="s">
        <v>9799</v>
      </c>
      <c r="B4000">
        <v>4251</v>
      </c>
      <c r="C4000" t="s">
        <v>9674</v>
      </c>
      <c r="D4000" t="s">
        <v>9537</v>
      </c>
      <c r="E4000" t="s">
        <v>9800</v>
      </c>
      <c r="F4000" t="s">
        <v>9527</v>
      </c>
    </row>
    <row r="4001" spans="1:6">
      <c r="A4001" t="s">
        <v>9799</v>
      </c>
      <c r="B4001">
        <v>4252</v>
      </c>
      <c r="C4001" t="s">
        <v>9674</v>
      </c>
      <c r="D4001" t="s">
        <v>9537</v>
      </c>
      <c r="E4001" t="s">
        <v>9800</v>
      </c>
      <c r="F4001" t="s">
        <v>9527</v>
      </c>
    </row>
    <row r="4002" spans="1:6">
      <c r="A4002" t="s">
        <v>9799</v>
      </c>
      <c r="B4002">
        <v>2583</v>
      </c>
      <c r="C4002" t="s">
        <v>9674</v>
      </c>
      <c r="D4002" t="s">
        <v>9537</v>
      </c>
      <c r="E4002" t="s">
        <v>9800</v>
      </c>
      <c r="F4002" t="s">
        <v>9527</v>
      </c>
    </row>
    <row r="4003" spans="1:6">
      <c r="A4003" t="s">
        <v>9799</v>
      </c>
      <c r="B4003">
        <v>5458</v>
      </c>
      <c r="C4003" t="s">
        <v>9674</v>
      </c>
      <c r="D4003" t="s">
        <v>9537</v>
      </c>
      <c r="E4003" t="s">
        <v>9800</v>
      </c>
      <c r="F4003" t="s">
        <v>9527</v>
      </c>
    </row>
    <row r="4004" spans="1:6">
      <c r="A4004" t="s">
        <v>9799</v>
      </c>
      <c r="B4004">
        <v>7382</v>
      </c>
      <c r="C4004" t="s">
        <v>9674</v>
      </c>
      <c r="D4004" t="s">
        <v>9537</v>
      </c>
      <c r="E4004" t="s">
        <v>9800</v>
      </c>
      <c r="F4004" t="s">
        <v>9527</v>
      </c>
    </row>
    <row r="4005" spans="1:6">
      <c r="A4005" t="s">
        <v>9799</v>
      </c>
      <c r="B4005">
        <v>4192</v>
      </c>
      <c r="C4005" t="s">
        <v>9674</v>
      </c>
      <c r="D4005" t="s">
        <v>9537</v>
      </c>
      <c r="E4005" t="s">
        <v>9800</v>
      </c>
      <c r="F4005" t="s">
        <v>9527</v>
      </c>
    </row>
    <row r="4006" spans="1:6">
      <c r="A4006" t="s">
        <v>9799</v>
      </c>
      <c r="B4006">
        <v>4193</v>
      </c>
      <c r="C4006" t="s">
        <v>9674</v>
      </c>
      <c r="D4006" t="s">
        <v>9537</v>
      </c>
      <c r="E4006" t="s">
        <v>9800</v>
      </c>
      <c r="F4006" t="s">
        <v>9527</v>
      </c>
    </row>
    <row r="4007" spans="1:6">
      <c r="A4007" t="s">
        <v>9799</v>
      </c>
      <c r="B4007">
        <v>7973</v>
      </c>
      <c r="C4007" t="s">
        <v>9674</v>
      </c>
      <c r="D4007" t="s">
        <v>9537</v>
      </c>
      <c r="E4007" t="s">
        <v>9800</v>
      </c>
      <c r="F4007" t="s">
        <v>9527</v>
      </c>
    </row>
    <row r="4008" spans="1:6">
      <c r="A4008" t="s">
        <v>9799</v>
      </c>
      <c r="B4008">
        <v>7975</v>
      </c>
      <c r="C4008" t="s">
        <v>9674</v>
      </c>
      <c r="D4008" t="s">
        <v>9537</v>
      </c>
      <c r="E4008" t="s">
        <v>9800</v>
      </c>
      <c r="F4008" t="s">
        <v>9527</v>
      </c>
    </row>
    <row r="4009" spans="1:6">
      <c r="A4009" t="s">
        <v>9799</v>
      </c>
      <c r="B4009">
        <v>7974</v>
      </c>
      <c r="C4009" t="s">
        <v>9674</v>
      </c>
      <c r="D4009" t="s">
        <v>9537</v>
      </c>
      <c r="E4009" t="s">
        <v>9800</v>
      </c>
      <c r="F4009" t="s">
        <v>9527</v>
      </c>
    </row>
    <row r="4010" spans="1:6">
      <c r="A4010" t="s">
        <v>9799</v>
      </c>
      <c r="B4010">
        <v>7976</v>
      </c>
      <c r="C4010" t="s">
        <v>9674</v>
      </c>
      <c r="D4010" t="s">
        <v>9537</v>
      </c>
      <c r="E4010" t="s">
        <v>9800</v>
      </c>
      <c r="F4010" t="s">
        <v>9527</v>
      </c>
    </row>
    <row r="4011" spans="1:6">
      <c r="A4011" t="s">
        <v>9799</v>
      </c>
      <c r="B4011">
        <v>7836</v>
      </c>
      <c r="C4011" t="s">
        <v>9674</v>
      </c>
      <c r="D4011" t="s">
        <v>9537</v>
      </c>
      <c r="E4011" t="s">
        <v>9800</v>
      </c>
      <c r="F4011" t="s">
        <v>9527</v>
      </c>
    </row>
    <row r="4012" spans="1:6">
      <c r="A4012" t="s">
        <v>9799</v>
      </c>
      <c r="B4012">
        <v>7837</v>
      </c>
      <c r="C4012" t="s">
        <v>9674</v>
      </c>
      <c r="D4012" t="s">
        <v>9537</v>
      </c>
      <c r="E4012" t="s">
        <v>9800</v>
      </c>
      <c r="F4012" t="s">
        <v>9527</v>
      </c>
    </row>
    <row r="4013" spans="1:6">
      <c r="A4013" t="s">
        <v>9799</v>
      </c>
      <c r="B4013">
        <v>7379</v>
      </c>
      <c r="C4013" t="s">
        <v>9674</v>
      </c>
      <c r="D4013" t="s">
        <v>9537</v>
      </c>
      <c r="E4013" t="s">
        <v>9800</v>
      </c>
      <c r="F4013" t="s">
        <v>9527</v>
      </c>
    </row>
    <row r="4014" spans="1:6">
      <c r="A4014" t="s">
        <v>9799</v>
      </c>
      <c r="B4014">
        <v>7378</v>
      </c>
      <c r="C4014" t="s">
        <v>9674</v>
      </c>
      <c r="D4014" t="s">
        <v>9537</v>
      </c>
      <c r="E4014" t="s">
        <v>9800</v>
      </c>
      <c r="F4014" t="s">
        <v>9527</v>
      </c>
    </row>
    <row r="4015" spans="1:6">
      <c r="A4015" t="s">
        <v>9799</v>
      </c>
      <c r="B4015">
        <v>7948</v>
      </c>
      <c r="C4015" t="s">
        <v>9674</v>
      </c>
      <c r="D4015" t="s">
        <v>9537</v>
      </c>
      <c r="E4015" t="s">
        <v>9800</v>
      </c>
      <c r="F4015" t="s">
        <v>9527</v>
      </c>
    </row>
    <row r="4016" spans="1:6">
      <c r="A4016" t="s">
        <v>9799</v>
      </c>
      <c r="B4016">
        <v>7940</v>
      </c>
      <c r="C4016" t="s">
        <v>9674</v>
      </c>
      <c r="D4016" t="s">
        <v>9537</v>
      </c>
      <c r="E4016" t="s">
        <v>9800</v>
      </c>
      <c r="F4016" t="s">
        <v>9527</v>
      </c>
    </row>
    <row r="4017" spans="1:6">
      <c r="A4017" t="s">
        <v>9799</v>
      </c>
      <c r="B4017">
        <v>7941</v>
      </c>
      <c r="C4017" t="s">
        <v>9674</v>
      </c>
      <c r="D4017" t="s">
        <v>9537</v>
      </c>
      <c r="E4017" t="s">
        <v>9800</v>
      </c>
      <c r="F4017" t="s">
        <v>9527</v>
      </c>
    </row>
    <row r="4018" spans="1:6">
      <c r="A4018" t="s">
        <v>9799</v>
      </c>
      <c r="B4018">
        <v>7984</v>
      </c>
      <c r="C4018" t="s">
        <v>9674</v>
      </c>
      <c r="D4018" t="s">
        <v>9537</v>
      </c>
      <c r="E4018" t="s">
        <v>9800</v>
      </c>
      <c r="F4018" t="s">
        <v>9527</v>
      </c>
    </row>
    <row r="4019" spans="1:6">
      <c r="A4019" t="s">
        <v>9799</v>
      </c>
      <c r="B4019">
        <v>9307</v>
      </c>
      <c r="C4019" t="s">
        <v>9674</v>
      </c>
      <c r="D4019" t="s">
        <v>9537</v>
      </c>
      <c r="E4019" t="s">
        <v>9800</v>
      </c>
      <c r="F4019" t="s">
        <v>9527</v>
      </c>
    </row>
    <row r="4020" spans="1:6">
      <c r="A4020" t="s">
        <v>9799</v>
      </c>
      <c r="B4020">
        <v>9306</v>
      </c>
      <c r="C4020" t="s">
        <v>9674</v>
      </c>
      <c r="D4020" t="s">
        <v>9537</v>
      </c>
      <c r="E4020" t="s">
        <v>9800</v>
      </c>
      <c r="F4020" t="s">
        <v>9527</v>
      </c>
    </row>
    <row r="4021" spans="1:6">
      <c r="A4021" t="s">
        <v>9805</v>
      </c>
      <c r="B4021">
        <v>1911</v>
      </c>
      <c r="C4021" t="s">
        <v>9674</v>
      </c>
      <c r="D4021" t="s">
        <v>9555</v>
      </c>
      <c r="E4021">
        <v>685</v>
      </c>
      <c r="F4021" t="s">
        <v>9527</v>
      </c>
    </row>
    <row r="4022" spans="1:6">
      <c r="A4022" t="s">
        <v>9805</v>
      </c>
      <c r="B4022">
        <v>7809</v>
      </c>
      <c r="C4022" t="s">
        <v>9674</v>
      </c>
      <c r="D4022" t="s">
        <v>9555</v>
      </c>
      <c r="E4022">
        <v>685</v>
      </c>
      <c r="F4022" t="s">
        <v>9527</v>
      </c>
    </row>
    <row r="4023" spans="1:6">
      <c r="A4023" t="s">
        <v>9805</v>
      </c>
      <c r="B4023">
        <v>7870</v>
      </c>
      <c r="C4023" t="s">
        <v>9674</v>
      </c>
      <c r="D4023" t="s">
        <v>9555</v>
      </c>
      <c r="E4023">
        <v>685</v>
      </c>
      <c r="F4023" t="s">
        <v>9527</v>
      </c>
    </row>
    <row r="4024" spans="1:6">
      <c r="A4024" t="s">
        <v>9805</v>
      </c>
      <c r="B4024">
        <v>7871</v>
      </c>
      <c r="C4024" t="s">
        <v>9674</v>
      </c>
      <c r="D4024" t="s">
        <v>9555</v>
      </c>
      <c r="E4024">
        <v>685</v>
      </c>
      <c r="F4024" t="s">
        <v>9527</v>
      </c>
    </row>
    <row r="4025" spans="1:6">
      <c r="A4025" t="s">
        <v>9805</v>
      </c>
      <c r="B4025">
        <v>7872</v>
      </c>
      <c r="C4025" t="s">
        <v>9674</v>
      </c>
      <c r="D4025" t="s">
        <v>9555</v>
      </c>
      <c r="E4025">
        <v>685</v>
      </c>
      <c r="F4025" t="s">
        <v>9527</v>
      </c>
    </row>
    <row r="4026" spans="1:6">
      <c r="A4026" t="s">
        <v>9805</v>
      </c>
      <c r="B4026">
        <v>7873</v>
      </c>
      <c r="C4026" t="s">
        <v>9674</v>
      </c>
      <c r="D4026" t="s">
        <v>9555</v>
      </c>
      <c r="E4026">
        <v>685</v>
      </c>
      <c r="F4026" t="s">
        <v>9527</v>
      </c>
    </row>
    <row r="4027" spans="1:6">
      <c r="A4027" t="s">
        <v>9805</v>
      </c>
      <c r="B4027">
        <v>7875</v>
      </c>
      <c r="C4027" t="s">
        <v>9674</v>
      </c>
      <c r="D4027" t="s">
        <v>9555</v>
      </c>
      <c r="E4027">
        <v>685</v>
      </c>
      <c r="F4027" t="s">
        <v>9527</v>
      </c>
    </row>
    <row r="4028" spans="1:6">
      <c r="A4028" t="s">
        <v>9805</v>
      </c>
      <c r="B4028">
        <v>7901</v>
      </c>
      <c r="C4028" t="s">
        <v>9674</v>
      </c>
      <c r="D4028" t="s">
        <v>9555</v>
      </c>
      <c r="E4028">
        <v>685</v>
      </c>
      <c r="F4028" t="s">
        <v>9527</v>
      </c>
    </row>
    <row r="4029" spans="1:6">
      <c r="A4029" t="s">
        <v>9805</v>
      </c>
      <c r="B4029">
        <v>7902</v>
      </c>
      <c r="C4029" t="s">
        <v>9674</v>
      </c>
      <c r="D4029" t="s">
        <v>9555</v>
      </c>
      <c r="E4029">
        <v>685</v>
      </c>
      <c r="F4029" t="s">
        <v>9527</v>
      </c>
    </row>
    <row r="4030" spans="1:6">
      <c r="A4030" t="s">
        <v>9805</v>
      </c>
      <c r="B4030">
        <v>7967</v>
      </c>
      <c r="C4030" t="s">
        <v>9674</v>
      </c>
      <c r="D4030" t="s">
        <v>9555</v>
      </c>
      <c r="E4030">
        <v>685</v>
      </c>
      <c r="F4030" t="s">
        <v>9527</v>
      </c>
    </row>
    <row r="4031" spans="1:6">
      <c r="A4031" t="s">
        <v>9805</v>
      </c>
      <c r="B4031">
        <v>7971</v>
      </c>
      <c r="C4031" t="s">
        <v>9674</v>
      </c>
      <c r="D4031" t="s">
        <v>9555</v>
      </c>
      <c r="E4031">
        <v>685</v>
      </c>
      <c r="F4031" t="s">
        <v>9527</v>
      </c>
    </row>
    <row r="4032" spans="1:6">
      <c r="A4032" t="s">
        <v>9805</v>
      </c>
      <c r="B4032">
        <v>7972</v>
      </c>
      <c r="C4032" t="s">
        <v>9674</v>
      </c>
      <c r="D4032" t="s">
        <v>9555</v>
      </c>
      <c r="E4032">
        <v>685</v>
      </c>
      <c r="F4032" t="s">
        <v>9527</v>
      </c>
    </row>
    <row r="4033" spans="1:6">
      <c r="A4033" t="s">
        <v>9805</v>
      </c>
      <c r="B4033">
        <v>7981</v>
      </c>
      <c r="C4033" t="s">
        <v>9674</v>
      </c>
      <c r="D4033" t="s">
        <v>9555</v>
      </c>
      <c r="E4033">
        <v>685</v>
      </c>
      <c r="F4033" t="s">
        <v>9527</v>
      </c>
    </row>
    <row r="4034" spans="1:6">
      <c r="A4034" t="s">
        <v>9805</v>
      </c>
      <c r="B4034">
        <v>7995</v>
      </c>
      <c r="C4034" t="s">
        <v>9674</v>
      </c>
      <c r="D4034" t="s">
        <v>9555</v>
      </c>
      <c r="E4034">
        <v>685</v>
      </c>
      <c r="F4034" t="s">
        <v>9527</v>
      </c>
    </row>
    <row r="4035" spans="1:6">
      <c r="A4035" t="s">
        <v>9805</v>
      </c>
      <c r="B4035">
        <v>7996</v>
      </c>
      <c r="C4035" t="s">
        <v>9674</v>
      </c>
      <c r="D4035" t="s">
        <v>9555</v>
      </c>
      <c r="E4035">
        <v>685</v>
      </c>
      <c r="F4035" t="s">
        <v>9527</v>
      </c>
    </row>
    <row r="4036" spans="1:6">
      <c r="A4036" t="s">
        <v>9805</v>
      </c>
      <c r="B4036">
        <v>8014</v>
      </c>
      <c r="C4036" t="s">
        <v>9674</v>
      </c>
      <c r="D4036" t="s">
        <v>9555</v>
      </c>
      <c r="E4036">
        <v>685</v>
      </c>
      <c r="F4036" t="s">
        <v>9527</v>
      </c>
    </row>
    <row r="4037" spans="1:6">
      <c r="A4037" t="s">
        <v>9805</v>
      </c>
      <c r="B4037">
        <v>8028</v>
      </c>
      <c r="C4037" t="s">
        <v>9674</v>
      </c>
      <c r="D4037" t="s">
        <v>9555</v>
      </c>
      <c r="E4037">
        <v>685</v>
      </c>
      <c r="F4037" t="s">
        <v>9527</v>
      </c>
    </row>
    <row r="4038" spans="1:6">
      <c r="A4038" t="s">
        <v>9805</v>
      </c>
      <c r="B4038">
        <v>8038</v>
      </c>
      <c r="C4038" t="s">
        <v>9674</v>
      </c>
      <c r="D4038" t="s">
        <v>9555</v>
      </c>
      <c r="E4038">
        <v>685</v>
      </c>
      <c r="F4038" t="s">
        <v>9527</v>
      </c>
    </row>
    <row r="4039" spans="1:6">
      <c r="A4039" t="s">
        <v>9805</v>
      </c>
      <c r="B4039">
        <v>8667</v>
      </c>
      <c r="C4039" t="s">
        <v>9674</v>
      </c>
      <c r="D4039" t="s">
        <v>9555</v>
      </c>
      <c r="E4039">
        <v>685</v>
      </c>
      <c r="F4039" t="s">
        <v>9527</v>
      </c>
    </row>
    <row r="4040" spans="1:6">
      <c r="A4040" t="s">
        <v>9805</v>
      </c>
      <c r="B4040">
        <v>8677</v>
      </c>
      <c r="C4040" t="s">
        <v>9674</v>
      </c>
      <c r="D4040" t="s">
        <v>9555</v>
      </c>
      <c r="E4040">
        <v>685</v>
      </c>
      <c r="F4040" t="s">
        <v>9527</v>
      </c>
    </row>
    <row r="4041" spans="1:6">
      <c r="A4041" t="s">
        <v>9805</v>
      </c>
      <c r="B4041">
        <v>8678</v>
      </c>
      <c r="C4041" t="s">
        <v>9674</v>
      </c>
      <c r="D4041" t="s">
        <v>9555</v>
      </c>
      <c r="E4041">
        <v>685</v>
      </c>
      <c r="F4041" t="s">
        <v>9527</v>
      </c>
    </row>
    <row r="4042" spans="1:6">
      <c r="A4042" t="s">
        <v>9805</v>
      </c>
      <c r="B4042">
        <v>8720</v>
      </c>
      <c r="C4042" t="s">
        <v>9674</v>
      </c>
      <c r="D4042" t="s">
        <v>9555</v>
      </c>
      <c r="E4042">
        <v>685</v>
      </c>
      <c r="F4042" t="s">
        <v>9527</v>
      </c>
    </row>
    <row r="4043" spans="1:6">
      <c r="A4043" t="s">
        <v>9805</v>
      </c>
      <c r="B4043">
        <v>8730</v>
      </c>
      <c r="C4043" t="s">
        <v>9674</v>
      </c>
      <c r="D4043" t="s">
        <v>9555</v>
      </c>
      <c r="E4043">
        <v>685</v>
      </c>
      <c r="F4043" t="s">
        <v>9527</v>
      </c>
    </row>
    <row r="4044" spans="1:6">
      <c r="A4044" t="s">
        <v>9805</v>
      </c>
      <c r="B4044">
        <v>8740</v>
      </c>
      <c r="C4044" t="s">
        <v>9674</v>
      </c>
      <c r="D4044" t="s">
        <v>9555</v>
      </c>
      <c r="E4044">
        <v>685</v>
      </c>
      <c r="F4044" t="s">
        <v>9527</v>
      </c>
    </row>
    <row r="4045" spans="1:6">
      <c r="A4045" t="s">
        <v>9805</v>
      </c>
      <c r="B4045">
        <v>8750</v>
      </c>
      <c r="C4045" t="s">
        <v>9674</v>
      </c>
      <c r="D4045" t="s">
        <v>9555</v>
      </c>
      <c r="E4045">
        <v>685</v>
      </c>
      <c r="F4045" t="s">
        <v>9527</v>
      </c>
    </row>
    <row r="4046" spans="1:6">
      <c r="A4046" t="s">
        <v>9805</v>
      </c>
      <c r="B4046">
        <v>8832</v>
      </c>
      <c r="C4046" t="s">
        <v>9674</v>
      </c>
      <c r="D4046" t="s">
        <v>9555</v>
      </c>
      <c r="E4046">
        <v>685</v>
      </c>
      <c r="F4046" t="s">
        <v>9527</v>
      </c>
    </row>
    <row r="4047" spans="1:6">
      <c r="A4047" t="s">
        <v>9805</v>
      </c>
      <c r="B4047">
        <v>8839</v>
      </c>
      <c r="C4047" t="s">
        <v>9674</v>
      </c>
      <c r="D4047" t="s">
        <v>9555</v>
      </c>
      <c r="E4047">
        <v>685</v>
      </c>
      <c r="F4047" t="s">
        <v>9527</v>
      </c>
    </row>
    <row r="4048" spans="1:6">
      <c r="A4048" t="s">
        <v>9805</v>
      </c>
      <c r="B4048">
        <v>8843</v>
      </c>
      <c r="C4048" t="s">
        <v>9674</v>
      </c>
      <c r="D4048" t="s">
        <v>9555</v>
      </c>
      <c r="E4048">
        <v>685</v>
      </c>
      <c r="F4048" t="s">
        <v>9527</v>
      </c>
    </row>
    <row r="4049" spans="1:6">
      <c r="A4049" t="s">
        <v>9805</v>
      </c>
      <c r="B4049">
        <v>8850</v>
      </c>
      <c r="C4049" t="s">
        <v>9674</v>
      </c>
      <c r="D4049" t="s">
        <v>9555</v>
      </c>
      <c r="E4049">
        <v>685</v>
      </c>
      <c r="F4049" t="s">
        <v>9527</v>
      </c>
    </row>
    <row r="4050" spans="1:6">
      <c r="A4050" t="s">
        <v>9805</v>
      </c>
      <c r="B4050">
        <v>8852</v>
      </c>
      <c r="C4050" t="s">
        <v>9674</v>
      </c>
      <c r="D4050" t="s">
        <v>9555</v>
      </c>
      <c r="E4050">
        <v>685</v>
      </c>
      <c r="F4050" t="s">
        <v>9527</v>
      </c>
    </row>
    <row r="4051" spans="1:6">
      <c r="A4051" t="s">
        <v>9805</v>
      </c>
      <c r="B4051">
        <v>8853</v>
      </c>
      <c r="C4051" t="s">
        <v>9674</v>
      </c>
      <c r="D4051" t="s">
        <v>9555</v>
      </c>
      <c r="E4051">
        <v>685</v>
      </c>
      <c r="F4051" t="s">
        <v>9527</v>
      </c>
    </row>
    <row r="4052" spans="1:6">
      <c r="A4052" t="s">
        <v>9805</v>
      </c>
      <c r="B4052">
        <v>8886</v>
      </c>
      <c r="C4052" t="s">
        <v>9674</v>
      </c>
      <c r="D4052" t="s">
        <v>9555</v>
      </c>
      <c r="E4052">
        <v>685</v>
      </c>
      <c r="F4052" t="s">
        <v>9527</v>
      </c>
    </row>
    <row r="4053" spans="1:6">
      <c r="A4053" t="s">
        <v>9805</v>
      </c>
      <c r="B4053">
        <v>1911</v>
      </c>
      <c r="C4053" t="s">
        <v>9674</v>
      </c>
      <c r="D4053" t="s">
        <v>9555</v>
      </c>
      <c r="E4053">
        <v>685</v>
      </c>
      <c r="F4053" t="s">
        <v>9527</v>
      </c>
    </row>
    <row r="4054" spans="1:6">
      <c r="A4054" t="s">
        <v>9805</v>
      </c>
      <c r="B4054">
        <v>7809</v>
      </c>
      <c r="C4054" t="s">
        <v>9674</v>
      </c>
      <c r="D4054" t="s">
        <v>9555</v>
      </c>
      <c r="E4054">
        <v>685</v>
      </c>
      <c r="F4054" t="s">
        <v>9527</v>
      </c>
    </row>
    <row r="4055" spans="1:6">
      <c r="A4055" t="s">
        <v>9805</v>
      </c>
      <c r="B4055">
        <v>7870</v>
      </c>
      <c r="C4055" t="s">
        <v>9674</v>
      </c>
      <c r="D4055" t="s">
        <v>9555</v>
      </c>
      <c r="E4055">
        <v>685</v>
      </c>
      <c r="F4055" t="s">
        <v>9527</v>
      </c>
    </row>
    <row r="4056" spans="1:6">
      <c r="A4056" t="s">
        <v>9805</v>
      </c>
      <c r="B4056">
        <v>7871</v>
      </c>
      <c r="C4056" t="s">
        <v>9674</v>
      </c>
      <c r="D4056" t="s">
        <v>9555</v>
      </c>
      <c r="E4056">
        <v>685</v>
      </c>
      <c r="F4056" t="s">
        <v>9527</v>
      </c>
    </row>
    <row r="4057" spans="1:6">
      <c r="A4057" t="s">
        <v>9805</v>
      </c>
      <c r="B4057">
        <v>7872</v>
      </c>
      <c r="C4057" t="s">
        <v>9674</v>
      </c>
      <c r="D4057" t="s">
        <v>9555</v>
      </c>
      <c r="E4057">
        <v>685</v>
      </c>
      <c r="F4057" t="s">
        <v>9527</v>
      </c>
    </row>
    <row r="4058" spans="1:6">
      <c r="A4058" t="s">
        <v>9805</v>
      </c>
      <c r="B4058">
        <v>7873</v>
      </c>
      <c r="C4058" t="s">
        <v>9674</v>
      </c>
      <c r="D4058" t="s">
        <v>9555</v>
      </c>
      <c r="E4058">
        <v>685</v>
      </c>
      <c r="F4058" t="s">
        <v>9527</v>
      </c>
    </row>
    <row r="4059" spans="1:6">
      <c r="A4059" t="s">
        <v>9805</v>
      </c>
      <c r="B4059">
        <v>7875</v>
      </c>
      <c r="C4059" t="s">
        <v>9674</v>
      </c>
      <c r="D4059" t="s">
        <v>9555</v>
      </c>
      <c r="E4059">
        <v>685</v>
      </c>
      <c r="F4059" t="s">
        <v>9527</v>
      </c>
    </row>
    <row r="4060" spans="1:6">
      <c r="A4060" t="s">
        <v>9805</v>
      </c>
      <c r="B4060">
        <v>7901</v>
      </c>
      <c r="C4060" t="s">
        <v>9674</v>
      </c>
      <c r="D4060" t="s">
        <v>9555</v>
      </c>
      <c r="E4060">
        <v>685</v>
      </c>
      <c r="F4060" t="s">
        <v>9527</v>
      </c>
    </row>
    <row r="4061" spans="1:6">
      <c r="A4061" t="s">
        <v>9805</v>
      </c>
      <c r="B4061">
        <v>7902</v>
      </c>
      <c r="C4061" t="s">
        <v>9674</v>
      </c>
      <c r="D4061" t="s">
        <v>9555</v>
      </c>
      <c r="E4061">
        <v>685</v>
      </c>
      <c r="F4061" t="s">
        <v>9527</v>
      </c>
    </row>
    <row r="4062" spans="1:6">
      <c r="A4062" t="s">
        <v>9805</v>
      </c>
      <c r="B4062">
        <v>7967</v>
      </c>
      <c r="C4062" t="s">
        <v>9674</v>
      </c>
      <c r="D4062" t="s">
        <v>9555</v>
      </c>
      <c r="E4062">
        <v>685</v>
      </c>
      <c r="F4062" t="s">
        <v>9527</v>
      </c>
    </row>
    <row r="4063" spans="1:6">
      <c r="A4063" t="s">
        <v>9805</v>
      </c>
      <c r="B4063">
        <v>7971</v>
      </c>
      <c r="C4063" t="s">
        <v>9674</v>
      </c>
      <c r="D4063" t="s">
        <v>9555</v>
      </c>
      <c r="E4063">
        <v>685</v>
      </c>
      <c r="F4063" t="s">
        <v>9527</v>
      </c>
    </row>
    <row r="4064" spans="1:6">
      <c r="A4064" t="s">
        <v>9805</v>
      </c>
      <c r="B4064">
        <v>7972</v>
      </c>
      <c r="C4064" t="s">
        <v>9674</v>
      </c>
      <c r="D4064" t="s">
        <v>9555</v>
      </c>
      <c r="E4064">
        <v>685</v>
      </c>
      <c r="F4064" t="s">
        <v>9527</v>
      </c>
    </row>
    <row r="4065" spans="1:6">
      <c r="A4065" t="s">
        <v>9805</v>
      </c>
      <c r="B4065">
        <v>7981</v>
      </c>
      <c r="C4065" t="s">
        <v>9674</v>
      </c>
      <c r="D4065" t="s">
        <v>9555</v>
      </c>
      <c r="E4065">
        <v>685</v>
      </c>
      <c r="F4065" t="s">
        <v>9527</v>
      </c>
    </row>
    <row r="4066" spans="1:6">
      <c r="A4066" t="s">
        <v>9805</v>
      </c>
      <c r="B4066">
        <v>7995</v>
      </c>
      <c r="C4066" t="s">
        <v>9674</v>
      </c>
      <c r="D4066" t="s">
        <v>9555</v>
      </c>
      <c r="E4066">
        <v>685</v>
      </c>
      <c r="F4066" t="s">
        <v>9527</v>
      </c>
    </row>
    <row r="4067" spans="1:6">
      <c r="A4067" t="s">
        <v>9805</v>
      </c>
      <c r="B4067">
        <v>7996</v>
      </c>
      <c r="C4067" t="s">
        <v>9674</v>
      </c>
      <c r="D4067" t="s">
        <v>9555</v>
      </c>
      <c r="E4067">
        <v>685</v>
      </c>
      <c r="F4067" t="s">
        <v>9527</v>
      </c>
    </row>
    <row r="4068" spans="1:6">
      <c r="A4068" t="s">
        <v>9805</v>
      </c>
      <c r="B4068">
        <v>8014</v>
      </c>
      <c r="C4068" t="s">
        <v>9674</v>
      </c>
      <c r="D4068" t="s">
        <v>9555</v>
      </c>
      <c r="E4068">
        <v>685</v>
      </c>
      <c r="F4068" t="s">
        <v>9527</v>
      </c>
    </row>
    <row r="4069" spans="1:6">
      <c r="A4069" t="s">
        <v>9805</v>
      </c>
      <c r="B4069">
        <v>8028</v>
      </c>
      <c r="C4069" t="s">
        <v>9674</v>
      </c>
      <c r="D4069" t="s">
        <v>9555</v>
      </c>
      <c r="E4069">
        <v>685</v>
      </c>
      <c r="F4069" t="s">
        <v>9527</v>
      </c>
    </row>
    <row r="4070" spans="1:6">
      <c r="A4070" t="s">
        <v>9805</v>
      </c>
      <c r="B4070">
        <v>8038</v>
      </c>
      <c r="C4070" t="s">
        <v>9674</v>
      </c>
      <c r="D4070" t="s">
        <v>9555</v>
      </c>
      <c r="E4070">
        <v>685</v>
      </c>
      <c r="F4070" t="s">
        <v>9527</v>
      </c>
    </row>
    <row r="4071" spans="1:6">
      <c r="A4071" t="s">
        <v>9805</v>
      </c>
      <c r="B4071">
        <v>8667</v>
      </c>
      <c r="C4071" t="s">
        <v>9674</v>
      </c>
      <c r="D4071" t="s">
        <v>9555</v>
      </c>
      <c r="E4071">
        <v>685</v>
      </c>
      <c r="F4071" t="s">
        <v>9527</v>
      </c>
    </row>
    <row r="4072" spans="1:6">
      <c r="A4072" t="s">
        <v>9805</v>
      </c>
      <c r="B4072">
        <v>8677</v>
      </c>
      <c r="C4072" t="s">
        <v>9674</v>
      </c>
      <c r="D4072" t="s">
        <v>9555</v>
      </c>
      <c r="E4072">
        <v>685</v>
      </c>
      <c r="F4072" t="s">
        <v>9527</v>
      </c>
    </row>
    <row r="4073" spans="1:6">
      <c r="A4073" t="s">
        <v>9805</v>
      </c>
      <c r="B4073">
        <v>8678</v>
      </c>
      <c r="C4073" t="s">
        <v>9674</v>
      </c>
      <c r="D4073" t="s">
        <v>9555</v>
      </c>
      <c r="E4073">
        <v>685</v>
      </c>
      <c r="F4073" t="s">
        <v>9527</v>
      </c>
    </row>
    <row r="4074" spans="1:6">
      <c r="A4074" t="s">
        <v>9805</v>
      </c>
      <c r="B4074">
        <v>8720</v>
      </c>
      <c r="C4074" t="s">
        <v>9674</v>
      </c>
      <c r="D4074" t="s">
        <v>9555</v>
      </c>
      <c r="E4074">
        <v>685</v>
      </c>
      <c r="F4074" t="s">
        <v>9527</v>
      </c>
    </row>
    <row r="4075" spans="1:6">
      <c r="A4075" t="s">
        <v>9805</v>
      </c>
      <c r="B4075">
        <v>8730</v>
      </c>
      <c r="C4075" t="s">
        <v>9674</v>
      </c>
      <c r="D4075" t="s">
        <v>9555</v>
      </c>
      <c r="E4075">
        <v>685</v>
      </c>
      <c r="F4075" t="s">
        <v>9527</v>
      </c>
    </row>
    <row r="4076" spans="1:6">
      <c r="A4076" t="s">
        <v>9805</v>
      </c>
      <c r="B4076">
        <v>8740</v>
      </c>
      <c r="C4076" t="s">
        <v>9674</v>
      </c>
      <c r="D4076" t="s">
        <v>9555</v>
      </c>
      <c r="E4076">
        <v>685</v>
      </c>
      <c r="F4076" t="s">
        <v>9527</v>
      </c>
    </row>
    <row r="4077" spans="1:6">
      <c r="A4077" t="s">
        <v>9805</v>
      </c>
      <c r="B4077">
        <v>8750</v>
      </c>
      <c r="C4077" t="s">
        <v>9674</v>
      </c>
      <c r="D4077" t="s">
        <v>9555</v>
      </c>
      <c r="E4077">
        <v>685</v>
      </c>
      <c r="F4077" t="s">
        <v>9527</v>
      </c>
    </row>
    <row r="4078" spans="1:6">
      <c r="A4078" t="s">
        <v>9805</v>
      </c>
      <c r="B4078">
        <v>8832</v>
      </c>
      <c r="C4078" t="s">
        <v>9674</v>
      </c>
      <c r="D4078" t="s">
        <v>9555</v>
      </c>
      <c r="E4078">
        <v>685</v>
      </c>
      <c r="F4078" t="s">
        <v>9527</v>
      </c>
    </row>
    <row r="4079" spans="1:6">
      <c r="A4079" t="s">
        <v>9805</v>
      </c>
      <c r="B4079">
        <v>8839</v>
      </c>
      <c r="C4079" t="s">
        <v>9674</v>
      </c>
      <c r="D4079" t="s">
        <v>9555</v>
      </c>
      <c r="E4079">
        <v>685</v>
      </c>
      <c r="F4079" t="s">
        <v>9527</v>
      </c>
    </row>
    <row r="4080" spans="1:6">
      <c r="A4080" t="s">
        <v>9805</v>
      </c>
      <c r="B4080">
        <v>8843</v>
      </c>
      <c r="C4080" t="s">
        <v>9674</v>
      </c>
      <c r="D4080" t="s">
        <v>9555</v>
      </c>
      <c r="E4080">
        <v>685</v>
      </c>
      <c r="F4080" t="s">
        <v>9527</v>
      </c>
    </row>
    <row r="4081" spans="1:6">
      <c r="A4081" t="s">
        <v>9805</v>
      </c>
      <c r="B4081">
        <v>8850</v>
      </c>
      <c r="C4081" t="s">
        <v>9674</v>
      </c>
      <c r="D4081" t="s">
        <v>9555</v>
      </c>
      <c r="E4081">
        <v>685</v>
      </c>
      <c r="F4081" t="s">
        <v>9527</v>
      </c>
    </row>
    <row r="4082" spans="1:6">
      <c r="A4082" t="s">
        <v>9805</v>
      </c>
      <c r="B4082">
        <v>8852</v>
      </c>
      <c r="C4082" t="s">
        <v>9674</v>
      </c>
      <c r="D4082" t="s">
        <v>9555</v>
      </c>
      <c r="E4082">
        <v>685</v>
      </c>
      <c r="F4082" t="s">
        <v>9527</v>
      </c>
    </row>
    <row r="4083" spans="1:6">
      <c r="A4083" t="s">
        <v>9805</v>
      </c>
      <c r="B4083">
        <v>8853</v>
      </c>
      <c r="C4083" t="s">
        <v>9674</v>
      </c>
      <c r="D4083" t="s">
        <v>9555</v>
      </c>
      <c r="E4083">
        <v>685</v>
      </c>
      <c r="F4083" t="s">
        <v>9527</v>
      </c>
    </row>
    <row r="4084" spans="1:6">
      <c r="A4084" t="s">
        <v>9805</v>
      </c>
      <c r="B4084">
        <v>8886</v>
      </c>
      <c r="C4084" t="s">
        <v>9674</v>
      </c>
      <c r="D4084" t="s">
        <v>9555</v>
      </c>
      <c r="E4084">
        <v>685</v>
      </c>
      <c r="F4084" t="s">
        <v>9527</v>
      </c>
    </row>
    <row r="4085" spans="1:6">
      <c r="A4085" t="s">
        <v>9806</v>
      </c>
      <c r="B4085">
        <v>8721</v>
      </c>
      <c r="C4085" t="s">
        <v>9674</v>
      </c>
      <c r="D4085" t="s">
        <v>9560</v>
      </c>
      <c r="E4085">
        <v>1107</v>
      </c>
      <c r="F4085" t="s">
        <v>9527</v>
      </c>
    </row>
    <row r="4086" spans="1:6">
      <c r="A4086" t="s">
        <v>9806</v>
      </c>
      <c r="B4086">
        <v>8731</v>
      </c>
      <c r="C4086" t="s">
        <v>9674</v>
      </c>
      <c r="D4086" t="s">
        <v>9560</v>
      </c>
      <c r="E4086">
        <v>1107</v>
      </c>
      <c r="F4086" t="s">
        <v>9527</v>
      </c>
    </row>
    <row r="4087" spans="1:6">
      <c r="A4087" t="s">
        <v>9806</v>
      </c>
      <c r="B4087">
        <v>7906</v>
      </c>
      <c r="C4087" t="s">
        <v>9674</v>
      </c>
      <c r="D4087" t="s">
        <v>9560</v>
      </c>
      <c r="E4087">
        <v>1107</v>
      </c>
      <c r="F4087" t="s">
        <v>9527</v>
      </c>
    </row>
    <row r="4088" spans="1:6">
      <c r="A4088" t="s">
        <v>9806</v>
      </c>
      <c r="B4088">
        <v>7916</v>
      </c>
      <c r="C4088" t="s">
        <v>9674</v>
      </c>
      <c r="D4088" t="s">
        <v>9560</v>
      </c>
      <c r="E4088">
        <v>1107</v>
      </c>
      <c r="F4088" t="s">
        <v>9527</v>
      </c>
    </row>
    <row r="4089" spans="1:6">
      <c r="A4089" t="s">
        <v>9806</v>
      </c>
      <c r="B4089">
        <v>8737</v>
      </c>
      <c r="C4089" t="s">
        <v>9674</v>
      </c>
      <c r="D4089" t="s">
        <v>9560</v>
      </c>
      <c r="E4089">
        <v>1107</v>
      </c>
      <c r="F4089" t="s">
        <v>9527</v>
      </c>
    </row>
    <row r="4090" spans="1:6">
      <c r="A4090" t="s">
        <v>9806</v>
      </c>
      <c r="B4090">
        <v>7917</v>
      </c>
      <c r="C4090" t="s">
        <v>9674</v>
      </c>
      <c r="D4090" t="s">
        <v>9560</v>
      </c>
      <c r="E4090">
        <v>1107</v>
      </c>
      <c r="F4090" t="s">
        <v>9527</v>
      </c>
    </row>
    <row r="4091" spans="1:6">
      <c r="A4091" t="s">
        <v>9806</v>
      </c>
      <c r="B4091">
        <v>7903</v>
      </c>
      <c r="C4091" t="s">
        <v>9674</v>
      </c>
      <c r="D4091" t="s">
        <v>9560</v>
      </c>
      <c r="E4091">
        <v>1107</v>
      </c>
      <c r="F4091" t="s">
        <v>9527</v>
      </c>
    </row>
    <row r="4092" spans="1:6">
      <c r="A4092" t="s">
        <v>9806</v>
      </c>
      <c r="B4092">
        <v>5455</v>
      </c>
      <c r="C4092" t="s">
        <v>9674</v>
      </c>
      <c r="D4092" t="s">
        <v>9560</v>
      </c>
      <c r="E4092">
        <v>1107</v>
      </c>
      <c r="F4092" t="s">
        <v>9527</v>
      </c>
    </row>
    <row r="4093" spans="1:6">
      <c r="A4093" t="s">
        <v>9806</v>
      </c>
      <c r="B4093">
        <v>5456</v>
      </c>
      <c r="C4093" t="s">
        <v>9674</v>
      </c>
      <c r="D4093" t="s">
        <v>9560</v>
      </c>
      <c r="E4093">
        <v>1107</v>
      </c>
      <c r="F4093" t="s">
        <v>9527</v>
      </c>
    </row>
    <row r="4094" spans="1:6">
      <c r="A4094" t="s">
        <v>9806</v>
      </c>
      <c r="B4094">
        <v>6391</v>
      </c>
      <c r="C4094" t="s">
        <v>9674</v>
      </c>
      <c r="D4094" t="s">
        <v>9560</v>
      </c>
      <c r="E4094">
        <v>1107</v>
      </c>
      <c r="F4094" t="s">
        <v>9527</v>
      </c>
    </row>
    <row r="4095" spans="1:6">
      <c r="A4095" t="s">
        <v>9806</v>
      </c>
      <c r="B4095">
        <v>7912</v>
      </c>
      <c r="C4095" t="s">
        <v>9674</v>
      </c>
      <c r="D4095" t="s">
        <v>9560</v>
      </c>
      <c r="E4095">
        <v>1107</v>
      </c>
      <c r="F4095" t="s">
        <v>9527</v>
      </c>
    </row>
    <row r="4096" spans="1:6">
      <c r="A4096" t="s">
        <v>9806</v>
      </c>
      <c r="B4096">
        <v>7913</v>
      </c>
      <c r="C4096" t="s">
        <v>9674</v>
      </c>
      <c r="D4096" t="s">
        <v>9560</v>
      </c>
      <c r="E4096">
        <v>1107</v>
      </c>
      <c r="F4096" t="s">
        <v>9527</v>
      </c>
    </row>
    <row r="4097" spans="1:6">
      <c r="A4097" t="s">
        <v>9806</v>
      </c>
      <c r="B4097">
        <v>7918</v>
      </c>
      <c r="C4097" t="s">
        <v>9674</v>
      </c>
      <c r="D4097" t="s">
        <v>9560</v>
      </c>
      <c r="E4097">
        <v>1107</v>
      </c>
      <c r="F4097" t="s">
        <v>9527</v>
      </c>
    </row>
    <row r="4098" spans="1:6">
      <c r="A4098" t="s">
        <v>9806</v>
      </c>
      <c r="B4098">
        <v>7919</v>
      </c>
      <c r="C4098" t="s">
        <v>9674</v>
      </c>
      <c r="D4098" t="s">
        <v>9560</v>
      </c>
      <c r="E4098">
        <v>1107</v>
      </c>
      <c r="F4098" t="s">
        <v>9527</v>
      </c>
    </row>
    <row r="4099" spans="1:6">
      <c r="A4099" t="s">
        <v>9806</v>
      </c>
      <c r="B4099">
        <v>8685</v>
      </c>
      <c r="C4099" t="s">
        <v>9674</v>
      </c>
      <c r="D4099" t="s">
        <v>9560</v>
      </c>
      <c r="E4099">
        <v>1107</v>
      </c>
      <c r="F4099" t="s">
        <v>9527</v>
      </c>
    </row>
    <row r="4100" spans="1:6">
      <c r="A4100" t="s">
        <v>9806</v>
      </c>
      <c r="B4100">
        <v>8686</v>
      </c>
      <c r="C4100" t="s">
        <v>9674</v>
      </c>
      <c r="D4100" t="s">
        <v>9560</v>
      </c>
      <c r="E4100">
        <v>1107</v>
      </c>
      <c r="F4100" t="s">
        <v>9527</v>
      </c>
    </row>
    <row r="4101" spans="1:6">
      <c r="A4101" t="s">
        <v>9806</v>
      </c>
      <c r="B4101">
        <v>8861</v>
      </c>
      <c r="C4101" t="s">
        <v>9674</v>
      </c>
      <c r="D4101" t="s">
        <v>9560</v>
      </c>
      <c r="E4101">
        <v>1107</v>
      </c>
      <c r="F4101" t="s">
        <v>9527</v>
      </c>
    </row>
    <row r="4102" spans="1:6">
      <c r="A4102" t="s">
        <v>9806</v>
      </c>
      <c r="B4102">
        <v>8862</v>
      </c>
      <c r="C4102" t="s">
        <v>9674</v>
      </c>
      <c r="D4102" t="s">
        <v>9560</v>
      </c>
      <c r="E4102">
        <v>1107</v>
      </c>
      <c r="F4102" t="s">
        <v>9527</v>
      </c>
    </row>
    <row r="4103" spans="1:6">
      <c r="A4103" t="s">
        <v>9806</v>
      </c>
      <c r="B4103">
        <v>8863</v>
      </c>
      <c r="C4103" t="s">
        <v>9674</v>
      </c>
      <c r="D4103" t="s">
        <v>9560</v>
      </c>
      <c r="E4103">
        <v>1107</v>
      </c>
      <c r="F4103" t="s">
        <v>9527</v>
      </c>
    </row>
    <row r="4104" spans="1:6">
      <c r="A4104" t="s">
        <v>9806</v>
      </c>
      <c r="B4104">
        <v>8683</v>
      </c>
      <c r="C4104" t="s">
        <v>9674</v>
      </c>
      <c r="D4104" t="s">
        <v>9560</v>
      </c>
      <c r="E4104">
        <v>1107</v>
      </c>
      <c r="F4104" t="s">
        <v>9527</v>
      </c>
    </row>
    <row r="4105" spans="1:6">
      <c r="A4105" t="s">
        <v>9806</v>
      </c>
      <c r="B4105">
        <v>8687</v>
      </c>
      <c r="C4105" t="s">
        <v>9674</v>
      </c>
      <c r="D4105" t="s">
        <v>9560</v>
      </c>
      <c r="E4105">
        <v>1107</v>
      </c>
      <c r="F4105" t="s">
        <v>9527</v>
      </c>
    </row>
    <row r="4106" spans="1:6">
      <c r="A4106" t="s">
        <v>9806</v>
      </c>
      <c r="B4106">
        <v>8870</v>
      </c>
      <c r="C4106" t="s">
        <v>9674</v>
      </c>
      <c r="D4106" t="s">
        <v>9560</v>
      </c>
      <c r="E4106">
        <v>1107</v>
      </c>
      <c r="F4106" t="s">
        <v>9527</v>
      </c>
    </row>
    <row r="4107" spans="1:6">
      <c r="A4107" t="s">
        <v>9806</v>
      </c>
      <c r="B4107">
        <v>8688</v>
      </c>
      <c r="C4107" t="s">
        <v>9674</v>
      </c>
      <c r="D4107" t="s">
        <v>9560</v>
      </c>
      <c r="E4107">
        <v>1107</v>
      </c>
      <c r="F4107" t="s">
        <v>9527</v>
      </c>
    </row>
    <row r="4108" spans="1:6">
      <c r="A4108" t="s">
        <v>9806</v>
      </c>
      <c r="B4108">
        <v>8855</v>
      </c>
      <c r="C4108" t="s">
        <v>9674</v>
      </c>
      <c r="D4108" t="s">
        <v>9560</v>
      </c>
      <c r="E4108">
        <v>1107</v>
      </c>
      <c r="F4108" t="s">
        <v>9527</v>
      </c>
    </row>
    <row r="4109" spans="1:6">
      <c r="A4109" t="s">
        <v>9806</v>
      </c>
      <c r="B4109">
        <v>8872</v>
      </c>
      <c r="C4109" t="s">
        <v>9674</v>
      </c>
      <c r="D4109" t="s">
        <v>9560</v>
      </c>
      <c r="E4109">
        <v>1107</v>
      </c>
      <c r="F4109" t="s">
        <v>9527</v>
      </c>
    </row>
    <row r="4110" spans="1:6">
      <c r="A4110" t="s">
        <v>9806</v>
      </c>
      <c r="B4110">
        <v>8874</v>
      </c>
      <c r="C4110" t="s">
        <v>9674</v>
      </c>
      <c r="D4110" t="s">
        <v>9560</v>
      </c>
      <c r="E4110">
        <v>1107</v>
      </c>
      <c r="F4110" t="s">
        <v>9527</v>
      </c>
    </row>
    <row r="4111" spans="1:6">
      <c r="A4111" t="s">
        <v>9806</v>
      </c>
      <c r="B4111">
        <v>6385</v>
      </c>
      <c r="C4111" t="s">
        <v>9674</v>
      </c>
      <c r="D4111" t="s">
        <v>9560</v>
      </c>
      <c r="E4111">
        <v>1107</v>
      </c>
      <c r="F4111" t="s">
        <v>9527</v>
      </c>
    </row>
    <row r="4112" spans="1:6">
      <c r="A4112" t="s">
        <v>9806</v>
      </c>
      <c r="B4112">
        <v>6386</v>
      </c>
      <c r="C4112" t="s">
        <v>9674</v>
      </c>
      <c r="D4112" t="s">
        <v>9560</v>
      </c>
      <c r="E4112">
        <v>1107</v>
      </c>
      <c r="F4112" t="s">
        <v>9527</v>
      </c>
    </row>
    <row r="4113" spans="1:6">
      <c r="A4113" t="s">
        <v>9806</v>
      </c>
      <c r="B4113">
        <v>6388</v>
      </c>
      <c r="C4113" t="s">
        <v>9674</v>
      </c>
      <c r="D4113" t="s">
        <v>9560</v>
      </c>
      <c r="E4113">
        <v>1107</v>
      </c>
      <c r="F4113" t="s">
        <v>9527</v>
      </c>
    </row>
    <row r="4114" spans="1:6">
      <c r="A4114" t="s">
        <v>9806</v>
      </c>
      <c r="B4114">
        <v>6389</v>
      </c>
      <c r="C4114" t="s">
        <v>9674</v>
      </c>
      <c r="D4114" t="s">
        <v>9560</v>
      </c>
      <c r="E4114">
        <v>1107</v>
      </c>
      <c r="F4114" t="s">
        <v>9527</v>
      </c>
    </row>
    <row r="4115" spans="1:6">
      <c r="A4115" t="s">
        <v>9806</v>
      </c>
      <c r="B4115">
        <v>6390</v>
      </c>
      <c r="C4115" t="s">
        <v>9674</v>
      </c>
      <c r="D4115" t="s">
        <v>9560</v>
      </c>
      <c r="E4115">
        <v>1107</v>
      </c>
      <c r="F4115" t="s">
        <v>9527</v>
      </c>
    </row>
    <row r="4116" spans="1:6">
      <c r="A4116" t="s">
        <v>9806</v>
      </c>
      <c r="B4116">
        <v>7321</v>
      </c>
      <c r="C4116" t="s">
        <v>9674</v>
      </c>
      <c r="D4116" t="s">
        <v>9560</v>
      </c>
      <c r="E4116">
        <v>1107</v>
      </c>
      <c r="F4116" t="s">
        <v>9527</v>
      </c>
    </row>
    <row r="4117" spans="1:6">
      <c r="A4117" t="s">
        <v>9806</v>
      </c>
      <c r="B4117">
        <v>7831</v>
      </c>
      <c r="C4117" t="s">
        <v>9674</v>
      </c>
      <c r="D4117" t="s">
        <v>9560</v>
      </c>
      <c r="E4117">
        <v>1107</v>
      </c>
      <c r="F4117" t="s">
        <v>9527</v>
      </c>
    </row>
    <row r="4118" spans="1:6">
      <c r="A4118" t="s">
        <v>9806</v>
      </c>
      <c r="B4118">
        <v>7832</v>
      </c>
      <c r="C4118" t="s">
        <v>9674</v>
      </c>
      <c r="D4118" t="s">
        <v>9560</v>
      </c>
      <c r="E4118">
        <v>1107</v>
      </c>
      <c r="F4118" t="s">
        <v>9527</v>
      </c>
    </row>
    <row r="4119" spans="1:6">
      <c r="A4119" t="s">
        <v>9806</v>
      </c>
      <c r="B4119">
        <v>7833</v>
      </c>
      <c r="C4119" t="s">
        <v>9674</v>
      </c>
      <c r="D4119" t="s">
        <v>9560</v>
      </c>
      <c r="E4119">
        <v>1107</v>
      </c>
      <c r="F4119" t="s">
        <v>9527</v>
      </c>
    </row>
    <row r="4120" spans="1:6">
      <c r="A4120" t="s">
        <v>9806</v>
      </c>
      <c r="B4120">
        <v>7834</v>
      </c>
      <c r="C4120" t="s">
        <v>9674</v>
      </c>
      <c r="D4120" t="s">
        <v>9560</v>
      </c>
      <c r="E4120">
        <v>1107</v>
      </c>
      <c r="F4120" t="s">
        <v>9527</v>
      </c>
    </row>
    <row r="4121" spans="1:6">
      <c r="A4121" t="s">
        <v>9806</v>
      </c>
      <c r="B4121">
        <v>8722</v>
      </c>
      <c r="C4121" t="s">
        <v>9674</v>
      </c>
      <c r="D4121" t="s">
        <v>9560</v>
      </c>
      <c r="E4121">
        <v>1107</v>
      </c>
      <c r="F4121" t="s">
        <v>9527</v>
      </c>
    </row>
    <row r="4122" spans="1:6">
      <c r="A4122" t="s">
        <v>9806</v>
      </c>
      <c r="B4122">
        <v>8733</v>
      </c>
      <c r="C4122" t="s">
        <v>9674</v>
      </c>
      <c r="D4122" t="s">
        <v>9560</v>
      </c>
      <c r="E4122">
        <v>1107</v>
      </c>
      <c r="F4122" t="s">
        <v>9527</v>
      </c>
    </row>
    <row r="4123" spans="1:6">
      <c r="A4123" t="s">
        <v>9806</v>
      </c>
      <c r="B4123">
        <v>8752</v>
      </c>
      <c r="C4123" t="s">
        <v>9674</v>
      </c>
      <c r="D4123" t="s">
        <v>9560</v>
      </c>
      <c r="E4123">
        <v>1107</v>
      </c>
      <c r="F4123" t="s">
        <v>9527</v>
      </c>
    </row>
    <row r="4124" spans="1:6">
      <c r="A4124" t="s">
        <v>9806</v>
      </c>
      <c r="B4124">
        <v>6205</v>
      </c>
      <c r="C4124" t="s">
        <v>9674</v>
      </c>
      <c r="D4124" t="s">
        <v>9560</v>
      </c>
      <c r="E4124">
        <v>1107</v>
      </c>
      <c r="F4124" t="s">
        <v>9527</v>
      </c>
    </row>
    <row r="4125" spans="1:6">
      <c r="A4125" t="s">
        <v>9806</v>
      </c>
      <c r="B4125">
        <v>7163</v>
      </c>
      <c r="C4125" t="s">
        <v>9674</v>
      </c>
      <c r="D4125" t="s">
        <v>9560</v>
      </c>
      <c r="E4125">
        <v>1107</v>
      </c>
      <c r="F4125" t="s">
        <v>9527</v>
      </c>
    </row>
    <row r="4126" spans="1:6">
      <c r="A4126" t="s">
        <v>9806</v>
      </c>
      <c r="B4126">
        <v>8877</v>
      </c>
      <c r="C4126" t="s">
        <v>9674</v>
      </c>
      <c r="D4126" t="s">
        <v>9560</v>
      </c>
      <c r="E4126">
        <v>1107</v>
      </c>
      <c r="F4126" t="s">
        <v>9527</v>
      </c>
    </row>
    <row r="4127" spans="1:6">
      <c r="A4127" t="s">
        <v>9806</v>
      </c>
      <c r="B4127">
        <v>7164</v>
      </c>
      <c r="C4127" t="s">
        <v>9674</v>
      </c>
      <c r="D4127" t="s">
        <v>9560</v>
      </c>
      <c r="E4127">
        <v>1107</v>
      </c>
      <c r="F4127" t="s">
        <v>9527</v>
      </c>
    </row>
    <row r="4128" spans="1:6">
      <c r="A4128" t="s">
        <v>9806</v>
      </c>
      <c r="B4128">
        <v>8865</v>
      </c>
      <c r="C4128" t="s">
        <v>9674</v>
      </c>
      <c r="D4128" t="s">
        <v>9560</v>
      </c>
      <c r="E4128">
        <v>1107</v>
      </c>
      <c r="F4128" t="s">
        <v>9527</v>
      </c>
    </row>
    <row r="4129" spans="1:6">
      <c r="A4129" t="s">
        <v>9806</v>
      </c>
      <c r="B4129">
        <v>8866</v>
      </c>
      <c r="C4129" t="s">
        <v>9674</v>
      </c>
      <c r="D4129" t="s">
        <v>9560</v>
      </c>
      <c r="E4129">
        <v>1107</v>
      </c>
      <c r="F4129" t="s">
        <v>9527</v>
      </c>
    </row>
    <row r="4130" spans="1:6">
      <c r="A4130" t="s">
        <v>9806</v>
      </c>
      <c r="B4130">
        <v>8864</v>
      </c>
      <c r="C4130" t="s">
        <v>9674</v>
      </c>
      <c r="D4130" t="s">
        <v>9560</v>
      </c>
      <c r="E4130">
        <v>1107</v>
      </c>
      <c r="F4130" t="s">
        <v>9527</v>
      </c>
    </row>
    <row r="4131" spans="1:6">
      <c r="A4131" t="s">
        <v>9806</v>
      </c>
      <c r="B4131">
        <v>7141</v>
      </c>
      <c r="C4131" t="s">
        <v>9674</v>
      </c>
      <c r="D4131" t="s">
        <v>9560</v>
      </c>
      <c r="E4131">
        <v>1107</v>
      </c>
      <c r="F4131" t="s">
        <v>9527</v>
      </c>
    </row>
    <row r="4132" spans="1:6">
      <c r="A4132" t="s">
        <v>9806</v>
      </c>
      <c r="B4132">
        <v>7143</v>
      </c>
      <c r="C4132" t="s">
        <v>9674</v>
      </c>
      <c r="D4132" t="s">
        <v>9560</v>
      </c>
      <c r="E4132">
        <v>1107</v>
      </c>
      <c r="F4132" t="s">
        <v>9527</v>
      </c>
    </row>
    <row r="4133" spans="1:6">
      <c r="A4133" t="s">
        <v>9806</v>
      </c>
      <c r="B4133">
        <v>7145</v>
      </c>
      <c r="C4133" t="s">
        <v>9674</v>
      </c>
      <c r="D4133" t="s">
        <v>9560</v>
      </c>
      <c r="E4133">
        <v>1107</v>
      </c>
      <c r="F4133" t="s">
        <v>9527</v>
      </c>
    </row>
    <row r="4134" spans="1:6">
      <c r="A4134" t="s">
        <v>9806</v>
      </c>
      <c r="B4134">
        <v>7147</v>
      </c>
      <c r="C4134" t="s">
        <v>9674</v>
      </c>
      <c r="D4134" t="s">
        <v>9560</v>
      </c>
      <c r="E4134">
        <v>1107</v>
      </c>
      <c r="F4134" t="s">
        <v>9527</v>
      </c>
    </row>
    <row r="4135" spans="1:6">
      <c r="A4135" t="s">
        <v>9806</v>
      </c>
      <c r="B4135">
        <v>3837</v>
      </c>
      <c r="C4135" t="s">
        <v>9674</v>
      </c>
      <c r="D4135" t="s">
        <v>9560</v>
      </c>
      <c r="E4135">
        <v>1107</v>
      </c>
      <c r="F4135" t="s">
        <v>9527</v>
      </c>
    </row>
    <row r="4136" spans="1:6">
      <c r="A4136" t="s">
        <v>9806</v>
      </c>
      <c r="B4136">
        <v>8878</v>
      </c>
      <c r="C4136" t="s">
        <v>9674</v>
      </c>
      <c r="D4136" t="s">
        <v>9560</v>
      </c>
      <c r="E4136">
        <v>1107</v>
      </c>
      <c r="F4136" t="s">
        <v>9527</v>
      </c>
    </row>
    <row r="4137" spans="1:6">
      <c r="A4137" t="s">
        <v>9806</v>
      </c>
      <c r="B4137">
        <v>8879</v>
      </c>
      <c r="C4137" t="s">
        <v>9674</v>
      </c>
      <c r="D4137" t="s">
        <v>9560</v>
      </c>
      <c r="E4137">
        <v>1107</v>
      </c>
      <c r="F4137" t="s">
        <v>9527</v>
      </c>
    </row>
    <row r="4138" spans="1:6">
      <c r="A4138" t="s">
        <v>9806</v>
      </c>
      <c r="B4138">
        <v>7233</v>
      </c>
      <c r="C4138" t="s">
        <v>9674</v>
      </c>
      <c r="D4138" t="s">
        <v>9560</v>
      </c>
      <c r="E4138">
        <v>1107</v>
      </c>
      <c r="F4138" t="s">
        <v>9527</v>
      </c>
    </row>
    <row r="4139" spans="1:6">
      <c r="A4139" t="s">
        <v>9806</v>
      </c>
      <c r="B4139">
        <v>5464</v>
      </c>
      <c r="C4139" t="s">
        <v>9674</v>
      </c>
      <c r="D4139" t="s">
        <v>9560</v>
      </c>
      <c r="E4139">
        <v>1107</v>
      </c>
      <c r="F4139" t="s">
        <v>9527</v>
      </c>
    </row>
    <row r="4140" spans="1:6">
      <c r="A4140" t="s">
        <v>9806</v>
      </c>
      <c r="B4140">
        <v>9532</v>
      </c>
      <c r="C4140" t="s">
        <v>9674</v>
      </c>
      <c r="D4140" t="s">
        <v>9560</v>
      </c>
      <c r="E4140">
        <v>1107</v>
      </c>
      <c r="F4140" t="s">
        <v>9527</v>
      </c>
    </row>
    <row r="4141" spans="1:6">
      <c r="A4141" t="s">
        <v>9806</v>
      </c>
      <c r="B4141">
        <v>5465</v>
      </c>
      <c r="C4141" t="s">
        <v>9674</v>
      </c>
      <c r="D4141" t="s">
        <v>9560</v>
      </c>
      <c r="E4141">
        <v>1107</v>
      </c>
      <c r="F4141" t="s">
        <v>9527</v>
      </c>
    </row>
    <row r="4142" spans="1:6">
      <c r="A4142" t="s">
        <v>9806</v>
      </c>
      <c r="B4142">
        <v>5456</v>
      </c>
      <c r="C4142" t="s">
        <v>9674</v>
      </c>
      <c r="D4142" t="s">
        <v>9560</v>
      </c>
      <c r="E4142">
        <v>1107</v>
      </c>
      <c r="F4142" t="s">
        <v>9527</v>
      </c>
    </row>
    <row r="4143" spans="1:6">
      <c r="A4143" t="s">
        <v>9806</v>
      </c>
      <c r="B4143">
        <v>7148</v>
      </c>
      <c r="C4143" t="s">
        <v>9674</v>
      </c>
      <c r="D4143" t="s">
        <v>9560</v>
      </c>
      <c r="E4143">
        <v>1107</v>
      </c>
      <c r="F4143" t="s">
        <v>9527</v>
      </c>
    </row>
    <row r="4144" spans="1:6">
      <c r="A4144" t="s">
        <v>9806</v>
      </c>
      <c r="B4144">
        <v>7385</v>
      </c>
      <c r="C4144" t="s">
        <v>9674</v>
      </c>
      <c r="D4144" t="s">
        <v>9560</v>
      </c>
      <c r="E4144">
        <v>1107</v>
      </c>
      <c r="F4144" t="s">
        <v>9527</v>
      </c>
    </row>
    <row r="4145" spans="1:6">
      <c r="A4145" t="s">
        <v>9806</v>
      </c>
      <c r="B4145">
        <v>7162</v>
      </c>
      <c r="C4145" t="s">
        <v>9674</v>
      </c>
      <c r="D4145" t="s">
        <v>9560</v>
      </c>
      <c r="E4145">
        <v>1107</v>
      </c>
      <c r="F4145" t="s">
        <v>9527</v>
      </c>
    </row>
    <row r="4146" spans="1:6">
      <c r="A4146" t="s">
        <v>9806</v>
      </c>
      <c r="B4146">
        <v>6241</v>
      </c>
      <c r="C4146" t="s">
        <v>9674</v>
      </c>
      <c r="D4146" t="s">
        <v>9560</v>
      </c>
      <c r="E4146">
        <v>1107</v>
      </c>
      <c r="F4146" t="s">
        <v>9527</v>
      </c>
    </row>
    <row r="4147" spans="1:6">
      <c r="A4147" t="s">
        <v>9806</v>
      </c>
      <c r="B4147">
        <v>8721</v>
      </c>
      <c r="C4147" t="s">
        <v>9674</v>
      </c>
      <c r="D4147" t="s">
        <v>9560</v>
      </c>
      <c r="E4147">
        <v>1107</v>
      </c>
      <c r="F4147" t="s">
        <v>9527</v>
      </c>
    </row>
    <row r="4148" spans="1:6">
      <c r="A4148" t="s">
        <v>9806</v>
      </c>
      <c r="B4148">
        <v>8731</v>
      </c>
      <c r="C4148" t="s">
        <v>9674</v>
      </c>
      <c r="D4148" t="s">
        <v>9560</v>
      </c>
      <c r="E4148">
        <v>1107</v>
      </c>
      <c r="F4148" t="s">
        <v>9527</v>
      </c>
    </row>
    <row r="4149" spans="1:6">
      <c r="A4149" t="s">
        <v>9806</v>
      </c>
      <c r="B4149">
        <v>7906</v>
      </c>
      <c r="C4149" t="s">
        <v>9674</v>
      </c>
      <c r="D4149" t="s">
        <v>9560</v>
      </c>
      <c r="E4149">
        <v>1107</v>
      </c>
      <c r="F4149" t="s">
        <v>9527</v>
      </c>
    </row>
    <row r="4150" spans="1:6">
      <c r="A4150" t="s">
        <v>9806</v>
      </c>
      <c r="B4150">
        <v>7916</v>
      </c>
      <c r="C4150" t="s">
        <v>9674</v>
      </c>
      <c r="D4150" t="s">
        <v>9560</v>
      </c>
      <c r="E4150">
        <v>1107</v>
      </c>
      <c r="F4150" t="s">
        <v>9527</v>
      </c>
    </row>
    <row r="4151" spans="1:6">
      <c r="A4151" t="s">
        <v>9806</v>
      </c>
      <c r="B4151">
        <v>8737</v>
      </c>
      <c r="C4151" t="s">
        <v>9674</v>
      </c>
      <c r="D4151" t="s">
        <v>9560</v>
      </c>
      <c r="E4151">
        <v>1107</v>
      </c>
      <c r="F4151" t="s">
        <v>9527</v>
      </c>
    </row>
    <row r="4152" spans="1:6">
      <c r="A4152" t="s">
        <v>9806</v>
      </c>
      <c r="B4152">
        <v>7917</v>
      </c>
      <c r="C4152" t="s">
        <v>9674</v>
      </c>
      <c r="D4152" t="s">
        <v>9560</v>
      </c>
      <c r="E4152">
        <v>1107</v>
      </c>
      <c r="F4152" t="s">
        <v>9527</v>
      </c>
    </row>
    <row r="4153" spans="1:6">
      <c r="A4153" t="s">
        <v>9806</v>
      </c>
      <c r="B4153">
        <v>7903</v>
      </c>
      <c r="C4153" t="s">
        <v>9674</v>
      </c>
      <c r="D4153" t="s">
        <v>9560</v>
      </c>
      <c r="E4153">
        <v>1107</v>
      </c>
      <c r="F4153" t="s">
        <v>9527</v>
      </c>
    </row>
    <row r="4154" spans="1:6">
      <c r="A4154" t="s">
        <v>9806</v>
      </c>
      <c r="B4154">
        <v>5455</v>
      </c>
      <c r="C4154" t="s">
        <v>9674</v>
      </c>
      <c r="D4154" t="s">
        <v>9560</v>
      </c>
      <c r="E4154">
        <v>1107</v>
      </c>
      <c r="F4154" t="s">
        <v>9527</v>
      </c>
    </row>
    <row r="4155" spans="1:6">
      <c r="A4155" t="s">
        <v>9806</v>
      </c>
      <c r="B4155">
        <v>5456</v>
      </c>
      <c r="C4155" t="s">
        <v>9674</v>
      </c>
      <c r="D4155" t="s">
        <v>9560</v>
      </c>
      <c r="E4155">
        <v>1107</v>
      </c>
      <c r="F4155" t="s">
        <v>9527</v>
      </c>
    </row>
    <row r="4156" spans="1:6">
      <c r="A4156" t="s">
        <v>9806</v>
      </c>
      <c r="B4156">
        <v>6391</v>
      </c>
      <c r="C4156" t="s">
        <v>9674</v>
      </c>
      <c r="D4156" t="s">
        <v>9560</v>
      </c>
      <c r="E4156">
        <v>1107</v>
      </c>
      <c r="F4156" t="s">
        <v>9527</v>
      </c>
    </row>
    <row r="4157" spans="1:6">
      <c r="A4157" t="s">
        <v>9806</v>
      </c>
      <c r="B4157">
        <v>7912</v>
      </c>
      <c r="C4157" t="s">
        <v>9674</v>
      </c>
      <c r="D4157" t="s">
        <v>9560</v>
      </c>
      <c r="E4157">
        <v>1107</v>
      </c>
      <c r="F4157" t="s">
        <v>9527</v>
      </c>
    </row>
    <row r="4158" spans="1:6">
      <c r="A4158" t="s">
        <v>9806</v>
      </c>
      <c r="B4158">
        <v>7913</v>
      </c>
      <c r="C4158" t="s">
        <v>9674</v>
      </c>
      <c r="D4158" t="s">
        <v>9560</v>
      </c>
      <c r="E4158">
        <v>1107</v>
      </c>
      <c r="F4158" t="s">
        <v>9527</v>
      </c>
    </row>
    <row r="4159" spans="1:6">
      <c r="A4159" t="s">
        <v>9806</v>
      </c>
      <c r="B4159">
        <v>7918</v>
      </c>
      <c r="C4159" t="s">
        <v>9674</v>
      </c>
      <c r="D4159" t="s">
        <v>9560</v>
      </c>
      <c r="E4159">
        <v>1107</v>
      </c>
      <c r="F4159" t="s">
        <v>9527</v>
      </c>
    </row>
    <row r="4160" spans="1:6">
      <c r="A4160" t="s">
        <v>9806</v>
      </c>
      <c r="B4160">
        <v>7919</v>
      </c>
      <c r="C4160" t="s">
        <v>9674</v>
      </c>
      <c r="D4160" t="s">
        <v>9560</v>
      </c>
      <c r="E4160">
        <v>1107</v>
      </c>
      <c r="F4160" t="s">
        <v>9527</v>
      </c>
    </row>
    <row r="4161" spans="1:6">
      <c r="A4161" t="s">
        <v>9806</v>
      </c>
      <c r="B4161">
        <v>8685</v>
      </c>
      <c r="C4161" t="s">
        <v>9674</v>
      </c>
      <c r="D4161" t="s">
        <v>9560</v>
      </c>
      <c r="E4161">
        <v>1107</v>
      </c>
      <c r="F4161" t="s">
        <v>9527</v>
      </c>
    </row>
    <row r="4162" spans="1:6">
      <c r="A4162" t="s">
        <v>9806</v>
      </c>
      <c r="B4162">
        <v>8686</v>
      </c>
      <c r="C4162" t="s">
        <v>9674</v>
      </c>
      <c r="D4162" t="s">
        <v>9560</v>
      </c>
      <c r="E4162">
        <v>1107</v>
      </c>
      <c r="F4162" t="s">
        <v>9527</v>
      </c>
    </row>
    <row r="4163" spans="1:6">
      <c r="A4163" t="s">
        <v>9806</v>
      </c>
      <c r="B4163">
        <v>8861</v>
      </c>
      <c r="C4163" t="s">
        <v>9674</v>
      </c>
      <c r="D4163" t="s">
        <v>9560</v>
      </c>
      <c r="E4163">
        <v>1107</v>
      </c>
      <c r="F4163" t="s">
        <v>9527</v>
      </c>
    </row>
    <row r="4164" spans="1:6">
      <c r="A4164" t="s">
        <v>9806</v>
      </c>
      <c r="B4164">
        <v>8862</v>
      </c>
      <c r="C4164" t="s">
        <v>9674</v>
      </c>
      <c r="D4164" t="s">
        <v>9560</v>
      </c>
      <c r="E4164">
        <v>1107</v>
      </c>
      <c r="F4164" t="s">
        <v>9527</v>
      </c>
    </row>
    <row r="4165" spans="1:6">
      <c r="A4165" t="s">
        <v>9806</v>
      </c>
      <c r="B4165">
        <v>8863</v>
      </c>
      <c r="C4165" t="s">
        <v>9674</v>
      </c>
      <c r="D4165" t="s">
        <v>9560</v>
      </c>
      <c r="E4165">
        <v>1107</v>
      </c>
      <c r="F4165" t="s">
        <v>9527</v>
      </c>
    </row>
    <row r="4166" spans="1:6">
      <c r="A4166" t="s">
        <v>9806</v>
      </c>
      <c r="B4166">
        <v>8683</v>
      </c>
      <c r="C4166" t="s">
        <v>9674</v>
      </c>
      <c r="D4166" t="s">
        <v>9560</v>
      </c>
      <c r="E4166">
        <v>1107</v>
      </c>
      <c r="F4166" t="s">
        <v>9527</v>
      </c>
    </row>
    <row r="4167" spans="1:6">
      <c r="A4167" t="s">
        <v>9806</v>
      </c>
      <c r="B4167">
        <v>8687</v>
      </c>
      <c r="C4167" t="s">
        <v>9674</v>
      </c>
      <c r="D4167" t="s">
        <v>9560</v>
      </c>
      <c r="E4167">
        <v>1107</v>
      </c>
      <c r="F4167" t="s">
        <v>9527</v>
      </c>
    </row>
    <row r="4168" spans="1:6">
      <c r="A4168" t="s">
        <v>9806</v>
      </c>
      <c r="B4168">
        <v>8870</v>
      </c>
      <c r="C4168" t="s">
        <v>9674</v>
      </c>
      <c r="D4168" t="s">
        <v>9560</v>
      </c>
      <c r="E4168">
        <v>1107</v>
      </c>
      <c r="F4168" t="s">
        <v>9527</v>
      </c>
    </row>
    <row r="4169" spans="1:6">
      <c r="A4169" t="s">
        <v>9806</v>
      </c>
      <c r="B4169">
        <v>8688</v>
      </c>
      <c r="C4169" t="s">
        <v>9674</v>
      </c>
      <c r="D4169" t="s">
        <v>9560</v>
      </c>
      <c r="E4169">
        <v>1107</v>
      </c>
      <c r="F4169" t="s">
        <v>9527</v>
      </c>
    </row>
    <row r="4170" spans="1:6">
      <c r="A4170" t="s">
        <v>9806</v>
      </c>
      <c r="B4170">
        <v>8855</v>
      </c>
      <c r="C4170" t="s">
        <v>9674</v>
      </c>
      <c r="D4170" t="s">
        <v>9560</v>
      </c>
      <c r="E4170">
        <v>1107</v>
      </c>
      <c r="F4170" t="s">
        <v>9527</v>
      </c>
    </row>
    <row r="4171" spans="1:6">
      <c r="A4171" t="s">
        <v>9806</v>
      </c>
      <c r="B4171">
        <v>8872</v>
      </c>
      <c r="C4171" t="s">
        <v>9674</v>
      </c>
      <c r="D4171" t="s">
        <v>9560</v>
      </c>
      <c r="E4171">
        <v>1107</v>
      </c>
      <c r="F4171" t="s">
        <v>9527</v>
      </c>
    </row>
    <row r="4172" spans="1:6">
      <c r="A4172" t="s">
        <v>9806</v>
      </c>
      <c r="B4172">
        <v>8874</v>
      </c>
      <c r="C4172" t="s">
        <v>9674</v>
      </c>
      <c r="D4172" t="s">
        <v>9560</v>
      </c>
      <c r="E4172">
        <v>1107</v>
      </c>
      <c r="F4172" t="s">
        <v>9527</v>
      </c>
    </row>
    <row r="4173" spans="1:6">
      <c r="A4173" t="s">
        <v>9806</v>
      </c>
      <c r="B4173">
        <v>6385</v>
      </c>
      <c r="C4173" t="s">
        <v>9674</v>
      </c>
      <c r="D4173" t="s">
        <v>9560</v>
      </c>
      <c r="E4173">
        <v>1107</v>
      </c>
      <c r="F4173" t="s">
        <v>9527</v>
      </c>
    </row>
    <row r="4174" spans="1:6">
      <c r="A4174" t="s">
        <v>9806</v>
      </c>
      <c r="B4174">
        <v>6386</v>
      </c>
      <c r="C4174" t="s">
        <v>9674</v>
      </c>
      <c r="D4174" t="s">
        <v>9560</v>
      </c>
      <c r="E4174">
        <v>1107</v>
      </c>
      <c r="F4174" t="s">
        <v>9527</v>
      </c>
    </row>
    <row r="4175" spans="1:6">
      <c r="A4175" t="s">
        <v>9806</v>
      </c>
      <c r="B4175">
        <v>6388</v>
      </c>
      <c r="C4175" t="s">
        <v>9674</v>
      </c>
      <c r="D4175" t="s">
        <v>9560</v>
      </c>
      <c r="E4175">
        <v>1107</v>
      </c>
      <c r="F4175" t="s">
        <v>9527</v>
      </c>
    </row>
    <row r="4176" spans="1:6">
      <c r="A4176" t="s">
        <v>9806</v>
      </c>
      <c r="B4176">
        <v>6389</v>
      </c>
      <c r="C4176" t="s">
        <v>9674</v>
      </c>
      <c r="D4176" t="s">
        <v>9560</v>
      </c>
      <c r="E4176">
        <v>1107</v>
      </c>
      <c r="F4176" t="s">
        <v>9527</v>
      </c>
    </row>
    <row r="4177" spans="1:6">
      <c r="A4177" t="s">
        <v>9806</v>
      </c>
      <c r="B4177">
        <v>6390</v>
      </c>
      <c r="C4177" t="s">
        <v>9674</v>
      </c>
      <c r="D4177" t="s">
        <v>9560</v>
      </c>
      <c r="E4177">
        <v>1107</v>
      </c>
      <c r="F4177" t="s">
        <v>9527</v>
      </c>
    </row>
    <row r="4178" spans="1:6">
      <c r="A4178" t="s">
        <v>9806</v>
      </c>
      <c r="B4178">
        <v>7321</v>
      </c>
      <c r="C4178" t="s">
        <v>9674</v>
      </c>
      <c r="D4178" t="s">
        <v>9560</v>
      </c>
      <c r="E4178">
        <v>1107</v>
      </c>
      <c r="F4178" t="s">
        <v>9527</v>
      </c>
    </row>
    <row r="4179" spans="1:6">
      <c r="A4179" t="s">
        <v>9806</v>
      </c>
      <c r="B4179">
        <v>7831</v>
      </c>
      <c r="C4179" t="s">
        <v>9674</v>
      </c>
      <c r="D4179" t="s">
        <v>9560</v>
      </c>
      <c r="E4179">
        <v>1107</v>
      </c>
      <c r="F4179" t="s">
        <v>9527</v>
      </c>
    </row>
    <row r="4180" spans="1:6">
      <c r="A4180" t="s">
        <v>9806</v>
      </c>
      <c r="B4180">
        <v>7832</v>
      </c>
      <c r="C4180" t="s">
        <v>9674</v>
      </c>
      <c r="D4180" t="s">
        <v>9560</v>
      </c>
      <c r="E4180">
        <v>1107</v>
      </c>
      <c r="F4180" t="s">
        <v>9527</v>
      </c>
    </row>
    <row r="4181" spans="1:6">
      <c r="A4181" t="s">
        <v>9806</v>
      </c>
      <c r="B4181">
        <v>7833</v>
      </c>
      <c r="C4181" t="s">
        <v>9674</v>
      </c>
      <c r="D4181" t="s">
        <v>9560</v>
      </c>
      <c r="E4181">
        <v>1107</v>
      </c>
      <c r="F4181" t="s">
        <v>9527</v>
      </c>
    </row>
    <row r="4182" spans="1:6">
      <c r="A4182" t="s">
        <v>9806</v>
      </c>
      <c r="B4182">
        <v>7834</v>
      </c>
      <c r="C4182" t="s">
        <v>9674</v>
      </c>
      <c r="D4182" t="s">
        <v>9560</v>
      </c>
      <c r="E4182">
        <v>1107</v>
      </c>
      <c r="F4182" t="s">
        <v>9527</v>
      </c>
    </row>
    <row r="4183" spans="1:6">
      <c r="A4183" t="s">
        <v>9806</v>
      </c>
      <c r="B4183">
        <v>8722</v>
      </c>
      <c r="C4183" t="s">
        <v>9674</v>
      </c>
      <c r="D4183" t="s">
        <v>9560</v>
      </c>
      <c r="E4183">
        <v>1107</v>
      </c>
      <c r="F4183" t="s">
        <v>9527</v>
      </c>
    </row>
    <row r="4184" spans="1:6">
      <c r="A4184" t="s">
        <v>9806</v>
      </c>
      <c r="B4184">
        <v>8733</v>
      </c>
      <c r="C4184" t="s">
        <v>9674</v>
      </c>
      <c r="D4184" t="s">
        <v>9560</v>
      </c>
      <c r="E4184">
        <v>1107</v>
      </c>
      <c r="F4184" t="s">
        <v>9527</v>
      </c>
    </row>
    <row r="4185" spans="1:6">
      <c r="A4185" t="s">
        <v>9806</v>
      </c>
      <c r="B4185">
        <v>8752</v>
      </c>
      <c r="C4185" t="s">
        <v>9674</v>
      </c>
      <c r="D4185" t="s">
        <v>9560</v>
      </c>
      <c r="E4185">
        <v>1107</v>
      </c>
      <c r="F4185" t="s">
        <v>9527</v>
      </c>
    </row>
    <row r="4186" spans="1:6">
      <c r="A4186" t="s">
        <v>9806</v>
      </c>
      <c r="B4186">
        <v>6205</v>
      </c>
      <c r="C4186" t="s">
        <v>9674</v>
      </c>
      <c r="D4186" t="s">
        <v>9560</v>
      </c>
      <c r="E4186">
        <v>1107</v>
      </c>
      <c r="F4186" t="s">
        <v>9527</v>
      </c>
    </row>
    <row r="4187" spans="1:6">
      <c r="A4187" t="s">
        <v>9806</v>
      </c>
      <c r="B4187">
        <v>7163</v>
      </c>
      <c r="C4187" t="s">
        <v>9674</v>
      </c>
      <c r="D4187" t="s">
        <v>9560</v>
      </c>
      <c r="E4187">
        <v>1107</v>
      </c>
      <c r="F4187" t="s">
        <v>9527</v>
      </c>
    </row>
    <row r="4188" spans="1:6">
      <c r="A4188" t="s">
        <v>9806</v>
      </c>
      <c r="B4188">
        <v>8877</v>
      </c>
      <c r="C4188" t="s">
        <v>9674</v>
      </c>
      <c r="D4188" t="s">
        <v>9560</v>
      </c>
      <c r="E4188">
        <v>1107</v>
      </c>
      <c r="F4188" t="s">
        <v>9527</v>
      </c>
    </row>
    <row r="4189" spans="1:6">
      <c r="A4189" t="s">
        <v>9806</v>
      </c>
      <c r="B4189">
        <v>7164</v>
      </c>
      <c r="C4189" t="s">
        <v>9674</v>
      </c>
      <c r="D4189" t="s">
        <v>9560</v>
      </c>
      <c r="E4189">
        <v>1107</v>
      </c>
      <c r="F4189" t="s">
        <v>9527</v>
      </c>
    </row>
    <row r="4190" spans="1:6">
      <c r="A4190" t="s">
        <v>9806</v>
      </c>
      <c r="B4190">
        <v>8865</v>
      </c>
      <c r="C4190" t="s">
        <v>9674</v>
      </c>
      <c r="D4190" t="s">
        <v>9560</v>
      </c>
      <c r="E4190">
        <v>1107</v>
      </c>
      <c r="F4190" t="s">
        <v>9527</v>
      </c>
    </row>
    <row r="4191" spans="1:6">
      <c r="A4191" t="s">
        <v>9806</v>
      </c>
      <c r="B4191">
        <v>8866</v>
      </c>
      <c r="C4191" t="s">
        <v>9674</v>
      </c>
      <c r="D4191" t="s">
        <v>9560</v>
      </c>
      <c r="E4191">
        <v>1107</v>
      </c>
      <c r="F4191" t="s">
        <v>9527</v>
      </c>
    </row>
    <row r="4192" spans="1:6">
      <c r="A4192" t="s">
        <v>9806</v>
      </c>
      <c r="B4192">
        <v>8864</v>
      </c>
      <c r="C4192" t="s">
        <v>9674</v>
      </c>
      <c r="D4192" t="s">
        <v>9560</v>
      </c>
      <c r="E4192">
        <v>1107</v>
      </c>
      <c r="F4192" t="s">
        <v>9527</v>
      </c>
    </row>
    <row r="4193" spans="1:6">
      <c r="A4193" t="s">
        <v>9806</v>
      </c>
      <c r="B4193">
        <v>7141</v>
      </c>
      <c r="C4193" t="s">
        <v>9674</v>
      </c>
      <c r="D4193" t="s">
        <v>9560</v>
      </c>
      <c r="E4193">
        <v>1107</v>
      </c>
      <c r="F4193" t="s">
        <v>9527</v>
      </c>
    </row>
    <row r="4194" spans="1:6">
      <c r="A4194" t="s">
        <v>9806</v>
      </c>
      <c r="B4194">
        <v>7143</v>
      </c>
      <c r="C4194" t="s">
        <v>9674</v>
      </c>
      <c r="D4194" t="s">
        <v>9560</v>
      </c>
      <c r="E4194">
        <v>1107</v>
      </c>
      <c r="F4194" t="s">
        <v>9527</v>
      </c>
    </row>
    <row r="4195" spans="1:6">
      <c r="A4195" t="s">
        <v>9806</v>
      </c>
      <c r="B4195">
        <v>7145</v>
      </c>
      <c r="C4195" t="s">
        <v>9674</v>
      </c>
      <c r="D4195" t="s">
        <v>9560</v>
      </c>
      <c r="E4195">
        <v>1107</v>
      </c>
      <c r="F4195" t="s">
        <v>9527</v>
      </c>
    </row>
    <row r="4196" spans="1:6">
      <c r="A4196" t="s">
        <v>9806</v>
      </c>
      <c r="B4196">
        <v>7147</v>
      </c>
      <c r="C4196" t="s">
        <v>9674</v>
      </c>
      <c r="D4196" t="s">
        <v>9560</v>
      </c>
      <c r="E4196">
        <v>1107</v>
      </c>
      <c r="F4196" t="s">
        <v>9527</v>
      </c>
    </row>
    <row r="4197" spans="1:6">
      <c r="A4197" t="s">
        <v>9806</v>
      </c>
      <c r="B4197">
        <v>3837</v>
      </c>
      <c r="C4197" t="s">
        <v>9674</v>
      </c>
      <c r="D4197" t="s">
        <v>9560</v>
      </c>
      <c r="E4197">
        <v>1107</v>
      </c>
      <c r="F4197" t="s">
        <v>9527</v>
      </c>
    </row>
    <row r="4198" spans="1:6">
      <c r="A4198" t="s">
        <v>9806</v>
      </c>
      <c r="B4198">
        <v>8878</v>
      </c>
      <c r="C4198" t="s">
        <v>9674</v>
      </c>
      <c r="D4198" t="s">
        <v>9560</v>
      </c>
      <c r="E4198">
        <v>1107</v>
      </c>
      <c r="F4198" t="s">
        <v>9527</v>
      </c>
    </row>
    <row r="4199" spans="1:6">
      <c r="A4199" t="s">
        <v>9806</v>
      </c>
      <c r="B4199">
        <v>8879</v>
      </c>
      <c r="C4199" t="s">
        <v>9674</v>
      </c>
      <c r="D4199" t="s">
        <v>9560</v>
      </c>
      <c r="E4199">
        <v>1107</v>
      </c>
      <c r="F4199" t="s">
        <v>9527</v>
      </c>
    </row>
    <row r="4200" spans="1:6">
      <c r="A4200" t="s">
        <v>9806</v>
      </c>
      <c r="B4200">
        <v>7233</v>
      </c>
      <c r="C4200" t="s">
        <v>9674</v>
      </c>
      <c r="D4200" t="s">
        <v>9560</v>
      </c>
      <c r="E4200">
        <v>1107</v>
      </c>
      <c r="F4200" t="s">
        <v>9527</v>
      </c>
    </row>
    <row r="4201" spans="1:6">
      <c r="A4201" t="s">
        <v>9806</v>
      </c>
      <c r="B4201">
        <v>5464</v>
      </c>
      <c r="C4201" t="s">
        <v>9674</v>
      </c>
      <c r="D4201" t="s">
        <v>9560</v>
      </c>
      <c r="E4201">
        <v>1107</v>
      </c>
      <c r="F4201" t="s">
        <v>9527</v>
      </c>
    </row>
    <row r="4202" spans="1:6">
      <c r="A4202" t="s">
        <v>9806</v>
      </c>
      <c r="B4202">
        <v>9532</v>
      </c>
      <c r="C4202" t="s">
        <v>9674</v>
      </c>
      <c r="D4202" t="s">
        <v>9560</v>
      </c>
      <c r="E4202">
        <v>1107</v>
      </c>
      <c r="F4202" t="s">
        <v>9527</v>
      </c>
    </row>
    <row r="4203" spans="1:6">
      <c r="A4203" t="s">
        <v>9806</v>
      </c>
      <c r="B4203">
        <v>5465</v>
      </c>
      <c r="C4203" t="s">
        <v>9674</v>
      </c>
      <c r="D4203" t="s">
        <v>9560</v>
      </c>
      <c r="E4203">
        <v>1107</v>
      </c>
      <c r="F4203" t="s">
        <v>9527</v>
      </c>
    </row>
    <row r="4204" spans="1:6">
      <c r="A4204" t="s">
        <v>9806</v>
      </c>
      <c r="B4204">
        <v>5456</v>
      </c>
      <c r="C4204" t="s">
        <v>9674</v>
      </c>
      <c r="D4204" t="s">
        <v>9560</v>
      </c>
      <c r="E4204">
        <v>1107</v>
      </c>
      <c r="F4204" t="s">
        <v>9527</v>
      </c>
    </row>
    <row r="4205" spans="1:6">
      <c r="A4205" t="s">
        <v>9806</v>
      </c>
      <c r="B4205">
        <v>7148</v>
      </c>
      <c r="C4205" t="s">
        <v>9674</v>
      </c>
      <c r="D4205" t="s">
        <v>9560</v>
      </c>
      <c r="E4205">
        <v>1107</v>
      </c>
      <c r="F4205" t="s">
        <v>9527</v>
      </c>
    </row>
    <row r="4206" spans="1:6">
      <c r="A4206" t="s">
        <v>9806</v>
      </c>
      <c r="B4206">
        <v>7385</v>
      </c>
      <c r="C4206" t="s">
        <v>9674</v>
      </c>
      <c r="D4206" t="s">
        <v>9560</v>
      </c>
      <c r="E4206">
        <v>1107</v>
      </c>
      <c r="F4206" t="s">
        <v>9527</v>
      </c>
    </row>
    <row r="4207" spans="1:6">
      <c r="A4207" t="s">
        <v>9806</v>
      </c>
      <c r="B4207">
        <v>7162</v>
      </c>
      <c r="C4207" t="s">
        <v>9674</v>
      </c>
      <c r="D4207" t="s">
        <v>9560</v>
      </c>
      <c r="E4207">
        <v>1107</v>
      </c>
      <c r="F4207" t="s">
        <v>9527</v>
      </c>
    </row>
    <row r="4208" spans="1:6">
      <c r="A4208" t="s">
        <v>9806</v>
      </c>
      <c r="B4208">
        <v>6241</v>
      </c>
      <c r="C4208" t="s">
        <v>9674</v>
      </c>
      <c r="D4208" t="s">
        <v>9560</v>
      </c>
      <c r="E4208">
        <v>1107</v>
      </c>
      <c r="F4208" t="s">
        <v>9527</v>
      </c>
    </row>
    <row r="4209" spans="1:6">
      <c r="A4209" t="s">
        <v>9807</v>
      </c>
      <c r="B4209">
        <v>8835</v>
      </c>
      <c r="C4209" t="s">
        <v>9674</v>
      </c>
      <c r="D4209" t="s">
        <v>9563</v>
      </c>
      <c r="E4209" t="s">
        <v>9808</v>
      </c>
      <c r="F4209" t="s">
        <v>9527</v>
      </c>
    </row>
    <row r="4210" spans="1:6">
      <c r="A4210" t="s">
        <v>9807</v>
      </c>
      <c r="B4210">
        <v>8848</v>
      </c>
      <c r="C4210" t="s">
        <v>9674</v>
      </c>
      <c r="D4210" t="s">
        <v>9563</v>
      </c>
      <c r="E4210" t="s">
        <v>9808</v>
      </c>
      <c r="F4210" t="s">
        <v>9527</v>
      </c>
    </row>
    <row r="4211" spans="1:6">
      <c r="A4211" t="s">
        <v>9807</v>
      </c>
      <c r="B4211">
        <v>7992</v>
      </c>
      <c r="C4211" t="s">
        <v>9674</v>
      </c>
      <c r="D4211" t="s">
        <v>9563</v>
      </c>
      <c r="E4211" t="s">
        <v>9808</v>
      </c>
      <c r="F4211" t="s">
        <v>9527</v>
      </c>
    </row>
    <row r="4212" spans="1:6">
      <c r="A4212" t="s">
        <v>9807</v>
      </c>
      <c r="B4212">
        <v>8830</v>
      </c>
      <c r="C4212" t="s">
        <v>9674</v>
      </c>
      <c r="D4212" t="s">
        <v>9563</v>
      </c>
      <c r="E4212" t="s">
        <v>9808</v>
      </c>
      <c r="F4212" t="s">
        <v>9527</v>
      </c>
    </row>
    <row r="4213" spans="1:6">
      <c r="A4213" t="s">
        <v>9807</v>
      </c>
      <c r="B4213">
        <v>8837</v>
      </c>
      <c r="C4213" t="s">
        <v>9674</v>
      </c>
      <c r="D4213" t="s">
        <v>9563</v>
      </c>
      <c r="E4213" t="s">
        <v>9808</v>
      </c>
      <c r="F4213" t="s">
        <v>9527</v>
      </c>
    </row>
    <row r="4214" spans="1:6">
      <c r="A4214" t="s">
        <v>9807</v>
      </c>
      <c r="B4214">
        <v>8827</v>
      </c>
      <c r="C4214" t="s">
        <v>9674</v>
      </c>
      <c r="D4214" t="s">
        <v>9563</v>
      </c>
      <c r="E4214" t="s">
        <v>9808</v>
      </c>
      <c r="F4214" t="s">
        <v>9527</v>
      </c>
    </row>
    <row r="4215" spans="1:6">
      <c r="A4215" t="s">
        <v>9807</v>
      </c>
      <c r="B4215">
        <v>8670</v>
      </c>
      <c r="C4215" t="s">
        <v>9674</v>
      </c>
      <c r="D4215" t="s">
        <v>9563</v>
      </c>
      <c r="E4215" t="s">
        <v>9808</v>
      </c>
      <c r="F4215" t="s">
        <v>9527</v>
      </c>
    </row>
    <row r="4216" spans="1:6">
      <c r="A4216" t="s">
        <v>9807</v>
      </c>
      <c r="B4216">
        <v>7977</v>
      </c>
      <c r="C4216" t="s">
        <v>9674</v>
      </c>
      <c r="D4216" t="s">
        <v>9563</v>
      </c>
      <c r="E4216" t="s">
        <v>9808</v>
      </c>
      <c r="F4216" t="s">
        <v>9527</v>
      </c>
    </row>
    <row r="4217" spans="1:6">
      <c r="A4217" t="s">
        <v>9807</v>
      </c>
      <c r="B4217">
        <v>7839</v>
      </c>
      <c r="C4217" t="s">
        <v>9674</v>
      </c>
      <c r="D4217" t="s">
        <v>9563</v>
      </c>
      <c r="E4217" t="s">
        <v>9808</v>
      </c>
      <c r="F4217" t="s">
        <v>9527</v>
      </c>
    </row>
    <row r="4218" spans="1:6">
      <c r="A4218" t="s">
        <v>9807</v>
      </c>
      <c r="B4218">
        <v>7380</v>
      </c>
      <c r="C4218" t="s">
        <v>9674</v>
      </c>
      <c r="D4218" t="s">
        <v>9563</v>
      </c>
      <c r="E4218" t="s">
        <v>9808</v>
      </c>
      <c r="F4218" t="s">
        <v>9527</v>
      </c>
    </row>
    <row r="4219" spans="1:6">
      <c r="A4219" t="s">
        <v>9807</v>
      </c>
      <c r="B4219">
        <v>7383</v>
      </c>
      <c r="C4219" t="s">
        <v>9674</v>
      </c>
      <c r="D4219" t="s">
        <v>9563</v>
      </c>
      <c r="E4219" t="s">
        <v>9808</v>
      </c>
      <c r="F4219" t="s">
        <v>9527</v>
      </c>
    </row>
    <row r="4220" spans="1:6">
      <c r="A4220" t="s">
        <v>9807</v>
      </c>
      <c r="B4220">
        <v>7160</v>
      </c>
      <c r="C4220" t="s">
        <v>9674</v>
      </c>
      <c r="D4220" t="s">
        <v>9563</v>
      </c>
      <c r="E4220" t="s">
        <v>9808</v>
      </c>
      <c r="F4220" t="s">
        <v>9527</v>
      </c>
    </row>
    <row r="4221" spans="1:6">
      <c r="A4221" t="s">
        <v>9807</v>
      </c>
      <c r="B4221">
        <v>7946</v>
      </c>
      <c r="C4221" t="s">
        <v>9674</v>
      </c>
      <c r="D4221" t="s">
        <v>9563</v>
      </c>
      <c r="E4221" t="s">
        <v>9808</v>
      </c>
      <c r="F4221" t="s">
        <v>9527</v>
      </c>
    </row>
    <row r="4222" spans="1:6">
      <c r="A4222" t="s">
        <v>9807</v>
      </c>
      <c r="B4222">
        <v>7978</v>
      </c>
      <c r="C4222" t="s">
        <v>9674</v>
      </c>
      <c r="D4222" t="s">
        <v>9563</v>
      </c>
      <c r="E4222" t="s">
        <v>9808</v>
      </c>
      <c r="F4222" t="s">
        <v>9527</v>
      </c>
    </row>
    <row r="4223" spans="1:6">
      <c r="A4223" t="s">
        <v>9807</v>
      </c>
      <c r="B4223">
        <v>7944</v>
      </c>
      <c r="C4223" t="s">
        <v>9674</v>
      </c>
      <c r="D4223" t="s">
        <v>9563</v>
      </c>
      <c r="E4223" t="s">
        <v>9808</v>
      </c>
      <c r="F4223" t="s">
        <v>9527</v>
      </c>
    </row>
    <row r="4224" spans="1:6">
      <c r="A4224" t="s">
        <v>9807</v>
      </c>
      <c r="B4224">
        <v>7914</v>
      </c>
      <c r="C4224" t="s">
        <v>9674</v>
      </c>
      <c r="D4224" t="s">
        <v>9563</v>
      </c>
      <c r="E4224" t="s">
        <v>9808</v>
      </c>
      <c r="F4224" t="s">
        <v>9527</v>
      </c>
    </row>
    <row r="4225" spans="1:6">
      <c r="A4225" t="s">
        <v>9807</v>
      </c>
      <c r="B4225">
        <v>7942</v>
      </c>
      <c r="C4225" t="s">
        <v>9674</v>
      </c>
      <c r="D4225" t="s">
        <v>9563</v>
      </c>
      <c r="E4225" t="s">
        <v>9808</v>
      </c>
      <c r="F4225" t="s">
        <v>9527</v>
      </c>
    </row>
    <row r="4226" spans="1:6">
      <c r="A4226" t="s">
        <v>9807</v>
      </c>
      <c r="B4226">
        <v>7376</v>
      </c>
      <c r="C4226" t="s">
        <v>9674</v>
      </c>
      <c r="D4226" t="s">
        <v>9563</v>
      </c>
      <c r="E4226" t="s">
        <v>9808</v>
      </c>
      <c r="F4226" t="s">
        <v>9527</v>
      </c>
    </row>
    <row r="4227" spans="1:6">
      <c r="A4227" t="s">
        <v>9807</v>
      </c>
      <c r="B4227">
        <v>7377</v>
      </c>
      <c r="C4227" t="s">
        <v>9674</v>
      </c>
      <c r="D4227" t="s">
        <v>9563</v>
      </c>
      <c r="E4227" t="s">
        <v>9808</v>
      </c>
      <c r="F4227" t="s">
        <v>9527</v>
      </c>
    </row>
    <row r="4228" spans="1:6">
      <c r="A4228" t="s">
        <v>9807</v>
      </c>
      <c r="B4228">
        <v>7158</v>
      </c>
      <c r="C4228" t="s">
        <v>9674</v>
      </c>
      <c r="D4228" t="s">
        <v>9563</v>
      </c>
      <c r="E4228" t="s">
        <v>9808</v>
      </c>
      <c r="F4228" t="s">
        <v>9527</v>
      </c>
    </row>
    <row r="4229" spans="1:6">
      <c r="A4229" t="s">
        <v>9807</v>
      </c>
      <c r="B4229">
        <v>7979</v>
      </c>
      <c r="C4229" t="s">
        <v>9674</v>
      </c>
      <c r="D4229" t="s">
        <v>9563</v>
      </c>
      <c r="E4229" t="s">
        <v>9808</v>
      </c>
      <c r="F4229" t="s">
        <v>9527</v>
      </c>
    </row>
    <row r="4230" spans="1:6">
      <c r="A4230" t="s">
        <v>9807</v>
      </c>
      <c r="B4230">
        <v>7947</v>
      </c>
      <c r="C4230" t="s">
        <v>9674</v>
      </c>
      <c r="D4230" t="s">
        <v>9563</v>
      </c>
      <c r="E4230" t="s">
        <v>9808</v>
      </c>
      <c r="F4230" t="s">
        <v>9527</v>
      </c>
    </row>
    <row r="4231" spans="1:6">
      <c r="A4231" t="s">
        <v>9807</v>
      </c>
      <c r="B4231">
        <v>5454</v>
      </c>
      <c r="C4231" t="s">
        <v>9674</v>
      </c>
      <c r="D4231" t="s">
        <v>9563</v>
      </c>
      <c r="E4231" t="s">
        <v>9808</v>
      </c>
      <c r="F4231" t="s">
        <v>9527</v>
      </c>
    </row>
    <row r="4232" spans="1:6">
      <c r="A4232" t="s">
        <v>9807</v>
      </c>
      <c r="B4232">
        <v>7945</v>
      </c>
      <c r="C4232" t="s">
        <v>9674</v>
      </c>
      <c r="D4232" t="s">
        <v>9563</v>
      </c>
      <c r="E4232" t="s">
        <v>9808</v>
      </c>
      <c r="F4232" t="s">
        <v>9527</v>
      </c>
    </row>
    <row r="4233" spans="1:6">
      <c r="A4233" t="s">
        <v>9807</v>
      </c>
      <c r="B4233">
        <v>7949</v>
      </c>
      <c r="C4233" t="s">
        <v>9674</v>
      </c>
      <c r="D4233" t="s">
        <v>9563</v>
      </c>
      <c r="E4233" t="s">
        <v>9808</v>
      </c>
      <c r="F4233" t="s">
        <v>9527</v>
      </c>
    </row>
    <row r="4234" spans="1:6">
      <c r="A4234" t="s">
        <v>9807</v>
      </c>
      <c r="B4234">
        <v>5460</v>
      </c>
      <c r="C4234" t="s">
        <v>9674</v>
      </c>
      <c r="D4234" t="s">
        <v>9563</v>
      </c>
      <c r="E4234" t="s">
        <v>9808</v>
      </c>
      <c r="F4234" t="s">
        <v>9527</v>
      </c>
    </row>
    <row r="4235" spans="1:6">
      <c r="A4235" t="s">
        <v>9807</v>
      </c>
      <c r="B4235">
        <v>5466</v>
      </c>
      <c r="C4235" t="s">
        <v>9674</v>
      </c>
      <c r="D4235" t="s">
        <v>9563</v>
      </c>
      <c r="E4235" t="s">
        <v>9808</v>
      </c>
      <c r="F4235" t="s">
        <v>9527</v>
      </c>
    </row>
    <row r="4236" spans="1:6">
      <c r="A4236" t="s">
        <v>9807</v>
      </c>
      <c r="B4236">
        <v>7915</v>
      </c>
      <c r="C4236" t="s">
        <v>9674</v>
      </c>
      <c r="D4236" t="s">
        <v>9563</v>
      </c>
      <c r="E4236" t="s">
        <v>9808</v>
      </c>
      <c r="F4236" t="s">
        <v>9527</v>
      </c>
    </row>
    <row r="4237" spans="1:6">
      <c r="A4237" t="s">
        <v>9807</v>
      </c>
      <c r="B4237">
        <v>7980</v>
      </c>
      <c r="C4237" t="s">
        <v>9674</v>
      </c>
      <c r="D4237" t="s">
        <v>9563</v>
      </c>
      <c r="E4237" t="s">
        <v>9808</v>
      </c>
      <c r="F4237" t="s">
        <v>9527</v>
      </c>
    </row>
    <row r="4238" spans="1:6">
      <c r="A4238" t="s">
        <v>9807</v>
      </c>
      <c r="B4238">
        <v>6630</v>
      </c>
      <c r="C4238" t="s">
        <v>9674</v>
      </c>
      <c r="D4238" t="s">
        <v>9563</v>
      </c>
      <c r="E4238" t="s">
        <v>9808</v>
      </c>
      <c r="F4238" t="s">
        <v>9527</v>
      </c>
    </row>
    <row r="4239" spans="1:6">
      <c r="A4239" t="s">
        <v>9807</v>
      </c>
      <c r="B4239">
        <v>7943</v>
      </c>
      <c r="C4239" t="s">
        <v>9674</v>
      </c>
      <c r="D4239" t="s">
        <v>9563</v>
      </c>
      <c r="E4239" t="s">
        <v>9808</v>
      </c>
      <c r="F4239" t="s">
        <v>9527</v>
      </c>
    </row>
    <row r="4240" spans="1:6">
      <c r="A4240" t="s">
        <v>9807</v>
      </c>
      <c r="B4240">
        <v>7985</v>
      </c>
      <c r="C4240" t="s">
        <v>9674</v>
      </c>
      <c r="D4240" t="s">
        <v>9563</v>
      </c>
      <c r="E4240" t="s">
        <v>9808</v>
      </c>
      <c r="F4240" t="s">
        <v>9527</v>
      </c>
    </row>
    <row r="4241" spans="1:6">
      <c r="A4241" t="s">
        <v>9807</v>
      </c>
      <c r="B4241">
        <v>8836</v>
      </c>
      <c r="C4241" t="s">
        <v>9674</v>
      </c>
      <c r="D4241" t="s">
        <v>9563</v>
      </c>
      <c r="E4241" t="s">
        <v>9808</v>
      </c>
      <c r="F4241" t="s">
        <v>9527</v>
      </c>
    </row>
    <row r="4242" spans="1:6">
      <c r="A4242" t="s">
        <v>9807</v>
      </c>
      <c r="B4242">
        <v>8671</v>
      </c>
      <c r="C4242" t="s">
        <v>9674</v>
      </c>
      <c r="D4242" t="s">
        <v>9563</v>
      </c>
      <c r="E4242" t="s">
        <v>9808</v>
      </c>
      <c r="F4242" t="s">
        <v>9527</v>
      </c>
    </row>
    <row r="4243" spans="1:6">
      <c r="A4243" t="s">
        <v>9807</v>
      </c>
      <c r="B4243">
        <v>8841</v>
      </c>
      <c r="C4243" t="s">
        <v>9674</v>
      </c>
      <c r="D4243" t="s">
        <v>9563</v>
      </c>
      <c r="E4243" t="s">
        <v>9808</v>
      </c>
      <c r="F4243" t="s">
        <v>9527</v>
      </c>
    </row>
    <row r="4244" spans="1:6">
      <c r="A4244" t="s">
        <v>9807</v>
      </c>
      <c r="B4244">
        <v>8672</v>
      </c>
      <c r="C4244" t="s">
        <v>9674</v>
      </c>
      <c r="D4244" t="s">
        <v>9563</v>
      </c>
      <c r="E4244" t="s">
        <v>9808</v>
      </c>
      <c r="F4244" t="s">
        <v>9527</v>
      </c>
    </row>
    <row r="4245" spans="1:6">
      <c r="A4245" t="s">
        <v>9807</v>
      </c>
      <c r="B4245">
        <v>8673</v>
      </c>
      <c r="C4245" t="s">
        <v>9674</v>
      </c>
      <c r="D4245" t="s">
        <v>9563</v>
      </c>
      <c r="E4245" t="s">
        <v>9808</v>
      </c>
      <c r="F4245" t="s">
        <v>9527</v>
      </c>
    </row>
    <row r="4246" spans="1:6">
      <c r="A4246" t="s">
        <v>9807</v>
      </c>
      <c r="B4246">
        <v>8849</v>
      </c>
      <c r="C4246" t="s">
        <v>9674</v>
      </c>
      <c r="D4246" t="s">
        <v>9563</v>
      </c>
      <c r="E4246" t="s">
        <v>9808</v>
      </c>
      <c r="F4246" t="s">
        <v>9527</v>
      </c>
    </row>
    <row r="4247" spans="1:6">
      <c r="A4247" t="s">
        <v>9807</v>
      </c>
      <c r="B4247">
        <v>7969</v>
      </c>
      <c r="C4247" t="s">
        <v>9674</v>
      </c>
      <c r="D4247" t="s">
        <v>9563</v>
      </c>
      <c r="E4247" t="s">
        <v>9808</v>
      </c>
      <c r="F4247" t="s">
        <v>9527</v>
      </c>
    </row>
    <row r="4248" spans="1:6">
      <c r="A4248" t="s">
        <v>9807</v>
      </c>
      <c r="B4248">
        <v>8675</v>
      </c>
      <c r="C4248" t="s">
        <v>9674</v>
      </c>
      <c r="D4248" t="s">
        <v>9563</v>
      </c>
      <c r="E4248" t="s">
        <v>9808</v>
      </c>
      <c r="F4248" t="s">
        <v>9527</v>
      </c>
    </row>
    <row r="4249" spans="1:6">
      <c r="A4249" t="s">
        <v>9807</v>
      </c>
      <c r="B4249">
        <v>8847</v>
      </c>
      <c r="C4249" t="s">
        <v>9674</v>
      </c>
      <c r="D4249" t="s">
        <v>9563</v>
      </c>
      <c r="E4249" t="s">
        <v>9808</v>
      </c>
      <c r="F4249" t="s">
        <v>9527</v>
      </c>
    </row>
    <row r="4250" spans="1:6">
      <c r="A4250" t="s">
        <v>9807</v>
      </c>
      <c r="B4250">
        <v>8840</v>
      </c>
      <c r="C4250" t="s">
        <v>9674</v>
      </c>
      <c r="D4250" t="s">
        <v>9563</v>
      </c>
      <c r="E4250" t="s">
        <v>9808</v>
      </c>
      <c r="F4250" t="s">
        <v>9527</v>
      </c>
    </row>
    <row r="4251" spans="1:6">
      <c r="A4251" t="s">
        <v>9807</v>
      </c>
      <c r="B4251">
        <v>8834</v>
      </c>
      <c r="C4251" t="s">
        <v>9674</v>
      </c>
      <c r="D4251" t="s">
        <v>9563</v>
      </c>
      <c r="E4251" t="s">
        <v>9808</v>
      </c>
      <c r="F4251" t="s">
        <v>9527</v>
      </c>
    </row>
    <row r="4252" spans="1:6">
      <c r="A4252" t="s">
        <v>9807</v>
      </c>
      <c r="B4252">
        <v>4348</v>
      </c>
      <c r="C4252" t="s">
        <v>9674</v>
      </c>
      <c r="D4252" t="s">
        <v>9563</v>
      </c>
      <c r="E4252" t="s">
        <v>9808</v>
      </c>
      <c r="F4252" t="s">
        <v>9527</v>
      </c>
    </row>
    <row r="4253" spans="1:6">
      <c r="A4253" t="s">
        <v>9807</v>
      </c>
      <c r="B4253">
        <v>4253</v>
      </c>
      <c r="C4253" t="s">
        <v>9674</v>
      </c>
      <c r="D4253" t="s">
        <v>9563</v>
      </c>
      <c r="E4253" t="s">
        <v>9808</v>
      </c>
      <c r="F4253" t="s">
        <v>9527</v>
      </c>
    </row>
    <row r="4254" spans="1:6">
      <c r="A4254" t="s">
        <v>9807</v>
      </c>
      <c r="B4254">
        <v>2582</v>
      </c>
      <c r="C4254" t="s">
        <v>9674</v>
      </c>
      <c r="D4254" t="s">
        <v>9563</v>
      </c>
      <c r="E4254" t="s">
        <v>9808</v>
      </c>
      <c r="F4254" t="s">
        <v>9527</v>
      </c>
    </row>
    <row r="4255" spans="1:6">
      <c r="A4255" t="s">
        <v>9807</v>
      </c>
      <c r="B4255">
        <v>5457</v>
      </c>
      <c r="C4255" t="s">
        <v>9674</v>
      </c>
      <c r="D4255" t="s">
        <v>9563</v>
      </c>
      <c r="E4255" t="s">
        <v>9808</v>
      </c>
      <c r="F4255" t="s">
        <v>9527</v>
      </c>
    </row>
    <row r="4256" spans="1:6">
      <c r="A4256" t="s">
        <v>9807</v>
      </c>
      <c r="B4256">
        <v>4347</v>
      </c>
      <c r="C4256" t="s">
        <v>9674</v>
      </c>
      <c r="D4256" t="s">
        <v>9563</v>
      </c>
      <c r="E4256" t="s">
        <v>9808</v>
      </c>
      <c r="F4256" t="s">
        <v>9527</v>
      </c>
    </row>
    <row r="4257" spans="1:6">
      <c r="A4257" t="s">
        <v>9807</v>
      </c>
      <c r="B4257">
        <v>4362</v>
      </c>
      <c r="C4257" t="s">
        <v>9674</v>
      </c>
      <c r="D4257" t="s">
        <v>9563</v>
      </c>
      <c r="E4257" t="s">
        <v>9808</v>
      </c>
      <c r="F4257" t="s">
        <v>9527</v>
      </c>
    </row>
    <row r="4258" spans="1:6">
      <c r="A4258" t="s">
        <v>9807</v>
      </c>
      <c r="B4258">
        <v>4363</v>
      </c>
      <c r="C4258" t="s">
        <v>9674</v>
      </c>
      <c r="D4258" t="s">
        <v>9563</v>
      </c>
      <c r="E4258" t="s">
        <v>9808</v>
      </c>
      <c r="F4258" t="s">
        <v>9527</v>
      </c>
    </row>
    <row r="4259" spans="1:6">
      <c r="A4259" t="s">
        <v>9807</v>
      </c>
      <c r="B4259">
        <v>4367</v>
      </c>
      <c r="C4259" t="s">
        <v>9674</v>
      </c>
      <c r="D4259" t="s">
        <v>9563</v>
      </c>
      <c r="E4259" t="s">
        <v>9808</v>
      </c>
      <c r="F4259" t="s">
        <v>9527</v>
      </c>
    </row>
    <row r="4260" spans="1:6">
      <c r="A4260" t="s">
        <v>9807</v>
      </c>
      <c r="B4260">
        <v>4368</v>
      </c>
      <c r="C4260" t="s">
        <v>9674</v>
      </c>
      <c r="D4260" t="s">
        <v>9563</v>
      </c>
      <c r="E4260" t="s">
        <v>9808</v>
      </c>
      <c r="F4260" t="s">
        <v>9527</v>
      </c>
    </row>
    <row r="4261" spans="1:6">
      <c r="A4261" t="s">
        <v>9807</v>
      </c>
      <c r="B4261">
        <v>7327</v>
      </c>
      <c r="C4261" t="s">
        <v>9674</v>
      </c>
      <c r="D4261" t="s">
        <v>9563</v>
      </c>
      <c r="E4261" t="s">
        <v>9808</v>
      </c>
      <c r="F4261" t="s">
        <v>9527</v>
      </c>
    </row>
    <row r="4262" spans="1:6">
      <c r="A4262" t="s">
        <v>9807</v>
      </c>
      <c r="B4262">
        <v>7328</v>
      </c>
      <c r="C4262" t="s">
        <v>9674</v>
      </c>
      <c r="D4262" t="s">
        <v>9563</v>
      </c>
      <c r="E4262" t="s">
        <v>9808</v>
      </c>
      <c r="F4262" t="s">
        <v>9527</v>
      </c>
    </row>
    <row r="4263" spans="1:6">
      <c r="A4263" t="s">
        <v>9807</v>
      </c>
      <c r="B4263">
        <v>4365</v>
      </c>
      <c r="C4263" t="s">
        <v>9674</v>
      </c>
      <c r="D4263" t="s">
        <v>9563</v>
      </c>
      <c r="E4263" t="s">
        <v>9808</v>
      </c>
      <c r="F4263" t="s">
        <v>9527</v>
      </c>
    </row>
    <row r="4264" spans="1:6">
      <c r="A4264" t="s">
        <v>9807</v>
      </c>
      <c r="B4264">
        <v>4364</v>
      </c>
      <c r="C4264" t="s">
        <v>9674</v>
      </c>
      <c r="D4264" t="s">
        <v>9563</v>
      </c>
      <c r="E4264" t="s">
        <v>9808</v>
      </c>
      <c r="F4264" t="s">
        <v>9527</v>
      </c>
    </row>
    <row r="4265" spans="1:6">
      <c r="A4265" t="s">
        <v>9807</v>
      </c>
      <c r="B4265">
        <v>4194</v>
      </c>
      <c r="C4265" t="s">
        <v>9674</v>
      </c>
      <c r="D4265" t="s">
        <v>9563</v>
      </c>
      <c r="E4265" t="s">
        <v>9808</v>
      </c>
      <c r="F4265" t="s">
        <v>9527</v>
      </c>
    </row>
    <row r="4266" spans="1:6">
      <c r="A4266" t="s">
        <v>9807</v>
      </c>
      <c r="B4266">
        <v>4190</v>
      </c>
      <c r="C4266" t="s">
        <v>9674</v>
      </c>
      <c r="D4266" t="s">
        <v>9563</v>
      </c>
      <c r="E4266" t="s">
        <v>9808</v>
      </c>
      <c r="F4266" t="s">
        <v>9527</v>
      </c>
    </row>
    <row r="4267" spans="1:6">
      <c r="A4267" t="s">
        <v>9807</v>
      </c>
      <c r="B4267">
        <v>4251</v>
      </c>
      <c r="C4267" t="s">
        <v>9674</v>
      </c>
      <c r="D4267" t="s">
        <v>9563</v>
      </c>
      <c r="E4267" t="s">
        <v>9808</v>
      </c>
      <c r="F4267" t="s">
        <v>9527</v>
      </c>
    </row>
    <row r="4268" spans="1:6">
      <c r="A4268" t="s">
        <v>9807</v>
      </c>
      <c r="B4268">
        <v>4252</v>
      </c>
      <c r="C4268" t="s">
        <v>9674</v>
      </c>
      <c r="D4268" t="s">
        <v>9563</v>
      </c>
      <c r="E4268" t="s">
        <v>9808</v>
      </c>
      <c r="F4268" t="s">
        <v>9527</v>
      </c>
    </row>
    <row r="4269" spans="1:6">
      <c r="A4269" t="s">
        <v>9807</v>
      </c>
      <c r="B4269">
        <v>2583</v>
      </c>
      <c r="C4269" t="s">
        <v>9674</v>
      </c>
      <c r="D4269" t="s">
        <v>9563</v>
      </c>
      <c r="E4269" t="s">
        <v>9808</v>
      </c>
      <c r="F4269" t="s">
        <v>9527</v>
      </c>
    </row>
    <row r="4270" spans="1:6">
      <c r="A4270" t="s">
        <v>9807</v>
      </c>
      <c r="B4270">
        <v>5458</v>
      </c>
      <c r="C4270" t="s">
        <v>9674</v>
      </c>
      <c r="D4270" t="s">
        <v>9563</v>
      </c>
      <c r="E4270" t="s">
        <v>9808</v>
      </c>
      <c r="F4270" t="s">
        <v>9527</v>
      </c>
    </row>
    <row r="4271" spans="1:6">
      <c r="A4271" t="s">
        <v>9807</v>
      </c>
      <c r="B4271">
        <v>7382</v>
      </c>
      <c r="C4271" t="s">
        <v>9674</v>
      </c>
      <c r="D4271" t="s">
        <v>9563</v>
      </c>
      <c r="E4271" t="s">
        <v>9808</v>
      </c>
      <c r="F4271" t="s">
        <v>9527</v>
      </c>
    </row>
    <row r="4272" spans="1:6">
      <c r="A4272" t="s">
        <v>9807</v>
      </c>
      <c r="B4272">
        <v>4192</v>
      </c>
      <c r="C4272" t="s">
        <v>9674</v>
      </c>
      <c r="D4272" t="s">
        <v>9563</v>
      </c>
      <c r="E4272" t="s">
        <v>9808</v>
      </c>
      <c r="F4272" t="s">
        <v>9527</v>
      </c>
    </row>
    <row r="4273" spans="1:6">
      <c r="A4273" t="s">
        <v>9807</v>
      </c>
      <c r="B4273">
        <v>4193</v>
      </c>
      <c r="C4273" t="s">
        <v>9674</v>
      </c>
      <c r="D4273" t="s">
        <v>9563</v>
      </c>
      <c r="E4273" t="s">
        <v>9808</v>
      </c>
      <c r="F4273" t="s">
        <v>9527</v>
      </c>
    </row>
    <row r="4274" spans="1:6">
      <c r="A4274" t="s">
        <v>9807</v>
      </c>
      <c r="B4274">
        <v>7973</v>
      </c>
      <c r="C4274" t="s">
        <v>9674</v>
      </c>
      <c r="D4274" t="s">
        <v>9563</v>
      </c>
      <c r="E4274" t="s">
        <v>9808</v>
      </c>
      <c r="F4274" t="s">
        <v>9527</v>
      </c>
    </row>
    <row r="4275" spans="1:6">
      <c r="A4275" t="s">
        <v>9807</v>
      </c>
      <c r="B4275">
        <v>7975</v>
      </c>
      <c r="C4275" t="s">
        <v>9674</v>
      </c>
      <c r="D4275" t="s">
        <v>9563</v>
      </c>
      <c r="E4275" t="s">
        <v>9808</v>
      </c>
      <c r="F4275" t="s">
        <v>9527</v>
      </c>
    </row>
    <row r="4276" spans="1:6">
      <c r="A4276" t="s">
        <v>9807</v>
      </c>
      <c r="B4276">
        <v>7974</v>
      </c>
      <c r="C4276" t="s">
        <v>9674</v>
      </c>
      <c r="D4276" t="s">
        <v>9563</v>
      </c>
      <c r="E4276" t="s">
        <v>9808</v>
      </c>
      <c r="F4276" t="s">
        <v>9527</v>
      </c>
    </row>
    <row r="4277" spans="1:6">
      <c r="A4277" t="s">
        <v>9807</v>
      </c>
      <c r="B4277">
        <v>7976</v>
      </c>
      <c r="C4277" t="s">
        <v>9674</v>
      </c>
      <c r="D4277" t="s">
        <v>9563</v>
      </c>
      <c r="E4277" t="s">
        <v>9808</v>
      </c>
      <c r="F4277" t="s">
        <v>9527</v>
      </c>
    </row>
    <row r="4278" spans="1:6">
      <c r="A4278" t="s">
        <v>9807</v>
      </c>
      <c r="B4278">
        <v>7836</v>
      </c>
      <c r="C4278" t="s">
        <v>9674</v>
      </c>
      <c r="D4278" t="s">
        <v>9563</v>
      </c>
      <c r="E4278" t="s">
        <v>9808</v>
      </c>
      <c r="F4278" t="s">
        <v>9527</v>
      </c>
    </row>
    <row r="4279" spans="1:6">
      <c r="A4279" t="s">
        <v>9807</v>
      </c>
      <c r="B4279">
        <v>7837</v>
      </c>
      <c r="C4279" t="s">
        <v>9674</v>
      </c>
      <c r="D4279" t="s">
        <v>9563</v>
      </c>
      <c r="E4279" t="s">
        <v>9808</v>
      </c>
      <c r="F4279" t="s">
        <v>9527</v>
      </c>
    </row>
    <row r="4280" spans="1:6">
      <c r="A4280" t="s">
        <v>9807</v>
      </c>
      <c r="B4280">
        <v>7379</v>
      </c>
      <c r="C4280" t="s">
        <v>9674</v>
      </c>
      <c r="D4280" t="s">
        <v>9563</v>
      </c>
      <c r="E4280" t="s">
        <v>9808</v>
      </c>
      <c r="F4280" t="s">
        <v>9527</v>
      </c>
    </row>
    <row r="4281" spans="1:6">
      <c r="A4281" t="s">
        <v>9807</v>
      </c>
      <c r="B4281">
        <v>7378</v>
      </c>
      <c r="C4281" t="s">
        <v>9674</v>
      </c>
      <c r="D4281" t="s">
        <v>9563</v>
      </c>
      <c r="E4281" t="s">
        <v>9808</v>
      </c>
      <c r="F4281" t="s">
        <v>9527</v>
      </c>
    </row>
    <row r="4282" spans="1:6">
      <c r="A4282" t="s">
        <v>9807</v>
      </c>
      <c r="B4282">
        <v>7948</v>
      </c>
      <c r="C4282" t="s">
        <v>9674</v>
      </c>
      <c r="D4282" t="s">
        <v>9563</v>
      </c>
      <c r="E4282" t="s">
        <v>9808</v>
      </c>
      <c r="F4282" t="s">
        <v>9527</v>
      </c>
    </row>
    <row r="4283" spans="1:6">
      <c r="A4283" t="s">
        <v>9807</v>
      </c>
      <c r="B4283">
        <v>7940</v>
      </c>
      <c r="C4283" t="s">
        <v>9674</v>
      </c>
      <c r="D4283" t="s">
        <v>9563</v>
      </c>
      <c r="E4283" t="s">
        <v>9808</v>
      </c>
      <c r="F4283" t="s">
        <v>9527</v>
      </c>
    </row>
    <row r="4284" spans="1:6">
      <c r="A4284" t="s">
        <v>9807</v>
      </c>
      <c r="B4284">
        <v>7941</v>
      </c>
      <c r="C4284" t="s">
        <v>9674</v>
      </c>
      <c r="D4284" t="s">
        <v>9563</v>
      </c>
      <c r="E4284" t="s">
        <v>9808</v>
      </c>
      <c r="F4284" t="s">
        <v>9527</v>
      </c>
    </row>
    <row r="4285" spans="1:6">
      <c r="A4285" t="s">
        <v>9807</v>
      </c>
      <c r="B4285">
        <v>7984</v>
      </c>
      <c r="C4285" t="s">
        <v>9674</v>
      </c>
      <c r="D4285" t="s">
        <v>9563</v>
      </c>
      <c r="E4285" t="s">
        <v>9808</v>
      </c>
      <c r="F4285" t="s">
        <v>9527</v>
      </c>
    </row>
    <row r="4286" spans="1:6">
      <c r="A4286" t="s">
        <v>9807</v>
      </c>
      <c r="B4286">
        <v>5495</v>
      </c>
      <c r="C4286" t="s">
        <v>9674</v>
      </c>
      <c r="D4286" t="s">
        <v>9563</v>
      </c>
      <c r="E4286" t="s">
        <v>9808</v>
      </c>
      <c r="F4286" t="s">
        <v>9527</v>
      </c>
    </row>
    <row r="4287" spans="1:6">
      <c r="A4287" t="s">
        <v>9807</v>
      </c>
      <c r="B4287">
        <v>9307</v>
      </c>
      <c r="C4287" t="s">
        <v>9674</v>
      </c>
      <c r="D4287" t="s">
        <v>9563</v>
      </c>
      <c r="E4287" t="s">
        <v>9808</v>
      </c>
      <c r="F4287" t="s">
        <v>9527</v>
      </c>
    </row>
    <row r="4288" spans="1:6">
      <c r="A4288" t="s">
        <v>9807</v>
      </c>
      <c r="B4288">
        <v>9306</v>
      </c>
      <c r="C4288" t="s">
        <v>9674</v>
      </c>
      <c r="D4288" t="s">
        <v>9563</v>
      </c>
      <c r="E4288" t="s">
        <v>9808</v>
      </c>
      <c r="F4288" t="s">
        <v>9527</v>
      </c>
    </row>
    <row r="4289" spans="1:6">
      <c r="A4289" t="s">
        <v>9807</v>
      </c>
      <c r="B4289">
        <v>8835</v>
      </c>
      <c r="C4289" t="s">
        <v>9674</v>
      </c>
      <c r="D4289" t="s">
        <v>9563</v>
      </c>
      <c r="E4289" t="s">
        <v>9808</v>
      </c>
      <c r="F4289" t="s">
        <v>9527</v>
      </c>
    </row>
    <row r="4290" spans="1:6">
      <c r="A4290" t="s">
        <v>9807</v>
      </c>
      <c r="B4290">
        <v>8848</v>
      </c>
      <c r="C4290" t="s">
        <v>9674</v>
      </c>
      <c r="D4290" t="s">
        <v>9563</v>
      </c>
      <c r="E4290" t="s">
        <v>9808</v>
      </c>
      <c r="F4290" t="s">
        <v>9527</v>
      </c>
    </row>
    <row r="4291" spans="1:6">
      <c r="A4291" t="s">
        <v>9807</v>
      </c>
      <c r="B4291">
        <v>7992</v>
      </c>
      <c r="C4291" t="s">
        <v>9674</v>
      </c>
      <c r="D4291" t="s">
        <v>9563</v>
      </c>
      <c r="E4291" t="s">
        <v>9808</v>
      </c>
      <c r="F4291" t="s">
        <v>9527</v>
      </c>
    </row>
    <row r="4292" spans="1:6">
      <c r="A4292" t="s">
        <v>9807</v>
      </c>
      <c r="B4292">
        <v>8830</v>
      </c>
      <c r="C4292" t="s">
        <v>9674</v>
      </c>
      <c r="D4292" t="s">
        <v>9563</v>
      </c>
      <c r="E4292" t="s">
        <v>9808</v>
      </c>
      <c r="F4292" t="s">
        <v>9527</v>
      </c>
    </row>
    <row r="4293" spans="1:6">
      <c r="A4293" t="s">
        <v>9807</v>
      </c>
      <c r="B4293">
        <v>8837</v>
      </c>
      <c r="C4293" t="s">
        <v>9674</v>
      </c>
      <c r="D4293" t="s">
        <v>9563</v>
      </c>
      <c r="E4293" t="s">
        <v>9808</v>
      </c>
      <c r="F4293" t="s">
        <v>9527</v>
      </c>
    </row>
    <row r="4294" spans="1:6">
      <c r="A4294" t="s">
        <v>9807</v>
      </c>
      <c r="B4294">
        <v>8827</v>
      </c>
      <c r="C4294" t="s">
        <v>9674</v>
      </c>
      <c r="D4294" t="s">
        <v>9563</v>
      </c>
      <c r="E4294" t="s">
        <v>9808</v>
      </c>
      <c r="F4294" t="s">
        <v>9527</v>
      </c>
    </row>
    <row r="4295" spans="1:6">
      <c r="A4295" t="s">
        <v>9807</v>
      </c>
      <c r="B4295">
        <v>8670</v>
      </c>
      <c r="C4295" t="s">
        <v>9674</v>
      </c>
      <c r="D4295" t="s">
        <v>9563</v>
      </c>
      <c r="E4295" t="s">
        <v>9808</v>
      </c>
      <c r="F4295" t="s">
        <v>9527</v>
      </c>
    </row>
    <row r="4296" spans="1:6">
      <c r="A4296" t="s">
        <v>9807</v>
      </c>
      <c r="B4296">
        <v>7977</v>
      </c>
      <c r="C4296" t="s">
        <v>9674</v>
      </c>
      <c r="D4296" t="s">
        <v>9563</v>
      </c>
      <c r="E4296" t="s">
        <v>9808</v>
      </c>
      <c r="F4296" t="s">
        <v>9527</v>
      </c>
    </row>
    <row r="4297" spans="1:6">
      <c r="A4297" t="s">
        <v>9807</v>
      </c>
      <c r="B4297">
        <v>7839</v>
      </c>
      <c r="C4297" t="s">
        <v>9674</v>
      </c>
      <c r="D4297" t="s">
        <v>9563</v>
      </c>
      <c r="E4297" t="s">
        <v>9808</v>
      </c>
      <c r="F4297" t="s">
        <v>9527</v>
      </c>
    </row>
    <row r="4298" spans="1:6">
      <c r="A4298" t="s">
        <v>9807</v>
      </c>
      <c r="B4298">
        <v>7380</v>
      </c>
      <c r="C4298" t="s">
        <v>9674</v>
      </c>
      <c r="D4298" t="s">
        <v>9563</v>
      </c>
      <c r="E4298" t="s">
        <v>9808</v>
      </c>
      <c r="F4298" t="s">
        <v>9527</v>
      </c>
    </row>
    <row r="4299" spans="1:6">
      <c r="A4299" t="s">
        <v>9807</v>
      </c>
      <c r="B4299">
        <v>7383</v>
      </c>
      <c r="C4299" t="s">
        <v>9674</v>
      </c>
      <c r="D4299" t="s">
        <v>9563</v>
      </c>
      <c r="E4299" t="s">
        <v>9808</v>
      </c>
      <c r="F4299" t="s">
        <v>9527</v>
      </c>
    </row>
    <row r="4300" spans="1:6">
      <c r="A4300" t="s">
        <v>9807</v>
      </c>
      <c r="B4300">
        <v>7160</v>
      </c>
      <c r="C4300" t="s">
        <v>9674</v>
      </c>
      <c r="D4300" t="s">
        <v>9563</v>
      </c>
      <c r="E4300" t="s">
        <v>9808</v>
      </c>
      <c r="F4300" t="s">
        <v>9527</v>
      </c>
    </row>
    <row r="4301" spans="1:6">
      <c r="A4301" t="s">
        <v>9807</v>
      </c>
      <c r="B4301">
        <v>7946</v>
      </c>
      <c r="C4301" t="s">
        <v>9674</v>
      </c>
      <c r="D4301" t="s">
        <v>9563</v>
      </c>
      <c r="E4301" t="s">
        <v>9808</v>
      </c>
      <c r="F4301" t="s">
        <v>9527</v>
      </c>
    </row>
    <row r="4302" spans="1:6">
      <c r="A4302" t="s">
        <v>9807</v>
      </c>
      <c r="B4302">
        <v>7978</v>
      </c>
      <c r="C4302" t="s">
        <v>9674</v>
      </c>
      <c r="D4302" t="s">
        <v>9563</v>
      </c>
      <c r="E4302" t="s">
        <v>9808</v>
      </c>
      <c r="F4302" t="s">
        <v>9527</v>
      </c>
    </row>
    <row r="4303" spans="1:6">
      <c r="A4303" t="s">
        <v>9807</v>
      </c>
      <c r="B4303">
        <v>7944</v>
      </c>
      <c r="C4303" t="s">
        <v>9674</v>
      </c>
      <c r="D4303" t="s">
        <v>9563</v>
      </c>
      <c r="E4303" t="s">
        <v>9808</v>
      </c>
      <c r="F4303" t="s">
        <v>9527</v>
      </c>
    </row>
    <row r="4304" spans="1:6">
      <c r="A4304" t="s">
        <v>9807</v>
      </c>
      <c r="B4304">
        <v>7914</v>
      </c>
      <c r="C4304" t="s">
        <v>9674</v>
      </c>
      <c r="D4304" t="s">
        <v>9563</v>
      </c>
      <c r="E4304" t="s">
        <v>9808</v>
      </c>
      <c r="F4304" t="s">
        <v>9527</v>
      </c>
    </row>
    <row r="4305" spans="1:6">
      <c r="A4305" t="s">
        <v>9807</v>
      </c>
      <c r="B4305">
        <v>7942</v>
      </c>
      <c r="C4305" t="s">
        <v>9674</v>
      </c>
      <c r="D4305" t="s">
        <v>9563</v>
      </c>
      <c r="E4305" t="s">
        <v>9808</v>
      </c>
      <c r="F4305" t="s">
        <v>9527</v>
      </c>
    </row>
    <row r="4306" spans="1:6">
      <c r="A4306" t="s">
        <v>9807</v>
      </c>
      <c r="B4306">
        <v>7376</v>
      </c>
      <c r="C4306" t="s">
        <v>9674</v>
      </c>
      <c r="D4306" t="s">
        <v>9563</v>
      </c>
      <c r="E4306" t="s">
        <v>9808</v>
      </c>
      <c r="F4306" t="s">
        <v>9527</v>
      </c>
    </row>
    <row r="4307" spans="1:6">
      <c r="A4307" t="s">
        <v>9807</v>
      </c>
      <c r="B4307">
        <v>7377</v>
      </c>
      <c r="C4307" t="s">
        <v>9674</v>
      </c>
      <c r="D4307" t="s">
        <v>9563</v>
      </c>
      <c r="E4307" t="s">
        <v>9808</v>
      </c>
      <c r="F4307" t="s">
        <v>9527</v>
      </c>
    </row>
    <row r="4308" spans="1:6">
      <c r="A4308" t="s">
        <v>9807</v>
      </c>
      <c r="B4308">
        <v>7158</v>
      </c>
      <c r="C4308" t="s">
        <v>9674</v>
      </c>
      <c r="D4308" t="s">
        <v>9563</v>
      </c>
      <c r="E4308" t="s">
        <v>9808</v>
      </c>
      <c r="F4308" t="s">
        <v>9527</v>
      </c>
    </row>
    <row r="4309" spans="1:6">
      <c r="A4309" t="s">
        <v>9807</v>
      </c>
      <c r="B4309">
        <v>7979</v>
      </c>
      <c r="C4309" t="s">
        <v>9674</v>
      </c>
      <c r="D4309" t="s">
        <v>9563</v>
      </c>
      <c r="E4309" t="s">
        <v>9808</v>
      </c>
      <c r="F4309" t="s">
        <v>9527</v>
      </c>
    </row>
    <row r="4310" spans="1:6">
      <c r="A4310" t="s">
        <v>9807</v>
      </c>
      <c r="B4310">
        <v>7947</v>
      </c>
      <c r="C4310" t="s">
        <v>9674</v>
      </c>
      <c r="D4310" t="s">
        <v>9563</v>
      </c>
      <c r="E4310" t="s">
        <v>9808</v>
      </c>
      <c r="F4310" t="s">
        <v>9527</v>
      </c>
    </row>
    <row r="4311" spans="1:6">
      <c r="A4311" t="s">
        <v>9807</v>
      </c>
      <c r="B4311">
        <v>5454</v>
      </c>
      <c r="C4311" t="s">
        <v>9674</v>
      </c>
      <c r="D4311" t="s">
        <v>9563</v>
      </c>
      <c r="E4311" t="s">
        <v>9808</v>
      </c>
      <c r="F4311" t="s">
        <v>9527</v>
      </c>
    </row>
    <row r="4312" spans="1:6">
      <c r="A4312" t="s">
        <v>9807</v>
      </c>
      <c r="B4312">
        <v>7945</v>
      </c>
      <c r="C4312" t="s">
        <v>9674</v>
      </c>
      <c r="D4312" t="s">
        <v>9563</v>
      </c>
      <c r="E4312" t="s">
        <v>9808</v>
      </c>
      <c r="F4312" t="s">
        <v>9527</v>
      </c>
    </row>
    <row r="4313" spans="1:6">
      <c r="A4313" t="s">
        <v>9807</v>
      </c>
      <c r="B4313">
        <v>7949</v>
      </c>
      <c r="C4313" t="s">
        <v>9674</v>
      </c>
      <c r="D4313" t="s">
        <v>9563</v>
      </c>
      <c r="E4313" t="s">
        <v>9808</v>
      </c>
      <c r="F4313" t="s">
        <v>9527</v>
      </c>
    </row>
    <row r="4314" spans="1:6">
      <c r="A4314" t="s">
        <v>9807</v>
      </c>
      <c r="B4314">
        <v>5460</v>
      </c>
      <c r="C4314" t="s">
        <v>9674</v>
      </c>
      <c r="D4314" t="s">
        <v>9563</v>
      </c>
      <c r="E4314" t="s">
        <v>9808</v>
      </c>
      <c r="F4314" t="s">
        <v>9527</v>
      </c>
    </row>
    <row r="4315" spans="1:6">
      <c r="A4315" t="s">
        <v>9807</v>
      </c>
      <c r="B4315">
        <v>5466</v>
      </c>
      <c r="C4315" t="s">
        <v>9674</v>
      </c>
      <c r="D4315" t="s">
        <v>9563</v>
      </c>
      <c r="E4315" t="s">
        <v>9808</v>
      </c>
      <c r="F4315" t="s">
        <v>9527</v>
      </c>
    </row>
    <row r="4316" spans="1:6">
      <c r="A4316" t="s">
        <v>9807</v>
      </c>
      <c r="B4316">
        <v>7915</v>
      </c>
      <c r="C4316" t="s">
        <v>9674</v>
      </c>
      <c r="D4316" t="s">
        <v>9563</v>
      </c>
      <c r="E4316" t="s">
        <v>9808</v>
      </c>
      <c r="F4316" t="s">
        <v>9527</v>
      </c>
    </row>
    <row r="4317" spans="1:6">
      <c r="A4317" t="s">
        <v>9807</v>
      </c>
      <c r="B4317">
        <v>7980</v>
      </c>
      <c r="C4317" t="s">
        <v>9674</v>
      </c>
      <c r="D4317" t="s">
        <v>9563</v>
      </c>
      <c r="E4317" t="s">
        <v>9808</v>
      </c>
      <c r="F4317" t="s">
        <v>9527</v>
      </c>
    </row>
    <row r="4318" spans="1:6">
      <c r="A4318" t="s">
        <v>9807</v>
      </c>
      <c r="B4318">
        <v>6630</v>
      </c>
      <c r="C4318" t="s">
        <v>9674</v>
      </c>
      <c r="D4318" t="s">
        <v>9563</v>
      </c>
      <c r="E4318" t="s">
        <v>9808</v>
      </c>
      <c r="F4318" t="s">
        <v>9527</v>
      </c>
    </row>
    <row r="4319" spans="1:6">
      <c r="A4319" t="s">
        <v>9807</v>
      </c>
      <c r="B4319">
        <v>7943</v>
      </c>
      <c r="C4319" t="s">
        <v>9674</v>
      </c>
      <c r="D4319" t="s">
        <v>9563</v>
      </c>
      <c r="E4319" t="s">
        <v>9808</v>
      </c>
      <c r="F4319" t="s">
        <v>9527</v>
      </c>
    </row>
    <row r="4320" spans="1:6">
      <c r="A4320" t="s">
        <v>9807</v>
      </c>
      <c r="B4320">
        <v>7985</v>
      </c>
      <c r="C4320" t="s">
        <v>9674</v>
      </c>
      <c r="D4320" t="s">
        <v>9563</v>
      </c>
      <c r="E4320" t="s">
        <v>9808</v>
      </c>
      <c r="F4320" t="s">
        <v>9527</v>
      </c>
    </row>
    <row r="4321" spans="1:6">
      <c r="A4321" t="s">
        <v>9807</v>
      </c>
      <c r="B4321">
        <v>8836</v>
      </c>
      <c r="C4321" t="s">
        <v>9674</v>
      </c>
      <c r="D4321" t="s">
        <v>9563</v>
      </c>
      <c r="E4321" t="s">
        <v>9808</v>
      </c>
      <c r="F4321" t="s">
        <v>9527</v>
      </c>
    </row>
    <row r="4322" spans="1:6">
      <c r="A4322" t="s">
        <v>9807</v>
      </c>
      <c r="B4322">
        <v>8671</v>
      </c>
      <c r="C4322" t="s">
        <v>9674</v>
      </c>
      <c r="D4322" t="s">
        <v>9563</v>
      </c>
      <c r="E4322" t="s">
        <v>9808</v>
      </c>
      <c r="F4322" t="s">
        <v>9527</v>
      </c>
    </row>
    <row r="4323" spans="1:6">
      <c r="A4323" t="s">
        <v>9807</v>
      </c>
      <c r="B4323">
        <v>8841</v>
      </c>
      <c r="C4323" t="s">
        <v>9674</v>
      </c>
      <c r="D4323" t="s">
        <v>9563</v>
      </c>
      <c r="E4323" t="s">
        <v>9808</v>
      </c>
      <c r="F4323" t="s">
        <v>9527</v>
      </c>
    </row>
    <row r="4324" spans="1:6">
      <c r="A4324" t="s">
        <v>9807</v>
      </c>
      <c r="B4324">
        <v>8672</v>
      </c>
      <c r="C4324" t="s">
        <v>9674</v>
      </c>
      <c r="D4324" t="s">
        <v>9563</v>
      </c>
      <c r="E4324" t="s">
        <v>9808</v>
      </c>
      <c r="F4324" t="s">
        <v>9527</v>
      </c>
    </row>
    <row r="4325" spans="1:6">
      <c r="A4325" t="s">
        <v>9807</v>
      </c>
      <c r="B4325">
        <v>8673</v>
      </c>
      <c r="C4325" t="s">
        <v>9674</v>
      </c>
      <c r="D4325" t="s">
        <v>9563</v>
      </c>
      <c r="E4325" t="s">
        <v>9808</v>
      </c>
      <c r="F4325" t="s">
        <v>9527</v>
      </c>
    </row>
    <row r="4326" spans="1:6">
      <c r="A4326" t="s">
        <v>9807</v>
      </c>
      <c r="B4326">
        <v>8849</v>
      </c>
      <c r="C4326" t="s">
        <v>9674</v>
      </c>
      <c r="D4326" t="s">
        <v>9563</v>
      </c>
      <c r="E4326" t="s">
        <v>9808</v>
      </c>
      <c r="F4326" t="s">
        <v>9527</v>
      </c>
    </row>
    <row r="4327" spans="1:6">
      <c r="A4327" t="s">
        <v>9807</v>
      </c>
      <c r="B4327">
        <v>7969</v>
      </c>
      <c r="C4327" t="s">
        <v>9674</v>
      </c>
      <c r="D4327" t="s">
        <v>9563</v>
      </c>
      <c r="E4327" t="s">
        <v>9808</v>
      </c>
      <c r="F4327" t="s">
        <v>9527</v>
      </c>
    </row>
    <row r="4328" spans="1:6">
      <c r="A4328" t="s">
        <v>9807</v>
      </c>
      <c r="B4328">
        <v>8675</v>
      </c>
      <c r="C4328" t="s">
        <v>9674</v>
      </c>
      <c r="D4328" t="s">
        <v>9563</v>
      </c>
      <c r="E4328" t="s">
        <v>9808</v>
      </c>
      <c r="F4328" t="s">
        <v>9527</v>
      </c>
    </row>
    <row r="4329" spans="1:6">
      <c r="A4329" t="s">
        <v>9807</v>
      </c>
      <c r="B4329">
        <v>8847</v>
      </c>
      <c r="C4329" t="s">
        <v>9674</v>
      </c>
      <c r="D4329" t="s">
        <v>9563</v>
      </c>
      <c r="E4329" t="s">
        <v>9808</v>
      </c>
      <c r="F4329" t="s">
        <v>9527</v>
      </c>
    </row>
    <row r="4330" spans="1:6">
      <c r="A4330" t="s">
        <v>9807</v>
      </c>
      <c r="B4330">
        <v>8840</v>
      </c>
      <c r="C4330" t="s">
        <v>9674</v>
      </c>
      <c r="D4330" t="s">
        <v>9563</v>
      </c>
      <c r="E4330" t="s">
        <v>9808</v>
      </c>
      <c r="F4330" t="s">
        <v>9527</v>
      </c>
    </row>
    <row r="4331" spans="1:6">
      <c r="A4331" t="s">
        <v>9807</v>
      </c>
      <c r="B4331">
        <v>8834</v>
      </c>
      <c r="C4331" t="s">
        <v>9674</v>
      </c>
      <c r="D4331" t="s">
        <v>9563</v>
      </c>
      <c r="E4331" t="s">
        <v>9808</v>
      </c>
      <c r="F4331" t="s">
        <v>9527</v>
      </c>
    </row>
    <row r="4332" spans="1:6">
      <c r="A4332" t="s">
        <v>9807</v>
      </c>
      <c r="B4332">
        <v>4348</v>
      </c>
      <c r="C4332" t="s">
        <v>9674</v>
      </c>
      <c r="D4332" t="s">
        <v>9563</v>
      </c>
      <c r="E4332" t="s">
        <v>9808</v>
      </c>
      <c r="F4332" t="s">
        <v>9527</v>
      </c>
    </row>
    <row r="4333" spans="1:6">
      <c r="A4333" t="s">
        <v>9807</v>
      </c>
      <c r="B4333">
        <v>4253</v>
      </c>
      <c r="C4333" t="s">
        <v>9674</v>
      </c>
      <c r="D4333" t="s">
        <v>9563</v>
      </c>
      <c r="E4333" t="s">
        <v>9808</v>
      </c>
      <c r="F4333" t="s">
        <v>9527</v>
      </c>
    </row>
    <row r="4334" spans="1:6">
      <c r="A4334" t="s">
        <v>9807</v>
      </c>
      <c r="B4334">
        <v>2582</v>
      </c>
      <c r="C4334" t="s">
        <v>9674</v>
      </c>
      <c r="D4334" t="s">
        <v>9563</v>
      </c>
      <c r="E4334" t="s">
        <v>9808</v>
      </c>
      <c r="F4334" t="s">
        <v>9527</v>
      </c>
    </row>
    <row r="4335" spans="1:6">
      <c r="A4335" t="s">
        <v>9807</v>
      </c>
      <c r="B4335">
        <v>5457</v>
      </c>
      <c r="C4335" t="s">
        <v>9674</v>
      </c>
      <c r="D4335" t="s">
        <v>9563</v>
      </c>
      <c r="E4335" t="s">
        <v>9808</v>
      </c>
      <c r="F4335" t="s">
        <v>9527</v>
      </c>
    </row>
    <row r="4336" spans="1:6">
      <c r="A4336" t="s">
        <v>9807</v>
      </c>
      <c r="B4336">
        <v>4347</v>
      </c>
      <c r="C4336" t="s">
        <v>9674</v>
      </c>
      <c r="D4336" t="s">
        <v>9563</v>
      </c>
      <c r="E4336" t="s">
        <v>9808</v>
      </c>
      <c r="F4336" t="s">
        <v>9527</v>
      </c>
    </row>
    <row r="4337" spans="1:6">
      <c r="A4337" t="s">
        <v>9807</v>
      </c>
      <c r="B4337">
        <v>4362</v>
      </c>
      <c r="C4337" t="s">
        <v>9674</v>
      </c>
      <c r="D4337" t="s">
        <v>9563</v>
      </c>
      <c r="E4337" t="s">
        <v>9808</v>
      </c>
      <c r="F4337" t="s">
        <v>9527</v>
      </c>
    </row>
    <row r="4338" spans="1:6">
      <c r="A4338" t="s">
        <v>9807</v>
      </c>
      <c r="B4338">
        <v>4363</v>
      </c>
      <c r="C4338" t="s">
        <v>9674</v>
      </c>
      <c r="D4338" t="s">
        <v>9563</v>
      </c>
      <c r="E4338" t="s">
        <v>9808</v>
      </c>
      <c r="F4338" t="s">
        <v>9527</v>
      </c>
    </row>
    <row r="4339" spans="1:6">
      <c r="A4339" t="s">
        <v>9807</v>
      </c>
      <c r="B4339">
        <v>4367</v>
      </c>
      <c r="C4339" t="s">
        <v>9674</v>
      </c>
      <c r="D4339" t="s">
        <v>9563</v>
      </c>
      <c r="E4339" t="s">
        <v>9808</v>
      </c>
      <c r="F4339" t="s">
        <v>9527</v>
      </c>
    </row>
    <row r="4340" spans="1:6">
      <c r="A4340" t="s">
        <v>9807</v>
      </c>
      <c r="B4340">
        <v>4368</v>
      </c>
      <c r="C4340" t="s">
        <v>9674</v>
      </c>
      <c r="D4340" t="s">
        <v>9563</v>
      </c>
      <c r="E4340" t="s">
        <v>9808</v>
      </c>
      <c r="F4340" t="s">
        <v>9527</v>
      </c>
    </row>
    <row r="4341" spans="1:6">
      <c r="A4341" t="s">
        <v>9807</v>
      </c>
      <c r="B4341">
        <v>7327</v>
      </c>
      <c r="C4341" t="s">
        <v>9674</v>
      </c>
      <c r="D4341" t="s">
        <v>9563</v>
      </c>
      <c r="E4341" t="s">
        <v>9808</v>
      </c>
      <c r="F4341" t="s">
        <v>9527</v>
      </c>
    </row>
    <row r="4342" spans="1:6">
      <c r="A4342" t="s">
        <v>9807</v>
      </c>
      <c r="B4342">
        <v>7328</v>
      </c>
      <c r="C4342" t="s">
        <v>9674</v>
      </c>
      <c r="D4342" t="s">
        <v>9563</v>
      </c>
      <c r="E4342" t="s">
        <v>9808</v>
      </c>
      <c r="F4342" t="s">
        <v>9527</v>
      </c>
    </row>
    <row r="4343" spans="1:6">
      <c r="A4343" t="s">
        <v>9807</v>
      </c>
      <c r="B4343">
        <v>4365</v>
      </c>
      <c r="C4343" t="s">
        <v>9674</v>
      </c>
      <c r="D4343" t="s">
        <v>9563</v>
      </c>
      <c r="E4343" t="s">
        <v>9808</v>
      </c>
      <c r="F4343" t="s">
        <v>9527</v>
      </c>
    </row>
    <row r="4344" spans="1:6">
      <c r="A4344" t="s">
        <v>9807</v>
      </c>
      <c r="B4344">
        <v>4364</v>
      </c>
      <c r="C4344" t="s">
        <v>9674</v>
      </c>
      <c r="D4344" t="s">
        <v>9563</v>
      </c>
      <c r="E4344" t="s">
        <v>9808</v>
      </c>
      <c r="F4344" t="s">
        <v>9527</v>
      </c>
    </row>
    <row r="4345" spans="1:6">
      <c r="A4345" t="s">
        <v>9807</v>
      </c>
      <c r="B4345">
        <v>4194</v>
      </c>
      <c r="C4345" t="s">
        <v>9674</v>
      </c>
      <c r="D4345" t="s">
        <v>9563</v>
      </c>
      <c r="E4345" t="s">
        <v>9808</v>
      </c>
      <c r="F4345" t="s">
        <v>9527</v>
      </c>
    </row>
    <row r="4346" spans="1:6">
      <c r="A4346" t="s">
        <v>9807</v>
      </c>
      <c r="B4346">
        <v>4190</v>
      </c>
      <c r="C4346" t="s">
        <v>9674</v>
      </c>
      <c r="D4346" t="s">
        <v>9563</v>
      </c>
      <c r="E4346" t="s">
        <v>9808</v>
      </c>
      <c r="F4346" t="s">
        <v>9527</v>
      </c>
    </row>
    <row r="4347" spans="1:6">
      <c r="A4347" t="s">
        <v>9807</v>
      </c>
      <c r="B4347">
        <v>4251</v>
      </c>
      <c r="C4347" t="s">
        <v>9674</v>
      </c>
      <c r="D4347" t="s">
        <v>9563</v>
      </c>
      <c r="E4347" t="s">
        <v>9808</v>
      </c>
      <c r="F4347" t="s">
        <v>9527</v>
      </c>
    </row>
    <row r="4348" spans="1:6">
      <c r="A4348" t="s">
        <v>9807</v>
      </c>
      <c r="B4348">
        <v>4252</v>
      </c>
      <c r="C4348" t="s">
        <v>9674</v>
      </c>
      <c r="D4348" t="s">
        <v>9563</v>
      </c>
      <c r="E4348" t="s">
        <v>9808</v>
      </c>
      <c r="F4348" t="s">
        <v>9527</v>
      </c>
    </row>
    <row r="4349" spans="1:6">
      <c r="A4349" t="s">
        <v>9807</v>
      </c>
      <c r="B4349">
        <v>2583</v>
      </c>
      <c r="C4349" t="s">
        <v>9674</v>
      </c>
      <c r="D4349" t="s">
        <v>9563</v>
      </c>
      <c r="E4349" t="s">
        <v>9808</v>
      </c>
      <c r="F4349" t="s">
        <v>9527</v>
      </c>
    </row>
    <row r="4350" spans="1:6">
      <c r="A4350" t="s">
        <v>9807</v>
      </c>
      <c r="B4350">
        <v>5458</v>
      </c>
      <c r="C4350" t="s">
        <v>9674</v>
      </c>
      <c r="D4350" t="s">
        <v>9563</v>
      </c>
      <c r="E4350" t="s">
        <v>9808</v>
      </c>
      <c r="F4350" t="s">
        <v>9527</v>
      </c>
    </row>
    <row r="4351" spans="1:6">
      <c r="A4351" t="s">
        <v>9807</v>
      </c>
      <c r="B4351">
        <v>7382</v>
      </c>
      <c r="C4351" t="s">
        <v>9674</v>
      </c>
      <c r="D4351" t="s">
        <v>9563</v>
      </c>
      <c r="E4351" t="s">
        <v>9808</v>
      </c>
      <c r="F4351" t="s">
        <v>9527</v>
      </c>
    </row>
    <row r="4352" spans="1:6">
      <c r="A4352" t="s">
        <v>9807</v>
      </c>
      <c r="B4352">
        <v>4192</v>
      </c>
      <c r="C4352" t="s">
        <v>9674</v>
      </c>
      <c r="D4352" t="s">
        <v>9563</v>
      </c>
      <c r="E4352" t="s">
        <v>9808</v>
      </c>
      <c r="F4352" t="s">
        <v>9527</v>
      </c>
    </row>
    <row r="4353" spans="1:6">
      <c r="A4353" t="s">
        <v>9807</v>
      </c>
      <c r="B4353">
        <v>4193</v>
      </c>
      <c r="C4353" t="s">
        <v>9674</v>
      </c>
      <c r="D4353" t="s">
        <v>9563</v>
      </c>
      <c r="E4353" t="s">
        <v>9808</v>
      </c>
      <c r="F4353" t="s">
        <v>9527</v>
      </c>
    </row>
    <row r="4354" spans="1:6">
      <c r="A4354" t="s">
        <v>9807</v>
      </c>
      <c r="B4354">
        <v>7973</v>
      </c>
      <c r="C4354" t="s">
        <v>9674</v>
      </c>
      <c r="D4354" t="s">
        <v>9563</v>
      </c>
      <c r="E4354" t="s">
        <v>9808</v>
      </c>
      <c r="F4354" t="s">
        <v>9527</v>
      </c>
    </row>
    <row r="4355" spans="1:6">
      <c r="A4355" t="s">
        <v>9807</v>
      </c>
      <c r="B4355">
        <v>7975</v>
      </c>
      <c r="C4355" t="s">
        <v>9674</v>
      </c>
      <c r="D4355" t="s">
        <v>9563</v>
      </c>
      <c r="E4355" t="s">
        <v>9808</v>
      </c>
      <c r="F4355" t="s">
        <v>9527</v>
      </c>
    </row>
    <row r="4356" spans="1:6">
      <c r="A4356" t="s">
        <v>9807</v>
      </c>
      <c r="B4356">
        <v>7974</v>
      </c>
      <c r="C4356" t="s">
        <v>9674</v>
      </c>
      <c r="D4356" t="s">
        <v>9563</v>
      </c>
      <c r="E4356" t="s">
        <v>9808</v>
      </c>
      <c r="F4356" t="s">
        <v>9527</v>
      </c>
    </row>
    <row r="4357" spans="1:6">
      <c r="A4357" t="s">
        <v>9807</v>
      </c>
      <c r="B4357">
        <v>7976</v>
      </c>
      <c r="C4357" t="s">
        <v>9674</v>
      </c>
      <c r="D4357" t="s">
        <v>9563</v>
      </c>
      <c r="E4357" t="s">
        <v>9808</v>
      </c>
      <c r="F4357" t="s">
        <v>9527</v>
      </c>
    </row>
    <row r="4358" spans="1:6">
      <c r="A4358" t="s">
        <v>9807</v>
      </c>
      <c r="B4358">
        <v>7836</v>
      </c>
      <c r="C4358" t="s">
        <v>9674</v>
      </c>
      <c r="D4358" t="s">
        <v>9563</v>
      </c>
      <c r="E4358" t="s">
        <v>9808</v>
      </c>
      <c r="F4358" t="s">
        <v>9527</v>
      </c>
    </row>
    <row r="4359" spans="1:6">
      <c r="A4359" t="s">
        <v>9807</v>
      </c>
      <c r="B4359">
        <v>7837</v>
      </c>
      <c r="C4359" t="s">
        <v>9674</v>
      </c>
      <c r="D4359" t="s">
        <v>9563</v>
      </c>
      <c r="E4359" t="s">
        <v>9808</v>
      </c>
      <c r="F4359" t="s">
        <v>9527</v>
      </c>
    </row>
    <row r="4360" spans="1:6">
      <c r="A4360" t="s">
        <v>9807</v>
      </c>
      <c r="B4360">
        <v>7379</v>
      </c>
      <c r="C4360" t="s">
        <v>9674</v>
      </c>
      <c r="D4360" t="s">
        <v>9563</v>
      </c>
      <c r="E4360" t="s">
        <v>9808</v>
      </c>
      <c r="F4360" t="s">
        <v>9527</v>
      </c>
    </row>
    <row r="4361" spans="1:6">
      <c r="A4361" t="s">
        <v>9807</v>
      </c>
      <c r="B4361">
        <v>7378</v>
      </c>
      <c r="C4361" t="s">
        <v>9674</v>
      </c>
      <c r="D4361" t="s">
        <v>9563</v>
      </c>
      <c r="E4361" t="s">
        <v>9808</v>
      </c>
      <c r="F4361" t="s">
        <v>9527</v>
      </c>
    </row>
    <row r="4362" spans="1:6">
      <c r="A4362" t="s">
        <v>9807</v>
      </c>
      <c r="B4362">
        <v>7948</v>
      </c>
      <c r="C4362" t="s">
        <v>9674</v>
      </c>
      <c r="D4362" t="s">
        <v>9563</v>
      </c>
      <c r="E4362" t="s">
        <v>9808</v>
      </c>
      <c r="F4362" t="s">
        <v>9527</v>
      </c>
    </row>
    <row r="4363" spans="1:6">
      <c r="A4363" t="s">
        <v>9807</v>
      </c>
      <c r="B4363">
        <v>7940</v>
      </c>
      <c r="C4363" t="s">
        <v>9674</v>
      </c>
      <c r="D4363" t="s">
        <v>9563</v>
      </c>
      <c r="E4363" t="s">
        <v>9808</v>
      </c>
      <c r="F4363" t="s">
        <v>9527</v>
      </c>
    </row>
    <row r="4364" spans="1:6">
      <c r="A4364" t="s">
        <v>9807</v>
      </c>
      <c r="B4364">
        <v>7941</v>
      </c>
      <c r="C4364" t="s">
        <v>9674</v>
      </c>
      <c r="D4364" t="s">
        <v>9563</v>
      </c>
      <c r="E4364" t="s">
        <v>9808</v>
      </c>
      <c r="F4364" t="s">
        <v>9527</v>
      </c>
    </row>
    <row r="4365" spans="1:6">
      <c r="A4365" t="s">
        <v>9807</v>
      </c>
      <c r="B4365">
        <v>7984</v>
      </c>
      <c r="C4365" t="s">
        <v>9674</v>
      </c>
      <c r="D4365" t="s">
        <v>9563</v>
      </c>
      <c r="E4365" t="s">
        <v>9808</v>
      </c>
      <c r="F4365" t="s">
        <v>9527</v>
      </c>
    </row>
    <row r="4366" spans="1:6">
      <c r="A4366" t="s">
        <v>9807</v>
      </c>
      <c r="B4366">
        <v>5495</v>
      </c>
      <c r="C4366" t="s">
        <v>9674</v>
      </c>
      <c r="D4366" t="s">
        <v>9563</v>
      </c>
      <c r="E4366" t="s">
        <v>9808</v>
      </c>
      <c r="F4366" t="s">
        <v>9527</v>
      </c>
    </row>
    <row r="4367" spans="1:6">
      <c r="A4367" t="s">
        <v>9807</v>
      </c>
      <c r="B4367">
        <v>9307</v>
      </c>
      <c r="C4367" t="s">
        <v>9674</v>
      </c>
      <c r="D4367" t="s">
        <v>9563</v>
      </c>
      <c r="E4367" t="s">
        <v>9808</v>
      </c>
      <c r="F4367" t="s">
        <v>9527</v>
      </c>
    </row>
    <row r="4368" spans="1:6">
      <c r="A4368" t="s">
        <v>9807</v>
      </c>
      <c r="B4368">
        <v>9306</v>
      </c>
      <c r="C4368" t="s">
        <v>9674</v>
      </c>
      <c r="D4368" t="s">
        <v>9563</v>
      </c>
      <c r="E4368" t="s">
        <v>9808</v>
      </c>
      <c r="F4368" t="s">
        <v>9527</v>
      </c>
    </row>
    <row r="4369" spans="1:6">
      <c r="A4369" t="s">
        <v>9801</v>
      </c>
      <c r="B4369">
        <v>1911</v>
      </c>
      <c r="C4369" t="s">
        <v>9674</v>
      </c>
      <c r="D4369" t="s">
        <v>9543</v>
      </c>
      <c r="E4369">
        <v>1302</v>
      </c>
      <c r="F4369" t="s">
        <v>9545</v>
      </c>
    </row>
    <row r="4370" spans="1:6">
      <c r="A4370" t="s">
        <v>9801</v>
      </c>
      <c r="B4370">
        <v>7809</v>
      </c>
      <c r="C4370" t="s">
        <v>9674</v>
      </c>
      <c r="D4370" t="s">
        <v>9543</v>
      </c>
      <c r="E4370">
        <v>1302</v>
      </c>
      <c r="F4370" t="s">
        <v>9545</v>
      </c>
    </row>
    <row r="4371" spans="1:6">
      <c r="A4371" t="s">
        <v>9801</v>
      </c>
      <c r="B4371">
        <v>7870</v>
      </c>
      <c r="C4371" t="s">
        <v>9674</v>
      </c>
      <c r="D4371" t="s">
        <v>9543</v>
      </c>
      <c r="E4371">
        <v>1302</v>
      </c>
      <c r="F4371" t="s">
        <v>9545</v>
      </c>
    </row>
    <row r="4372" spans="1:6">
      <c r="A4372" t="s">
        <v>9801</v>
      </c>
      <c r="B4372">
        <v>7871</v>
      </c>
      <c r="C4372" t="s">
        <v>9674</v>
      </c>
      <c r="D4372" t="s">
        <v>9543</v>
      </c>
      <c r="E4372">
        <v>1302</v>
      </c>
      <c r="F4372" t="s">
        <v>9545</v>
      </c>
    </row>
    <row r="4373" spans="1:6">
      <c r="A4373" t="s">
        <v>9801</v>
      </c>
      <c r="B4373">
        <v>7872</v>
      </c>
      <c r="C4373" t="s">
        <v>9674</v>
      </c>
      <c r="D4373" t="s">
        <v>9543</v>
      </c>
      <c r="E4373">
        <v>1302</v>
      </c>
      <c r="F4373" t="s">
        <v>9545</v>
      </c>
    </row>
    <row r="4374" spans="1:6">
      <c r="A4374" t="s">
        <v>9801</v>
      </c>
      <c r="B4374">
        <v>7873</v>
      </c>
      <c r="C4374" t="s">
        <v>9674</v>
      </c>
      <c r="D4374" t="s">
        <v>9543</v>
      </c>
      <c r="E4374">
        <v>1302</v>
      </c>
      <c r="F4374" t="s">
        <v>9545</v>
      </c>
    </row>
    <row r="4375" spans="1:6">
      <c r="A4375" t="s">
        <v>9801</v>
      </c>
      <c r="B4375">
        <v>7875</v>
      </c>
      <c r="C4375" t="s">
        <v>9674</v>
      </c>
      <c r="D4375" t="s">
        <v>9543</v>
      </c>
      <c r="E4375">
        <v>1302</v>
      </c>
      <c r="F4375" t="s">
        <v>9545</v>
      </c>
    </row>
    <row r="4376" spans="1:6">
      <c r="A4376" t="s">
        <v>9801</v>
      </c>
      <c r="B4376">
        <v>7901</v>
      </c>
      <c r="C4376" t="s">
        <v>9674</v>
      </c>
      <c r="D4376" t="s">
        <v>9543</v>
      </c>
      <c r="E4376">
        <v>1302</v>
      </c>
      <c r="F4376" t="s">
        <v>9545</v>
      </c>
    </row>
    <row r="4377" spans="1:6">
      <c r="A4377" t="s">
        <v>9801</v>
      </c>
      <c r="B4377">
        <v>7902</v>
      </c>
      <c r="C4377" t="s">
        <v>9674</v>
      </c>
      <c r="D4377" t="s">
        <v>9543</v>
      </c>
      <c r="E4377">
        <v>1302</v>
      </c>
      <c r="F4377" t="s">
        <v>9545</v>
      </c>
    </row>
    <row r="4378" spans="1:6">
      <c r="A4378" t="s">
        <v>9801</v>
      </c>
      <c r="B4378">
        <v>7967</v>
      </c>
      <c r="C4378" t="s">
        <v>9674</v>
      </c>
      <c r="D4378" t="s">
        <v>9543</v>
      </c>
      <c r="E4378">
        <v>1302</v>
      </c>
      <c r="F4378" t="s">
        <v>9545</v>
      </c>
    </row>
    <row r="4379" spans="1:6">
      <c r="A4379" t="s">
        <v>9801</v>
      </c>
      <c r="B4379">
        <v>7971</v>
      </c>
      <c r="C4379" t="s">
        <v>9674</v>
      </c>
      <c r="D4379" t="s">
        <v>9543</v>
      </c>
      <c r="E4379">
        <v>1302</v>
      </c>
      <c r="F4379" t="s">
        <v>9545</v>
      </c>
    </row>
    <row r="4380" spans="1:6">
      <c r="A4380" t="s">
        <v>9801</v>
      </c>
      <c r="B4380">
        <v>7972</v>
      </c>
      <c r="C4380" t="s">
        <v>9674</v>
      </c>
      <c r="D4380" t="s">
        <v>9543</v>
      </c>
      <c r="E4380">
        <v>1302</v>
      </c>
      <c r="F4380" t="s">
        <v>9545</v>
      </c>
    </row>
    <row r="4381" spans="1:6">
      <c r="A4381" t="s">
        <v>9801</v>
      </c>
      <c r="B4381">
        <v>7981</v>
      </c>
      <c r="C4381" t="s">
        <v>9674</v>
      </c>
      <c r="D4381" t="s">
        <v>9543</v>
      </c>
      <c r="E4381">
        <v>1302</v>
      </c>
      <c r="F4381" t="s">
        <v>9545</v>
      </c>
    </row>
    <row r="4382" spans="1:6">
      <c r="A4382" t="s">
        <v>9801</v>
      </c>
      <c r="B4382">
        <v>7995</v>
      </c>
      <c r="C4382" t="s">
        <v>9674</v>
      </c>
      <c r="D4382" t="s">
        <v>9543</v>
      </c>
      <c r="E4382">
        <v>1302</v>
      </c>
      <c r="F4382" t="s">
        <v>9545</v>
      </c>
    </row>
    <row r="4383" spans="1:6">
      <c r="A4383" t="s">
        <v>9801</v>
      </c>
      <c r="B4383">
        <v>7996</v>
      </c>
      <c r="C4383" t="s">
        <v>9674</v>
      </c>
      <c r="D4383" t="s">
        <v>9543</v>
      </c>
      <c r="E4383">
        <v>1302</v>
      </c>
      <c r="F4383" t="s">
        <v>9545</v>
      </c>
    </row>
    <row r="4384" spans="1:6">
      <c r="A4384" t="s">
        <v>9801</v>
      </c>
      <c r="B4384">
        <v>8014</v>
      </c>
      <c r="C4384" t="s">
        <v>9674</v>
      </c>
      <c r="D4384" t="s">
        <v>9543</v>
      </c>
      <c r="E4384">
        <v>1302</v>
      </c>
      <c r="F4384" t="s">
        <v>9545</v>
      </c>
    </row>
    <row r="4385" spans="1:6">
      <c r="A4385" t="s">
        <v>9801</v>
      </c>
      <c r="B4385">
        <v>8028</v>
      </c>
      <c r="C4385" t="s">
        <v>9674</v>
      </c>
      <c r="D4385" t="s">
        <v>9543</v>
      </c>
      <c r="E4385">
        <v>1302</v>
      </c>
      <c r="F4385" t="s">
        <v>9545</v>
      </c>
    </row>
    <row r="4386" spans="1:6">
      <c r="A4386" t="s">
        <v>9801</v>
      </c>
      <c r="B4386">
        <v>8038</v>
      </c>
      <c r="C4386" t="s">
        <v>9674</v>
      </c>
      <c r="D4386" t="s">
        <v>9543</v>
      </c>
      <c r="E4386">
        <v>1302</v>
      </c>
      <c r="F4386" t="s">
        <v>9545</v>
      </c>
    </row>
    <row r="4387" spans="1:6">
      <c r="A4387" t="s">
        <v>9801</v>
      </c>
      <c r="B4387">
        <v>8667</v>
      </c>
      <c r="C4387" t="s">
        <v>9674</v>
      </c>
      <c r="D4387" t="s">
        <v>9543</v>
      </c>
      <c r="E4387">
        <v>1302</v>
      </c>
      <c r="F4387" t="s">
        <v>9545</v>
      </c>
    </row>
    <row r="4388" spans="1:6">
      <c r="A4388" t="s">
        <v>9801</v>
      </c>
      <c r="B4388">
        <v>8677</v>
      </c>
      <c r="C4388" t="s">
        <v>9674</v>
      </c>
      <c r="D4388" t="s">
        <v>9543</v>
      </c>
      <c r="E4388">
        <v>1302</v>
      </c>
      <c r="F4388" t="s">
        <v>9545</v>
      </c>
    </row>
    <row r="4389" spans="1:6">
      <c r="A4389" t="s">
        <v>9801</v>
      </c>
      <c r="B4389">
        <v>8678</v>
      </c>
      <c r="C4389" t="s">
        <v>9674</v>
      </c>
      <c r="D4389" t="s">
        <v>9543</v>
      </c>
      <c r="E4389">
        <v>1302</v>
      </c>
      <c r="F4389" t="s">
        <v>9545</v>
      </c>
    </row>
    <row r="4390" spans="1:6">
      <c r="A4390" t="s">
        <v>9801</v>
      </c>
      <c r="B4390">
        <v>8720</v>
      </c>
      <c r="C4390" t="s">
        <v>9674</v>
      </c>
      <c r="D4390" t="s">
        <v>9543</v>
      </c>
      <c r="E4390">
        <v>1302</v>
      </c>
      <c r="F4390" t="s">
        <v>9545</v>
      </c>
    </row>
    <row r="4391" spans="1:6">
      <c r="A4391" t="s">
        <v>9801</v>
      </c>
      <c r="B4391">
        <v>8730</v>
      </c>
      <c r="C4391" t="s">
        <v>9674</v>
      </c>
      <c r="D4391" t="s">
        <v>9543</v>
      </c>
      <c r="E4391">
        <v>1302</v>
      </c>
      <c r="F4391" t="s">
        <v>9545</v>
      </c>
    </row>
    <row r="4392" spans="1:6">
      <c r="A4392" t="s">
        <v>9801</v>
      </c>
      <c r="B4392">
        <v>8740</v>
      </c>
      <c r="C4392" t="s">
        <v>9674</v>
      </c>
      <c r="D4392" t="s">
        <v>9543</v>
      </c>
      <c r="E4392">
        <v>1302</v>
      </c>
      <c r="F4392" t="s">
        <v>9545</v>
      </c>
    </row>
    <row r="4393" spans="1:6">
      <c r="A4393" t="s">
        <v>9801</v>
      </c>
      <c r="B4393">
        <v>8750</v>
      </c>
      <c r="C4393" t="s">
        <v>9674</v>
      </c>
      <c r="D4393" t="s">
        <v>9543</v>
      </c>
      <c r="E4393">
        <v>1302</v>
      </c>
      <c r="F4393" t="s">
        <v>9545</v>
      </c>
    </row>
    <row r="4394" spans="1:6">
      <c r="A4394" t="s">
        <v>9801</v>
      </c>
      <c r="B4394">
        <v>8832</v>
      </c>
      <c r="C4394" t="s">
        <v>9674</v>
      </c>
      <c r="D4394" t="s">
        <v>9543</v>
      </c>
      <c r="E4394">
        <v>1302</v>
      </c>
      <c r="F4394" t="s">
        <v>9545</v>
      </c>
    </row>
    <row r="4395" spans="1:6">
      <c r="A4395" t="s">
        <v>9801</v>
      </c>
      <c r="B4395">
        <v>8839</v>
      </c>
      <c r="C4395" t="s">
        <v>9674</v>
      </c>
      <c r="D4395" t="s">
        <v>9543</v>
      </c>
      <c r="E4395">
        <v>1302</v>
      </c>
      <c r="F4395" t="s">
        <v>9545</v>
      </c>
    </row>
    <row r="4396" spans="1:6">
      <c r="A4396" t="s">
        <v>9801</v>
      </c>
      <c r="B4396">
        <v>8843</v>
      </c>
      <c r="C4396" t="s">
        <v>9674</v>
      </c>
      <c r="D4396" t="s">
        <v>9543</v>
      </c>
      <c r="E4396">
        <v>1302</v>
      </c>
      <c r="F4396" t="s">
        <v>9545</v>
      </c>
    </row>
    <row r="4397" spans="1:6">
      <c r="A4397" t="s">
        <v>9801</v>
      </c>
      <c r="B4397">
        <v>8850</v>
      </c>
      <c r="C4397" t="s">
        <v>9674</v>
      </c>
      <c r="D4397" t="s">
        <v>9543</v>
      </c>
      <c r="E4397">
        <v>1302</v>
      </c>
      <c r="F4397" t="s">
        <v>9545</v>
      </c>
    </row>
    <row r="4398" spans="1:6">
      <c r="A4398" t="s">
        <v>9801</v>
      </c>
      <c r="B4398">
        <v>8852</v>
      </c>
      <c r="C4398" t="s">
        <v>9674</v>
      </c>
      <c r="D4398" t="s">
        <v>9543</v>
      </c>
      <c r="E4398">
        <v>1302</v>
      </c>
      <c r="F4398" t="s">
        <v>9545</v>
      </c>
    </row>
    <row r="4399" spans="1:6">
      <c r="A4399" t="s">
        <v>9801</v>
      </c>
      <c r="B4399">
        <v>8853</v>
      </c>
      <c r="C4399" t="s">
        <v>9674</v>
      </c>
      <c r="D4399" t="s">
        <v>9543</v>
      </c>
      <c r="E4399">
        <v>1302</v>
      </c>
      <c r="F4399" t="s">
        <v>9545</v>
      </c>
    </row>
    <row r="4400" spans="1:6">
      <c r="A4400" t="s">
        <v>9801</v>
      </c>
      <c r="B4400">
        <v>8886</v>
      </c>
      <c r="C4400" t="s">
        <v>9674</v>
      </c>
      <c r="D4400" t="s">
        <v>9543</v>
      </c>
      <c r="E4400">
        <v>1302</v>
      </c>
      <c r="F4400" t="s">
        <v>9545</v>
      </c>
    </row>
    <row r="4401" spans="1:6">
      <c r="A4401" t="s">
        <v>9801</v>
      </c>
      <c r="B4401">
        <v>1911</v>
      </c>
      <c r="C4401" t="s">
        <v>9674</v>
      </c>
      <c r="D4401" t="s">
        <v>9543</v>
      </c>
      <c r="E4401">
        <v>1302</v>
      </c>
      <c r="F4401" t="s">
        <v>9545</v>
      </c>
    </row>
    <row r="4402" spans="1:6">
      <c r="A4402" t="s">
        <v>9801</v>
      </c>
      <c r="B4402">
        <v>7809</v>
      </c>
      <c r="C4402" t="s">
        <v>9674</v>
      </c>
      <c r="D4402" t="s">
        <v>9543</v>
      </c>
      <c r="E4402">
        <v>1302</v>
      </c>
      <c r="F4402" t="s">
        <v>9545</v>
      </c>
    </row>
    <row r="4403" spans="1:6">
      <c r="A4403" t="s">
        <v>9801</v>
      </c>
      <c r="B4403">
        <v>7870</v>
      </c>
      <c r="C4403" t="s">
        <v>9674</v>
      </c>
      <c r="D4403" t="s">
        <v>9543</v>
      </c>
      <c r="E4403">
        <v>1302</v>
      </c>
      <c r="F4403" t="s">
        <v>9545</v>
      </c>
    </row>
    <row r="4404" spans="1:6">
      <c r="A4404" t="s">
        <v>9801</v>
      </c>
      <c r="B4404">
        <v>7871</v>
      </c>
      <c r="C4404" t="s">
        <v>9674</v>
      </c>
      <c r="D4404" t="s">
        <v>9543</v>
      </c>
      <c r="E4404">
        <v>1302</v>
      </c>
      <c r="F4404" t="s">
        <v>9545</v>
      </c>
    </row>
    <row r="4405" spans="1:6">
      <c r="A4405" t="s">
        <v>9801</v>
      </c>
      <c r="B4405">
        <v>7872</v>
      </c>
      <c r="C4405" t="s">
        <v>9674</v>
      </c>
      <c r="D4405" t="s">
        <v>9543</v>
      </c>
      <c r="E4405">
        <v>1302</v>
      </c>
      <c r="F4405" t="s">
        <v>9545</v>
      </c>
    </row>
    <row r="4406" spans="1:6">
      <c r="A4406" t="s">
        <v>9801</v>
      </c>
      <c r="B4406">
        <v>7873</v>
      </c>
      <c r="C4406" t="s">
        <v>9674</v>
      </c>
      <c r="D4406" t="s">
        <v>9543</v>
      </c>
      <c r="E4406">
        <v>1302</v>
      </c>
      <c r="F4406" t="s">
        <v>9545</v>
      </c>
    </row>
    <row r="4407" spans="1:6">
      <c r="A4407" t="s">
        <v>9801</v>
      </c>
      <c r="B4407">
        <v>7875</v>
      </c>
      <c r="C4407" t="s">
        <v>9674</v>
      </c>
      <c r="D4407" t="s">
        <v>9543</v>
      </c>
      <c r="E4407">
        <v>1302</v>
      </c>
      <c r="F4407" t="s">
        <v>9545</v>
      </c>
    </row>
    <row r="4408" spans="1:6">
      <c r="A4408" t="s">
        <v>9801</v>
      </c>
      <c r="B4408">
        <v>7901</v>
      </c>
      <c r="C4408" t="s">
        <v>9674</v>
      </c>
      <c r="D4408" t="s">
        <v>9543</v>
      </c>
      <c r="E4408">
        <v>1302</v>
      </c>
      <c r="F4408" t="s">
        <v>9545</v>
      </c>
    </row>
    <row r="4409" spans="1:6">
      <c r="A4409" t="s">
        <v>9801</v>
      </c>
      <c r="B4409">
        <v>7902</v>
      </c>
      <c r="C4409" t="s">
        <v>9674</v>
      </c>
      <c r="D4409" t="s">
        <v>9543</v>
      </c>
      <c r="E4409">
        <v>1302</v>
      </c>
      <c r="F4409" t="s">
        <v>9545</v>
      </c>
    </row>
    <row r="4410" spans="1:6">
      <c r="A4410" t="s">
        <v>9801</v>
      </c>
      <c r="B4410">
        <v>7967</v>
      </c>
      <c r="C4410" t="s">
        <v>9674</v>
      </c>
      <c r="D4410" t="s">
        <v>9543</v>
      </c>
      <c r="E4410">
        <v>1302</v>
      </c>
      <c r="F4410" t="s">
        <v>9545</v>
      </c>
    </row>
    <row r="4411" spans="1:6">
      <c r="A4411" t="s">
        <v>9801</v>
      </c>
      <c r="B4411">
        <v>7971</v>
      </c>
      <c r="C4411" t="s">
        <v>9674</v>
      </c>
      <c r="D4411" t="s">
        <v>9543</v>
      </c>
      <c r="E4411">
        <v>1302</v>
      </c>
      <c r="F4411" t="s">
        <v>9545</v>
      </c>
    </row>
    <row r="4412" spans="1:6">
      <c r="A4412" t="s">
        <v>9801</v>
      </c>
      <c r="B4412">
        <v>7972</v>
      </c>
      <c r="C4412" t="s">
        <v>9674</v>
      </c>
      <c r="D4412" t="s">
        <v>9543</v>
      </c>
      <c r="E4412">
        <v>1302</v>
      </c>
      <c r="F4412" t="s">
        <v>9545</v>
      </c>
    </row>
    <row r="4413" spans="1:6">
      <c r="A4413" t="s">
        <v>9801</v>
      </c>
      <c r="B4413">
        <v>7981</v>
      </c>
      <c r="C4413" t="s">
        <v>9674</v>
      </c>
      <c r="D4413" t="s">
        <v>9543</v>
      </c>
      <c r="E4413">
        <v>1302</v>
      </c>
      <c r="F4413" t="s">
        <v>9545</v>
      </c>
    </row>
    <row r="4414" spans="1:6">
      <c r="A4414" t="s">
        <v>9801</v>
      </c>
      <c r="B4414">
        <v>7995</v>
      </c>
      <c r="C4414" t="s">
        <v>9674</v>
      </c>
      <c r="D4414" t="s">
        <v>9543</v>
      </c>
      <c r="E4414">
        <v>1302</v>
      </c>
      <c r="F4414" t="s">
        <v>9545</v>
      </c>
    </row>
    <row r="4415" spans="1:6">
      <c r="A4415" t="s">
        <v>9801</v>
      </c>
      <c r="B4415">
        <v>7996</v>
      </c>
      <c r="C4415" t="s">
        <v>9674</v>
      </c>
      <c r="D4415" t="s">
        <v>9543</v>
      </c>
      <c r="E4415">
        <v>1302</v>
      </c>
      <c r="F4415" t="s">
        <v>9545</v>
      </c>
    </row>
    <row r="4416" spans="1:6">
      <c r="A4416" t="s">
        <v>9801</v>
      </c>
      <c r="B4416">
        <v>8014</v>
      </c>
      <c r="C4416" t="s">
        <v>9674</v>
      </c>
      <c r="D4416" t="s">
        <v>9543</v>
      </c>
      <c r="E4416">
        <v>1302</v>
      </c>
      <c r="F4416" t="s">
        <v>9545</v>
      </c>
    </row>
    <row r="4417" spans="1:6">
      <c r="A4417" t="s">
        <v>9801</v>
      </c>
      <c r="B4417">
        <v>8028</v>
      </c>
      <c r="C4417" t="s">
        <v>9674</v>
      </c>
      <c r="D4417" t="s">
        <v>9543</v>
      </c>
      <c r="E4417">
        <v>1302</v>
      </c>
      <c r="F4417" t="s">
        <v>9545</v>
      </c>
    </row>
    <row r="4418" spans="1:6">
      <c r="A4418" t="s">
        <v>9801</v>
      </c>
      <c r="B4418">
        <v>8038</v>
      </c>
      <c r="C4418" t="s">
        <v>9674</v>
      </c>
      <c r="D4418" t="s">
        <v>9543</v>
      </c>
      <c r="E4418">
        <v>1302</v>
      </c>
      <c r="F4418" t="s">
        <v>9545</v>
      </c>
    </row>
    <row r="4419" spans="1:6">
      <c r="A4419" t="s">
        <v>9801</v>
      </c>
      <c r="B4419">
        <v>8667</v>
      </c>
      <c r="C4419" t="s">
        <v>9674</v>
      </c>
      <c r="D4419" t="s">
        <v>9543</v>
      </c>
      <c r="E4419">
        <v>1302</v>
      </c>
      <c r="F4419" t="s">
        <v>9545</v>
      </c>
    </row>
    <row r="4420" spans="1:6">
      <c r="A4420" t="s">
        <v>9801</v>
      </c>
      <c r="B4420">
        <v>8677</v>
      </c>
      <c r="C4420" t="s">
        <v>9674</v>
      </c>
      <c r="D4420" t="s">
        <v>9543</v>
      </c>
      <c r="E4420">
        <v>1302</v>
      </c>
      <c r="F4420" t="s">
        <v>9545</v>
      </c>
    </row>
    <row r="4421" spans="1:6">
      <c r="A4421" t="s">
        <v>9801</v>
      </c>
      <c r="B4421">
        <v>8678</v>
      </c>
      <c r="C4421" t="s">
        <v>9674</v>
      </c>
      <c r="D4421" t="s">
        <v>9543</v>
      </c>
      <c r="E4421">
        <v>1302</v>
      </c>
      <c r="F4421" t="s">
        <v>9545</v>
      </c>
    </row>
    <row r="4422" spans="1:6">
      <c r="A4422" t="s">
        <v>9801</v>
      </c>
      <c r="B4422">
        <v>8720</v>
      </c>
      <c r="C4422" t="s">
        <v>9674</v>
      </c>
      <c r="D4422" t="s">
        <v>9543</v>
      </c>
      <c r="E4422">
        <v>1302</v>
      </c>
      <c r="F4422" t="s">
        <v>9545</v>
      </c>
    </row>
    <row r="4423" spans="1:6">
      <c r="A4423" t="s">
        <v>9801</v>
      </c>
      <c r="B4423">
        <v>8730</v>
      </c>
      <c r="C4423" t="s">
        <v>9674</v>
      </c>
      <c r="D4423" t="s">
        <v>9543</v>
      </c>
      <c r="E4423">
        <v>1302</v>
      </c>
      <c r="F4423" t="s">
        <v>9545</v>
      </c>
    </row>
    <row r="4424" spans="1:6">
      <c r="A4424" t="s">
        <v>9801</v>
      </c>
      <c r="B4424">
        <v>8740</v>
      </c>
      <c r="C4424" t="s">
        <v>9674</v>
      </c>
      <c r="D4424" t="s">
        <v>9543</v>
      </c>
      <c r="E4424">
        <v>1302</v>
      </c>
      <c r="F4424" t="s">
        <v>9545</v>
      </c>
    </row>
    <row r="4425" spans="1:6">
      <c r="A4425" t="s">
        <v>9801</v>
      </c>
      <c r="B4425">
        <v>8750</v>
      </c>
      <c r="C4425" t="s">
        <v>9674</v>
      </c>
      <c r="D4425" t="s">
        <v>9543</v>
      </c>
      <c r="E4425">
        <v>1302</v>
      </c>
      <c r="F4425" t="s">
        <v>9545</v>
      </c>
    </row>
    <row r="4426" spans="1:6">
      <c r="A4426" t="s">
        <v>9801</v>
      </c>
      <c r="B4426">
        <v>8832</v>
      </c>
      <c r="C4426" t="s">
        <v>9674</v>
      </c>
      <c r="D4426" t="s">
        <v>9543</v>
      </c>
      <c r="E4426">
        <v>1302</v>
      </c>
      <c r="F4426" t="s">
        <v>9545</v>
      </c>
    </row>
    <row r="4427" spans="1:6">
      <c r="A4427" t="s">
        <v>9801</v>
      </c>
      <c r="B4427">
        <v>8839</v>
      </c>
      <c r="C4427" t="s">
        <v>9674</v>
      </c>
      <c r="D4427" t="s">
        <v>9543</v>
      </c>
      <c r="E4427">
        <v>1302</v>
      </c>
      <c r="F4427" t="s">
        <v>9545</v>
      </c>
    </row>
    <row r="4428" spans="1:6">
      <c r="A4428" t="s">
        <v>9801</v>
      </c>
      <c r="B4428">
        <v>8843</v>
      </c>
      <c r="C4428" t="s">
        <v>9674</v>
      </c>
      <c r="D4428" t="s">
        <v>9543</v>
      </c>
      <c r="E4428">
        <v>1302</v>
      </c>
      <c r="F4428" t="s">
        <v>9545</v>
      </c>
    </row>
    <row r="4429" spans="1:6">
      <c r="A4429" t="s">
        <v>9801</v>
      </c>
      <c r="B4429">
        <v>8850</v>
      </c>
      <c r="C4429" t="s">
        <v>9674</v>
      </c>
      <c r="D4429" t="s">
        <v>9543</v>
      </c>
      <c r="E4429">
        <v>1302</v>
      </c>
      <c r="F4429" t="s">
        <v>9545</v>
      </c>
    </row>
    <row r="4430" spans="1:6">
      <c r="A4430" t="s">
        <v>9801</v>
      </c>
      <c r="B4430">
        <v>8852</v>
      </c>
      <c r="C4430" t="s">
        <v>9674</v>
      </c>
      <c r="D4430" t="s">
        <v>9543</v>
      </c>
      <c r="E4430">
        <v>1302</v>
      </c>
      <c r="F4430" t="s">
        <v>9545</v>
      </c>
    </row>
    <row r="4431" spans="1:6">
      <c r="A4431" t="s">
        <v>9801</v>
      </c>
      <c r="B4431">
        <v>8853</v>
      </c>
      <c r="C4431" t="s">
        <v>9674</v>
      </c>
      <c r="D4431" t="s">
        <v>9543</v>
      </c>
      <c r="E4431">
        <v>1302</v>
      </c>
      <c r="F4431" t="s">
        <v>9545</v>
      </c>
    </row>
    <row r="4432" spans="1:6">
      <c r="A4432" t="s">
        <v>9801</v>
      </c>
      <c r="B4432">
        <v>8886</v>
      </c>
      <c r="C4432" t="s">
        <v>9674</v>
      </c>
      <c r="D4432" t="s">
        <v>9543</v>
      </c>
      <c r="E4432">
        <v>1302</v>
      </c>
      <c r="F4432" t="s">
        <v>9545</v>
      </c>
    </row>
    <row r="4433" spans="1:6">
      <c r="A4433" t="s">
        <v>9802</v>
      </c>
      <c r="B4433">
        <v>8721</v>
      </c>
      <c r="C4433" t="s">
        <v>9674</v>
      </c>
      <c r="D4433" t="s">
        <v>9547</v>
      </c>
      <c r="E4433">
        <v>2068</v>
      </c>
      <c r="F4433" t="s">
        <v>9545</v>
      </c>
    </row>
    <row r="4434" spans="1:6">
      <c r="A4434" t="s">
        <v>9802</v>
      </c>
      <c r="B4434">
        <v>8731</v>
      </c>
      <c r="C4434" t="s">
        <v>9674</v>
      </c>
      <c r="D4434" t="s">
        <v>9547</v>
      </c>
      <c r="E4434">
        <v>2068</v>
      </c>
      <c r="F4434" t="s">
        <v>9545</v>
      </c>
    </row>
    <row r="4435" spans="1:6">
      <c r="A4435" t="s">
        <v>9802</v>
      </c>
      <c r="B4435">
        <v>7906</v>
      </c>
      <c r="C4435" t="s">
        <v>9674</v>
      </c>
      <c r="D4435" t="s">
        <v>9547</v>
      </c>
      <c r="E4435">
        <v>2068</v>
      </c>
      <c r="F4435" t="s">
        <v>9545</v>
      </c>
    </row>
    <row r="4436" spans="1:6">
      <c r="A4436" t="s">
        <v>9802</v>
      </c>
      <c r="B4436">
        <v>7916</v>
      </c>
      <c r="C4436" t="s">
        <v>9674</v>
      </c>
      <c r="D4436" t="s">
        <v>9547</v>
      </c>
      <c r="E4436">
        <v>2068</v>
      </c>
      <c r="F4436" t="s">
        <v>9545</v>
      </c>
    </row>
    <row r="4437" spans="1:6">
      <c r="A4437" t="s">
        <v>9802</v>
      </c>
      <c r="B4437">
        <v>8737</v>
      </c>
      <c r="C4437" t="s">
        <v>9674</v>
      </c>
      <c r="D4437" t="s">
        <v>9547</v>
      </c>
      <c r="E4437">
        <v>2068</v>
      </c>
      <c r="F4437" t="s">
        <v>9545</v>
      </c>
    </row>
    <row r="4438" spans="1:6">
      <c r="A4438" t="s">
        <v>9802</v>
      </c>
      <c r="B4438">
        <v>7917</v>
      </c>
      <c r="C4438" t="s">
        <v>9674</v>
      </c>
      <c r="D4438" t="s">
        <v>9547</v>
      </c>
      <c r="E4438">
        <v>2068</v>
      </c>
      <c r="F4438" t="s">
        <v>9545</v>
      </c>
    </row>
    <row r="4439" spans="1:6">
      <c r="A4439" t="s">
        <v>9802</v>
      </c>
      <c r="B4439">
        <v>7903</v>
      </c>
      <c r="C4439" t="s">
        <v>9674</v>
      </c>
      <c r="D4439" t="s">
        <v>9547</v>
      </c>
      <c r="E4439">
        <v>2068</v>
      </c>
      <c r="F4439" t="s">
        <v>9545</v>
      </c>
    </row>
    <row r="4440" spans="1:6">
      <c r="A4440" t="s">
        <v>9802</v>
      </c>
      <c r="B4440">
        <v>5455</v>
      </c>
      <c r="C4440" t="s">
        <v>9674</v>
      </c>
      <c r="D4440" t="s">
        <v>9547</v>
      </c>
      <c r="E4440">
        <v>2068</v>
      </c>
      <c r="F4440" t="s">
        <v>9545</v>
      </c>
    </row>
    <row r="4441" spans="1:6">
      <c r="A4441" t="s">
        <v>9802</v>
      </c>
      <c r="B4441">
        <v>5456</v>
      </c>
      <c r="C4441" t="s">
        <v>9674</v>
      </c>
      <c r="D4441" t="s">
        <v>9547</v>
      </c>
      <c r="E4441">
        <v>2068</v>
      </c>
      <c r="F4441" t="s">
        <v>9545</v>
      </c>
    </row>
    <row r="4442" spans="1:6">
      <c r="A4442" t="s">
        <v>9802</v>
      </c>
      <c r="B4442">
        <v>6391</v>
      </c>
      <c r="C4442" t="s">
        <v>9674</v>
      </c>
      <c r="D4442" t="s">
        <v>9547</v>
      </c>
      <c r="E4442">
        <v>2068</v>
      </c>
      <c r="F4442" t="s">
        <v>9545</v>
      </c>
    </row>
    <row r="4443" spans="1:6">
      <c r="A4443" t="s">
        <v>9802</v>
      </c>
      <c r="B4443">
        <v>7912</v>
      </c>
      <c r="C4443" t="s">
        <v>9674</v>
      </c>
      <c r="D4443" t="s">
        <v>9547</v>
      </c>
      <c r="E4443">
        <v>2068</v>
      </c>
      <c r="F4443" t="s">
        <v>9545</v>
      </c>
    </row>
    <row r="4444" spans="1:6">
      <c r="A4444" t="s">
        <v>9802</v>
      </c>
      <c r="B4444">
        <v>7913</v>
      </c>
      <c r="C4444" t="s">
        <v>9674</v>
      </c>
      <c r="D4444" t="s">
        <v>9547</v>
      </c>
      <c r="E4444">
        <v>2068</v>
      </c>
      <c r="F4444" t="s">
        <v>9545</v>
      </c>
    </row>
    <row r="4445" spans="1:6">
      <c r="A4445" t="s">
        <v>9802</v>
      </c>
      <c r="B4445">
        <v>7918</v>
      </c>
      <c r="C4445" t="s">
        <v>9674</v>
      </c>
      <c r="D4445" t="s">
        <v>9547</v>
      </c>
      <c r="E4445">
        <v>2068</v>
      </c>
      <c r="F4445" t="s">
        <v>9545</v>
      </c>
    </row>
    <row r="4446" spans="1:6">
      <c r="A4446" t="s">
        <v>9802</v>
      </c>
      <c r="B4446">
        <v>7919</v>
      </c>
      <c r="C4446" t="s">
        <v>9674</v>
      </c>
      <c r="D4446" t="s">
        <v>9547</v>
      </c>
      <c r="E4446">
        <v>2068</v>
      </c>
      <c r="F4446" t="s">
        <v>9545</v>
      </c>
    </row>
    <row r="4447" spans="1:6">
      <c r="A4447" t="s">
        <v>9802</v>
      </c>
      <c r="B4447">
        <v>8685</v>
      </c>
      <c r="C4447" t="s">
        <v>9674</v>
      </c>
      <c r="D4447" t="s">
        <v>9547</v>
      </c>
      <c r="E4447">
        <v>2068</v>
      </c>
      <c r="F4447" t="s">
        <v>9545</v>
      </c>
    </row>
    <row r="4448" spans="1:6">
      <c r="A4448" t="s">
        <v>9802</v>
      </c>
      <c r="B4448">
        <v>8686</v>
      </c>
      <c r="C4448" t="s">
        <v>9674</v>
      </c>
      <c r="D4448" t="s">
        <v>9547</v>
      </c>
      <c r="E4448">
        <v>2068</v>
      </c>
      <c r="F4448" t="s">
        <v>9545</v>
      </c>
    </row>
    <row r="4449" spans="1:6">
      <c r="A4449" t="s">
        <v>9802</v>
      </c>
      <c r="B4449">
        <v>8861</v>
      </c>
      <c r="C4449" t="s">
        <v>9674</v>
      </c>
      <c r="D4449" t="s">
        <v>9547</v>
      </c>
      <c r="E4449">
        <v>2068</v>
      </c>
      <c r="F4449" t="s">
        <v>9545</v>
      </c>
    </row>
    <row r="4450" spans="1:6">
      <c r="A4450" t="s">
        <v>9802</v>
      </c>
      <c r="B4450">
        <v>8862</v>
      </c>
      <c r="C4450" t="s">
        <v>9674</v>
      </c>
      <c r="D4450" t="s">
        <v>9547</v>
      </c>
      <c r="E4450">
        <v>2068</v>
      </c>
      <c r="F4450" t="s">
        <v>9545</v>
      </c>
    </row>
    <row r="4451" spans="1:6">
      <c r="A4451" t="s">
        <v>9802</v>
      </c>
      <c r="B4451">
        <v>8863</v>
      </c>
      <c r="C4451" t="s">
        <v>9674</v>
      </c>
      <c r="D4451" t="s">
        <v>9547</v>
      </c>
      <c r="E4451">
        <v>2068</v>
      </c>
      <c r="F4451" t="s">
        <v>9545</v>
      </c>
    </row>
    <row r="4452" spans="1:6">
      <c r="A4452" t="s">
        <v>9802</v>
      </c>
      <c r="B4452">
        <v>8683</v>
      </c>
      <c r="C4452" t="s">
        <v>9674</v>
      </c>
      <c r="D4452" t="s">
        <v>9547</v>
      </c>
      <c r="E4452">
        <v>2068</v>
      </c>
      <c r="F4452" t="s">
        <v>9545</v>
      </c>
    </row>
    <row r="4453" spans="1:6">
      <c r="A4453" t="s">
        <v>9802</v>
      </c>
      <c r="B4453">
        <v>8687</v>
      </c>
      <c r="C4453" t="s">
        <v>9674</v>
      </c>
      <c r="D4453" t="s">
        <v>9547</v>
      </c>
      <c r="E4453">
        <v>2068</v>
      </c>
      <c r="F4453" t="s">
        <v>9545</v>
      </c>
    </row>
    <row r="4454" spans="1:6">
      <c r="A4454" t="s">
        <v>9802</v>
      </c>
      <c r="B4454">
        <v>8870</v>
      </c>
      <c r="C4454" t="s">
        <v>9674</v>
      </c>
      <c r="D4454" t="s">
        <v>9547</v>
      </c>
      <c r="E4454">
        <v>2068</v>
      </c>
      <c r="F4454" t="s">
        <v>9545</v>
      </c>
    </row>
    <row r="4455" spans="1:6">
      <c r="A4455" t="s">
        <v>9802</v>
      </c>
      <c r="B4455">
        <v>8688</v>
      </c>
      <c r="C4455" t="s">
        <v>9674</v>
      </c>
      <c r="D4455" t="s">
        <v>9547</v>
      </c>
      <c r="E4455">
        <v>2068</v>
      </c>
      <c r="F4455" t="s">
        <v>9545</v>
      </c>
    </row>
    <row r="4456" spans="1:6">
      <c r="A4456" t="s">
        <v>9802</v>
      </c>
      <c r="B4456">
        <v>8855</v>
      </c>
      <c r="C4456" t="s">
        <v>9674</v>
      </c>
      <c r="D4456" t="s">
        <v>9547</v>
      </c>
      <c r="E4456">
        <v>2068</v>
      </c>
      <c r="F4456" t="s">
        <v>9545</v>
      </c>
    </row>
    <row r="4457" spans="1:6">
      <c r="A4457" t="s">
        <v>9802</v>
      </c>
      <c r="B4457">
        <v>8872</v>
      </c>
      <c r="C4457" t="s">
        <v>9674</v>
      </c>
      <c r="D4457" t="s">
        <v>9547</v>
      </c>
      <c r="E4457">
        <v>2068</v>
      </c>
      <c r="F4457" t="s">
        <v>9545</v>
      </c>
    </row>
    <row r="4458" spans="1:6">
      <c r="A4458" t="s">
        <v>9802</v>
      </c>
      <c r="B4458">
        <v>8874</v>
      </c>
      <c r="C4458" t="s">
        <v>9674</v>
      </c>
      <c r="D4458" t="s">
        <v>9547</v>
      </c>
      <c r="E4458">
        <v>2068</v>
      </c>
      <c r="F4458" t="s">
        <v>9545</v>
      </c>
    </row>
    <row r="4459" spans="1:6">
      <c r="A4459" t="s">
        <v>9802</v>
      </c>
      <c r="B4459">
        <v>6385</v>
      </c>
      <c r="C4459" t="s">
        <v>9674</v>
      </c>
      <c r="D4459" t="s">
        <v>9547</v>
      </c>
      <c r="E4459">
        <v>2068</v>
      </c>
      <c r="F4459" t="s">
        <v>9545</v>
      </c>
    </row>
    <row r="4460" spans="1:6">
      <c r="A4460" t="s">
        <v>9802</v>
      </c>
      <c r="B4460">
        <v>6386</v>
      </c>
      <c r="C4460" t="s">
        <v>9674</v>
      </c>
      <c r="D4460" t="s">
        <v>9547</v>
      </c>
      <c r="E4460">
        <v>2068</v>
      </c>
      <c r="F4460" t="s">
        <v>9545</v>
      </c>
    </row>
    <row r="4461" spans="1:6">
      <c r="A4461" t="s">
        <v>9802</v>
      </c>
      <c r="B4461">
        <v>6388</v>
      </c>
      <c r="C4461" t="s">
        <v>9674</v>
      </c>
      <c r="D4461" t="s">
        <v>9547</v>
      </c>
      <c r="E4461">
        <v>2068</v>
      </c>
      <c r="F4461" t="s">
        <v>9545</v>
      </c>
    </row>
    <row r="4462" spans="1:6">
      <c r="A4462" t="s">
        <v>9802</v>
      </c>
      <c r="B4462">
        <v>6389</v>
      </c>
      <c r="C4462" t="s">
        <v>9674</v>
      </c>
      <c r="D4462" t="s">
        <v>9547</v>
      </c>
      <c r="E4462">
        <v>2068</v>
      </c>
      <c r="F4462" t="s">
        <v>9545</v>
      </c>
    </row>
    <row r="4463" spans="1:6">
      <c r="A4463" t="s">
        <v>9802</v>
      </c>
      <c r="B4463">
        <v>6390</v>
      </c>
      <c r="C4463" t="s">
        <v>9674</v>
      </c>
      <c r="D4463" t="s">
        <v>9547</v>
      </c>
      <c r="E4463">
        <v>2068</v>
      </c>
      <c r="F4463" t="s">
        <v>9545</v>
      </c>
    </row>
    <row r="4464" spans="1:6">
      <c r="A4464" t="s">
        <v>9802</v>
      </c>
      <c r="B4464">
        <v>7321</v>
      </c>
      <c r="C4464" t="s">
        <v>9674</v>
      </c>
      <c r="D4464" t="s">
        <v>9547</v>
      </c>
      <c r="E4464">
        <v>2068</v>
      </c>
      <c r="F4464" t="s">
        <v>9545</v>
      </c>
    </row>
    <row r="4465" spans="1:6">
      <c r="A4465" t="s">
        <v>9802</v>
      </c>
      <c r="B4465">
        <v>7831</v>
      </c>
      <c r="C4465" t="s">
        <v>9674</v>
      </c>
      <c r="D4465" t="s">
        <v>9547</v>
      </c>
      <c r="E4465">
        <v>2068</v>
      </c>
      <c r="F4465" t="s">
        <v>9545</v>
      </c>
    </row>
    <row r="4466" spans="1:6">
      <c r="A4466" t="s">
        <v>9802</v>
      </c>
      <c r="B4466">
        <v>7832</v>
      </c>
      <c r="C4466" t="s">
        <v>9674</v>
      </c>
      <c r="D4466" t="s">
        <v>9547</v>
      </c>
      <c r="E4466">
        <v>2068</v>
      </c>
      <c r="F4466" t="s">
        <v>9545</v>
      </c>
    </row>
    <row r="4467" spans="1:6">
      <c r="A4467" t="s">
        <v>9802</v>
      </c>
      <c r="B4467">
        <v>7833</v>
      </c>
      <c r="C4467" t="s">
        <v>9674</v>
      </c>
      <c r="D4467" t="s">
        <v>9547</v>
      </c>
      <c r="E4467">
        <v>2068</v>
      </c>
      <c r="F4467" t="s">
        <v>9545</v>
      </c>
    </row>
    <row r="4468" spans="1:6">
      <c r="A4468" t="s">
        <v>9802</v>
      </c>
      <c r="B4468">
        <v>7834</v>
      </c>
      <c r="C4468" t="s">
        <v>9674</v>
      </c>
      <c r="D4468" t="s">
        <v>9547</v>
      </c>
      <c r="E4468">
        <v>2068</v>
      </c>
      <c r="F4468" t="s">
        <v>9545</v>
      </c>
    </row>
    <row r="4469" spans="1:6">
      <c r="A4469" t="s">
        <v>9802</v>
      </c>
      <c r="B4469">
        <v>8722</v>
      </c>
      <c r="C4469" t="s">
        <v>9674</v>
      </c>
      <c r="D4469" t="s">
        <v>9547</v>
      </c>
      <c r="E4469">
        <v>2068</v>
      </c>
      <c r="F4469" t="s">
        <v>9545</v>
      </c>
    </row>
    <row r="4470" spans="1:6">
      <c r="A4470" t="s">
        <v>9802</v>
      </c>
      <c r="B4470">
        <v>8733</v>
      </c>
      <c r="C4470" t="s">
        <v>9674</v>
      </c>
      <c r="D4470" t="s">
        <v>9547</v>
      </c>
      <c r="E4470">
        <v>2068</v>
      </c>
      <c r="F4470" t="s">
        <v>9545</v>
      </c>
    </row>
    <row r="4471" spans="1:6">
      <c r="A4471" t="s">
        <v>9802</v>
      </c>
      <c r="B4471">
        <v>8752</v>
      </c>
      <c r="C4471" t="s">
        <v>9674</v>
      </c>
      <c r="D4471" t="s">
        <v>9547</v>
      </c>
      <c r="E4471">
        <v>2068</v>
      </c>
      <c r="F4471" t="s">
        <v>9545</v>
      </c>
    </row>
    <row r="4472" spans="1:6">
      <c r="A4472" t="s">
        <v>9802</v>
      </c>
      <c r="B4472">
        <v>6205</v>
      </c>
      <c r="C4472" t="s">
        <v>9674</v>
      </c>
      <c r="D4472" t="s">
        <v>9547</v>
      </c>
      <c r="E4472">
        <v>2068</v>
      </c>
      <c r="F4472" t="s">
        <v>9545</v>
      </c>
    </row>
    <row r="4473" spans="1:6">
      <c r="A4473" t="s">
        <v>9802</v>
      </c>
      <c r="B4473">
        <v>7163</v>
      </c>
      <c r="C4473" t="s">
        <v>9674</v>
      </c>
      <c r="D4473" t="s">
        <v>9547</v>
      </c>
      <c r="E4473">
        <v>2068</v>
      </c>
      <c r="F4473" t="s">
        <v>9545</v>
      </c>
    </row>
    <row r="4474" spans="1:6">
      <c r="A4474" t="s">
        <v>9802</v>
      </c>
      <c r="B4474">
        <v>8877</v>
      </c>
      <c r="C4474" t="s">
        <v>9674</v>
      </c>
      <c r="D4474" t="s">
        <v>9547</v>
      </c>
      <c r="E4474">
        <v>2068</v>
      </c>
      <c r="F4474" t="s">
        <v>9545</v>
      </c>
    </row>
    <row r="4475" spans="1:6">
      <c r="A4475" t="s">
        <v>9802</v>
      </c>
      <c r="B4475">
        <v>7164</v>
      </c>
      <c r="C4475" t="s">
        <v>9674</v>
      </c>
      <c r="D4475" t="s">
        <v>9547</v>
      </c>
      <c r="E4475">
        <v>2068</v>
      </c>
      <c r="F4475" t="s">
        <v>9545</v>
      </c>
    </row>
    <row r="4476" spans="1:6">
      <c r="A4476" t="s">
        <v>9802</v>
      </c>
      <c r="B4476">
        <v>8865</v>
      </c>
      <c r="C4476" t="s">
        <v>9674</v>
      </c>
      <c r="D4476" t="s">
        <v>9547</v>
      </c>
      <c r="E4476">
        <v>2068</v>
      </c>
      <c r="F4476" t="s">
        <v>9545</v>
      </c>
    </row>
    <row r="4477" spans="1:6">
      <c r="A4477" t="s">
        <v>9802</v>
      </c>
      <c r="B4477">
        <v>8866</v>
      </c>
      <c r="C4477" t="s">
        <v>9674</v>
      </c>
      <c r="D4477" t="s">
        <v>9547</v>
      </c>
      <c r="E4477">
        <v>2068</v>
      </c>
      <c r="F4477" t="s">
        <v>9545</v>
      </c>
    </row>
    <row r="4478" spans="1:6">
      <c r="A4478" t="s">
        <v>9802</v>
      </c>
      <c r="B4478">
        <v>8864</v>
      </c>
      <c r="C4478" t="s">
        <v>9674</v>
      </c>
      <c r="D4478" t="s">
        <v>9547</v>
      </c>
      <c r="E4478">
        <v>2068</v>
      </c>
      <c r="F4478" t="s">
        <v>9545</v>
      </c>
    </row>
    <row r="4479" spans="1:6">
      <c r="A4479" t="s">
        <v>9802</v>
      </c>
      <c r="B4479">
        <v>7141</v>
      </c>
      <c r="C4479" t="s">
        <v>9674</v>
      </c>
      <c r="D4479" t="s">
        <v>9547</v>
      </c>
      <c r="E4479">
        <v>2068</v>
      </c>
      <c r="F4479" t="s">
        <v>9545</v>
      </c>
    </row>
    <row r="4480" spans="1:6">
      <c r="A4480" t="s">
        <v>9802</v>
      </c>
      <c r="B4480">
        <v>7143</v>
      </c>
      <c r="C4480" t="s">
        <v>9674</v>
      </c>
      <c r="D4480" t="s">
        <v>9547</v>
      </c>
      <c r="E4480">
        <v>2068</v>
      </c>
      <c r="F4480" t="s">
        <v>9545</v>
      </c>
    </row>
    <row r="4481" spans="1:6">
      <c r="A4481" t="s">
        <v>9802</v>
      </c>
      <c r="B4481">
        <v>7145</v>
      </c>
      <c r="C4481" t="s">
        <v>9674</v>
      </c>
      <c r="D4481" t="s">
        <v>9547</v>
      </c>
      <c r="E4481">
        <v>2068</v>
      </c>
      <c r="F4481" t="s">
        <v>9545</v>
      </c>
    </row>
    <row r="4482" spans="1:6">
      <c r="A4482" t="s">
        <v>9802</v>
      </c>
      <c r="B4482">
        <v>7147</v>
      </c>
      <c r="C4482" t="s">
        <v>9674</v>
      </c>
      <c r="D4482" t="s">
        <v>9547</v>
      </c>
      <c r="E4482">
        <v>2068</v>
      </c>
      <c r="F4482" t="s">
        <v>9545</v>
      </c>
    </row>
    <row r="4483" spans="1:6">
      <c r="A4483" t="s">
        <v>9802</v>
      </c>
      <c r="B4483">
        <v>3837</v>
      </c>
      <c r="C4483" t="s">
        <v>9674</v>
      </c>
      <c r="D4483" t="s">
        <v>9547</v>
      </c>
      <c r="E4483">
        <v>2068</v>
      </c>
      <c r="F4483" t="s">
        <v>9545</v>
      </c>
    </row>
    <row r="4484" spans="1:6">
      <c r="A4484" t="s">
        <v>9802</v>
      </c>
      <c r="B4484">
        <v>8878</v>
      </c>
      <c r="C4484" t="s">
        <v>9674</v>
      </c>
      <c r="D4484" t="s">
        <v>9547</v>
      </c>
      <c r="E4484">
        <v>2068</v>
      </c>
      <c r="F4484" t="s">
        <v>9545</v>
      </c>
    </row>
    <row r="4485" spans="1:6">
      <c r="A4485" t="s">
        <v>9802</v>
      </c>
      <c r="B4485">
        <v>8879</v>
      </c>
      <c r="C4485" t="s">
        <v>9674</v>
      </c>
      <c r="D4485" t="s">
        <v>9547</v>
      </c>
      <c r="E4485">
        <v>2068</v>
      </c>
      <c r="F4485" t="s">
        <v>9545</v>
      </c>
    </row>
    <row r="4486" spans="1:6">
      <c r="A4486" t="s">
        <v>9802</v>
      </c>
      <c r="B4486">
        <v>7233</v>
      </c>
      <c r="C4486" t="s">
        <v>9674</v>
      </c>
      <c r="D4486" t="s">
        <v>9547</v>
      </c>
      <c r="E4486">
        <v>2068</v>
      </c>
      <c r="F4486" t="s">
        <v>9545</v>
      </c>
    </row>
    <row r="4487" spans="1:6">
      <c r="A4487" t="s">
        <v>9802</v>
      </c>
      <c r="B4487">
        <v>5464</v>
      </c>
      <c r="C4487" t="s">
        <v>9674</v>
      </c>
      <c r="D4487" t="s">
        <v>9547</v>
      </c>
      <c r="E4487">
        <v>2068</v>
      </c>
      <c r="F4487" t="s">
        <v>9545</v>
      </c>
    </row>
    <row r="4488" spans="1:6">
      <c r="A4488" t="s">
        <v>9802</v>
      </c>
      <c r="B4488">
        <v>9532</v>
      </c>
      <c r="C4488" t="s">
        <v>9674</v>
      </c>
      <c r="D4488" t="s">
        <v>9547</v>
      </c>
      <c r="E4488">
        <v>2068</v>
      </c>
      <c r="F4488" t="s">
        <v>9545</v>
      </c>
    </row>
    <row r="4489" spans="1:6">
      <c r="A4489" t="s">
        <v>9802</v>
      </c>
      <c r="B4489">
        <v>5465</v>
      </c>
      <c r="C4489" t="s">
        <v>9674</v>
      </c>
      <c r="D4489" t="s">
        <v>9547</v>
      </c>
      <c r="E4489">
        <v>2068</v>
      </c>
      <c r="F4489" t="s">
        <v>9545</v>
      </c>
    </row>
    <row r="4490" spans="1:6">
      <c r="A4490" t="s">
        <v>9802</v>
      </c>
      <c r="B4490">
        <v>5456</v>
      </c>
      <c r="C4490" t="s">
        <v>9674</v>
      </c>
      <c r="D4490" t="s">
        <v>9547</v>
      </c>
      <c r="E4490">
        <v>2068</v>
      </c>
      <c r="F4490" t="s">
        <v>9545</v>
      </c>
    </row>
    <row r="4491" spans="1:6">
      <c r="A4491" t="s">
        <v>9802</v>
      </c>
      <c r="B4491">
        <v>7148</v>
      </c>
      <c r="C4491" t="s">
        <v>9674</v>
      </c>
      <c r="D4491" t="s">
        <v>9547</v>
      </c>
      <c r="E4491">
        <v>2068</v>
      </c>
      <c r="F4491" t="s">
        <v>9545</v>
      </c>
    </row>
    <row r="4492" spans="1:6">
      <c r="A4492" t="s">
        <v>9802</v>
      </c>
      <c r="B4492">
        <v>7385</v>
      </c>
      <c r="C4492" t="s">
        <v>9674</v>
      </c>
      <c r="D4492" t="s">
        <v>9547</v>
      </c>
      <c r="E4492">
        <v>2068</v>
      </c>
      <c r="F4492" t="s">
        <v>9545</v>
      </c>
    </row>
    <row r="4493" spans="1:6">
      <c r="A4493" t="s">
        <v>9802</v>
      </c>
      <c r="B4493">
        <v>7162</v>
      </c>
      <c r="C4493" t="s">
        <v>9674</v>
      </c>
      <c r="D4493" t="s">
        <v>9547</v>
      </c>
      <c r="E4493">
        <v>2068</v>
      </c>
      <c r="F4493" t="s">
        <v>9545</v>
      </c>
    </row>
    <row r="4494" spans="1:6">
      <c r="A4494" t="s">
        <v>9802</v>
      </c>
      <c r="B4494">
        <v>6241</v>
      </c>
      <c r="C4494" t="s">
        <v>9674</v>
      </c>
      <c r="D4494" t="s">
        <v>9547</v>
      </c>
      <c r="E4494">
        <v>2068</v>
      </c>
      <c r="F4494" t="s">
        <v>9545</v>
      </c>
    </row>
    <row r="4495" spans="1:6">
      <c r="A4495" t="s">
        <v>9802</v>
      </c>
      <c r="B4495">
        <v>8721</v>
      </c>
      <c r="C4495" t="s">
        <v>9674</v>
      </c>
      <c r="D4495" t="s">
        <v>9547</v>
      </c>
      <c r="E4495">
        <v>2068</v>
      </c>
      <c r="F4495" t="s">
        <v>9545</v>
      </c>
    </row>
    <row r="4496" spans="1:6">
      <c r="A4496" t="s">
        <v>9802</v>
      </c>
      <c r="B4496">
        <v>8731</v>
      </c>
      <c r="C4496" t="s">
        <v>9674</v>
      </c>
      <c r="D4496" t="s">
        <v>9547</v>
      </c>
      <c r="E4496">
        <v>2068</v>
      </c>
      <c r="F4496" t="s">
        <v>9545</v>
      </c>
    </row>
    <row r="4497" spans="1:6">
      <c r="A4497" t="s">
        <v>9802</v>
      </c>
      <c r="B4497">
        <v>7906</v>
      </c>
      <c r="C4497" t="s">
        <v>9674</v>
      </c>
      <c r="D4497" t="s">
        <v>9547</v>
      </c>
      <c r="E4497">
        <v>2068</v>
      </c>
      <c r="F4497" t="s">
        <v>9545</v>
      </c>
    </row>
    <row r="4498" spans="1:6">
      <c r="A4498" t="s">
        <v>9802</v>
      </c>
      <c r="B4498">
        <v>7916</v>
      </c>
      <c r="C4498" t="s">
        <v>9674</v>
      </c>
      <c r="D4498" t="s">
        <v>9547</v>
      </c>
      <c r="E4498">
        <v>2068</v>
      </c>
      <c r="F4498" t="s">
        <v>9545</v>
      </c>
    </row>
    <row r="4499" spans="1:6">
      <c r="A4499" t="s">
        <v>9802</v>
      </c>
      <c r="B4499">
        <v>8737</v>
      </c>
      <c r="C4499" t="s">
        <v>9674</v>
      </c>
      <c r="D4499" t="s">
        <v>9547</v>
      </c>
      <c r="E4499">
        <v>2068</v>
      </c>
      <c r="F4499" t="s">
        <v>9545</v>
      </c>
    </row>
    <row r="4500" spans="1:6">
      <c r="A4500" t="s">
        <v>9802</v>
      </c>
      <c r="B4500">
        <v>7917</v>
      </c>
      <c r="C4500" t="s">
        <v>9674</v>
      </c>
      <c r="D4500" t="s">
        <v>9547</v>
      </c>
      <c r="E4500">
        <v>2068</v>
      </c>
      <c r="F4500" t="s">
        <v>9545</v>
      </c>
    </row>
    <row r="4501" spans="1:6">
      <c r="A4501" t="s">
        <v>9802</v>
      </c>
      <c r="B4501">
        <v>7903</v>
      </c>
      <c r="C4501" t="s">
        <v>9674</v>
      </c>
      <c r="D4501" t="s">
        <v>9547</v>
      </c>
      <c r="E4501">
        <v>2068</v>
      </c>
      <c r="F4501" t="s">
        <v>9545</v>
      </c>
    </row>
    <row r="4502" spans="1:6">
      <c r="A4502" t="s">
        <v>9802</v>
      </c>
      <c r="B4502">
        <v>5455</v>
      </c>
      <c r="C4502" t="s">
        <v>9674</v>
      </c>
      <c r="D4502" t="s">
        <v>9547</v>
      </c>
      <c r="E4502">
        <v>2068</v>
      </c>
      <c r="F4502" t="s">
        <v>9545</v>
      </c>
    </row>
    <row r="4503" spans="1:6">
      <c r="A4503" t="s">
        <v>9802</v>
      </c>
      <c r="B4503">
        <v>5456</v>
      </c>
      <c r="C4503" t="s">
        <v>9674</v>
      </c>
      <c r="D4503" t="s">
        <v>9547</v>
      </c>
      <c r="E4503">
        <v>2068</v>
      </c>
      <c r="F4503" t="s">
        <v>9545</v>
      </c>
    </row>
    <row r="4504" spans="1:6">
      <c r="A4504" t="s">
        <v>9802</v>
      </c>
      <c r="B4504">
        <v>6391</v>
      </c>
      <c r="C4504" t="s">
        <v>9674</v>
      </c>
      <c r="D4504" t="s">
        <v>9547</v>
      </c>
      <c r="E4504">
        <v>2068</v>
      </c>
      <c r="F4504" t="s">
        <v>9545</v>
      </c>
    </row>
    <row r="4505" spans="1:6">
      <c r="A4505" t="s">
        <v>9802</v>
      </c>
      <c r="B4505">
        <v>7912</v>
      </c>
      <c r="C4505" t="s">
        <v>9674</v>
      </c>
      <c r="D4505" t="s">
        <v>9547</v>
      </c>
      <c r="E4505">
        <v>2068</v>
      </c>
      <c r="F4505" t="s">
        <v>9545</v>
      </c>
    </row>
    <row r="4506" spans="1:6">
      <c r="A4506" t="s">
        <v>9802</v>
      </c>
      <c r="B4506">
        <v>7913</v>
      </c>
      <c r="C4506" t="s">
        <v>9674</v>
      </c>
      <c r="D4506" t="s">
        <v>9547</v>
      </c>
      <c r="E4506">
        <v>2068</v>
      </c>
      <c r="F4506" t="s">
        <v>9545</v>
      </c>
    </row>
    <row r="4507" spans="1:6">
      <c r="A4507" t="s">
        <v>9802</v>
      </c>
      <c r="B4507">
        <v>7918</v>
      </c>
      <c r="C4507" t="s">
        <v>9674</v>
      </c>
      <c r="D4507" t="s">
        <v>9547</v>
      </c>
      <c r="E4507">
        <v>2068</v>
      </c>
      <c r="F4507" t="s">
        <v>9545</v>
      </c>
    </row>
    <row r="4508" spans="1:6">
      <c r="A4508" t="s">
        <v>9802</v>
      </c>
      <c r="B4508">
        <v>7919</v>
      </c>
      <c r="C4508" t="s">
        <v>9674</v>
      </c>
      <c r="D4508" t="s">
        <v>9547</v>
      </c>
      <c r="E4508">
        <v>2068</v>
      </c>
      <c r="F4508" t="s">
        <v>9545</v>
      </c>
    </row>
    <row r="4509" spans="1:6">
      <c r="A4509" t="s">
        <v>9802</v>
      </c>
      <c r="B4509">
        <v>8685</v>
      </c>
      <c r="C4509" t="s">
        <v>9674</v>
      </c>
      <c r="D4509" t="s">
        <v>9547</v>
      </c>
      <c r="E4509">
        <v>2068</v>
      </c>
      <c r="F4509" t="s">
        <v>9545</v>
      </c>
    </row>
    <row r="4510" spans="1:6">
      <c r="A4510" t="s">
        <v>9802</v>
      </c>
      <c r="B4510">
        <v>8686</v>
      </c>
      <c r="C4510" t="s">
        <v>9674</v>
      </c>
      <c r="D4510" t="s">
        <v>9547</v>
      </c>
      <c r="E4510">
        <v>2068</v>
      </c>
      <c r="F4510" t="s">
        <v>9545</v>
      </c>
    </row>
    <row r="4511" spans="1:6">
      <c r="A4511" t="s">
        <v>9802</v>
      </c>
      <c r="B4511">
        <v>8861</v>
      </c>
      <c r="C4511" t="s">
        <v>9674</v>
      </c>
      <c r="D4511" t="s">
        <v>9547</v>
      </c>
      <c r="E4511">
        <v>2068</v>
      </c>
      <c r="F4511" t="s">
        <v>9545</v>
      </c>
    </row>
    <row r="4512" spans="1:6">
      <c r="A4512" t="s">
        <v>9802</v>
      </c>
      <c r="B4512">
        <v>8862</v>
      </c>
      <c r="C4512" t="s">
        <v>9674</v>
      </c>
      <c r="D4512" t="s">
        <v>9547</v>
      </c>
      <c r="E4512">
        <v>2068</v>
      </c>
      <c r="F4512" t="s">
        <v>9545</v>
      </c>
    </row>
    <row r="4513" spans="1:6">
      <c r="A4513" t="s">
        <v>9802</v>
      </c>
      <c r="B4513">
        <v>8863</v>
      </c>
      <c r="C4513" t="s">
        <v>9674</v>
      </c>
      <c r="D4513" t="s">
        <v>9547</v>
      </c>
      <c r="E4513">
        <v>2068</v>
      </c>
      <c r="F4513" t="s">
        <v>9545</v>
      </c>
    </row>
    <row r="4514" spans="1:6">
      <c r="A4514" t="s">
        <v>9802</v>
      </c>
      <c r="B4514">
        <v>8683</v>
      </c>
      <c r="C4514" t="s">
        <v>9674</v>
      </c>
      <c r="D4514" t="s">
        <v>9547</v>
      </c>
      <c r="E4514">
        <v>2068</v>
      </c>
      <c r="F4514" t="s">
        <v>9545</v>
      </c>
    </row>
    <row r="4515" spans="1:6">
      <c r="A4515" t="s">
        <v>9802</v>
      </c>
      <c r="B4515">
        <v>8687</v>
      </c>
      <c r="C4515" t="s">
        <v>9674</v>
      </c>
      <c r="D4515" t="s">
        <v>9547</v>
      </c>
      <c r="E4515">
        <v>2068</v>
      </c>
      <c r="F4515" t="s">
        <v>9545</v>
      </c>
    </row>
    <row r="4516" spans="1:6">
      <c r="A4516" t="s">
        <v>9802</v>
      </c>
      <c r="B4516">
        <v>8870</v>
      </c>
      <c r="C4516" t="s">
        <v>9674</v>
      </c>
      <c r="D4516" t="s">
        <v>9547</v>
      </c>
      <c r="E4516">
        <v>2068</v>
      </c>
      <c r="F4516" t="s">
        <v>9545</v>
      </c>
    </row>
    <row r="4517" spans="1:6">
      <c r="A4517" t="s">
        <v>9802</v>
      </c>
      <c r="B4517">
        <v>8688</v>
      </c>
      <c r="C4517" t="s">
        <v>9674</v>
      </c>
      <c r="D4517" t="s">
        <v>9547</v>
      </c>
      <c r="E4517">
        <v>2068</v>
      </c>
      <c r="F4517" t="s">
        <v>9545</v>
      </c>
    </row>
    <row r="4518" spans="1:6">
      <c r="A4518" t="s">
        <v>9802</v>
      </c>
      <c r="B4518">
        <v>8855</v>
      </c>
      <c r="C4518" t="s">
        <v>9674</v>
      </c>
      <c r="D4518" t="s">
        <v>9547</v>
      </c>
      <c r="E4518">
        <v>2068</v>
      </c>
      <c r="F4518" t="s">
        <v>9545</v>
      </c>
    </row>
    <row r="4519" spans="1:6">
      <c r="A4519" t="s">
        <v>9802</v>
      </c>
      <c r="B4519">
        <v>8872</v>
      </c>
      <c r="C4519" t="s">
        <v>9674</v>
      </c>
      <c r="D4519" t="s">
        <v>9547</v>
      </c>
      <c r="E4519">
        <v>2068</v>
      </c>
      <c r="F4519" t="s">
        <v>9545</v>
      </c>
    </row>
    <row r="4520" spans="1:6">
      <c r="A4520" t="s">
        <v>9802</v>
      </c>
      <c r="B4520">
        <v>8874</v>
      </c>
      <c r="C4520" t="s">
        <v>9674</v>
      </c>
      <c r="D4520" t="s">
        <v>9547</v>
      </c>
      <c r="E4520">
        <v>2068</v>
      </c>
      <c r="F4520" t="s">
        <v>9545</v>
      </c>
    </row>
    <row r="4521" spans="1:6">
      <c r="A4521" t="s">
        <v>9802</v>
      </c>
      <c r="B4521">
        <v>6385</v>
      </c>
      <c r="C4521" t="s">
        <v>9674</v>
      </c>
      <c r="D4521" t="s">
        <v>9547</v>
      </c>
      <c r="E4521">
        <v>2068</v>
      </c>
      <c r="F4521" t="s">
        <v>9545</v>
      </c>
    </row>
    <row r="4522" spans="1:6">
      <c r="A4522" t="s">
        <v>9802</v>
      </c>
      <c r="B4522">
        <v>6386</v>
      </c>
      <c r="C4522" t="s">
        <v>9674</v>
      </c>
      <c r="D4522" t="s">
        <v>9547</v>
      </c>
      <c r="E4522">
        <v>2068</v>
      </c>
      <c r="F4522" t="s">
        <v>9545</v>
      </c>
    </row>
    <row r="4523" spans="1:6">
      <c r="A4523" t="s">
        <v>9802</v>
      </c>
      <c r="B4523">
        <v>6388</v>
      </c>
      <c r="C4523" t="s">
        <v>9674</v>
      </c>
      <c r="D4523" t="s">
        <v>9547</v>
      </c>
      <c r="E4523">
        <v>2068</v>
      </c>
      <c r="F4523" t="s">
        <v>9545</v>
      </c>
    </row>
    <row r="4524" spans="1:6">
      <c r="A4524" t="s">
        <v>9802</v>
      </c>
      <c r="B4524">
        <v>6389</v>
      </c>
      <c r="C4524" t="s">
        <v>9674</v>
      </c>
      <c r="D4524" t="s">
        <v>9547</v>
      </c>
      <c r="E4524">
        <v>2068</v>
      </c>
      <c r="F4524" t="s">
        <v>9545</v>
      </c>
    </row>
    <row r="4525" spans="1:6">
      <c r="A4525" t="s">
        <v>9802</v>
      </c>
      <c r="B4525">
        <v>6390</v>
      </c>
      <c r="C4525" t="s">
        <v>9674</v>
      </c>
      <c r="D4525" t="s">
        <v>9547</v>
      </c>
      <c r="E4525">
        <v>2068</v>
      </c>
      <c r="F4525" t="s">
        <v>9545</v>
      </c>
    </row>
    <row r="4526" spans="1:6">
      <c r="A4526" t="s">
        <v>9802</v>
      </c>
      <c r="B4526">
        <v>7321</v>
      </c>
      <c r="C4526" t="s">
        <v>9674</v>
      </c>
      <c r="D4526" t="s">
        <v>9547</v>
      </c>
      <c r="E4526">
        <v>2068</v>
      </c>
      <c r="F4526" t="s">
        <v>9545</v>
      </c>
    </row>
    <row r="4527" spans="1:6">
      <c r="A4527" t="s">
        <v>9802</v>
      </c>
      <c r="B4527">
        <v>7831</v>
      </c>
      <c r="C4527" t="s">
        <v>9674</v>
      </c>
      <c r="D4527" t="s">
        <v>9547</v>
      </c>
      <c r="E4527">
        <v>2068</v>
      </c>
      <c r="F4527" t="s">
        <v>9545</v>
      </c>
    </row>
    <row r="4528" spans="1:6">
      <c r="A4528" t="s">
        <v>9802</v>
      </c>
      <c r="B4528">
        <v>7832</v>
      </c>
      <c r="C4528" t="s">
        <v>9674</v>
      </c>
      <c r="D4528" t="s">
        <v>9547</v>
      </c>
      <c r="E4528">
        <v>2068</v>
      </c>
      <c r="F4528" t="s">
        <v>9545</v>
      </c>
    </row>
    <row r="4529" spans="1:6">
      <c r="A4529" t="s">
        <v>9802</v>
      </c>
      <c r="B4529">
        <v>7833</v>
      </c>
      <c r="C4529" t="s">
        <v>9674</v>
      </c>
      <c r="D4529" t="s">
        <v>9547</v>
      </c>
      <c r="E4529">
        <v>2068</v>
      </c>
      <c r="F4529" t="s">
        <v>9545</v>
      </c>
    </row>
    <row r="4530" spans="1:6">
      <c r="A4530" t="s">
        <v>9802</v>
      </c>
      <c r="B4530">
        <v>7834</v>
      </c>
      <c r="C4530" t="s">
        <v>9674</v>
      </c>
      <c r="D4530" t="s">
        <v>9547</v>
      </c>
      <c r="E4530">
        <v>2068</v>
      </c>
      <c r="F4530" t="s">
        <v>9545</v>
      </c>
    </row>
    <row r="4531" spans="1:6">
      <c r="A4531" t="s">
        <v>9802</v>
      </c>
      <c r="B4531">
        <v>8722</v>
      </c>
      <c r="C4531" t="s">
        <v>9674</v>
      </c>
      <c r="D4531" t="s">
        <v>9547</v>
      </c>
      <c r="E4531">
        <v>2068</v>
      </c>
      <c r="F4531" t="s">
        <v>9545</v>
      </c>
    </row>
    <row r="4532" spans="1:6">
      <c r="A4532" t="s">
        <v>9802</v>
      </c>
      <c r="B4532">
        <v>8733</v>
      </c>
      <c r="C4532" t="s">
        <v>9674</v>
      </c>
      <c r="D4532" t="s">
        <v>9547</v>
      </c>
      <c r="E4532">
        <v>2068</v>
      </c>
      <c r="F4532" t="s">
        <v>9545</v>
      </c>
    </row>
    <row r="4533" spans="1:6">
      <c r="A4533" t="s">
        <v>9802</v>
      </c>
      <c r="B4533">
        <v>8752</v>
      </c>
      <c r="C4533" t="s">
        <v>9674</v>
      </c>
      <c r="D4533" t="s">
        <v>9547</v>
      </c>
      <c r="E4533">
        <v>2068</v>
      </c>
      <c r="F4533" t="s">
        <v>9545</v>
      </c>
    </row>
    <row r="4534" spans="1:6">
      <c r="A4534" t="s">
        <v>9802</v>
      </c>
      <c r="B4534">
        <v>6205</v>
      </c>
      <c r="C4534" t="s">
        <v>9674</v>
      </c>
      <c r="D4534" t="s">
        <v>9547</v>
      </c>
      <c r="E4534">
        <v>2068</v>
      </c>
      <c r="F4534" t="s">
        <v>9545</v>
      </c>
    </row>
    <row r="4535" spans="1:6">
      <c r="A4535" t="s">
        <v>9802</v>
      </c>
      <c r="B4535">
        <v>7163</v>
      </c>
      <c r="C4535" t="s">
        <v>9674</v>
      </c>
      <c r="D4535" t="s">
        <v>9547</v>
      </c>
      <c r="E4535">
        <v>2068</v>
      </c>
      <c r="F4535" t="s">
        <v>9545</v>
      </c>
    </row>
    <row r="4536" spans="1:6">
      <c r="A4536" t="s">
        <v>9802</v>
      </c>
      <c r="B4536">
        <v>8877</v>
      </c>
      <c r="C4536" t="s">
        <v>9674</v>
      </c>
      <c r="D4536" t="s">
        <v>9547</v>
      </c>
      <c r="E4536">
        <v>2068</v>
      </c>
      <c r="F4536" t="s">
        <v>9545</v>
      </c>
    </row>
    <row r="4537" spans="1:6">
      <c r="A4537" t="s">
        <v>9802</v>
      </c>
      <c r="B4537">
        <v>7164</v>
      </c>
      <c r="C4537" t="s">
        <v>9674</v>
      </c>
      <c r="D4537" t="s">
        <v>9547</v>
      </c>
      <c r="E4537">
        <v>2068</v>
      </c>
      <c r="F4537" t="s">
        <v>9545</v>
      </c>
    </row>
    <row r="4538" spans="1:6">
      <c r="A4538" t="s">
        <v>9802</v>
      </c>
      <c r="B4538">
        <v>8865</v>
      </c>
      <c r="C4538" t="s">
        <v>9674</v>
      </c>
      <c r="D4538" t="s">
        <v>9547</v>
      </c>
      <c r="E4538">
        <v>2068</v>
      </c>
      <c r="F4538" t="s">
        <v>9545</v>
      </c>
    </row>
    <row r="4539" spans="1:6">
      <c r="A4539" t="s">
        <v>9802</v>
      </c>
      <c r="B4539">
        <v>8866</v>
      </c>
      <c r="C4539" t="s">
        <v>9674</v>
      </c>
      <c r="D4539" t="s">
        <v>9547</v>
      </c>
      <c r="E4539">
        <v>2068</v>
      </c>
      <c r="F4539" t="s">
        <v>9545</v>
      </c>
    </row>
    <row r="4540" spans="1:6">
      <c r="A4540" t="s">
        <v>9802</v>
      </c>
      <c r="B4540">
        <v>8864</v>
      </c>
      <c r="C4540" t="s">
        <v>9674</v>
      </c>
      <c r="D4540" t="s">
        <v>9547</v>
      </c>
      <c r="E4540">
        <v>2068</v>
      </c>
      <c r="F4540" t="s">
        <v>9545</v>
      </c>
    </row>
    <row r="4541" spans="1:6">
      <c r="A4541" t="s">
        <v>9802</v>
      </c>
      <c r="B4541">
        <v>7141</v>
      </c>
      <c r="C4541" t="s">
        <v>9674</v>
      </c>
      <c r="D4541" t="s">
        <v>9547</v>
      </c>
      <c r="E4541">
        <v>2068</v>
      </c>
      <c r="F4541" t="s">
        <v>9545</v>
      </c>
    </row>
    <row r="4542" spans="1:6">
      <c r="A4542" t="s">
        <v>9802</v>
      </c>
      <c r="B4542">
        <v>7143</v>
      </c>
      <c r="C4542" t="s">
        <v>9674</v>
      </c>
      <c r="D4542" t="s">
        <v>9547</v>
      </c>
      <c r="E4542">
        <v>2068</v>
      </c>
      <c r="F4542" t="s">
        <v>9545</v>
      </c>
    </row>
    <row r="4543" spans="1:6">
      <c r="A4543" t="s">
        <v>9802</v>
      </c>
      <c r="B4543">
        <v>7145</v>
      </c>
      <c r="C4543" t="s">
        <v>9674</v>
      </c>
      <c r="D4543" t="s">
        <v>9547</v>
      </c>
      <c r="E4543">
        <v>2068</v>
      </c>
      <c r="F4543" t="s">
        <v>9545</v>
      </c>
    </row>
    <row r="4544" spans="1:6">
      <c r="A4544" t="s">
        <v>9802</v>
      </c>
      <c r="B4544">
        <v>7147</v>
      </c>
      <c r="C4544" t="s">
        <v>9674</v>
      </c>
      <c r="D4544" t="s">
        <v>9547</v>
      </c>
      <c r="E4544">
        <v>2068</v>
      </c>
      <c r="F4544" t="s">
        <v>9545</v>
      </c>
    </row>
    <row r="4545" spans="1:6">
      <c r="A4545" t="s">
        <v>9802</v>
      </c>
      <c r="B4545">
        <v>3837</v>
      </c>
      <c r="C4545" t="s">
        <v>9674</v>
      </c>
      <c r="D4545" t="s">
        <v>9547</v>
      </c>
      <c r="E4545">
        <v>2068</v>
      </c>
      <c r="F4545" t="s">
        <v>9545</v>
      </c>
    </row>
    <row r="4546" spans="1:6">
      <c r="A4546" t="s">
        <v>9802</v>
      </c>
      <c r="B4546">
        <v>8878</v>
      </c>
      <c r="C4546" t="s">
        <v>9674</v>
      </c>
      <c r="D4546" t="s">
        <v>9547</v>
      </c>
      <c r="E4546">
        <v>2068</v>
      </c>
      <c r="F4546" t="s">
        <v>9545</v>
      </c>
    </row>
    <row r="4547" spans="1:6">
      <c r="A4547" t="s">
        <v>9802</v>
      </c>
      <c r="B4547">
        <v>8879</v>
      </c>
      <c r="C4547" t="s">
        <v>9674</v>
      </c>
      <c r="D4547" t="s">
        <v>9547</v>
      </c>
      <c r="E4547">
        <v>2068</v>
      </c>
      <c r="F4547" t="s">
        <v>9545</v>
      </c>
    </row>
    <row r="4548" spans="1:6">
      <c r="A4548" t="s">
        <v>9802</v>
      </c>
      <c r="B4548">
        <v>7233</v>
      </c>
      <c r="C4548" t="s">
        <v>9674</v>
      </c>
      <c r="D4548" t="s">
        <v>9547</v>
      </c>
      <c r="E4548">
        <v>2068</v>
      </c>
      <c r="F4548" t="s">
        <v>9545</v>
      </c>
    </row>
    <row r="4549" spans="1:6">
      <c r="A4549" t="s">
        <v>9802</v>
      </c>
      <c r="B4549">
        <v>5464</v>
      </c>
      <c r="C4549" t="s">
        <v>9674</v>
      </c>
      <c r="D4549" t="s">
        <v>9547</v>
      </c>
      <c r="E4549">
        <v>2068</v>
      </c>
      <c r="F4549" t="s">
        <v>9545</v>
      </c>
    </row>
    <row r="4550" spans="1:6">
      <c r="A4550" t="s">
        <v>9802</v>
      </c>
      <c r="B4550">
        <v>9532</v>
      </c>
      <c r="C4550" t="s">
        <v>9674</v>
      </c>
      <c r="D4550" t="s">
        <v>9547</v>
      </c>
      <c r="E4550">
        <v>2068</v>
      </c>
      <c r="F4550" t="s">
        <v>9545</v>
      </c>
    </row>
    <row r="4551" spans="1:6">
      <c r="A4551" t="s">
        <v>9802</v>
      </c>
      <c r="B4551">
        <v>5465</v>
      </c>
      <c r="C4551" t="s">
        <v>9674</v>
      </c>
      <c r="D4551" t="s">
        <v>9547</v>
      </c>
      <c r="E4551">
        <v>2068</v>
      </c>
      <c r="F4551" t="s">
        <v>9545</v>
      </c>
    </row>
    <row r="4552" spans="1:6">
      <c r="A4552" t="s">
        <v>9802</v>
      </c>
      <c r="B4552">
        <v>5456</v>
      </c>
      <c r="C4552" t="s">
        <v>9674</v>
      </c>
      <c r="D4552" t="s">
        <v>9547</v>
      </c>
      <c r="E4552">
        <v>2068</v>
      </c>
      <c r="F4552" t="s">
        <v>9545</v>
      </c>
    </row>
    <row r="4553" spans="1:6">
      <c r="A4553" t="s">
        <v>9802</v>
      </c>
      <c r="B4553">
        <v>7148</v>
      </c>
      <c r="C4553" t="s">
        <v>9674</v>
      </c>
      <c r="D4553" t="s">
        <v>9547</v>
      </c>
      <c r="E4553">
        <v>2068</v>
      </c>
      <c r="F4553" t="s">
        <v>9545</v>
      </c>
    </row>
    <row r="4554" spans="1:6">
      <c r="A4554" t="s">
        <v>9802</v>
      </c>
      <c r="B4554">
        <v>7385</v>
      </c>
      <c r="C4554" t="s">
        <v>9674</v>
      </c>
      <c r="D4554" t="s">
        <v>9547</v>
      </c>
      <c r="E4554">
        <v>2068</v>
      </c>
      <c r="F4554" t="s">
        <v>9545</v>
      </c>
    </row>
    <row r="4555" spans="1:6">
      <c r="A4555" t="s">
        <v>9802</v>
      </c>
      <c r="B4555">
        <v>7162</v>
      </c>
      <c r="C4555" t="s">
        <v>9674</v>
      </c>
      <c r="D4555" t="s">
        <v>9547</v>
      </c>
      <c r="E4555">
        <v>2068</v>
      </c>
      <c r="F4555" t="s">
        <v>9545</v>
      </c>
    </row>
    <row r="4556" spans="1:6">
      <c r="A4556" t="s">
        <v>9802</v>
      </c>
      <c r="B4556">
        <v>6241</v>
      </c>
      <c r="C4556" t="s">
        <v>9674</v>
      </c>
      <c r="D4556" t="s">
        <v>9547</v>
      </c>
      <c r="E4556">
        <v>2068</v>
      </c>
      <c r="F4556" t="s">
        <v>9545</v>
      </c>
    </row>
    <row r="4557" spans="1:6">
      <c r="A4557" t="s">
        <v>9803</v>
      </c>
      <c r="B4557">
        <v>8835</v>
      </c>
      <c r="C4557" t="s">
        <v>9674</v>
      </c>
      <c r="D4557" t="s">
        <v>9550</v>
      </c>
      <c r="E4557" t="s">
        <v>9804</v>
      </c>
      <c r="F4557" t="s">
        <v>9545</v>
      </c>
    </row>
    <row r="4558" spans="1:6">
      <c r="A4558" t="s">
        <v>9803</v>
      </c>
      <c r="B4558">
        <v>8848</v>
      </c>
      <c r="C4558" t="s">
        <v>9674</v>
      </c>
      <c r="D4558" t="s">
        <v>9550</v>
      </c>
      <c r="E4558" t="s">
        <v>9804</v>
      </c>
      <c r="F4558" t="s">
        <v>9545</v>
      </c>
    </row>
    <row r="4559" spans="1:6">
      <c r="A4559" t="s">
        <v>9803</v>
      </c>
      <c r="B4559">
        <v>7992</v>
      </c>
      <c r="C4559" t="s">
        <v>9674</v>
      </c>
      <c r="D4559" t="s">
        <v>9550</v>
      </c>
      <c r="E4559" t="s">
        <v>9804</v>
      </c>
      <c r="F4559" t="s">
        <v>9545</v>
      </c>
    </row>
    <row r="4560" spans="1:6">
      <c r="A4560" t="s">
        <v>9803</v>
      </c>
      <c r="B4560">
        <v>8830</v>
      </c>
      <c r="C4560" t="s">
        <v>9674</v>
      </c>
      <c r="D4560" t="s">
        <v>9550</v>
      </c>
      <c r="E4560" t="s">
        <v>9804</v>
      </c>
      <c r="F4560" t="s">
        <v>9545</v>
      </c>
    </row>
    <row r="4561" spans="1:6">
      <c r="A4561" t="s">
        <v>9803</v>
      </c>
      <c r="B4561">
        <v>8837</v>
      </c>
      <c r="C4561" t="s">
        <v>9674</v>
      </c>
      <c r="D4561" t="s">
        <v>9550</v>
      </c>
      <c r="E4561" t="s">
        <v>9804</v>
      </c>
      <c r="F4561" t="s">
        <v>9545</v>
      </c>
    </row>
    <row r="4562" spans="1:6">
      <c r="A4562" t="s">
        <v>9803</v>
      </c>
      <c r="B4562">
        <v>8827</v>
      </c>
      <c r="C4562" t="s">
        <v>9674</v>
      </c>
      <c r="D4562" t="s">
        <v>9550</v>
      </c>
      <c r="E4562" t="s">
        <v>9804</v>
      </c>
      <c r="F4562" t="s">
        <v>9545</v>
      </c>
    </row>
    <row r="4563" spans="1:6">
      <c r="A4563" t="s">
        <v>9803</v>
      </c>
      <c r="B4563">
        <v>8670</v>
      </c>
      <c r="C4563" t="s">
        <v>9674</v>
      </c>
      <c r="D4563" t="s">
        <v>9550</v>
      </c>
      <c r="E4563" t="s">
        <v>9804</v>
      </c>
      <c r="F4563" t="s">
        <v>9545</v>
      </c>
    </row>
    <row r="4564" spans="1:6">
      <c r="A4564" t="s">
        <v>9803</v>
      </c>
      <c r="B4564">
        <v>7977</v>
      </c>
      <c r="C4564" t="s">
        <v>9674</v>
      </c>
      <c r="D4564" t="s">
        <v>9550</v>
      </c>
      <c r="E4564" t="s">
        <v>9804</v>
      </c>
      <c r="F4564" t="s">
        <v>9545</v>
      </c>
    </row>
    <row r="4565" spans="1:6">
      <c r="A4565" t="s">
        <v>9803</v>
      </c>
      <c r="B4565">
        <v>7839</v>
      </c>
      <c r="C4565" t="s">
        <v>9674</v>
      </c>
      <c r="D4565" t="s">
        <v>9550</v>
      </c>
      <c r="E4565" t="s">
        <v>9804</v>
      </c>
      <c r="F4565" t="s">
        <v>9545</v>
      </c>
    </row>
    <row r="4566" spans="1:6">
      <c r="A4566" t="s">
        <v>9803</v>
      </c>
      <c r="B4566">
        <v>7380</v>
      </c>
      <c r="C4566" t="s">
        <v>9674</v>
      </c>
      <c r="D4566" t="s">
        <v>9550</v>
      </c>
      <c r="E4566" t="s">
        <v>9804</v>
      </c>
      <c r="F4566" t="s">
        <v>9545</v>
      </c>
    </row>
    <row r="4567" spans="1:6">
      <c r="A4567" t="s">
        <v>9803</v>
      </c>
      <c r="B4567">
        <v>7383</v>
      </c>
      <c r="C4567" t="s">
        <v>9674</v>
      </c>
      <c r="D4567" t="s">
        <v>9550</v>
      </c>
      <c r="E4567" t="s">
        <v>9804</v>
      </c>
      <c r="F4567" t="s">
        <v>9545</v>
      </c>
    </row>
    <row r="4568" spans="1:6">
      <c r="A4568" t="s">
        <v>9803</v>
      </c>
      <c r="B4568">
        <v>7160</v>
      </c>
      <c r="C4568" t="s">
        <v>9674</v>
      </c>
      <c r="D4568" t="s">
        <v>9550</v>
      </c>
      <c r="E4568" t="s">
        <v>9804</v>
      </c>
      <c r="F4568" t="s">
        <v>9545</v>
      </c>
    </row>
    <row r="4569" spans="1:6">
      <c r="A4569" t="s">
        <v>9803</v>
      </c>
      <c r="B4569">
        <v>7946</v>
      </c>
      <c r="C4569" t="s">
        <v>9674</v>
      </c>
      <c r="D4569" t="s">
        <v>9550</v>
      </c>
      <c r="E4569" t="s">
        <v>9804</v>
      </c>
      <c r="F4569" t="s">
        <v>9545</v>
      </c>
    </row>
    <row r="4570" spans="1:6">
      <c r="A4570" t="s">
        <v>9803</v>
      </c>
      <c r="B4570">
        <v>7978</v>
      </c>
      <c r="C4570" t="s">
        <v>9674</v>
      </c>
      <c r="D4570" t="s">
        <v>9550</v>
      </c>
      <c r="E4570" t="s">
        <v>9804</v>
      </c>
      <c r="F4570" t="s">
        <v>9545</v>
      </c>
    </row>
    <row r="4571" spans="1:6">
      <c r="A4571" t="s">
        <v>9803</v>
      </c>
      <c r="B4571">
        <v>7944</v>
      </c>
      <c r="C4571" t="s">
        <v>9674</v>
      </c>
      <c r="D4571" t="s">
        <v>9550</v>
      </c>
      <c r="E4571" t="s">
        <v>9804</v>
      </c>
      <c r="F4571" t="s">
        <v>9545</v>
      </c>
    </row>
    <row r="4572" spans="1:6">
      <c r="A4572" t="s">
        <v>9803</v>
      </c>
      <c r="B4572">
        <v>7914</v>
      </c>
      <c r="C4572" t="s">
        <v>9674</v>
      </c>
      <c r="D4572" t="s">
        <v>9550</v>
      </c>
      <c r="E4572" t="s">
        <v>9804</v>
      </c>
      <c r="F4572" t="s">
        <v>9545</v>
      </c>
    </row>
    <row r="4573" spans="1:6">
      <c r="A4573" t="s">
        <v>9803</v>
      </c>
      <c r="B4573">
        <v>7942</v>
      </c>
      <c r="C4573" t="s">
        <v>9674</v>
      </c>
      <c r="D4573" t="s">
        <v>9550</v>
      </c>
      <c r="E4573" t="s">
        <v>9804</v>
      </c>
      <c r="F4573" t="s">
        <v>9545</v>
      </c>
    </row>
    <row r="4574" spans="1:6">
      <c r="A4574" t="s">
        <v>9803</v>
      </c>
      <c r="B4574">
        <v>7376</v>
      </c>
      <c r="C4574" t="s">
        <v>9674</v>
      </c>
      <c r="D4574" t="s">
        <v>9550</v>
      </c>
      <c r="E4574" t="s">
        <v>9804</v>
      </c>
      <c r="F4574" t="s">
        <v>9545</v>
      </c>
    </row>
    <row r="4575" spans="1:6">
      <c r="A4575" t="s">
        <v>9803</v>
      </c>
      <c r="B4575">
        <v>7377</v>
      </c>
      <c r="C4575" t="s">
        <v>9674</v>
      </c>
      <c r="D4575" t="s">
        <v>9550</v>
      </c>
      <c r="E4575" t="s">
        <v>9804</v>
      </c>
      <c r="F4575" t="s">
        <v>9545</v>
      </c>
    </row>
    <row r="4576" spans="1:6">
      <c r="A4576" t="s">
        <v>9803</v>
      </c>
      <c r="B4576">
        <v>7158</v>
      </c>
      <c r="C4576" t="s">
        <v>9674</v>
      </c>
      <c r="D4576" t="s">
        <v>9550</v>
      </c>
      <c r="E4576" t="s">
        <v>9804</v>
      </c>
      <c r="F4576" t="s">
        <v>9545</v>
      </c>
    </row>
    <row r="4577" spans="1:6">
      <c r="A4577" t="s">
        <v>9803</v>
      </c>
      <c r="B4577">
        <v>7979</v>
      </c>
      <c r="C4577" t="s">
        <v>9674</v>
      </c>
      <c r="D4577" t="s">
        <v>9550</v>
      </c>
      <c r="E4577" t="s">
        <v>9804</v>
      </c>
      <c r="F4577" t="s">
        <v>9545</v>
      </c>
    </row>
    <row r="4578" spans="1:6">
      <c r="A4578" t="s">
        <v>9803</v>
      </c>
      <c r="B4578">
        <v>7947</v>
      </c>
      <c r="C4578" t="s">
        <v>9674</v>
      </c>
      <c r="D4578" t="s">
        <v>9550</v>
      </c>
      <c r="E4578" t="s">
        <v>9804</v>
      </c>
      <c r="F4578" t="s">
        <v>9545</v>
      </c>
    </row>
    <row r="4579" spans="1:6">
      <c r="A4579" t="s">
        <v>9803</v>
      </c>
      <c r="B4579">
        <v>5454</v>
      </c>
      <c r="C4579" t="s">
        <v>9674</v>
      </c>
      <c r="D4579" t="s">
        <v>9550</v>
      </c>
      <c r="E4579" t="s">
        <v>9804</v>
      </c>
      <c r="F4579" t="s">
        <v>9545</v>
      </c>
    </row>
    <row r="4580" spans="1:6">
      <c r="A4580" t="s">
        <v>9803</v>
      </c>
      <c r="B4580">
        <v>7945</v>
      </c>
      <c r="C4580" t="s">
        <v>9674</v>
      </c>
      <c r="D4580" t="s">
        <v>9550</v>
      </c>
      <c r="E4580" t="s">
        <v>9804</v>
      </c>
      <c r="F4580" t="s">
        <v>9545</v>
      </c>
    </row>
    <row r="4581" spans="1:6">
      <c r="A4581" t="s">
        <v>9803</v>
      </c>
      <c r="B4581">
        <v>7949</v>
      </c>
      <c r="C4581" t="s">
        <v>9674</v>
      </c>
      <c r="D4581" t="s">
        <v>9550</v>
      </c>
      <c r="E4581" t="s">
        <v>9804</v>
      </c>
      <c r="F4581" t="s">
        <v>9545</v>
      </c>
    </row>
    <row r="4582" spans="1:6">
      <c r="A4582" t="s">
        <v>9803</v>
      </c>
      <c r="B4582">
        <v>5460</v>
      </c>
      <c r="C4582" t="s">
        <v>9674</v>
      </c>
      <c r="D4582" t="s">
        <v>9550</v>
      </c>
      <c r="E4582" t="s">
        <v>9804</v>
      </c>
      <c r="F4582" t="s">
        <v>9545</v>
      </c>
    </row>
    <row r="4583" spans="1:6">
      <c r="A4583" t="s">
        <v>9803</v>
      </c>
      <c r="B4583">
        <v>5466</v>
      </c>
      <c r="C4583" t="s">
        <v>9674</v>
      </c>
      <c r="D4583" t="s">
        <v>9550</v>
      </c>
      <c r="E4583" t="s">
        <v>9804</v>
      </c>
      <c r="F4583" t="s">
        <v>9545</v>
      </c>
    </row>
    <row r="4584" spans="1:6">
      <c r="A4584" t="s">
        <v>9803</v>
      </c>
      <c r="B4584">
        <v>7915</v>
      </c>
      <c r="C4584" t="s">
        <v>9674</v>
      </c>
      <c r="D4584" t="s">
        <v>9550</v>
      </c>
      <c r="E4584" t="s">
        <v>9804</v>
      </c>
      <c r="F4584" t="s">
        <v>9545</v>
      </c>
    </row>
    <row r="4585" spans="1:6">
      <c r="A4585" t="s">
        <v>9803</v>
      </c>
      <c r="B4585">
        <v>7980</v>
      </c>
      <c r="C4585" t="s">
        <v>9674</v>
      </c>
      <c r="D4585" t="s">
        <v>9550</v>
      </c>
      <c r="E4585" t="s">
        <v>9804</v>
      </c>
      <c r="F4585" t="s">
        <v>9545</v>
      </c>
    </row>
    <row r="4586" spans="1:6">
      <c r="A4586" t="s">
        <v>9803</v>
      </c>
      <c r="B4586">
        <v>6630</v>
      </c>
      <c r="C4586" t="s">
        <v>9674</v>
      </c>
      <c r="D4586" t="s">
        <v>9550</v>
      </c>
      <c r="E4586" t="s">
        <v>9804</v>
      </c>
      <c r="F4586" t="s">
        <v>9545</v>
      </c>
    </row>
    <row r="4587" spans="1:6">
      <c r="A4587" t="s">
        <v>9803</v>
      </c>
      <c r="B4587">
        <v>7943</v>
      </c>
      <c r="C4587" t="s">
        <v>9674</v>
      </c>
      <c r="D4587" t="s">
        <v>9550</v>
      </c>
      <c r="E4587" t="s">
        <v>9804</v>
      </c>
      <c r="F4587" t="s">
        <v>9545</v>
      </c>
    </row>
    <row r="4588" spans="1:6">
      <c r="A4588" t="s">
        <v>9803</v>
      </c>
      <c r="B4588">
        <v>7985</v>
      </c>
      <c r="C4588" t="s">
        <v>9674</v>
      </c>
      <c r="D4588" t="s">
        <v>9550</v>
      </c>
      <c r="E4588" t="s">
        <v>9804</v>
      </c>
      <c r="F4588" t="s">
        <v>9545</v>
      </c>
    </row>
    <row r="4589" spans="1:6">
      <c r="A4589" t="s">
        <v>9803</v>
      </c>
      <c r="B4589">
        <v>8836</v>
      </c>
      <c r="C4589" t="s">
        <v>9674</v>
      </c>
      <c r="D4589" t="s">
        <v>9550</v>
      </c>
      <c r="E4589" t="s">
        <v>9804</v>
      </c>
      <c r="F4589" t="s">
        <v>9545</v>
      </c>
    </row>
    <row r="4590" spans="1:6">
      <c r="A4590" t="s">
        <v>9803</v>
      </c>
      <c r="B4590">
        <v>8671</v>
      </c>
      <c r="C4590" t="s">
        <v>9674</v>
      </c>
      <c r="D4590" t="s">
        <v>9550</v>
      </c>
      <c r="E4590" t="s">
        <v>9804</v>
      </c>
      <c r="F4590" t="s">
        <v>9545</v>
      </c>
    </row>
    <row r="4591" spans="1:6">
      <c r="A4591" t="s">
        <v>9803</v>
      </c>
      <c r="B4591">
        <v>8841</v>
      </c>
      <c r="C4591" t="s">
        <v>9674</v>
      </c>
      <c r="D4591" t="s">
        <v>9550</v>
      </c>
      <c r="E4591" t="s">
        <v>9804</v>
      </c>
      <c r="F4591" t="s">
        <v>9545</v>
      </c>
    </row>
    <row r="4592" spans="1:6">
      <c r="A4592" t="s">
        <v>9803</v>
      </c>
      <c r="B4592">
        <v>8672</v>
      </c>
      <c r="C4592" t="s">
        <v>9674</v>
      </c>
      <c r="D4592" t="s">
        <v>9550</v>
      </c>
      <c r="E4592" t="s">
        <v>9804</v>
      </c>
      <c r="F4592" t="s">
        <v>9545</v>
      </c>
    </row>
    <row r="4593" spans="1:6">
      <c r="A4593" t="s">
        <v>9803</v>
      </c>
      <c r="B4593">
        <v>8673</v>
      </c>
      <c r="C4593" t="s">
        <v>9674</v>
      </c>
      <c r="D4593" t="s">
        <v>9550</v>
      </c>
      <c r="E4593" t="s">
        <v>9804</v>
      </c>
      <c r="F4593" t="s">
        <v>9545</v>
      </c>
    </row>
    <row r="4594" spans="1:6">
      <c r="A4594" t="s">
        <v>9803</v>
      </c>
      <c r="B4594">
        <v>8849</v>
      </c>
      <c r="C4594" t="s">
        <v>9674</v>
      </c>
      <c r="D4594" t="s">
        <v>9550</v>
      </c>
      <c r="E4594" t="s">
        <v>9804</v>
      </c>
      <c r="F4594" t="s">
        <v>9545</v>
      </c>
    </row>
    <row r="4595" spans="1:6">
      <c r="A4595" t="s">
        <v>9803</v>
      </c>
      <c r="B4595">
        <v>7969</v>
      </c>
      <c r="C4595" t="s">
        <v>9674</v>
      </c>
      <c r="D4595" t="s">
        <v>9550</v>
      </c>
      <c r="E4595" t="s">
        <v>9804</v>
      </c>
      <c r="F4595" t="s">
        <v>9545</v>
      </c>
    </row>
    <row r="4596" spans="1:6">
      <c r="A4596" t="s">
        <v>9803</v>
      </c>
      <c r="B4596">
        <v>8675</v>
      </c>
      <c r="C4596" t="s">
        <v>9674</v>
      </c>
      <c r="D4596" t="s">
        <v>9550</v>
      </c>
      <c r="E4596" t="s">
        <v>9804</v>
      </c>
      <c r="F4596" t="s">
        <v>9545</v>
      </c>
    </row>
    <row r="4597" spans="1:6">
      <c r="A4597" t="s">
        <v>9803</v>
      </c>
      <c r="B4597">
        <v>8847</v>
      </c>
      <c r="C4597" t="s">
        <v>9674</v>
      </c>
      <c r="D4597" t="s">
        <v>9550</v>
      </c>
      <c r="E4597" t="s">
        <v>9804</v>
      </c>
      <c r="F4597" t="s">
        <v>9545</v>
      </c>
    </row>
    <row r="4598" spans="1:6">
      <c r="A4598" t="s">
        <v>9803</v>
      </c>
      <c r="B4598">
        <v>8840</v>
      </c>
      <c r="C4598" t="s">
        <v>9674</v>
      </c>
      <c r="D4598" t="s">
        <v>9550</v>
      </c>
      <c r="E4598" t="s">
        <v>9804</v>
      </c>
      <c r="F4598" t="s">
        <v>9545</v>
      </c>
    </row>
    <row r="4599" spans="1:6">
      <c r="A4599" t="s">
        <v>9803</v>
      </c>
      <c r="B4599">
        <v>8834</v>
      </c>
      <c r="C4599" t="s">
        <v>9674</v>
      </c>
      <c r="D4599" t="s">
        <v>9550</v>
      </c>
      <c r="E4599" t="s">
        <v>9804</v>
      </c>
      <c r="F4599" t="s">
        <v>9545</v>
      </c>
    </row>
    <row r="4600" spans="1:6">
      <c r="A4600" t="s">
        <v>9803</v>
      </c>
      <c r="B4600">
        <v>4348</v>
      </c>
      <c r="C4600" t="s">
        <v>9674</v>
      </c>
      <c r="D4600" t="s">
        <v>9550</v>
      </c>
      <c r="E4600" t="s">
        <v>9804</v>
      </c>
      <c r="F4600" t="s">
        <v>9545</v>
      </c>
    </row>
    <row r="4601" spans="1:6">
      <c r="A4601" t="s">
        <v>9803</v>
      </c>
      <c r="B4601">
        <v>4253</v>
      </c>
      <c r="C4601" t="s">
        <v>9674</v>
      </c>
      <c r="D4601" t="s">
        <v>9550</v>
      </c>
      <c r="E4601" t="s">
        <v>9804</v>
      </c>
      <c r="F4601" t="s">
        <v>9545</v>
      </c>
    </row>
    <row r="4602" spans="1:6">
      <c r="A4602" t="s">
        <v>9803</v>
      </c>
      <c r="B4602">
        <v>2582</v>
      </c>
      <c r="C4602" t="s">
        <v>9674</v>
      </c>
      <c r="D4602" t="s">
        <v>9550</v>
      </c>
      <c r="E4602" t="s">
        <v>9804</v>
      </c>
      <c r="F4602" t="s">
        <v>9545</v>
      </c>
    </row>
    <row r="4603" spans="1:6">
      <c r="A4603" t="s">
        <v>9803</v>
      </c>
      <c r="B4603">
        <v>5457</v>
      </c>
      <c r="C4603" t="s">
        <v>9674</v>
      </c>
      <c r="D4603" t="s">
        <v>9550</v>
      </c>
      <c r="E4603" t="s">
        <v>9804</v>
      </c>
      <c r="F4603" t="s">
        <v>9545</v>
      </c>
    </row>
    <row r="4604" spans="1:6">
      <c r="A4604" t="s">
        <v>9803</v>
      </c>
      <c r="B4604">
        <v>4347</v>
      </c>
      <c r="C4604" t="s">
        <v>9674</v>
      </c>
      <c r="D4604" t="s">
        <v>9550</v>
      </c>
      <c r="E4604" t="s">
        <v>9804</v>
      </c>
      <c r="F4604" t="s">
        <v>9545</v>
      </c>
    </row>
    <row r="4605" spans="1:6">
      <c r="A4605" t="s">
        <v>9803</v>
      </c>
      <c r="B4605">
        <v>4362</v>
      </c>
      <c r="C4605" t="s">
        <v>9674</v>
      </c>
      <c r="D4605" t="s">
        <v>9550</v>
      </c>
      <c r="E4605" t="s">
        <v>9804</v>
      </c>
      <c r="F4605" t="s">
        <v>9545</v>
      </c>
    </row>
    <row r="4606" spans="1:6">
      <c r="A4606" t="s">
        <v>9803</v>
      </c>
      <c r="B4606">
        <v>4363</v>
      </c>
      <c r="C4606" t="s">
        <v>9674</v>
      </c>
      <c r="D4606" t="s">
        <v>9550</v>
      </c>
      <c r="E4606" t="s">
        <v>9804</v>
      </c>
      <c r="F4606" t="s">
        <v>9545</v>
      </c>
    </row>
    <row r="4607" spans="1:6">
      <c r="A4607" t="s">
        <v>9803</v>
      </c>
      <c r="B4607">
        <v>4367</v>
      </c>
      <c r="C4607" t="s">
        <v>9674</v>
      </c>
      <c r="D4607" t="s">
        <v>9550</v>
      </c>
      <c r="E4607" t="s">
        <v>9804</v>
      </c>
      <c r="F4607" t="s">
        <v>9545</v>
      </c>
    </row>
    <row r="4608" spans="1:6">
      <c r="A4608" t="s">
        <v>9803</v>
      </c>
      <c r="B4608">
        <v>4368</v>
      </c>
      <c r="C4608" t="s">
        <v>9674</v>
      </c>
      <c r="D4608" t="s">
        <v>9550</v>
      </c>
      <c r="E4608" t="s">
        <v>9804</v>
      </c>
      <c r="F4608" t="s">
        <v>9545</v>
      </c>
    </row>
    <row r="4609" spans="1:6">
      <c r="A4609" t="s">
        <v>9803</v>
      </c>
      <c r="B4609">
        <v>7327</v>
      </c>
      <c r="C4609" t="s">
        <v>9674</v>
      </c>
      <c r="D4609" t="s">
        <v>9550</v>
      </c>
      <c r="E4609" t="s">
        <v>9804</v>
      </c>
      <c r="F4609" t="s">
        <v>9545</v>
      </c>
    </row>
    <row r="4610" spans="1:6">
      <c r="A4610" t="s">
        <v>9803</v>
      </c>
      <c r="B4610">
        <v>7328</v>
      </c>
      <c r="C4610" t="s">
        <v>9674</v>
      </c>
      <c r="D4610" t="s">
        <v>9550</v>
      </c>
      <c r="E4610" t="s">
        <v>9804</v>
      </c>
      <c r="F4610" t="s">
        <v>9545</v>
      </c>
    </row>
    <row r="4611" spans="1:6">
      <c r="A4611" t="s">
        <v>9803</v>
      </c>
      <c r="B4611">
        <v>4365</v>
      </c>
      <c r="C4611" t="s">
        <v>9674</v>
      </c>
      <c r="D4611" t="s">
        <v>9550</v>
      </c>
      <c r="E4611" t="s">
        <v>9804</v>
      </c>
      <c r="F4611" t="s">
        <v>9545</v>
      </c>
    </row>
    <row r="4612" spans="1:6">
      <c r="A4612" t="s">
        <v>9803</v>
      </c>
      <c r="B4612">
        <v>4364</v>
      </c>
      <c r="C4612" t="s">
        <v>9674</v>
      </c>
      <c r="D4612" t="s">
        <v>9550</v>
      </c>
      <c r="E4612" t="s">
        <v>9804</v>
      </c>
      <c r="F4612" t="s">
        <v>9545</v>
      </c>
    </row>
    <row r="4613" spans="1:6">
      <c r="A4613" t="s">
        <v>9803</v>
      </c>
      <c r="B4613">
        <v>4194</v>
      </c>
      <c r="C4613" t="s">
        <v>9674</v>
      </c>
      <c r="D4613" t="s">
        <v>9550</v>
      </c>
      <c r="E4613" t="s">
        <v>9804</v>
      </c>
      <c r="F4613" t="s">
        <v>9545</v>
      </c>
    </row>
    <row r="4614" spans="1:6">
      <c r="A4614" t="s">
        <v>9803</v>
      </c>
      <c r="B4614">
        <v>4190</v>
      </c>
      <c r="C4614" t="s">
        <v>9674</v>
      </c>
      <c r="D4614" t="s">
        <v>9550</v>
      </c>
      <c r="E4614" t="s">
        <v>9804</v>
      </c>
      <c r="F4614" t="s">
        <v>9545</v>
      </c>
    </row>
    <row r="4615" spans="1:6">
      <c r="A4615" t="s">
        <v>9803</v>
      </c>
      <c r="B4615">
        <v>4251</v>
      </c>
      <c r="C4615" t="s">
        <v>9674</v>
      </c>
      <c r="D4615" t="s">
        <v>9550</v>
      </c>
      <c r="E4615" t="s">
        <v>9804</v>
      </c>
      <c r="F4615" t="s">
        <v>9545</v>
      </c>
    </row>
    <row r="4616" spans="1:6">
      <c r="A4616" t="s">
        <v>9803</v>
      </c>
      <c r="B4616">
        <v>4252</v>
      </c>
      <c r="C4616" t="s">
        <v>9674</v>
      </c>
      <c r="D4616" t="s">
        <v>9550</v>
      </c>
      <c r="E4616" t="s">
        <v>9804</v>
      </c>
      <c r="F4616" t="s">
        <v>9545</v>
      </c>
    </row>
    <row r="4617" spans="1:6">
      <c r="A4617" t="s">
        <v>9803</v>
      </c>
      <c r="B4617">
        <v>2583</v>
      </c>
      <c r="C4617" t="s">
        <v>9674</v>
      </c>
      <c r="D4617" t="s">
        <v>9550</v>
      </c>
      <c r="E4617" t="s">
        <v>9804</v>
      </c>
      <c r="F4617" t="s">
        <v>9545</v>
      </c>
    </row>
    <row r="4618" spans="1:6">
      <c r="A4618" t="s">
        <v>9803</v>
      </c>
      <c r="B4618">
        <v>5458</v>
      </c>
      <c r="C4618" t="s">
        <v>9674</v>
      </c>
      <c r="D4618" t="s">
        <v>9550</v>
      </c>
      <c r="E4618" t="s">
        <v>9804</v>
      </c>
      <c r="F4618" t="s">
        <v>9545</v>
      </c>
    </row>
    <row r="4619" spans="1:6">
      <c r="A4619" t="s">
        <v>9803</v>
      </c>
      <c r="B4619">
        <v>7382</v>
      </c>
      <c r="C4619" t="s">
        <v>9674</v>
      </c>
      <c r="D4619" t="s">
        <v>9550</v>
      </c>
      <c r="E4619" t="s">
        <v>9804</v>
      </c>
      <c r="F4619" t="s">
        <v>9545</v>
      </c>
    </row>
    <row r="4620" spans="1:6">
      <c r="A4620" t="s">
        <v>9803</v>
      </c>
      <c r="B4620">
        <v>4192</v>
      </c>
      <c r="C4620" t="s">
        <v>9674</v>
      </c>
      <c r="D4620" t="s">
        <v>9550</v>
      </c>
      <c r="E4620" t="s">
        <v>9804</v>
      </c>
      <c r="F4620" t="s">
        <v>9545</v>
      </c>
    </row>
    <row r="4621" spans="1:6">
      <c r="A4621" t="s">
        <v>9803</v>
      </c>
      <c r="B4621">
        <v>4193</v>
      </c>
      <c r="C4621" t="s">
        <v>9674</v>
      </c>
      <c r="D4621" t="s">
        <v>9550</v>
      </c>
      <c r="E4621" t="s">
        <v>9804</v>
      </c>
      <c r="F4621" t="s">
        <v>9545</v>
      </c>
    </row>
    <row r="4622" spans="1:6">
      <c r="A4622" t="s">
        <v>9803</v>
      </c>
      <c r="B4622">
        <v>7973</v>
      </c>
      <c r="C4622" t="s">
        <v>9674</v>
      </c>
      <c r="D4622" t="s">
        <v>9550</v>
      </c>
      <c r="E4622" t="s">
        <v>9804</v>
      </c>
      <c r="F4622" t="s">
        <v>9545</v>
      </c>
    </row>
    <row r="4623" spans="1:6">
      <c r="A4623" t="s">
        <v>9803</v>
      </c>
      <c r="B4623">
        <v>7975</v>
      </c>
      <c r="C4623" t="s">
        <v>9674</v>
      </c>
      <c r="D4623" t="s">
        <v>9550</v>
      </c>
      <c r="E4623" t="s">
        <v>9804</v>
      </c>
      <c r="F4623" t="s">
        <v>9545</v>
      </c>
    </row>
    <row r="4624" spans="1:6">
      <c r="A4624" t="s">
        <v>9803</v>
      </c>
      <c r="B4624">
        <v>7974</v>
      </c>
      <c r="C4624" t="s">
        <v>9674</v>
      </c>
      <c r="D4624" t="s">
        <v>9550</v>
      </c>
      <c r="E4624" t="s">
        <v>9804</v>
      </c>
      <c r="F4624" t="s">
        <v>9545</v>
      </c>
    </row>
    <row r="4625" spans="1:6">
      <c r="A4625" t="s">
        <v>9803</v>
      </c>
      <c r="B4625">
        <v>7976</v>
      </c>
      <c r="C4625" t="s">
        <v>9674</v>
      </c>
      <c r="D4625" t="s">
        <v>9550</v>
      </c>
      <c r="E4625" t="s">
        <v>9804</v>
      </c>
      <c r="F4625" t="s">
        <v>9545</v>
      </c>
    </row>
    <row r="4626" spans="1:6">
      <c r="A4626" t="s">
        <v>9803</v>
      </c>
      <c r="B4626">
        <v>7836</v>
      </c>
      <c r="C4626" t="s">
        <v>9674</v>
      </c>
      <c r="D4626" t="s">
        <v>9550</v>
      </c>
      <c r="E4626" t="s">
        <v>9804</v>
      </c>
      <c r="F4626" t="s">
        <v>9545</v>
      </c>
    </row>
    <row r="4627" spans="1:6">
      <c r="A4627" t="s">
        <v>9803</v>
      </c>
      <c r="B4627">
        <v>7837</v>
      </c>
      <c r="C4627" t="s">
        <v>9674</v>
      </c>
      <c r="D4627" t="s">
        <v>9550</v>
      </c>
      <c r="E4627" t="s">
        <v>9804</v>
      </c>
      <c r="F4627" t="s">
        <v>9545</v>
      </c>
    </row>
    <row r="4628" spans="1:6">
      <c r="A4628" t="s">
        <v>9803</v>
      </c>
      <c r="B4628">
        <v>7379</v>
      </c>
      <c r="C4628" t="s">
        <v>9674</v>
      </c>
      <c r="D4628" t="s">
        <v>9550</v>
      </c>
      <c r="E4628" t="s">
        <v>9804</v>
      </c>
      <c r="F4628" t="s">
        <v>9545</v>
      </c>
    </row>
    <row r="4629" spans="1:6">
      <c r="A4629" t="s">
        <v>9803</v>
      </c>
      <c r="B4629">
        <v>7378</v>
      </c>
      <c r="C4629" t="s">
        <v>9674</v>
      </c>
      <c r="D4629" t="s">
        <v>9550</v>
      </c>
      <c r="E4629" t="s">
        <v>9804</v>
      </c>
      <c r="F4629" t="s">
        <v>9545</v>
      </c>
    </row>
    <row r="4630" spans="1:6">
      <c r="A4630" t="s">
        <v>9803</v>
      </c>
      <c r="B4630">
        <v>7948</v>
      </c>
      <c r="C4630" t="s">
        <v>9674</v>
      </c>
      <c r="D4630" t="s">
        <v>9550</v>
      </c>
      <c r="E4630" t="s">
        <v>9804</v>
      </c>
      <c r="F4630" t="s">
        <v>9545</v>
      </c>
    </row>
    <row r="4631" spans="1:6">
      <c r="A4631" t="s">
        <v>9803</v>
      </c>
      <c r="B4631">
        <v>7940</v>
      </c>
      <c r="C4631" t="s">
        <v>9674</v>
      </c>
      <c r="D4631" t="s">
        <v>9550</v>
      </c>
      <c r="E4631" t="s">
        <v>9804</v>
      </c>
      <c r="F4631" t="s">
        <v>9545</v>
      </c>
    </row>
    <row r="4632" spans="1:6">
      <c r="A4632" t="s">
        <v>9803</v>
      </c>
      <c r="B4632">
        <v>7941</v>
      </c>
      <c r="C4632" t="s">
        <v>9674</v>
      </c>
      <c r="D4632" t="s">
        <v>9550</v>
      </c>
      <c r="E4632" t="s">
        <v>9804</v>
      </c>
      <c r="F4632" t="s">
        <v>9545</v>
      </c>
    </row>
    <row r="4633" spans="1:6">
      <c r="A4633" t="s">
        <v>9803</v>
      </c>
      <c r="B4633">
        <v>7984</v>
      </c>
      <c r="C4633" t="s">
        <v>9674</v>
      </c>
      <c r="D4633" t="s">
        <v>9550</v>
      </c>
      <c r="E4633" t="s">
        <v>9804</v>
      </c>
      <c r="F4633" t="s">
        <v>9545</v>
      </c>
    </row>
    <row r="4634" spans="1:6">
      <c r="A4634" t="s">
        <v>9803</v>
      </c>
      <c r="B4634">
        <v>5495</v>
      </c>
      <c r="C4634" t="s">
        <v>9674</v>
      </c>
      <c r="D4634" t="s">
        <v>9550</v>
      </c>
      <c r="E4634" t="s">
        <v>9804</v>
      </c>
      <c r="F4634" t="s">
        <v>9545</v>
      </c>
    </row>
    <row r="4635" spans="1:6">
      <c r="A4635" t="s">
        <v>9803</v>
      </c>
      <c r="B4635">
        <v>9307</v>
      </c>
      <c r="C4635" t="s">
        <v>9674</v>
      </c>
      <c r="D4635" t="s">
        <v>9550</v>
      </c>
      <c r="E4635" t="s">
        <v>9804</v>
      </c>
      <c r="F4635" t="s">
        <v>9545</v>
      </c>
    </row>
    <row r="4636" spans="1:6">
      <c r="A4636" t="s">
        <v>9803</v>
      </c>
      <c r="B4636">
        <v>9306</v>
      </c>
      <c r="C4636" t="s">
        <v>9674</v>
      </c>
      <c r="D4636" t="s">
        <v>9550</v>
      </c>
      <c r="E4636" t="s">
        <v>9804</v>
      </c>
      <c r="F4636" t="s">
        <v>9545</v>
      </c>
    </row>
    <row r="4637" spans="1:6">
      <c r="A4637" t="s">
        <v>9803</v>
      </c>
      <c r="B4637">
        <v>8835</v>
      </c>
      <c r="C4637" t="s">
        <v>9674</v>
      </c>
      <c r="D4637" t="s">
        <v>9550</v>
      </c>
      <c r="E4637" t="s">
        <v>9804</v>
      </c>
      <c r="F4637" t="s">
        <v>9545</v>
      </c>
    </row>
    <row r="4638" spans="1:6">
      <c r="A4638" t="s">
        <v>9803</v>
      </c>
      <c r="B4638">
        <v>8848</v>
      </c>
      <c r="C4638" t="s">
        <v>9674</v>
      </c>
      <c r="D4638" t="s">
        <v>9550</v>
      </c>
      <c r="E4638" t="s">
        <v>9804</v>
      </c>
      <c r="F4638" t="s">
        <v>9545</v>
      </c>
    </row>
    <row r="4639" spans="1:6">
      <c r="A4639" t="s">
        <v>9803</v>
      </c>
      <c r="B4639">
        <v>7992</v>
      </c>
      <c r="C4639" t="s">
        <v>9674</v>
      </c>
      <c r="D4639" t="s">
        <v>9550</v>
      </c>
      <c r="E4639" t="s">
        <v>9804</v>
      </c>
      <c r="F4639" t="s">
        <v>9545</v>
      </c>
    </row>
    <row r="4640" spans="1:6">
      <c r="A4640" t="s">
        <v>9803</v>
      </c>
      <c r="B4640">
        <v>8830</v>
      </c>
      <c r="C4640" t="s">
        <v>9674</v>
      </c>
      <c r="D4640" t="s">
        <v>9550</v>
      </c>
      <c r="E4640" t="s">
        <v>9804</v>
      </c>
      <c r="F4640" t="s">
        <v>9545</v>
      </c>
    </row>
    <row r="4641" spans="1:6">
      <c r="A4641" t="s">
        <v>9803</v>
      </c>
      <c r="B4641">
        <v>8837</v>
      </c>
      <c r="C4641" t="s">
        <v>9674</v>
      </c>
      <c r="D4641" t="s">
        <v>9550</v>
      </c>
      <c r="E4641" t="s">
        <v>9804</v>
      </c>
      <c r="F4641" t="s">
        <v>9545</v>
      </c>
    </row>
    <row r="4642" spans="1:6">
      <c r="A4642" t="s">
        <v>9803</v>
      </c>
      <c r="B4642">
        <v>8827</v>
      </c>
      <c r="C4642" t="s">
        <v>9674</v>
      </c>
      <c r="D4642" t="s">
        <v>9550</v>
      </c>
      <c r="E4642" t="s">
        <v>9804</v>
      </c>
      <c r="F4642" t="s">
        <v>9545</v>
      </c>
    </row>
    <row r="4643" spans="1:6">
      <c r="A4643" t="s">
        <v>9803</v>
      </c>
      <c r="B4643">
        <v>8670</v>
      </c>
      <c r="C4643" t="s">
        <v>9674</v>
      </c>
      <c r="D4643" t="s">
        <v>9550</v>
      </c>
      <c r="E4643" t="s">
        <v>9804</v>
      </c>
      <c r="F4643" t="s">
        <v>9545</v>
      </c>
    </row>
    <row r="4644" spans="1:6">
      <c r="A4644" t="s">
        <v>9803</v>
      </c>
      <c r="B4644">
        <v>7977</v>
      </c>
      <c r="C4644" t="s">
        <v>9674</v>
      </c>
      <c r="D4644" t="s">
        <v>9550</v>
      </c>
      <c r="E4644" t="s">
        <v>9804</v>
      </c>
      <c r="F4644" t="s">
        <v>9545</v>
      </c>
    </row>
    <row r="4645" spans="1:6">
      <c r="A4645" t="s">
        <v>9803</v>
      </c>
      <c r="B4645">
        <v>7839</v>
      </c>
      <c r="C4645" t="s">
        <v>9674</v>
      </c>
      <c r="D4645" t="s">
        <v>9550</v>
      </c>
      <c r="E4645" t="s">
        <v>9804</v>
      </c>
      <c r="F4645" t="s">
        <v>9545</v>
      </c>
    </row>
    <row r="4646" spans="1:6">
      <c r="A4646" t="s">
        <v>9803</v>
      </c>
      <c r="B4646">
        <v>7380</v>
      </c>
      <c r="C4646" t="s">
        <v>9674</v>
      </c>
      <c r="D4646" t="s">
        <v>9550</v>
      </c>
      <c r="E4646" t="s">
        <v>9804</v>
      </c>
      <c r="F4646" t="s">
        <v>9545</v>
      </c>
    </row>
    <row r="4647" spans="1:6">
      <c r="A4647" t="s">
        <v>9803</v>
      </c>
      <c r="B4647">
        <v>7383</v>
      </c>
      <c r="C4647" t="s">
        <v>9674</v>
      </c>
      <c r="D4647" t="s">
        <v>9550</v>
      </c>
      <c r="E4647" t="s">
        <v>9804</v>
      </c>
      <c r="F4647" t="s">
        <v>9545</v>
      </c>
    </row>
    <row r="4648" spans="1:6">
      <c r="A4648" t="s">
        <v>9803</v>
      </c>
      <c r="B4648">
        <v>7160</v>
      </c>
      <c r="C4648" t="s">
        <v>9674</v>
      </c>
      <c r="D4648" t="s">
        <v>9550</v>
      </c>
      <c r="E4648" t="s">
        <v>9804</v>
      </c>
      <c r="F4648" t="s">
        <v>9545</v>
      </c>
    </row>
    <row r="4649" spans="1:6">
      <c r="A4649" t="s">
        <v>9803</v>
      </c>
      <c r="B4649">
        <v>7946</v>
      </c>
      <c r="C4649" t="s">
        <v>9674</v>
      </c>
      <c r="D4649" t="s">
        <v>9550</v>
      </c>
      <c r="E4649" t="s">
        <v>9804</v>
      </c>
      <c r="F4649" t="s">
        <v>9545</v>
      </c>
    </row>
    <row r="4650" spans="1:6">
      <c r="A4650" t="s">
        <v>9803</v>
      </c>
      <c r="B4650">
        <v>7978</v>
      </c>
      <c r="C4650" t="s">
        <v>9674</v>
      </c>
      <c r="D4650" t="s">
        <v>9550</v>
      </c>
      <c r="E4650" t="s">
        <v>9804</v>
      </c>
      <c r="F4650" t="s">
        <v>9545</v>
      </c>
    </row>
    <row r="4651" spans="1:6">
      <c r="A4651" t="s">
        <v>9803</v>
      </c>
      <c r="B4651">
        <v>7944</v>
      </c>
      <c r="C4651" t="s">
        <v>9674</v>
      </c>
      <c r="D4651" t="s">
        <v>9550</v>
      </c>
      <c r="E4651" t="s">
        <v>9804</v>
      </c>
      <c r="F4651" t="s">
        <v>9545</v>
      </c>
    </row>
    <row r="4652" spans="1:6">
      <c r="A4652" t="s">
        <v>9803</v>
      </c>
      <c r="B4652">
        <v>7914</v>
      </c>
      <c r="C4652" t="s">
        <v>9674</v>
      </c>
      <c r="D4652" t="s">
        <v>9550</v>
      </c>
      <c r="E4652" t="s">
        <v>9804</v>
      </c>
      <c r="F4652" t="s">
        <v>9545</v>
      </c>
    </row>
    <row r="4653" spans="1:6">
      <c r="A4653" t="s">
        <v>9803</v>
      </c>
      <c r="B4653">
        <v>7942</v>
      </c>
      <c r="C4653" t="s">
        <v>9674</v>
      </c>
      <c r="D4653" t="s">
        <v>9550</v>
      </c>
      <c r="E4653" t="s">
        <v>9804</v>
      </c>
      <c r="F4653" t="s">
        <v>9545</v>
      </c>
    </row>
    <row r="4654" spans="1:6">
      <c r="A4654" t="s">
        <v>9803</v>
      </c>
      <c r="B4654">
        <v>7376</v>
      </c>
      <c r="C4654" t="s">
        <v>9674</v>
      </c>
      <c r="D4654" t="s">
        <v>9550</v>
      </c>
      <c r="E4654" t="s">
        <v>9804</v>
      </c>
      <c r="F4654" t="s">
        <v>9545</v>
      </c>
    </row>
    <row r="4655" spans="1:6">
      <c r="A4655" t="s">
        <v>9803</v>
      </c>
      <c r="B4655">
        <v>7377</v>
      </c>
      <c r="C4655" t="s">
        <v>9674</v>
      </c>
      <c r="D4655" t="s">
        <v>9550</v>
      </c>
      <c r="E4655" t="s">
        <v>9804</v>
      </c>
      <c r="F4655" t="s">
        <v>9545</v>
      </c>
    </row>
    <row r="4656" spans="1:6">
      <c r="A4656" t="s">
        <v>9803</v>
      </c>
      <c r="B4656">
        <v>7158</v>
      </c>
      <c r="C4656" t="s">
        <v>9674</v>
      </c>
      <c r="D4656" t="s">
        <v>9550</v>
      </c>
      <c r="E4656" t="s">
        <v>9804</v>
      </c>
      <c r="F4656" t="s">
        <v>9545</v>
      </c>
    </row>
    <row r="4657" spans="1:6">
      <c r="A4657" t="s">
        <v>9803</v>
      </c>
      <c r="B4657">
        <v>7979</v>
      </c>
      <c r="C4657" t="s">
        <v>9674</v>
      </c>
      <c r="D4657" t="s">
        <v>9550</v>
      </c>
      <c r="E4657" t="s">
        <v>9804</v>
      </c>
      <c r="F4657" t="s">
        <v>9545</v>
      </c>
    </row>
    <row r="4658" spans="1:6">
      <c r="A4658" t="s">
        <v>9803</v>
      </c>
      <c r="B4658">
        <v>7947</v>
      </c>
      <c r="C4658" t="s">
        <v>9674</v>
      </c>
      <c r="D4658" t="s">
        <v>9550</v>
      </c>
      <c r="E4658" t="s">
        <v>9804</v>
      </c>
      <c r="F4658" t="s">
        <v>9545</v>
      </c>
    </row>
    <row r="4659" spans="1:6">
      <c r="A4659" t="s">
        <v>9803</v>
      </c>
      <c r="B4659">
        <v>5454</v>
      </c>
      <c r="C4659" t="s">
        <v>9674</v>
      </c>
      <c r="D4659" t="s">
        <v>9550</v>
      </c>
      <c r="E4659" t="s">
        <v>9804</v>
      </c>
      <c r="F4659" t="s">
        <v>9545</v>
      </c>
    </row>
    <row r="4660" spans="1:6">
      <c r="A4660" t="s">
        <v>9803</v>
      </c>
      <c r="B4660">
        <v>7945</v>
      </c>
      <c r="C4660" t="s">
        <v>9674</v>
      </c>
      <c r="D4660" t="s">
        <v>9550</v>
      </c>
      <c r="E4660" t="s">
        <v>9804</v>
      </c>
      <c r="F4660" t="s">
        <v>9545</v>
      </c>
    </row>
    <row r="4661" spans="1:6">
      <c r="A4661" t="s">
        <v>9803</v>
      </c>
      <c r="B4661">
        <v>7949</v>
      </c>
      <c r="C4661" t="s">
        <v>9674</v>
      </c>
      <c r="D4661" t="s">
        <v>9550</v>
      </c>
      <c r="E4661" t="s">
        <v>9804</v>
      </c>
      <c r="F4661" t="s">
        <v>9545</v>
      </c>
    </row>
    <row r="4662" spans="1:6">
      <c r="A4662" t="s">
        <v>9803</v>
      </c>
      <c r="B4662">
        <v>5460</v>
      </c>
      <c r="C4662" t="s">
        <v>9674</v>
      </c>
      <c r="D4662" t="s">
        <v>9550</v>
      </c>
      <c r="E4662" t="s">
        <v>9804</v>
      </c>
      <c r="F4662" t="s">
        <v>9545</v>
      </c>
    </row>
    <row r="4663" spans="1:6">
      <c r="A4663" t="s">
        <v>9803</v>
      </c>
      <c r="B4663">
        <v>5466</v>
      </c>
      <c r="C4663" t="s">
        <v>9674</v>
      </c>
      <c r="D4663" t="s">
        <v>9550</v>
      </c>
      <c r="E4663" t="s">
        <v>9804</v>
      </c>
      <c r="F4663" t="s">
        <v>9545</v>
      </c>
    </row>
    <row r="4664" spans="1:6">
      <c r="A4664" t="s">
        <v>9803</v>
      </c>
      <c r="B4664">
        <v>7915</v>
      </c>
      <c r="C4664" t="s">
        <v>9674</v>
      </c>
      <c r="D4664" t="s">
        <v>9550</v>
      </c>
      <c r="E4664" t="s">
        <v>9804</v>
      </c>
      <c r="F4664" t="s">
        <v>9545</v>
      </c>
    </row>
    <row r="4665" spans="1:6">
      <c r="A4665" t="s">
        <v>9803</v>
      </c>
      <c r="B4665">
        <v>7980</v>
      </c>
      <c r="C4665" t="s">
        <v>9674</v>
      </c>
      <c r="D4665" t="s">
        <v>9550</v>
      </c>
      <c r="E4665" t="s">
        <v>9804</v>
      </c>
      <c r="F4665" t="s">
        <v>9545</v>
      </c>
    </row>
    <row r="4666" spans="1:6">
      <c r="A4666" t="s">
        <v>9803</v>
      </c>
      <c r="B4666">
        <v>6630</v>
      </c>
      <c r="C4666" t="s">
        <v>9674</v>
      </c>
      <c r="D4666" t="s">
        <v>9550</v>
      </c>
      <c r="E4666" t="s">
        <v>9804</v>
      </c>
      <c r="F4666" t="s">
        <v>9545</v>
      </c>
    </row>
    <row r="4667" spans="1:6">
      <c r="A4667" t="s">
        <v>9803</v>
      </c>
      <c r="B4667">
        <v>7943</v>
      </c>
      <c r="C4667" t="s">
        <v>9674</v>
      </c>
      <c r="D4667" t="s">
        <v>9550</v>
      </c>
      <c r="E4667" t="s">
        <v>9804</v>
      </c>
      <c r="F4667" t="s">
        <v>9545</v>
      </c>
    </row>
    <row r="4668" spans="1:6">
      <c r="A4668" t="s">
        <v>9803</v>
      </c>
      <c r="B4668">
        <v>7985</v>
      </c>
      <c r="C4668" t="s">
        <v>9674</v>
      </c>
      <c r="D4668" t="s">
        <v>9550</v>
      </c>
      <c r="E4668" t="s">
        <v>9804</v>
      </c>
      <c r="F4668" t="s">
        <v>9545</v>
      </c>
    </row>
    <row r="4669" spans="1:6">
      <c r="A4669" t="s">
        <v>9803</v>
      </c>
      <c r="B4669">
        <v>8836</v>
      </c>
      <c r="C4669" t="s">
        <v>9674</v>
      </c>
      <c r="D4669" t="s">
        <v>9550</v>
      </c>
      <c r="E4669" t="s">
        <v>9804</v>
      </c>
      <c r="F4669" t="s">
        <v>9545</v>
      </c>
    </row>
    <row r="4670" spans="1:6">
      <c r="A4670" t="s">
        <v>9803</v>
      </c>
      <c r="B4670">
        <v>8671</v>
      </c>
      <c r="C4670" t="s">
        <v>9674</v>
      </c>
      <c r="D4670" t="s">
        <v>9550</v>
      </c>
      <c r="E4670" t="s">
        <v>9804</v>
      </c>
      <c r="F4670" t="s">
        <v>9545</v>
      </c>
    </row>
    <row r="4671" spans="1:6">
      <c r="A4671" t="s">
        <v>9803</v>
      </c>
      <c r="B4671">
        <v>8841</v>
      </c>
      <c r="C4671" t="s">
        <v>9674</v>
      </c>
      <c r="D4671" t="s">
        <v>9550</v>
      </c>
      <c r="E4671" t="s">
        <v>9804</v>
      </c>
      <c r="F4671" t="s">
        <v>9545</v>
      </c>
    </row>
    <row r="4672" spans="1:6">
      <c r="A4672" t="s">
        <v>9803</v>
      </c>
      <c r="B4672">
        <v>8672</v>
      </c>
      <c r="C4672" t="s">
        <v>9674</v>
      </c>
      <c r="D4672" t="s">
        <v>9550</v>
      </c>
      <c r="E4672" t="s">
        <v>9804</v>
      </c>
      <c r="F4672" t="s">
        <v>9545</v>
      </c>
    </row>
    <row r="4673" spans="1:6">
      <c r="A4673" t="s">
        <v>9803</v>
      </c>
      <c r="B4673">
        <v>8673</v>
      </c>
      <c r="C4673" t="s">
        <v>9674</v>
      </c>
      <c r="D4673" t="s">
        <v>9550</v>
      </c>
      <c r="E4673" t="s">
        <v>9804</v>
      </c>
      <c r="F4673" t="s">
        <v>9545</v>
      </c>
    </row>
    <row r="4674" spans="1:6">
      <c r="A4674" t="s">
        <v>9803</v>
      </c>
      <c r="B4674">
        <v>8849</v>
      </c>
      <c r="C4674" t="s">
        <v>9674</v>
      </c>
      <c r="D4674" t="s">
        <v>9550</v>
      </c>
      <c r="E4674" t="s">
        <v>9804</v>
      </c>
      <c r="F4674" t="s">
        <v>9545</v>
      </c>
    </row>
    <row r="4675" spans="1:6">
      <c r="A4675" t="s">
        <v>9803</v>
      </c>
      <c r="B4675">
        <v>7969</v>
      </c>
      <c r="C4675" t="s">
        <v>9674</v>
      </c>
      <c r="D4675" t="s">
        <v>9550</v>
      </c>
      <c r="E4675" t="s">
        <v>9804</v>
      </c>
      <c r="F4675" t="s">
        <v>9545</v>
      </c>
    </row>
    <row r="4676" spans="1:6">
      <c r="A4676" t="s">
        <v>9803</v>
      </c>
      <c r="B4676">
        <v>8675</v>
      </c>
      <c r="C4676" t="s">
        <v>9674</v>
      </c>
      <c r="D4676" t="s">
        <v>9550</v>
      </c>
      <c r="E4676" t="s">
        <v>9804</v>
      </c>
      <c r="F4676" t="s">
        <v>9545</v>
      </c>
    </row>
    <row r="4677" spans="1:6">
      <c r="A4677" t="s">
        <v>9803</v>
      </c>
      <c r="B4677">
        <v>8847</v>
      </c>
      <c r="C4677" t="s">
        <v>9674</v>
      </c>
      <c r="D4677" t="s">
        <v>9550</v>
      </c>
      <c r="E4677" t="s">
        <v>9804</v>
      </c>
      <c r="F4677" t="s">
        <v>9545</v>
      </c>
    </row>
    <row r="4678" spans="1:6">
      <c r="A4678" t="s">
        <v>9803</v>
      </c>
      <c r="B4678">
        <v>8840</v>
      </c>
      <c r="C4678" t="s">
        <v>9674</v>
      </c>
      <c r="D4678" t="s">
        <v>9550</v>
      </c>
      <c r="E4678" t="s">
        <v>9804</v>
      </c>
      <c r="F4678" t="s">
        <v>9545</v>
      </c>
    </row>
    <row r="4679" spans="1:6">
      <c r="A4679" t="s">
        <v>9803</v>
      </c>
      <c r="B4679">
        <v>8834</v>
      </c>
      <c r="C4679" t="s">
        <v>9674</v>
      </c>
      <c r="D4679" t="s">
        <v>9550</v>
      </c>
      <c r="E4679" t="s">
        <v>9804</v>
      </c>
      <c r="F4679" t="s">
        <v>9545</v>
      </c>
    </row>
    <row r="4680" spans="1:6">
      <c r="A4680" t="s">
        <v>9803</v>
      </c>
      <c r="B4680">
        <v>4348</v>
      </c>
      <c r="C4680" t="s">
        <v>9674</v>
      </c>
      <c r="D4680" t="s">
        <v>9550</v>
      </c>
      <c r="E4680" t="s">
        <v>9804</v>
      </c>
      <c r="F4680" t="s">
        <v>9545</v>
      </c>
    </row>
    <row r="4681" spans="1:6">
      <c r="A4681" t="s">
        <v>9803</v>
      </c>
      <c r="B4681">
        <v>4253</v>
      </c>
      <c r="C4681" t="s">
        <v>9674</v>
      </c>
      <c r="D4681" t="s">
        <v>9550</v>
      </c>
      <c r="E4681" t="s">
        <v>9804</v>
      </c>
      <c r="F4681" t="s">
        <v>9545</v>
      </c>
    </row>
    <row r="4682" spans="1:6">
      <c r="A4682" t="s">
        <v>9803</v>
      </c>
      <c r="B4682">
        <v>2582</v>
      </c>
      <c r="C4682" t="s">
        <v>9674</v>
      </c>
      <c r="D4682" t="s">
        <v>9550</v>
      </c>
      <c r="E4682" t="s">
        <v>9804</v>
      </c>
      <c r="F4682" t="s">
        <v>9545</v>
      </c>
    </row>
    <row r="4683" spans="1:6">
      <c r="A4683" t="s">
        <v>9803</v>
      </c>
      <c r="B4683">
        <v>5457</v>
      </c>
      <c r="C4683" t="s">
        <v>9674</v>
      </c>
      <c r="D4683" t="s">
        <v>9550</v>
      </c>
      <c r="E4683" t="s">
        <v>9804</v>
      </c>
      <c r="F4683" t="s">
        <v>9545</v>
      </c>
    </row>
    <row r="4684" spans="1:6">
      <c r="A4684" t="s">
        <v>9803</v>
      </c>
      <c r="B4684">
        <v>4347</v>
      </c>
      <c r="C4684" t="s">
        <v>9674</v>
      </c>
      <c r="D4684" t="s">
        <v>9550</v>
      </c>
      <c r="E4684" t="s">
        <v>9804</v>
      </c>
      <c r="F4684" t="s">
        <v>9545</v>
      </c>
    </row>
    <row r="4685" spans="1:6">
      <c r="A4685" t="s">
        <v>9803</v>
      </c>
      <c r="B4685">
        <v>4362</v>
      </c>
      <c r="C4685" t="s">
        <v>9674</v>
      </c>
      <c r="D4685" t="s">
        <v>9550</v>
      </c>
      <c r="E4685" t="s">
        <v>9804</v>
      </c>
      <c r="F4685" t="s">
        <v>9545</v>
      </c>
    </row>
    <row r="4686" spans="1:6">
      <c r="A4686" t="s">
        <v>9803</v>
      </c>
      <c r="B4686">
        <v>4363</v>
      </c>
      <c r="C4686" t="s">
        <v>9674</v>
      </c>
      <c r="D4686" t="s">
        <v>9550</v>
      </c>
      <c r="E4686" t="s">
        <v>9804</v>
      </c>
      <c r="F4686" t="s">
        <v>9545</v>
      </c>
    </row>
    <row r="4687" spans="1:6">
      <c r="A4687" t="s">
        <v>9803</v>
      </c>
      <c r="B4687">
        <v>4367</v>
      </c>
      <c r="C4687" t="s">
        <v>9674</v>
      </c>
      <c r="D4687" t="s">
        <v>9550</v>
      </c>
      <c r="E4687" t="s">
        <v>9804</v>
      </c>
      <c r="F4687" t="s">
        <v>9545</v>
      </c>
    </row>
    <row r="4688" spans="1:6">
      <c r="A4688" t="s">
        <v>9803</v>
      </c>
      <c r="B4688">
        <v>4368</v>
      </c>
      <c r="C4688" t="s">
        <v>9674</v>
      </c>
      <c r="D4688" t="s">
        <v>9550</v>
      </c>
      <c r="E4688" t="s">
        <v>9804</v>
      </c>
      <c r="F4688" t="s">
        <v>9545</v>
      </c>
    </row>
    <row r="4689" spans="1:6">
      <c r="A4689" t="s">
        <v>9803</v>
      </c>
      <c r="B4689">
        <v>7327</v>
      </c>
      <c r="C4689" t="s">
        <v>9674</v>
      </c>
      <c r="D4689" t="s">
        <v>9550</v>
      </c>
      <c r="E4689" t="s">
        <v>9804</v>
      </c>
      <c r="F4689" t="s">
        <v>9545</v>
      </c>
    </row>
    <row r="4690" spans="1:6">
      <c r="A4690" t="s">
        <v>9803</v>
      </c>
      <c r="B4690">
        <v>7328</v>
      </c>
      <c r="C4690" t="s">
        <v>9674</v>
      </c>
      <c r="D4690" t="s">
        <v>9550</v>
      </c>
      <c r="E4690" t="s">
        <v>9804</v>
      </c>
      <c r="F4690" t="s">
        <v>9545</v>
      </c>
    </row>
    <row r="4691" spans="1:6">
      <c r="A4691" t="s">
        <v>9803</v>
      </c>
      <c r="B4691">
        <v>4365</v>
      </c>
      <c r="C4691" t="s">
        <v>9674</v>
      </c>
      <c r="D4691" t="s">
        <v>9550</v>
      </c>
      <c r="E4691" t="s">
        <v>9804</v>
      </c>
      <c r="F4691" t="s">
        <v>9545</v>
      </c>
    </row>
    <row r="4692" spans="1:6">
      <c r="A4692" t="s">
        <v>9803</v>
      </c>
      <c r="B4692">
        <v>4364</v>
      </c>
      <c r="C4692" t="s">
        <v>9674</v>
      </c>
      <c r="D4692" t="s">
        <v>9550</v>
      </c>
      <c r="E4692" t="s">
        <v>9804</v>
      </c>
      <c r="F4692" t="s">
        <v>9545</v>
      </c>
    </row>
    <row r="4693" spans="1:6">
      <c r="A4693" t="s">
        <v>9803</v>
      </c>
      <c r="B4693">
        <v>4194</v>
      </c>
      <c r="C4693" t="s">
        <v>9674</v>
      </c>
      <c r="D4693" t="s">
        <v>9550</v>
      </c>
      <c r="E4693" t="s">
        <v>9804</v>
      </c>
      <c r="F4693" t="s">
        <v>9545</v>
      </c>
    </row>
    <row r="4694" spans="1:6">
      <c r="A4694" t="s">
        <v>9803</v>
      </c>
      <c r="B4694">
        <v>4190</v>
      </c>
      <c r="C4694" t="s">
        <v>9674</v>
      </c>
      <c r="D4694" t="s">
        <v>9550</v>
      </c>
      <c r="E4694" t="s">
        <v>9804</v>
      </c>
      <c r="F4694" t="s">
        <v>9545</v>
      </c>
    </row>
    <row r="4695" spans="1:6">
      <c r="A4695" t="s">
        <v>9803</v>
      </c>
      <c r="B4695">
        <v>4251</v>
      </c>
      <c r="C4695" t="s">
        <v>9674</v>
      </c>
      <c r="D4695" t="s">
        <v>9550</v>
      </c>
      <c r="E4695" t="s">
        <v>9804</v>
      </c>
      <c r="F4695" t="s">
        <v>9545</v>
      </c>
    </row>
    <row r="4696" spans="1:6">
      <c r="A4696" t="s">
        <v>9803</v>
      </c>
      <c r="B4696">
        <v>4252</v>
      </c>
      <c r="C4696" t="s">
        <v>9674</v>
      </c>
      <c r="D4696" t="s">
        <v>9550</v>
      </c>
      <c r="E4696" t="s">
        <v>9804</v>
      </c>
      <c r="F4696" t="s">
        <v>9545</v>
      </c>
    </row>
    <row r="4697" spans="1:6">
      <c r="A4697" t="s">
        <v>9803</v>
      </c>
      <c r="B4697">
        <v>2583</v>
      </c>
      <c r="C4697" t="s">
        <v>9674</v>
      </c>
      <c r="D4697" t="s">
        <v>9550</v>
      </c>
      <c r="E4697" t="s">
        <v>9804</v>
      </c>
      <c r="F4697" t="s">
        <v>9545</v>
      </c>
    </row>
    <row r="4698" spans="1:6">
      <c r="A4698" t="s">
        <v>9803</v>
      </c>
      <c r="B4698">
        <v>5458</v>
      </c>
      <c r="C4698" t="s">
        <v>9674</v>
      </c>
      <c r="D4698" t="s">
        <v>9550</v>
      </c>
      <c r="E4698" t="s">
        <v>9804</v>
      </c>
      <c r="F4698" t="s">
        <v>9545</v>
      </c>
    </row>
    <row r="4699" spans="1:6">
      <c r="A4699" t="s">
        <v>9803</v>
      </c>
      <c r="B4699">
        <v>7382</v>
      </c>
      <c r="C4699" t="s">
        <v>9674</v>
      </c>
      <c r="D4699" t="s">
        <v>9550</v>
      </c>
      <c r="E4699" t="s">
        <v>9804</v>
      </c>
      <c r="F4699" t="s">
        <v>9545</v>
      </c>
    </row>
    <row r="4700" spans="1:6">
      <c r="A4700" t="s">
        <v>9803</v>
      </c>
      <c r="B4700">
        <v>4192</v>
      </c>
      <c r="C4700" t="s">
        <v>9674</v>
      </c>
      <c r="D4700" t="s">
        <v>9550</v>
      </c>
      <c r="E4700" t="s">
        <v>9804</v>
      </c>
      <c r="F4700" t="s">
        <v>9545</v>
      </c>
    </row>
    <row r="4701" spans="1:6">
      <c r="A4701" t="s">
        <v>9803</v>
      </c>
      <c r="B4701">
        <v>4193</v>
      </c>
      <c r="C4701" t="s">
        <v>9674</v>
      </c>
      <c r="D4701" t="s">
        <v>9550</v>
      </c>
      <c r="E4701" t="s">
        <v>9804</v>
      </c>
      <c r="F4701" t="s">
        <v>9545</v>
      </c>
    </row>
    <row r="4702" spans="1:6">
      <c r="A4702" t="s">
        <v>9803</v>
      </c>
      <c r="B4702">
        <v>7973</v>
      </c>
      <c r="C4702" t="s">
        <v>9674</v>
      </c>
      <c r="D4702" t="s">
        <v>9550</v>
      </c>
      <c r="E4702" t="s">
        <v>9804</v>
      </c>
      <c r="F4702" t="s">
        <v>9545</v>
      </c>
    </row>
    <row r="4703" spans="1:6">
      <c r="A4703" t="s">
        <v>9803</v>
      </c>
      <c r="B4703">
        <v>7975</v>
      </c>
      <c r="C4703" t="s">
        <v>9674</v>
      </c>
      <c r="D4703" t="s">
        <v>9550</v>
      </c>
      <c r="E4703" t="s">
        <v>9804</v>
      </c>
      <c r="F4703" t="s">
        <v>9545</v>
      </c>
    </row>
    <row r="4704" spans="1:6">
      <c r="A4704" t="s">
        <v>9803</v>
      </c>
      <c r="B4704">
        <v>7974</v>
      </c>
      <c r="C4704" t="s">
        <v>9674</v>
      </c>
      <c r="D4704" t="s">
        <v>9550</v>
      </c>
      <c r="E4704" t="s">
        <v>9804</v>
      </c>
      <c r="F4704" t="s">
        <v>9545</v>
      </c>
    </row>
    <row r="4705" spans="1:6">
      <c r="A4705" t="s">
        <v>9803</v>
      </c>
      <c r="B4705">
        <v>7976</v>
      </c>
      <c r="C4705" t="s">
        <v>9674</v>
      </c>
      <c r="D4705" t="s">
        <v>9550</v>
      </c>
      <c r="E4705" t="s">
        <v>9804</v>
      </c>
      <c r="F4705" t="s">
        <v>9545</v>
      </c>
    </row>
    <row r="4706" spans="1:6">
      <c r="A4706" t="s">
        <v>9803</v>
      </c>
      <c r="B4706">
        <v>7836</v>
      </c>
      <c r="C4706" t="s">
        <v>9674</v>
      </c>
      <c r="D4706" t="s">
        <v>9550</v>
      </c>
      <c r="E4706" t="s">
        <v>9804</v>
      </c>
      <c r="F4706" t="s">
        <v>9545</v>
      </c>
    </row>
    <row r="4707" spans="1:6">
      <c r="A4707" t="s">
        <v>9803</v>
      </c>
      <c r="B4707">
        <v>7837</v>
      </c>
      <c r="C4707" t="s">
        <v>9674</v>
      </c>
      <c r="D4707" t="s">
        <v>9550</v>
      </c>
      <c r="E4707" t="s">
        <v>9804</v>
      </c>
      <c r="F4707" t="s">
        <v>9545</v>
      </c>
    </row>
    <row r="4708" spans="1:6">
      <c r="A4708" t="s">
        <v>9803</v>
      </c>
      <c r="B4708">
        <v>7379</v>
      </c>
      <c r="C4708" t="s">
        <v>9674</v>
      </c>
      <c r="D4708" t="s">
        <v>9550</v>
      </c>
      <c r="E4708" t="s">
        <v>9804</v>
      </c>
      <c r="F4708" t="s">
        <v>9545</v>
      </c>
    </row>
    <row r="4709" spans="1:6">
      <c r="A4709" t="s">
        <v>9803</v>
      </c>
      <c r="B4709">
        <v>7378</v>
      </c>
      <c r="C4709" t="s">
        <v>9674</v>
      </c>
      <c r="D4709" t="s">
        <v>9550</v>
      </c>
      <c r="E4709" t="s">
        <v>9804</v>
      </c>
      <c r="F4709" t="s">
        <v>9545</v>
      </c>
    </row>
    <row r="4710" spans="1:6">
      <c r="A4710" t="s">
        <v>9803</v>
      </c>
      <c r="B4710">
        <v>7948</v>
      </c>
      <c r="C4710" t="s">
        <v>9674</v>
      </c>
      <c r="D4710" t="s">
        <v>9550</v>
      </c>
      <c r="E4710" t="s">
        <v>9804</v>
      </c>
      <c r="F4710" t="s">
        <v>9545</v>
      </c>
    </row>
    <row r="4711" spans="1:6">
      <c r="A4711" t="s">
        <v>9803</v>
      </c>
      <c r="B4711">
        <v>7940</v>
      </c>
      <c r="C4711" t="s">
        <v>9674</v>
      </c>
      <c r="D4711" t="s">
        <v>9550</v>
      </c>
      <c r="E4711" t="s">
        <v>9804</v>
      </c>
      <c r="F4711" t="s">
        <v>9545</v>
      </c>
    </row>
    <row r="4712" spans="1:6">
      <c r="A4712" t="s">
        <v>9803</v>
      </c>
      <c r="B4712">
        <v>7941</v>
      </c>
      <c r="C4712" t="s">
        <v>9674</v>
      </c>
      <c r="D4712" t="s">
        <v>9550</v>
      </c>
      <c r="E4712" t="s">
        <v>9804</v>
      </c>
      <c r="F4712" t="s">
        <v>9545</v>
      </c>
    </row>
    <row r="4713" spans="1:6">
      <c r="A4713" t="s">
        <v>9803</v>
      </c>
      <c r="B4713">
        <v>7984</v>
      </c>
      <c r="C4713" t="s">
        <v>9674</v>
      </c>
      <c r="D4713" t="s">
        <v>9550</v>
      </c>
      <c r="E4713" t="s">
        <v>9804</v>
      </c>
      <c r="F4713" t="s">
        <v>9545</v>
      </c>
    </row>
    <row r="4714" spans="1:6">
      <c r="A4714" t="s">
        <v>9803</v>
      </c>
      <c r="B4714">
        <v>5495</v>
      </c>
      <c r="C4714" t="s">
        <v>9674</v>
      </c>
      <c r="D4714" t="s">
        <v>9550</v>
      </c>
      <c r="E4714" t="s">
        <v>9804</v>
      </c>
      <c r="F4714" t="s">
        <v>9545</v>
      </c>
    </row>
    <row r="4715" spans="1:6">
      <c r="A4715" t="s">
        <v>9803</v>
      </c>
      <c r="B4715">
        <v>9307</v>
      </c>
      <c r="C4715" t="s">
        <v>9674</v>
      </c>
      <c r="D4715" t="s">
        <v>9550</v>
      </c>
      <c r="E4715" t="s">
        <v>9804</v>
      </c>
      <c r="F4715" t="s">
        <v>9545</v>
      </c>
    </row>
    <row r="4716" spans="1:6">
      <c r="A4716" t="s">
        <v>9803</v>
      </c>
      <c r="B4716">
        <v>9306</v>
      </c>
      <c r="C4716" t="s">
        <v>9674</v>
      </c>
      <c r="D4716" t="s">
        <v>9550</v>
      </c>
      <c r="E4716" t="s">
        <v>9804</v>
      </c>
      <c r="F4716" t="s">
        <v>9545</v>
      </c>
    </row>
    <row r="4717" spans="1:6">
      <c r="A4717" t="s">
        <v>9809</v>
      </c>
      <c r="B4717">
        <v>1911</v>
      </c>
      <c r="C4717" t="s">
        <v>9674</v>
      </c>
      <c r="D4717" t="s">
        <v>9566</v>
      </c>
      <c r="E4717">
        <v>1370</v>
      </c>
      <c r="F4717" t="s">
        <v>9545</v>
      </c>
    </row>
    <row r="4718" spans="1:6">
      <c r="A4718" t="s">
        <v>9809</v>
      </c>
      <c r="B4718">
        <v>7809</v>
      </c>
      <c r="C4718" t="s">
        <v>9674</v>
      </c>
      <c r="D4718" t="s">
        <v>9566</v>
      </c>
      <c r="E4718">
        <v>1370</v>
      </c>
      <c r="F4718" t="s">
        <v>9545</v>
      </c>
    </row>
    <row r="4719" spans="1:6">
      <c r="A4719" t="s">
        <v>9809</v>
      </c>
      <c r="B4719">
        <v>7870</v>
      </c>
      <c r="C4719" t="s">
        <v>9674</v>
      </c>
      <c r="D4719" t="s">
        <v>9566</v>
      </c>
      <c r="E4719">
        <v>1370</v>
      </c>
      <c r="F4719" t="s">
        <v>9545</v>
      </c>
    </row>
    <row r="4720" spans="1:6">
      <c r="A4720" t="s">
        <v>9809</v>
      </c>
      <c r="B4720">
        <v>7871</v>
      </c>
      <c r="C4720" t="s">
        <v>9674</v>
      </c>
      <c r="D4720" t="s">
        <v>9566</v>
      </c>
      <c r="E4720">
        <v>1370</v>
      </c>
      <c r="F4720" t="s">
        <v>9545</v>
      </c>
    </row>
    <row r="4721" spans="1:6">
      <c r="A4721" t="s">
        <v>9809</v>
      </c>
      <c r="B4721">
        <v>7872</v>
      </c>
      <c r="C4721" t="s">
        <v>9674</v>
      </c>
      <c r="D4721" t="s">
        <v>9566</v>
      </c>
      <c r="E4721">
        <v>1370</v>
      </c>
      <c r="F4721" t="s">
        <v>9545</v>
      </c>
    </row>
    <row r="4722" spans="1:6">
      <c r="A4722" t="s">
        <v>9809</v>
      </c>
      <c r="B4722">
        <v>7873</v>
      </c>
      <c r="C4722" t="s">
        <v>9674</v>
      </c>
      <c r="D4722" t="s">
        <v>9566</v>
      </c>
      <c r="E4722">
        <v>1370</v>
      </c>
      <c r="F4722" t="s">
        <v>9545</v>
      </c>
    </row>
    <row r="4723" spans="1:6">
      <c r="A4723" t="s">
        <v>9809</v>
      </c>
      <c r="B4723">
        <v>7875</v>
      </c>
      <c r="C4723" t="s">
        <v>9674</v>
      </c>
      <c r="D4723" t="s">
        <v>9566</v>
      </c>
      <c r="E4723">
        <v>1370</v>
      </c>
      <c r="F4723" t="s">
        <v>9545</v>
      </c>
    </row>
    <row r="4724" spans="1:6">
      <c r="A4724" t="s">
        <v>9809</v>
      </c>
      <c r="B4724">
        <v>7901</v>
      </c>
      <c r="C4724" t="s">
        <v>9674</v>
      </c>
      <c r="D4724" t="s">
        <v>9566</v>
      </c>
      <c r="E4724">
        <v>1370</v>
      </c>
      <c r="F4724" t="s">
        <v>9545</v>
      </c>
    </row>
    <row r="4725" spans="1:6">
      <c r="A4725" t="s">
        <v>9809</v>
      </c>
      <c r="B4725">
        <v>7902</v>
      </c>
      <c r="C4725" t="s">
        <v>9674</v>
      </c>
      <c r="D4725" t="s">
        <v>9566</v>
      </c>
      <c r="E4725">
        <v>1370</v>
      </c>
      <c r="F4725" t="s">
        <v>9545</v>
      </c>
    </row>
    <row r="4726" spans="1:6">
      <c r="A4726" t="s">
        <v>9809</v>
      </c>
      <c r="B4726">
        <v>7967</v>
      </c>
      <c r="C4726" t="s">
        <v>9674</v>
      </c>
      <c r="D4726" t="s">
        <v>9566</v>
      </c>
      <c r="E4726">
        <v>1370</v>
      </c>
      <c r="F4726" t="s">
        <v>9545</v>
      </c>
    </row>
    <row r="4727" spans="1:6">
      <c r="A4727" t="s">
        <v>9809</v>
      </c>
      <c r="B4727">
        <v>7971</v>
      </c>
      <c r="C4727" t="s">
        <v>9674</v>
      </c>
      <c r="D4727" t="s">
        <v>9566</v>
      </c>
      <c r="E4727">
        <v>1370</v>
      </c>
      <c r="F4727" t="s">
        <v>9545</v>
      </c>
    </row>
    <row r="4728" spans="1:6">
      <c r="A4728" t="s">
        <v>9809</v>
      </c>
      <c r="B4728">
        <v>7972</v>
      </c>
      <c r="C4728" t="s">
        <v>9674</v>
      </c>
      <c r="D4728" t="s">
        <v>9566</v>
      </c>
      <c r="E4728">
        <v>1370</v>
      </c>
      <c r="F4728" t="s">
        <v>9545</v>
      </c>
    </row>
    <row r="4729" spans="1:6">
      <c r="A4729" t="s">
        <v>9809</v>
      </c>
      <c r="B4729">
        <v>7981</v>
      </c>
      <c r="C4729" t="s">
        <v>9674</v>
      </c>
      <c r="D4729" t="s">
        <v>9566</v>
      </c>
      <c r="E4729">
        <v>1370</v>
      </c>
      <c r="F4729" t="s">
        <v>9545</v>
      </c>
    </row>
    <row r="4730" spans="1:6">
      <c r="A4730" t="s">
        <v>9809</v>
      </c>
      <c r="B4730">
        <v>7995</v>
      </c>
      <c r="C4730" t="s">
        <v>9674</v>
      </c>
      <c r="D4730" t="s">
        <v>9566</v>
      </c>
      <c r="E4730">
        <v>1370</v>
      </c>
      <c r="F4730" t="s">
        <v>9545</v>
      </c>
    </row>
    <row r="4731" spans="1:6">
      <c r="A4731" t="s">
        <v>9809</v>
      </c>
      <c r="B4731">
        <v>7996</v>
      </c>
      <c r="C4731" t="s">
        <v>9674</v>
      </c>
      <c r="D4731" t="s">
        <v>9566</v>
      </c>
      <c r="E4731">
        <v>1370</v>
      </c>
      <c r="F4731" t="s">
        <v>9545</v>
      </c>
    </row>
    <row r="4732" spans="1:6">
      <c r="A4732" t="s">
        <v>9809</v>
      </c>
      <c r="B4732">
        <v>8014</v>
      </c>
      <c r="C4732" t="s">
        <v>9674</v>
      </c>
      <c r="D4732" t="s">
        <v>9566</v>
      </c>
      <c r="E4732">
        <v>1370</v>
      </c>
      <c r="F4732" t="s">
        <v>9545</v>
      </c>
    </row>
    <row r="4733" spans="1:6">
      <c r="A4733" t="s">
        <v>9809</v>
      </c>
      <c r="B4733">
        <v>8028</v>
      </c>
      <c r="C4733" t="s">
        <v>9674</v>
      </c>
      <c r="D4733" t="s">
        <v>9566</v>
      </c>
      <c r="E4733">
        <v>1370</v>
      </c>
      <c r="F4733" t="s">
        <v>9545</v>
      </c>
    </row>
    <row r="4734" spans="1:6">
      <c r="A4734" t="s">
        <v>9809</v>
      </c>
      <c r="B4734">
        <v>8038</v>
      </c>
      <c r="C4734" t="s">
        <v>9674</v>
      </c>
      <c r="D4734" t="s">
        <v>9566</v>
      </c>
      <c r="E4734">
        <v>1370</v>
      </c>
      <c r="F4734" t="s">
        <v>9545</v>
      </c>
    </row>
    <row r="4735" spans="1:6">
      <c r="A4735" t="s">
        <v>9809</v>
      </c>
      <c r="B4735">
        <v>8667</v>
      </c>
      <c r="C4735" t="s">
        <v>9674</v>
      </c>
      <c r="D4735" t="s">
        <v>9566</v>
      </c>
      <c r="E4735">
        <v>1370</v>
      </c>
      <c r="F4735" t="s">
        <v>9545</v>
      </c>
    </row>
    <row r="4736" spans="1:6">
      <c r="A4736" t="s">
        <v>9809</v>
      </c>
      <c r="B4736">
        <v>8677</v>
      </c>
      <c r="C4736" t="s">
        <v>9674</v>
      </c>
      <c r="D4736" t="s">
        <v>9566</v>
      </c>
      <c r="E4736">
        <v>1370</v>
      </c>
      <c r="F4736" t="s">
        <v>9545</v>
      </c>
    </row>
    <row r="4737" spans="1:6">
      <c r="A4737" t="s">
        <v>9809</v>
      </c>
      <c r="B4737">
        <v>8678</v>
      </c>
      <c r="C4737" t="s">
        <v>9674</v>
      </c>
      <c r="D4737" t="s">
        <v>9566</v>
      </c>
      <c r="E4737">
        <v>1370</v>
      </c>
      <c r="F4737" t="s">
        <v>9545</v>
      </c>
    </row>
    <row r="4738" spans="1:6">
      <c r="A4738" t="s">
        <v>9809</v>
      </c>
      <c r="B4738">
        <v>8720</v>
      </c>
      <c r="C4738" t="s">
        <v>9674</v>
      </c>
      <c r="D4738" t="s">
        <v>9566</v>
      </c>
      <c r="E4738">
        <v>1370</v>
      </c>
      <c r="F4738" t="s">
        <v>9545</v>
      </c>
    </row>
    <row r="4739" spans="1:6">
      <c r="A4739" t="s">
        <v>9809</v>
      </c>
      <c r="B4739">
        <v>8730</v>
      </c>
      <c r="C4739" t="s">
        <v>9674</v>
      </c>
      <c r="D4739" t="s">
        <v>9566</v>
      </c>
      <c r="E4739">
        <v>1370</v>
      </c>
      <c r="F4739" t="s">
        <v>9545</v>
      </c>
    </row>
    <row r="4740" spans="1:6">
      <c r="A4740" t="s">
        <v>9809</v>
      </c>
      <c r="B4740">
        <v>8740</v>
      </c>
      <c r="C4740" t="s">
        <v>9674</v>
      </c>
      <c r="D4740" t="s">
        <v>9566</v>
      </c>
      <c r="E4740">
        <v>1370</v>
      </c>
      <c r="F4740" t="s">
        <v>9545</v>
      </c>
    </row>
    <row r="4741" spans="1:6">
      <c r="A4741" t="s">
        <v>9809</v>
      </c>
      <c r="B4741">
        <v>8750</v>
      </c>
      <c r="C4741" t="s">
        <v>9674</v>
      </c>
      <c r="D4741" t="s">
        <v>9566</v>
      </c>
      <c r="E4741">
        <v>1370</v>
      </c>
      <c r="F4741" t="s">
        <v>9545</v>
      </c>
    </row>
    <row r="4742" spans="1:6">
      <c r="A4742" t="s">
        <v>9809</v>
      </c>
      <c r="B4742">
        <v>8832</v>
      </c>
      <c r="C4742" t="s">
        <v>9674</v>
      </c>
      <c r="D4742" t="s">
        <v>9566</v>
      </c>
      <c r="E4742">
        <v>1370</v>
      </c>
      <c r="F4742" t="s">
        <v>9545</v>
      </c>
    </row>
    <row r="4743" spans="1:6">
      <c r="A4743" t="s">
        <v>9809</v>
      </c>
      <c r="B4743">
        <v>8839</v>
      </c>
      <c r="C4743" t="s">
        <v>9674</v>
      </c>
      <c r="D4743" t="s">
        <v>9566</v>
      </c>
      <c r="E4743">
        <v>1370</v>
      </c>
      <c r="F4743" t="s">
        <v>9545</v>
      </c>
    </row>
    <row r="4744" spans="1:6">
      <c r="A4744" t="s">
        <v>9809</v>
      </c>
      <c r="B4744">
        <v>8843</v>
      </c>
      <c r="C4744" t="s">
        <v>9674</v>
      </c>
      <c r="D4744" t="s">
        <v>9566</v>
      </c>
      <c r="E4744">
        <v>1370</v>
      </c>
      <c r="F4744" t="s">
        <v>9545</v>
      </c>
    </row>
    <row r="4745" spans="1:6">
      <c r="A4745" t="s">
        <v>9809</v>
      </c>
      <c r="B4745">
        <v>8850</v>
      </c>
      <c r="C4745" t="s">
        <v>9674</v>
      </c>
      <c r="D4745" t="s">
        <v>9566</v>
      </c>
      <c r="E4745">
        <v>1370</v>
      </c>
      <c r="F4745" t="s">
        <v>9545</v>
      </c>
    </row>
    <row r="4746" spans="1:6">
      <c r="A4746" t="s">
        <v>9809</v>
      </c>
      <c r="B4746">
        <v>8852</v>
      </c>
      <c r="C4746" t="s">
        <v>9674</v>
      </c>
      <c r="D4746" t="s">
        <v>9566</v>
      </c>
      <c r="E4746">
        <v>1370</v>
      </c>
      <c r="F4746" t="s">
        <v>9545</v>
      </c>
    </row>
    <row r="4747" spans="1:6">
      <c r="A4747" t="s">
        <v>9809</v>
      </c>
      <c r="B4747">
        <v>8853</v>
      </c>
      <c r="C4747" t="s">
        <v>9674</v>
      </c>
      <c r="D4747" t="s">
        <v>9566</v>
      </c>
      <c r="E4747">
        <v>1370</v>
      </c>
      <c r="F4747" t="s">
        <v>9545</v>
      </c>
    </row>
    <row r="4748" spans="1:6">
      <c r="A4748" t="s">
        <v>9809</v>
      </c>
      <c r="B4748">
        <v>8886</v>
      </c>
      <c r="C4748" t="s">
        <v>9674</v>
      </c>
      <c r="D4748" t="s">
        <v>9566</v>
      </c>
      <c r="E4748">
        <v>1370</v>
      </c>
      <c r="F4748" t="s">
        <v>9545</v>
      </c>
    </row>
    <row r="4749" spans="1:6">
      <c r="A4749" t="s">
        <v>9809</v>
      </c>
      <c r="B4749">
        <v>1911</v>
      </c>
      <c r="C4749" t="s">
        <v>9674</v>
      </c>
      <c r="D4749" t="s">
        <v>9566</v>
      </c>
      <c r="E4749">
        <v>1370</v>
      </c>
      <c r="F4749" t="s">
        <v>9545</v>
      </c>
    </row>
    <row r="4750" spans="1:6">
      <c r="A4750" t="s">
        <v>9809</v>
      </c>
      <c r="B4750">
        <v>7809</v>
      </c>
      <c r="C4750" t="s">
        <v>9674</v>
      </c>
      <c r="D4750" t="s">
        <v>9566</v>
      </c>
      <c r="E4750">
        <v>1370</v>
      </c>
      <c r="F4750" t="s">
        <v>9545</v>
      </c>
    </row>
    <row r="4751" spans="1:6">
      <c r="A4751" t="s">
        <v>9809</v>
      </c>
      <c r="B4751">
        <v>7870</v>
      </c>
      <c r="C4751" t="s">
        <v>9674</v>
      </c>
      <c r="D4751" t="s">
        <v>9566</v>
      </c>
      <c r="E4751">
        <v>1370</v>
      </c>
      <c r="F4751" t="s">
        <v>9545</v>
      </c>
    </row>
    <row r="4752" spans="1:6">
      <c r="A4752" t="s">
        <v>9809</v>
      </c>
      <c r="B4752">
        <v>7871</v>
      </c>
      <c r="C4752" t="s">
        <v>9674</v>
      </c>
      <c r="D4752" t="s">
        <v>9566</v>
      </c>
      <c r="E4752">
        <v>1370</v>
      </c>
      <c r="F4752" t="s">
        <v>9545</v>
      </c>
    </row>
    <row r="4753" spans="1:6">
      <c r="A4753" t="s">
        <v>9809</v>
      </c>
      <c r="B4753">
        <v>7872</v>
      </c>
      <c r="C4753" t="s">
        <v>9674</v>
      </c>
      <c r="D4753" t="s">
        <v>9566</v>
      </c>
      <c r="E4753">
        <v>1370</v>
      </c>
      <c r="F4753" t="s">
        <v>9545</v>
      </c>
    </row>
    <row r="4754" spans="1:6">
      <c r="A4754" t="s">
        <v>9809</v>
      </c>
      <c r="B4754">
        <v>7873</v>
      </c>
      <c r="C4754" t="s">
        <v>9674</v>
      </c>
      <c r="D4754" t="s">
        <v>9566</v>
      </c>
      <c r="E4754">
        <v>1370</v>
      </c>
      <c r="F4754" t="s">
        <v>9545</v>
      </c>
    </row>
    <row r="4755" spans="1:6">
      <c r="A4755" t="s">
        <v>9809</v>
      </c>
      <c r="B4755">
        <v>7875</v>
      </c>
      <c r="C4755" t="s">
        <v>9674</v>
      </c>
      <c r="D4755" t="s">
        <v>9566</v>
      </c>
      <c r="E4755">
        <v>1370</v>
      </c>
      <c r="F4755" t="s">
        <v>9545</v>
      </c>
    </row>
    <row r="4756" spans="1:6">
      <c r="A4756" t="s">
        <v>9809</v>
      </c>
      <c r="B4756">
        <v>7901</v>
      </c>
      <c r="C4756" t="s">
        <v>9674</v>
      </c>
      <c r="D4756" t="s">
        <v>9566</v>
      </c>
      <c r="E4756">
        <v>1370</v>
      </c>
      <c r="F4756" t="s">
        <v>9545</v>
      </c>
    </row>
    <row r="4757" spans="1:6">
      <c r="A4757" t="s">
        <v>9809</v>
      </c>
      <c r="B4757">
        <v>7902</v>
      </c>
      <c r="C4757" t="s">
        <v>9674</v>
      </c>
      <c r="D4757" t="s">
        <v>9566</v>
      </c>
      <c r="E4757">
        <v>1370</v>
      </c>
      <c r="F4757" t="s">
        <v>9545</v>
      </c>
    </row>
    <row r="4758" spans="1:6">
      <c r="A4758" t="s">
        <v>9809</v>
      </c>
      <c r="B4758">
        <v>7967</v>
      </c>
      <c r="C4758" t="s">
        <v>9674</v>
      </c>
      <c r="D4758" t="s">
        <v>9566</v>
      </c>
      <c r="E4758">
        <v>1370</v>
      </c>
      <c r="F4758" t="s">
        <v>9545</v>
      </c>
    </row>
    <row r="4759" spans="1:6">
      <c r="A4759" t="s">
        <v>9809</v>
      </c>
      <c r="B4759">
        <v>7971</v>
      </c>
      <c r="C4759" t="s">
        <v>9674</v>
      </c>
      <c r="D4759" t="s">
        <v>9566</v>
      </c>
      <c r="E4759">
        <v>1370</v>
      </c>
      <c r="F4759" t="s">
        <v>9545</v>
      </c>
    </row>
    <row r="4760" spans="1:6">
      <c r="A4760" t="s">
        <v>9809</v>
      </c>
      <c r="B4760">
        <v>7972</v>
      </c>
      <c r="C4760" t="s">
        <v>9674</v>
      </c>
      <c r="D4760" t="s">
        <v>9566</v>
      </c>
      <c r="E4760">
        <v>1370</v>
      </c>
      <c r="F4760" t="s">
        <v>9545</v>
      </c>
    </row>
    <row r="4761" spans="1:6">
      <c r="A4761" t="s">
        <v>9809</v>
      </c>
      <c r="B4761">
        <v>7981</v>
      </c>
      <c r="C4761" t="s">
        <v>9674</v>
      </c>
      <c r="D4761" t="s">
        <v>9566</v>
      </c>
      <c r="E4761">
        <v>1370</v>
      </c>
      <c r="F4761" t="s">
        <v>9545</v>
      </c>
    </row>
    <row r="4762" spans="1:6">
      <c r="A4762" t="s">
        <v>9809</v>
      </c>
      <c r="B4762">
        <v>7995</v>
      </c>
      <c r="C4762" t="s">
        <v>9674</v>
      </c>
      <c r="D4762" t="s">
        <v>9566</v>
      </c>
      <c r="E4762">
        <v>1370</v>
      </c>
      <c r="F4762" t="s">
        <v>9545</v>
      </c>
    </row>
    <row r="4763" spans="1:6">
      <c r="A4763" t="s">
        <v>9809</v>
      </c>
      <c r="B4763">
        <v>7996</v>
      </c>
      <c r="C4763" t="s">
        <v>9674</v>
      </c>
      <c r="D4763" t="s">
        <v>9566</v>
      </c>
      <c r="E4763">
        <v>1370</v>
      </c>
      <c r="F4763" t="s">
        <v>9545</v>
      </c>
    </row>
    <row r="4764" spans="1:6">
      <c r="A4764" t="s">
        <v>9809</v>
      </c>
      <c r="B4764">
        <v>8014</v>
      </c>
      <c r="C4764" t="s">
        <v>9674</v>
      </c>
      <c r="D4764" t="s">
        <v>9566</v>
      </c>
      <c r="E4764">
        <v>1370</v>
      </c>
      <c r="F4764" t="s">
        <v>9545</v>
      </c>
    </row>
    <row r="4765" spans="1:6">
      <c r="A4765" t="s">
        <v>9809</v>
      </c>
      <c r="B4765">
        <v>8028</v>
      </c>
      <c r="C4765" t="s">
        <v>9674</v>
      </c>
      <c r="D4765" t="s">
        <v>9566</v>
      </c>
      <c r="E4765">
        <v>1370</v>
      </c>
      <c r="F4765" t="s">
        <v>9545</v>
      </c>
    </row>
    <row r="4766" spans="1:6">
      <c r="A4766" t="s">
        <v>9809</v>
      </c>
      <c r="B4766">
        <v>8038</v>
      </c>
      <c r="C4766" t="s">
        <v>9674</v>
      </c>
      <c r="D4766" t="s">
        <v>9566</v>
      </c>
      <c r="E4766">
        <v>1370</v>
      </c>
      <c r="F4766" t="s">
        <v>9545</v>
      </c>
    </row>
    <row r="4767" spans="1:6">
      <c r="A4767" t="s">
        <v>9809</v>
      </c>
      <c r="B4767">
        <v>8667</v>
      </c>
      <c r="C4767" t="s">
        <v>9674</v>
      </c>
      <c r="D4767" t="s">
        <v>9566</v>
      </c>
      <c r="E4767">
        <v>1370</v>
      </c>
      <c r="F4767" t="s">
        <v>9545</v>
      </c>
    </row>
    <row r="4768" spans="1:6">
      <c r="A4768" t="s">
        <v>9809</v>
      </c>
      <c r="B4768">
        <v>8677</v>
      </c>
      <c r="C4768" t="s">
        <v>9674</v>
      </c>
      <c r="D4768" t="s">
        <v>9566</v>
      </c>
      <c r="E4768">
        <v>1370</v>
      </c>
      <c r="F4768" t="s">
        <v>9545</v>
      </c>
    </row>
    <row r="4769" spans="1:6">
      <c r="A4769" t="s">
        <v>9809</v>
      </c>
      <c r="B4769">
        <v>8678</v>
      </c>
      <c r="C4769" t="s">
        <v>9674</v>
      </c>
      <c r="D4769" t="s">
        <v>9566</v>
      </c>
      <c r="E4769">
        <v>1370</v>
      </c>
      <c r="F4769" t="s">
        <v>9545</v>
      </c>
    </row>
    <row r="4770" spans="1:6">
      <c r="A4770" t="s">
        <v>9809</v>
      </c>
      <c r="B4770">
        <v>8720</v>
      </c>
      <c r="C4770" t="s">
        <v>9674</v>
      </c>
      <c r="D4770" t="s">
        <v>9566</v>
      </c>
      <c r="E4770">
        <v>1370</v>
      </c>
      <c r="F4770" t="s">
        <v>9545</v>
      </c>
    </row>
    <row r="4771" spans="1:6">
      <c r="A4771" t="s">
        <v>9809</v>
      </c>
      <c r="B4771">
        <v>8730</v>
      </c>
      <c r="C4771" t="s">
        <v>9674</v>
      </c>
      <c r="D4771" t="s">
        <v>9566</v>
      </c>
      <c r="E4771">
        <v>1370</v>
      </c>
      <c r="F4771" t="s">
        <v>9545</v>
      </c>
    </row>
    <row r="4772" spans="1:6">
      <c r="A4772" t="s">
        <v>9809</v>
      </c>
      <c r="B4772">
        <v>8740</v>
      </c>
      <c r="C4772" t="s">
        <v>9674</v>
      </c>
      <c r="D4772" t="s">
        <v>9566</v>
      </c>
      <c r="E4772">
        <v>1370</v>
      </c>
      <c r="F4772" t="s">
        <v>9545</v>
      </c>
    </row>
    <row r="4773" spans="1:6">
      <c r="A4773" t="s">
        <v>9809</v>
      </c>
      <c r="B4773">
        <v>8750</v>
      </c>
      <c r="C4773" t="s">
        <v>9674</v>
      </c>
      <c r="D4773" t="s">
        <v>9566</v>
      </c>
      <c r="E4773">
        <v>1370</v>
      </c>
      <c r="F4773" t="s">
        <v>9545</v>
      </c>
    </row>
    <row r="4774" spans="1:6">
      <c r="A4774" t="s">
        <v>9809</v>
      </c>
      <c r="B4774">
        <v>8832</v>
      </c>
      <c r="C4774" t="s">
        <v>9674</v>
      </c>
      <c r="D4774" t="s">
        <v>9566</v>
      </c>
      <c r="E4774">
        <v>1370</v>
      </c>
      <c r="F4774" t="s">
        <v>9545</v>
      </c>
    </row>
    <row r="4775" spans="1:6">
      <c r="A4775" t="s">
        <v>9809</v>
      </c>
      <c r="B4775">
        <v>8839</v>
      </c>
      <c r="C4775" t="s">
        <v>9674</v>
      </c>
      <c r="D4775" t="s">
        <v>9566</v>
      </c>
      <c r="E4775">
        <v>1370</v>
      </c>
      <c r="F4775" t="s">
        <v>9545</v>
      </c>
    </row>
    <row r="4776" spans="1:6">
      <c r="A4776" t="s">
        <v>9809</v>
      </c>
      <c r="B4776">
        <v>8843</v>
      </c>
      <c r="C4776" t="s">
        <v>9674</v>
      </c>
      <c r="D4776" t="s">
        <v>9566</v>
      </c>
      <c r="E4776">
        <v>1370</v>
      </c>
      <c r="F4776" t="s">
        <v>9545</v>
      </c>
    </row>
    <row r="4777" spans="1:6">
      <c r="A4777" t="s">
        <v>9809</v>
      </c>
      <c r="B4777">
        <v>8850</v>
      </c>
      <c r="C4777" t="s">
        <v>9674</v>
      </c>
      <c r="D4777" t="s">
        <v>9566</v>
      </c>
      <c r="E4777">
        <v>1370</v>
      </c>
      <c r="F4777" t="s">
        <v>9545</v>
      </c>
    </row>
    <row r="4778" spans="1:6">
      <c r="A4778" t="s">
        <v>9809</v>
      </c>
      <c r="B4778">
        <v>8852</v>
      </c>
      <c r="C4778" t="s">
        <v>9674</v>
      </c>
      <c r="D4778" t="s">
        <v>9566</v>
      </c>
      <c r="E4778">
        <v>1370</v>
      </c>
      <c r="F4778" t="s">
        <v>9545</v>
      </c>
    </row>
    <row r="4779" spans="1:6">
      <c r="A4779" t="s">
        <v>9809</v>
      </c>
      <c r="B4779">
        <v>8853</v>
      </c>
      <c r="C4779" t="s">
        <v>9674</v>
      </c>
      <c r="D4779" t="s">
        <v>9566</v>
      </c>
      <c r="E4779">
        <v>1370</v>
      </c>
      <c r="F4779" t="s">
        <v>9545</v>
      </c>
    </row>
    <row r="4780" spans="1:6">
      <c r="A4780" t="s">
        <v>9809</v>
      </c>
      <c r="B4780">
        <v>8886</v>
      </c>
      <c r="C4780" t="s">
        <v>9674</v>
      </c>
      <c r="D4780" t="s">
        <v>9566</v>
      </c>
      <c r="E4780">
        <v>1370</v>
      </c>
      <c r="F4780" t="s">
        <v>9545</v>
      </c>
    </row>
    <row r="4781" spans="1:6">
      <c r="A4781" t="s">
        <v>9810</v>
      </c>
      <c r="B4781">
        <v>8721</v>
      </c>
      <c r="C4781" t="s">
        <v>9674</v>
      </c>
      <c r="D4781" t="s">
        <v>9569</v>
      </c>
      <c r="E4781">
        <v>2212</v>
      </c>
      <c r="F4781" t="s">
        <v>9545</v>
      </c>
    </row>
    <row r="4782" spans="1:6">
      <c r="A4782" t="s">
        <v>9810</v>
      </c>
      <c r="B4782">
        <v>8731</v>
      </c>
      <c r="C4782" t="s">
        <v>9674</v>
      </c>
      <c r="D4782" t="s">
        <v>9569</v>
      </c>
      <c r="E4782">
        <v>2212</v>
      </c>
      <c r="F4782" t="s">
        <v>9545</v>
      </c>
    </row>
    <row r="4783" spans="1:6">
      <c r="A4783" t="s">
        <v>9810</v>
      </c>
      <c r="B4783">
        <v>7906</v>
      </c>
      <c r="C4783" t="s">
        <v>9674</v>
      </c>
      <c r="D4783" t="s">
        <v>9569</v>
      </c>
      <c r="E4783">
        <v>2212</v>
      </c>
      <c r="F4783" t="s">
        <v>9545</v>
      </c>
    </row>
    <row r="4784" spans="1:6">
      <c r="A4784" t="s">
        <v>9810</v>
      </c>
      <c r="B4784">
        <v>7916</v>
      </c>
      <c r="C4784" t="s">
        <v>9674</v>
      </c>
      <c r="D4784" t="s">
        <v>9569</v>
      </c>
      <c r="E4784">
        <v>2212</v>
      </c>
      <c r="F4784" t="s">
        <v>9545</v>
      </c>
    </row>
    <row r="4785" spans="1:6">
      <c r="A4785" t="s">
        <v>9810</v>
      </c>
      <c r="B4785">
        <v>8737</v>
      </c>
      <c r="C4785" t="s">
        <v>9674</v>
      </c>
      <c r="D4785" t="s">
        <v>9569</v>
      </c>
      <c r="E4785">
        <v>2212</v>
      </c>
      <c r="F4785" t="s">
        <v>9545</v>
      </c>
    </row>
    <row r="4786" spans="1:6">
      <c r="A4786" t="s">
        <v>9810</v>
      </c>
      <c r="B4786">
        <v>7917</v>
      </c>
      <c r="C4786" t="s">
        <v>9674</v>
      </c>
      <c r="D4786" t="s">
        <v>9569</v>
      </c>
      <c r="E4786">
        <v>2212</v>
      </c>
      <c r="F4786" t="s">
        <v>9545</v>
      </c>
    </row>
    <row r="4787" spans="1:6">
      <c r="A4787" t="s">
        <v>9810</v>
      </c>
      <c r="B4787">
        <v>7903</v>
      </c>
      <c r="C4787" t="s">
        <v>9674</v>
      </c>
      <c r="D4787" t="s">
        <v>9569</v>
      </c>
      <c r="E4787">
        <v>2212</v>
      </c>
      <c r="F4787" t="s">
        <v>9545</v>
      </c>
    </row>
    <row r="4788" spans="1:6">
      <c r="A4788" t="s">
        <v>9810</v>
      </c>
      <c r="B4788">
        <v>5455</v>
      </c>
      <c r="C4788" t="s">
        <v>9674</v>
      </c>
      <c r="D4788" t="s">
        <v>9569</v>
      </c>
      <c r="E4788">
        <v>2212</v>
      </c>
      <c r="F4788" t="s">
        <v>9545</v>
      </c>
    </row>
    <row r="4789" spans="1:6">
      <c r="A4789" t="s">
        <v>9810</v>
      </c>
      <c r="B4789">
        <v>5456</v>
      </c>
      <c r="C4789" t="s">
        <v>9674</v>
      </c>
      <c r="D4789" t="s">
        <v>9569</v>
      </c>
      <c r="E4789">
        <v>2212</v>
      </c>
      <c r="F4789" t="s">
        <v>9545</v>
      </c>
    </row>
    <row r="4790" spans="1:6">
      <c r="A4790" t="s">
        <v>9810</v>
      </c>
      <c r="B4790">
        <v>6391</v>
      </c>
      <c r="C4790" t="s">
        <v>9674</v>
      </c>
      <c r="D4790" t="s">
        <v>9569</v>
      </c>
      <c r="E4790">
        <v>2212</v>
      </c>
      <c r="F4790" t="s">
        <v>9545</v>
      </c>
    </row>
    <row r="4791" spans="1:6">
      <c r="A4791" t="s">
        <v>9810</v>
      </c>
      <c r="B4791">
        <v>7912</v>
      </c>
      <c r="C4791" t="s">
        <v>9674</v>
      </c>
      <c r="D4791" t="s">
        <v>9569</v>
      </c>
      <c r="E4791">
        <v>2212</v>
      </c>
      <c r="F4791" t="s">
        <v>9545</v>
      </c>
    </row>
    <row r="4792" spans="1:6">
      <c r="A4792" t="s">
        <v>9810</v>
      </c>
      <c r="B4792">
        <v>7913</v>
      </c>
      <c r="C4792" t="s">
        <v>9674</v>
      </c>
      <c r="D4792" t="s">
        <v>9569</v>
      </c>
      <c r="E4792">
        <v>2212</v>
      </c>
      <c r="F4792" t="s">
        <v>9545</v>
      </c>
    </row>
    <row r="4793" spans="1:6">
      <c r="A4793" t="s">
        <v>9810</v>
      </c>
      <c r="B4793">
        <v>7918</v>
      </c>
      <c r="C4793" t="s">
        <v>9674</v>
      </c>
      <c r="D4793" t="s">
        <v>9569</v>
      </c>
      <c r="E4793">
        <v>2212</v>
      </c>
      <c r="F4793" t="s">
        <v>9545</v>
      </c>
    </row>
    <row r="4794" spans="1:6">
      <c r="A4794" t="s">
        <v>9810</v>
      </c>
      <c r="B4794">
        <v>7919</v>
      </c>
      <c r="C4794" t="s">
        <v>9674</v>
      </c>
      <c r="D4794" t="s">
        <v>9569</v>
      </c>
      <c r="E4794">
        <v>2212</v>
      </c>
      <c r="F4794" t="s">
        <v>9545</v>
      </c>
    </row>
    <row r="4795" spans="1:6">
      <c r="A4795" t="s">
        <v>9810</v>
      </c>
      <c r="B4795">
        <v>8685</v>
      </c>
      <c r="C4795" t="s">
        <v>9674</v>
      </c>
      <c r="D4795" t="s">
        <v>9569</v>
      </c>
      <c r="E4795">
        <v>2212</v>
      </c>
      <c r="F4795" t="s">
        <v>9545</v>
      </c>
    </row>
    <row r="4796" spans="1:6">
      <c r="A4796" t="s">
        <v>9810</v>
      </c>
      <c r="B4796">
        <v>8686</v>
      </c>
      <c r="C4796" t="s">
        <v>9674</v>
      </c>
      <c r="D4796" t="s">
        <v>9569</v>
      </c>
      <c r="E4796">
        <v>2212</v>
      </c>
      <c r="F4796" t="s">
        <v>9545</v>
      </c>
    </row>
    <row r="4797" spans="1:6">
      <c r="A4797" t="s">
        <v>9810</v>
      </c>
      <c r="B4797">
        <v>8861</v>
      </c>
      <c r="C4797" t="s">
        <v>9674</v>
      </c>
      <c r="D4797" t="s">
        <v>9569</v>
      </c>
      <c r="E4797">
        <v>2212</v>
      </c>
      <c r="F4797" t="s">
        <v>9545</v>
      </c>
    </row>
    <row r="4798" spans="1:6">
      <c r="A4798" t="s">
        <v>9810</v>
      </c>
      <c r="B4798">
        <v>8862</v>
      </c>
      <c r="C4798" t="s">
        <v>9674</v>
      </c>
      <c r="D4798" t="s">
        <v>9569</v>
      </c>
      <c r="E4798">
        <v>2212</v>
      </c>
      <c r="F4798" t="s">
        <v>9545</v>
      </c>
    </row>
    <row r="4799" spans="1:6">
      <c r="A4799" t="s">
        <v>9810</v>
      </c>
      <c r="B4799">
        <v>8863</v>
      </c>
      <c r="C4799" t="s">
        <v>9674</v>
      </c>
      <c r="D4799" t="s">
        <v>9569</v>
      </c>
      <c r="E4799">
        <v>2212</v>
      </c>
      <c r="F4799" t="s">
        <v>9545</v>
      </c>
    </row>
    <row r="4800" spans="1:6">
      <c r="A4800" t="s">
        <v>9810</v>
      </c>
      <c r="B4800">
        <v>8683</v>
      </c>
      <c r="C4800" t="s">
        <v>9674</v>
      </c>
      <c r="D4800" t="s">
        <v>9569</v>
      </c>
      <c r="E4800">
        <v>2212</v>
      </c>
      <c r="F4800" t="s">
        <v>9545</v>
      </c>
    </row>
    <row r="4801" spans="1:6">
      <c r="A4801" t="s">
        <v>9810</v>
      </c>
      <c r="B4801">
        <v>8687</v>
      </c>
      <c r="C4801" t="s">
        <v>9674</v>
      </c>
      <c r="D4801" t="s">
        <v>9569</v>
      </c>
      <c r="E4801">
        <v>2212</v>
      </c>
      <c r="F4801" t="s">
        <v>9545</v>
      </c>
    </row>
    <row r="4802" spans="1:6">
      <c r="A4802" t="s">
        <v>9810</v>
      </c>
      <c r="B4802">
        <v>8870</v>
      </c>
      <c r="C4802" t="s">
        <v>9674</v>
      </c>
      <c r="D4802" t="s">
        <v>9569</v>
      </c>
      <c r="E4802">
        <v>2212</v>
      </c>
      <c r="F4802" t="s">
        <v>9545</v>
      </c>
    </row>
    <row r="4803" spans="1:6">
      <c r="A4803" t="s">
        <v>9810</v>
      </c>
      <c r="B4803">
        <v>8688</v>
      </c>
      <c r="C4803" t="s">
        <v>9674</v>
      </c>
      <c r="D4803" t="s">
        <v>9569</v>
      </c>
      <c r="E4803">
        <v>2212</v>
      </c>
      <c r="F4803" t="s">
        <v>9545</v>
      </c>
    </row>
    <row r="4804" spans="1:6">
      <c r="A4804" t="s">
        <v>9810</v>
      </c>
      <c r="B4804">
        <v>8855</v>
      </c>
      <c r="C4804" t="s">
        <v>9674</v>
      </c>
      <c r="D4804" t="s">
        <v>9569</v>
      </c>
      <c r="E4804">
        <v>2212</v>
      </c>
      <c r="F4804" t="s">
        <v>9545</v>
      </c>
    </row>
    <row r="4805" spans="1:6">
      <c r="A4805" t="s">
        <v>9810</v>
      </c>
      <c r="B4805">
        <v>8872</v>
      </c>
      <c r="C4805" t="s">
        <v>9674</v>
      </c>
      <c r="D4805" t="s">
        <v>9569</v>
      </c>
      <c r="E4805">
        <v>2212</v>
      </c>
      <c r="F4805" t="s">
        <v>9545</v>
      </c>
    </row>
    <row r="4806" spans="1:6">
      <c r="A4806" t="s">
        <v>9810</v>
      </c>
      <c r="B4806">
        <v>8874</v>
      </c>
      <c r="C4806" t="s">
        <v>9674</v>
      </c>
      <c r="D4806" t="s">
        <v>9569</v>
      </c>
      <c r="E4806">
        <v>2212</v>
      </c>
      <c r="F4806" t="s">
        <v>9545</v>
      </c>
    </row>
    <row r="4807" spans="1:6">
      <c r="A4807" t="s">
        <v>9810</v>
      </c>
      <c r="B4807">
        <v>6385</v>
      </c>
      <c r="C4807" t="s">
        <v>9674</v>
      </c>
      <c r="D4807" t="s">
        <v>9569</v>
      </c>
      <c r="E4807">
        <v>2212</v>
      </c>
      <c r="F4807" t="s">
        <v>9545</v>
      </c>
    </row>
    <row r="4808" spans="1:6">
      <c r="A4808" t="s">
        <v>9810</v>
      </c>
      <c r="B4808">
        <v>6386</v>
      </c>
      <c r="C4808" t="s">
        <v>9674</v>
      </c>
      <c r="D4808" t="s">
        <v>9569</v>
      </c>
      <c r="E4808">
        <v>2212</v>
      </c>
      <c r="F4808" t="s">
        <v>9545</v>
      </c>
    </row>
    <row r="4809" spans="1:6">
      <c r="A4809" t="s">
        <v>9810</v>
      </c>
      <c r="B4809">
        <v>6388</v>
      </c>
      <c r="C4809" t="s">
        <v>9674</v>
      </c>
      <c r="D4809" t="s">
        <v>9569</v>
      </c>
      <c r="E4809">
        <v>2212</v>
      </c>
      <c r="F4809" t="s">
        <v>9545</v>
      </c>
    </row>
    <row r="4810" spans="1:6">
      <c r="A4810" t="s">
        <v>9810</v>
      </c>
      <c r="B4810">
        <v>6389</v>
      </c>
      <c r="C4810" t="s">
        <v>9674</v>
      </c>
      <c r="D4810" t="s">
        <v>9569</v>
      </c>
      <c r="E4810">
        <v>2212</v>
      </c>
      <c r="F4810" t="s">
        <v>9545</v>
      </c>
    </row>
    <row r="4811" spans="1:6">
      <c r="A4811" t="s">
        <v>9810</v>
      </c>
      <c r="B4811">
        <v>6390</v>
      </c>
      <c r="C4811" t="s">
        <v>9674</v>
      </c>
      <c r="D4811" t="s">
        <v>9569</v>
      </c>
      <c r="E4811">
        <v>2212</v>
      </c>
      <c r="F4811" t="s">
        <v>9545</v>
      </c>
    </row>
    <row r="4812" spans="1:6">
      <c r="A4812" t="s">
        <v>9810</v>
      </c>
      <c r="B4812">
        <v>7321</v>
      </c>
      <c r="C4812" t="s">
        <v>9674</v>
      </c>
      <c r="D4812" t="s">
        <v>9569</v>
      </c>
      <c r="E4812">
        <v>2212</v>
      </c>
      <c r="F4812" t="s">
        <v>9545</v>
      </c>
    </row>
    <row r="4813" spans="1:6">
      <c r="A4813" t="s">
        <v>9810</v>
      </c>
      <c r="B4813">
        <v>7831</v>
      </c>
      <c r="C4813" t="s">
        <v>9674</v>
      </c>
      <c r="D4813" t="s">
        <v>9569</v>
      </c>
      <c r="E4813">
        <v>2212</v>
      </c>
      <c r="F4813" t="s">
        <v>9545</v>
      </c>
    </row>
    <row r="4814" spans="1:6">
      <c r="A4814" t="s">
        <v>9810</v>
      </c>
      <c r="B4814">
        <v>7832</v>
      </c>
      <c r="C4814" t="s">
        <v>9674</v>
      </c>
      <c r="D4814" t="s">
        <v>9569</v>
      </c>
      <c r="E4814">
        <v>2212</v>
      </c>
      <c r="F4814" t="s">
        <v>9545</v>
      </c>
    </row>
    <row r="4815" spans="1:6">
      <c r="A4815" t="s">
        <v>9810</v>
      </c>
      <c r="B4815">
        <v>7833</v>
      </c>
      <c r="C4815" t="s">
        <v>9674</v>
      </c>
      <c r="D4815" t="s">
        <v>9569</v>
      </c>
      <c r="E4815">
        <v>2212</v>
      </c>
      <c r="F4815" t="s">
        <v>9545</v>
      </c>
    </row>
    <row r="4816" spans="1:6">
      <c r="A4816" t="s">
        <v>9810</v>
      </c>
      <c r="B4816">
        <v>7834</v>
      </c>
      <c r="C4816" t="s">
        <v>9674</v>
      </c>
      <c r="D4816" t="s">
        <v>9569</v>
      </c>
      <c r="E4816">
        <v>2212</v>
      </c>
      <c r="F4816" t="s">
        <v>9545</v>
      </c>
    </row>
    <row r="4817" spans="1:6">
      <c r="A4817" t="s">
        <v>9810</v>
      </c>
      <c r="B4817">
        <v>8722</v>
      </c>
      <c r="C4817" t="s">
        <v>9674</v>
      </c>
      <c r="D4817" t="s">
        <v>9569</v>
      </c>
      <c r="E4817">
        <v>2212</v>
      </c>
      <c r="F4817" t="s">
        <v>9545</v>
      </c>
    </row>
    <row r="4818" spans="1:6">
      <c r="A4818" t="s">
        <v>9810</v>
      </c>
      <c r="B4818">
        <v>8733</v>
      </c>
      <c r="C4818" t="s">
        <v>9674</v>
      </c>
      <c r="D4818" t="s">
        <v>9569</v>
      </c>
      <c r="E4818">
        <v>2212</v>
      </c>
      <c r="F4818" t="s">
        <v>9545</v>
      </c>
    </row>
    <row r="4819" spans="1:6">
      <c r="A4819" t="s">
        <v>9810</v>
      </c>
      <c r="B4819">
        <v>8752</v>
      </c>
      <c r="C4819" t="s">
        <v>9674</v>
      </c>
      <c r="D4819" t="s">
        <v>9569</v>
      </c>
      <c r="E4819">
        <v>2212</v>
      </c>
      <c r="F4819" t="s">
        <v>9545</v>
      </c>
    </row>
    <row r="4820" spans="1:6">
      <c r="A4820" t="s">
        <v>9810</v>
      </c>
      <c r="B4820">
        <v>6205</v>
      </c>
      <c r="C4820" t="s">
        <v>9674</v>
      </c>
      <c r="D4820" t="s">
        <v>9569</v>
      </c>
      <c r="E4820">
        <v>2212</v>
      </c>
      <c r="F4820" t="s">
        <v>9545</v>
      </c>
    </row>
    <row r="4821" spans="1:6">
      <c r="A4821" t="s">
        <v>9810</v>
      </c>
      <c r="B4821">
        <v>7163</v>
      </c>
      <c r="C4821" t="s">
        <v>9674</v>
      </c>
      <c r="D4821" t="s">
        <v>9569</v>
      </c>
      <c r="E4821">
        <v>2212</v>
      </c>
      <c r="F4821" t="s">
        <v>9545</v>
      </c>
    </row>
    <row r="4822" spans="1:6">
      <c r="A4822" t="s">
        <v>9810</v>
      </c>
      <c r="B4822">
        <v>8877</v>
      </c>
      <c r="C4822" t="s">
        <v>9674</v>
      </c>
      <c r="D4822" t="s">
        <v>9569</v>
      </c>
      <c r="E4822">
        <v>2212</v>
      </c>
      <c r="F4822" t="s">
        <v>9545</v>
      </c>
    </row>
    <row r="4823" spans="1:6">
      <c r="A4823" t="s">
        <v>9810</v>
      </c>
      <c r="B4823">
        <v>7164</v>
      </c>
      <c r="C4823" t="s">
        <v>9674</v>
      </c>
      <c r="D4823" t="s">
        <v>9569</v>
      </c>
      <c r="E4823">
        <v>2212</v>
      </c>
      <c r="F4823" t="s">
        <v>9545</v>
      </c>
    </row>
    <row r="4824" spans="1:6">
      <c r="A4824" t="s">
        <v>9810</v>
      </c>
      <c r="B4824">
        <v>8865</v>
      </c>
      <c r="C4824" t="s">
        <v>9674</v>
      </c>
      <c r="D4824" t="s">
        <v>9569</v>
      </c>
      <c r="E4824">
        <v>2212</v>
      </c>
      <c r="F4824" t="s">
        <v>9545</v>
      </c>
    </row>
    <row r="4825" spans="1:6">
      <c r="A4825" t="s">
        <v>9810</v>
      </c>
      <c r="B4825">
        <v>8866</v>
      </c>
      <c r="C4825" t="s">
        <v>9674</v>
      </c>
      <c r="D4825" t="s">
        <v>9569</v>
      </c>
      <c r="E4825">
        <v>2212</v>
      </c>
      <c r="F4825" t="s">
        <v>9545</v>
      </c>
    </row>
    <row r="4826" spans="1:6">
      <c r="A4826" t="s">
        <v>9810</v>
      </c>
      <c r="B4826">
        <v>8864</v>
      </c>
      <c r="C4826" t="s">
        <v>9674</v>
      </c>
      <c r="D4826" t="s">
        <v>9569</v>
      </c>
      <c r="E4826">
        <v>2212</v>
      </c>
      <c r="F4826" t="s">
        <v>9545</v>
      </c>
    </row>
    <row r="4827" spans="1:6">
      <c r="A4827" t="s">
        <v>9810</v>
      </c>
      <c r="B4827">
        <v>7141</v>
      </c>
      <c r="C4827" t="s">
        <v>9674</v>
      </c>
      <c r="D4827" t="s">
        <v>9569</v>
      </c>
      <c r="E4827">
        <v>2212</v>
      </c>
      <c r="F4827" t="s">
        <v>9545</v>
      </c>
    </row>
    <row r="4828" spans="1:6">
      <c r="A4828" t="s">
        <v>9810</v>
      </c>
      <c r="B4828">
        <v>7143</v>
      </c>
      <c r="C4828" t="s">
        <v>9674</v>
      </c>
      <c r="D4828" t="s">
        <v>9569</v>
      </c>
      <c r="E4828">
        <v>2212</v>
      </c>
      <c r="F4828" t="s">
        <v>9545</v>
      </c>
    </row>
    <row r="4829" spans="1:6">
      <c r="A4829" t="s">
        <v>9810</v>
      </c>
      <c r="B4829">
        <v>7145</v>
      </c>
      <c r="C4829" t="s">
        <v>9674</v>
      </c>
      <c r="D4829" t="s">
        <v>9569</v>
      </c>
      <c r="E4829">
        <v>2212</v>
      </c>
      <c r="F4829" t="s">
        <v>9545</v>
      </c>
    </row>
    <row r="4830" spans="1:6">
      <c r="A4830" t="s">
        <v>9810</v>
      </c>
      <c r="B4830">
        <v>7147</v>
      </c>
      <c r="C4830" t="s">
        <v>9674</v>
      </c>
      <c r="D4830" t="s">
        <v>9569</v>
      </c>
      <c r="E4830">
        <v>2212</v>
      </c>
      <c r="F4830" t="s">
        <v>9545</v>
      </c>
    </row>
    <row r="4831" spans="1:6">
      <c r="A4831" t="s">
        <v>9810</v>
      </c>
      <c r="B4831">
        <v>3837</v>
      </c>
      <c r="C4831" t="s">
        <v>9674</v>
      </c>
      <c r="D4831" t="s">
        <v>9569</v>
      </c>
      <c r="E4831">
        <v>2212</v>
      </c>
      <c r="F4831" t="s">
        <v>9545</v>
      </c>
    </row>
    <row r="4832" spans="1:6">
      <c r="A4832" t="s">
        <v>9810</v>
      </c>
      <c r="B4832">
        <v>8878</v>
      </c>
      <c r="C4832" t="s">
        <v>9674</v>
      </c>
      <c r="D4832" t="s">
        <v>9569</v>
      </c>
      <c r="E4832">
        <v>2212</v>
      </c>
      <c r="F4832" t="s">
        <v>9545</v>
      </c>
    </row>
    <row r="4833" spans="1:6">
      <c r="A4833" t="s">
        <v>9810</v>
      </c>
      <c r="B4833">
        <v>8879</v>
      </c>
      <c r="C4833" t="s">
        <v>9674</v>
      </c>
      <c r="D4833" t="s">
        <v>9569</v>
      </c>
      <c r="E4833">
        <v>2212</v>
      </c>
      <c r="F4833" t="s">
        <v>9545</v>
      </c>
    </row>
    <row r="4834" spans="1:6">
      <c r="A4834" t="s">
        <v>9810</v>
      </c>
      <c r="B4834">
        <v>7233</v>
      </c>
      <c r="C4834" t="s">
        <v>9674</v>
      </c>
      <c r="D4834" t="s">
        <v>9569</v>
      </c>
      <c r="E4834">
        <v>2212</v>
      </c>
      <c r="F4834" t="s">
        <v>9545</v>
      </c>
    </row>
    <row r="4835" spans="1:6">
      <c r="A4835" t="s">
        <v>9810</v>
      </c>
      <c r="B4835">
        <v>5464</v>
      </c>
      <c r="C4835" t="s">
        <v>9674</v>
      </c>
      <c r="D4835" t="s">
        <v>9569</v>
      </c>
      <c r="E4835">
        <v>2212</v>
      </c>
      <c r="F4835" t="s">
        <v>9545</v>
      </c>
    </row>
    <row r="4836" spans="1:6">
      <c r="A4836" t="s">
        <v>9810</v>
      </c>
      <c r="B4836">
        <v>9532</v>
      </c>
      <c r="C4836" t="s">
        <v>9674</v>
      </c>
      <c r="D4836" t="s">
        <v>9569</v>
      </c>
      <c r="E4836">
        <v>2212</v>
      </c>
      <c r="F4836" t="s">
        <v>9545</v>
      </c>
    </row>
    <row r="4837" spans="1:6">
      <c r="A4837" t="s">
        <v>9810</v>
      </c>
      <c r="B4837">
        <v>5465</v>
      </c>
      <c r="C4837" t="s">
        <v>9674</v>
      </c>
      <c r="D4837" t="s">
        <v>9569</v>
      </c>
      <c r="E4837">
        <v>2212</v>
      </c>
      <c r="F4837" t="s">
        <v>9545</v>
      </c>
    </row>
    <row r="4838" spans="1:6">
      <c r="A4838" t="s">
        <v>9810</v>
      </c>
      <c r="B4838">
        <v>5456</v>
      </c>
      <c r="C4838" t="s">
        <v>9674</v>
      </c>
      <c r="D4838" t="s">
        <v>9569</v>
      </c>
      <c r="E4838">
        <v>2212</v>
      </c>
      <c r="F4838" t="s">
        <v>9545</v>
      </c>
    </row>
    <row r="4839" spans="1:6">
      <c r="A4839" t="s">
        <v>9810</v>
      </c>
      <c r="B4839">
        <v>7148</v>
      </c>
      <c r="C4839" t="s">
        <v>9674</v>
      </c>
      <c r="D4839" t="s">
        <v>9569</v>
      </c>
      <c r="E4839">
        <v>2212</v>
      </c>
      <c r="F4839" t="s">
        <v>9545</v>
      </c>
    </row>
    <row r="4840" spans="1:6">
      <c r="A4840" t="s">
        <v>9810</v>
      </c>
      <c r="B4840">
        <v>7385</v>
      </c>
      <c r="C4840" t="s">
        <v>9674</v>
      </c>
      <c r="D4840" t="s">
        <v>9569</v>
      </c>
      <c r="E4840">
        <v>2212</v>
      </c>
      <c r="F4840" t="s">
        <v>9545</v>
      </c>
    </row>
    <row r="4841" spans="1:6">
      <c r="A4841" t="s">
        <v>9810</v>
      </c>
      <c r="B4841">
        <v>7162</v>
      </c>
      <c r="C4841" t="s">
        <v>9674</v>
      </c>
      <c r="D4841" t="s">
        <v>9569</v>
      </c>
      <c r="E4841">
        <v>2212</v>
      </c>
      <c r="F4841" t="s">
        <v>9545</v>
      </c>
    </row>
    <row r="4842" spans="1:6">
      <c r="A4842" t="s">
        <v>9810</v>
      </c>
      <c r="B4842">
        <v>6241</v>
      </c>
      <c r="C4842" t="s">
        <v>9674</v>
      </c>
      <c r="D4842" t="s">
        <v>9569</v>
      </c>
      <c r="E4842">
        <v>2212</v>
      </c>
      <c r="F4842" t="s">
        <v>9545</v>
      </c>
    </row>
    <row r="4843" spans="1:6">
      <c r="A4843" t="s">
        <v>9810</v>
      </c>
      <c r="B4843">
        <v>8721</v>
      </c>
      <c r="C4843" t="s">
        <v>9674</v>
      </c>
      <c r="D4843" t="s">
        <v>9569</v>
      </c>
      <c r="E4843">
        <v>2212</v>
      </c>
      <c r="F4843" t="s">
        <v>9545</v>
      </c>
    </row>
    <row r="4844" spans="1:6">
      <c r="A4844" t="s">
        <v>9810</v>
      </c>
      <c r="B4844">
        <v>8731</v>
      </c>
      <c r="C4844" t="s">
        <v>9674</v>
      </c>
      <c r="D4844" t="s">
        <v>9569</v>
      </c>
      <c r="E4844">
        <v>2212</v>
      </c>
      <c r="F4844" t="s">
        <v>9545</v>
      </c>
    </row>
    <row r="4845" spans="1:6">
      <c r="A4845" t="s">
        <v>9810</v>
      </c>
      <c r="B4845">
        <v>7906</v>
      </c>
      <c r="C4845" t="s">
        <v>9674</v>
      </c>
      <c r="D4845" t="s">
        <v>9569</v>
      </c>
      <c r="E4845">
        <v>2212</v>
      </c>
      <c r="F4845" t="s">
        <v>9545</v>
      </c>
    </row>
    <row r="4846" spans="1:6">
      <c r="A4846" t="s">
        <v>9810</v>
      </c>
      <c r="B4846">
        <v>7916</v>
      </c>
      <c r="C4846" t="s">
        <v>9674</v>
      </c>
      <c r="D4846" t="s">
        <v>9569</v>
      </c>
      <c r="E4846">
        <v>2212</v>
      </c>
      <c r="F4846" t="s">
        <v>9545</v>
      </c>
    </row>
    <row r="4847" spans="1:6">
      <c r="A4847" t="s">
        <v>9810</v>
      </c>
      <c r="B4847">
        <v>8737</v>
      </c>
      <c r="C4847" t="s">
        <v>9674</v>
      </c>
      <c r="D4847" t="s">
        <v>9569</v>
      </c>
      <c r="E4847">
        <v>2212</v>
      </c>
      <c r="F4847" t="s">
        <v>9545</v>
      </c>
    </row>
    <row r="4848" spans="1:6">
      <c r="A4848" t="s">
        <v>9810</v>
      </c>
      <c r="B4848">
        <v>7917</v>
      </c>
      <c r="C4848" t="s">
        <v>9674</v>
      </c>
      <c r="D4848" t="s">
        <v>9569</v>
      </c>
      <c r="E4848">
        <v>2212</v>
      </c>
      <c r="F4848" t="s">
        <v>9545</v>
      </c>
    </row>
    <row r="4849" spans="1:6">
      <c r="A4849" t="s">
        <v>9810</v>
      </c>
      <c r="B4849">
        <v>7903</v>
      </c>
      <c r="C4849" t="s">
        <v>9674</v>
      </c>
      <c r="D4849" t="s">
        <v>9569</v>
      </c>
      <c r="E4849">
        <v>2212</v>
      </c>
      <c r="F4849" t="s">
        <v>9545</v>
      </c>
    </row>
    <row r="4850" spans="1:6">
      <c r="A4850" t="s">
        <v>9810</v>
      </c>
      <c r="B4850">
        <v>5455</v>
      </c>
      <c r="C4850" t="s">
        <v>9674</v>
      </c>
      <c r="D4850" t="s">
        <v>9569</v>
      </c>
      <c r="E4850">
        <v>2212</v>
      </c>
      <c r="F4850" t="s">
        <v>9545</v>
      </c>
    </row>
    <row r="4851" spans="1:6">
      <c r="A4851" t="s">
        <v>9810</v>
      </c>
      <c r="B4851">
        <v>5456</v>
      </c>
      <c r="C4851" t="s">
        <v>9674</v>
      </c>
      <c r="D4851" t="s">
        <v>9569</v>
      </c>
      <c r="E4851">
        <v>2212</v>
      </c>
      <c r="F4851" t="s">
        <v>9545</v>
      </c>
    </row>
    <row r="4852" spans="1:6">
      <c r="A4852" t="s">
        <v>9810</v>
      </c>
      <c r="B4852">
        <v>6391</v>
      </c>
      <c r="C4852" t="s">
        <v>9674</v>
      </c>
      <c r="D4852" t="s">
        <v>9569</v>
      </c>
      <c r="E4852">
        <v>2212</v>
      </c>
      <c r="F4852" t="s">
        <v>9545</v>
      </c>
    </row>
    <row r="4853" spans="1:6">
      <c r="A4853" t="s">
        <v>9810</v>
      </c>
      <c r="B4853">
        <v>7912</v>
      </c>
      <c r="C4853" t="s">
        <v>9674</v>
      </c>
      <c r="D4853" t="s">
        <v>9569</v>
      </c>
      <c r="E4853">
        <v>2212</v>
      </c>
      <c r="F4853" t="s">
        <v>9545</v>
      </c>
    </row>
    <row r="4854" spans="1:6">
      <c r="A4854" t="s">
        <v>9810</v>
      </c>
      <c r="B4854">
        <v>7913</v>
      </c>
      <c r="C4854" t="s">
        <v>9674</v>
      </c>
      <c r="D4854" t="s">
        <v>9569</v>
      </c>
      <c r="E4854">
        <v>2212</v>
      </c>
      <c r="F4854" t="s">
        <v>9545</v>
      </c>
    </row>
    <row r="4855" spans="1:6">
      <c r="A4855" t="s">
        <v>9810</v>
      </c>
      <c r="B4855">
        <v>7918</v>
      </c>
      <c r="C4855" t="s">
        <v>9674</v>
      </c>
      <c r="D4855" t="s">
        <v>9569</v>
      </c>
      <c r="E4855">
        <v>2212</v>
      </c>
      <c r="F4855" t="s">
        <v>9545</v>
      </c>
    </row>
    <row r="4856" spans="1:6">
      <c r="A4856" t="s">
        <v>9810</v>
      </c>
      <c r="B4856">
        <v>7919</v>
      </c>
      <c r="C4856" t="s">
        <v>9674</v>
      </c>
      <c r="D4856" t="s">
        <v>9569</v>
      </c>
      <c r="E4856">
        <v>2212</v>
      </c>
      <c r="F4856" t="s">
        <v>9545</v>
      </c>
    </row>
    <row r="4857" spans="1:6">
      <c r="A4857" t="s">
        <v>9810</v>
      </c>
      <c r="B4857">
        <v>8685</v>
      </c>
      <c r="C4857" t="s">
        <v>9674</v>
      </c>
      <c r="D4857" t="s">
        <v>9569</v>
      </c>
      <c r="E4857">
        <v>2212</v>
      </c>
      <c r="F4857" t="s">
        <v>9545</v>
      </c>
    </row>
    <row r="4858" spans="1:6">
      <c r="A4858" t="s">
        <v>9810</v>
      </c>
      <c r="B4858">
        <v>8686</v>
      </c>
      <c r="C4858" t="s">
        <v>9674</v>
      </c>
      <c r="D4858" t="s">
        <v>9569</v>
      </c>
      <c r="E4858">
        <v>2212</v>
      </c>
      <c r="F4858" t="s">
        <v>9545</v>
      </c>
    </row>
    <row r="4859" spans="1:6">
      <c r="A4859" t="s">
        <v>9810</v>
      </c>
      <c r="B4859">
        <v>8861</v>
      </c>
      <c r="C4859" t="s">
        <v>9674</v>
      </c>
      <c r="D4859" t="s">
        <v>9569</v>
      </c>
      <c r="E4859">
        <v>2212</v>
      </c>
      <c r="F4859" t="s">
        <v>9545</v>
      </c>
    </row>
    <row r="4860" spans="1:6">
      <c r="A4860" t="s">
        <v>9810</v>
      </c>
      <c r="B4860">
        <v>8862</v>
      </c>
      <c r="C4860" t="s">
        <v>9674</v>
      </c>
      <c r="D4860" t="s">
        <v>9569</v>
      </c>
      <c r="E4860">
        <v>2212</v>
      </c>
      <c r="F4860" t="s">
        <v>9545</v>
      </c>
    </row>
    <row r="4861" spans="1:6">
      <c r="A4861" t="s">
        <v>9810</v>
      </c>
      <c r="B4861">
        <v>8863</v>
      </c>
      <c r="C4861" t="s">
        <v>9674</v>
      </c>
      <c r="D4861" t="s">
        <v>9569</v>
      </c>
      <c r="E4861">
        <v>2212</v>
      </c>
      <c r="F4861" t="s">
        <v>9545</v>
      </c>
    </row>
    <row r="4862" spans="1:6">
      <c r="A4862" t="s">
        <v>9810</v>
      </c>
      <c r="B4862">
        <v>8683</v>
      </c>
      <c r="C4862" t="s">
        <v>9674</v>
      </c>
      <c r="D4862" t="s">
        <v>9569</v>
      </c>
      <c r="E4862">
        <v>2212</v>
      </c>
      <c r="F4862" t="s">
        <v>9545</v>
      </c>
    </row>
    <row r="4863" spans="1:6">
      <c r="A4863" t="s">
        <v>9810</v>
      </c>
      <c r="B4863">
        <v>8687</v>
      </c>
      <c r="C4863" t="s">
        <v>9674</v>
      </c>
      <c r="D4863" t="s">
        <v>9569</v>
      </c>
      <c r="E4863">
        <v>2212</v>
      </c>
      <c r="F4863" t="s">
        <v>9545</v>
      </c>
    </row>
    <row r="4864" spans="1:6">
      <c r="A4864" t="s">
        <v>9810</v>
      </c>
      <c r="B4864">
        <v>8870</v>
      </c>
      <c r="C4864" t="s">
        <v>9674</v>
      </c>
      <c r="D4864" t="s">
        <v>9569</v>
      </c>
      <c r="E4864">
        <v>2212</v>
      </c>
      <c r="F4864" t="s">
        <v>9545</v>
      </c>
    </row>
    <row r="4865" spans="1:6">
      <c r="A4865" t="s">
        <v>9810</v>
      </c>
      <c r="B4865">
        <v>8688</v>
      </c>
      <c r="C4865" t="s">
        <v>9674</v>
      </c>
      <c r="D4865" t="s">
        <v>9569</v>
      </c>
      <c r="E4865">
        <v>2212</v>
      </c>
      <c r="F4865" t="s">
        <v>9545</v>
      </c>
    </row>
    <row r="4866" spans="1:6">
      <c r="A4866" t="s">
        <v>9810</v>
      </c>
      <c r="B4866">
        <v>8855</v>
      </c>
      <c r="C4866" t="s">
        <v>9674</v>
      </c>
      <c r="D4866" t="s">
        <v>9569</v>
      </c>
      <c r="E4866">
        <v>2212</v>
      </c>
      <c r="F4866" t="s">
        <v>9545</v>
      </c>
    </row>
    <row r="4867" spans="1:6">
      <c r="A4867" t="s">
        <v>9810</v>
      </c>
      <c r="B4867">
        <v>8872</v>
      </c>
      <c r="C4867" t="s">
        <v>9674</v>
      </c>
      <c r="D4867" t="s">
        <v>9569</v>
      </c>
      <c r="E4867">
        <v>2212</v>
      </c>
      <c r="F4867" t="s">
        <v>9545</v>
      </c>
    </row>
    <row r="4868" spans="1:6">
      <c r="A4868" t="s">
        <v>9810</v>
      </c>
      <c r="B4868">
        <v>8874</v>
      </c>
      <c r="C4868" t="s">
        <v>9674</v>
      </c>
      <c r="D4868" t="s">
        <v>9569</v>
      </c>
      <c r="E4868">
        <v>2212</v>
      </c>
      <c r="F4868" t="s">
        <v>9545</v>
      </c>
    </row>
    <row r="4869" spans="1:6">
      <c r="A4869" t="s">
        <v>9810</v>
      </c>
      <c r="B4869">
        <v>6385</v>
      </c>
      <c r="C4869" t="s">
        <v>9674</v>
      </c>
      <c r="D4869" t="s">
        <v>9569</v>
      </c>
      <c r="E4869">
        <v>2212</v>
      </c>
      <c r="F4869" t="s">
        <v>9545</v>
      </c>
    </row>
    <row r="4870" spans="1:6">
      <c r="A4870" t="s">
        <v>9810</v>
      </c>
      <c r="B4870">
        <v>6386</v>
      </c>
      <c r="C4870" t="s">
        <v>9674</v>
      </c>
      <c r="D4870" t="s">
        <v>9569</v>
      </c>
      <c r="E4870">
        <v>2212</v>
      </c>
      <c r="F4870" t="s">
        <v>9545</v>
      </c>
    </row>
    <row r="4871" spans="1:6">
      <c r="A4871" t="s">
        <v>9810</v>
      </c>
      <c r="B4871">
        <v>6388</v>
      </c>
      <c r="C4871" t="s">
        <v>9674</v>
      </c>
      <c r="D4871" t="s">
        <v>9569</v>
      </c>
      <c r="E4871">
        <v>2212</v>
      </c>
      <c r="F4871" t="s">
        <v>9545</v>
      </c>
    </row>
    <row r="4872" spans="1:6">
      <c r="A4872" t="s">
        <v>9810</v>
      </c>
      <c r="B4872">
        <v>6389</v>
      </c>
      <c r="C4872" t="s">
        <v>9674</v>
      </c>
      <c r="D4872" t="s">
        <v>9569</v>
      </c>
      <c r="E4872">
        <v>2212</v>
      </c>
      <c r="F4872" t="s">
        <v>9545</v>
      </c>
    </row>
    <row r="4873" spans="1:6">
      <c r="A4873" t="s">
        <v>9810</v>
      </c>
      <c r="B4873">
        <v>6390</v>
      </c>
      <c r="C4873" t="s">
        <v>9674</v>
      </c>
      <c r="D4873" t="s">
        <v>9569</v>
      </c>
      <c r="E4873">
        <v>2212</v>
      </c>
      <c r="F4873" t="s">
        <v>9545</v>
      </c>
    </row>
    <row r="4874" spans="1:6">
      <c r="A4874" t="s">
        <v>9810</v>
      </c>
      <c r="B4874">
        <v>7321</v>
      </c>
      <c r="C4874" t="s">
        <v>9674</v>
      </c>
      <c r="D4874" t="s">
        <v>9569</v>
      </c>
      <c r="E4874">
        <v>2212</v>
      </c>
      <c r="F4874" t="s">
        <v>9545</v>
      </c>
    </row>
    <row r="4875" spans="1:6">
      <c r="A4875" t="s">
        <v>9810</v>
      </c>
      <c r="B4875">
        <v>7831</v>
      </c>
      <c r="C4875" t="s">
        <v>9674</v>
      </c>
      <c r="D4875" t="s">
        <v>9569</v>
      </c>
      <c r="E4875">
        <v>2212</v>
      </c>
      <c r="F4875" t="s">
        <v>9545</v>
      </c>
    </row>
    <row r="4876" spans="1:6">
      <c r="A4876" t="s">
        <v>9810</v>
      </c>
      <c r="B4876">
        <v>7832</v>
      </c>
      <c r="C4876" t="s">
        <v>9674</v>
      </c>
      <c r="D4876" t="s">
        <v>9569</v>
      </c>
      <c r="E4876">
        <v>2212</v>
      </c>
      <c r="F4876" t="s">
        <v>9545</v>
      </c>
    </row>
    <row r="4877" spans="1:6">
      <c r="A4877" t="s">
        <v>9810</v>
      </c>
      <c r="B4877">
        <v>7833</v>
      </c>
      <c r="C4877" t="s">
        <v>9674</v>
      </c>
      <c r="D4877" t="s">
        <v>9569</v>
      </c>
      <c r="E4877">
        <v>2212</v>
      </c>
      <c r="F4877" t="s">
        <v>9545</v>
      </c>
    </row>
    <row r="4878" spans="1:6">
      <c r="A4878" t="s">
        <v>9810</v>
      </c>
      <c r="B4878">
        <v>7834</v>
      </c>
      <c r="C4878" t="s">
        <v>9674</v>
      </c>
      <c r="D4878" t="s">
        <v>9569</v>
      </c>
      <c r="E4878">
        <v>2212</v>
      </c>
      <c r="F4878" t="s">
        <v>9545</v>
      </c>
    </row>
    <row r="4879" spans="1:6">
      <c r="A4879" t="s">
        <v>9810</v>
      </c>
      <c r="B4879">
        <v>8722</v>
      </c>
      <c r="C4879" t="s">
        <v>9674</v>
      </c>
      <c r="D4879" t="s">
        <v>9569</v>
      </c>
      <c r="E4879">
        <v>2212</v>
      </c>
      <c r="F4879" t="s">
        <v>9545</v>
      </c>
    </row>
    <row r="4880" spans="1:6">
      <c r="A4880" t="s">
        <v>9810</v>
      </c>
      <c r="B4880">
        <v>8733</v>
      </c>
      <c r="C4880" t="s">
        <v>9674</v>
      </c>
      <c r="D4880" t="s">
        <v>9569</v>
      </c>
      <c r="E4880">
        <v>2212</v>
      </c>
      <c r="F4880" t="s">
        <v>9545</v>
      </c>
    </row>
    <row r="4881" spans="1:6">
      <c r="A4881" t="s">
        <v>9810</v>
      </c>
      <c r="B4881">
        <v>8752</v>
      </c>
      <c r="C4881" t="s">
        <v>9674</v>
      </c>
      <c r="D4881" t="s">
        <v>9569</v>
      </c>
      <c r="E4881">
        <v>2212</v>
      </c>
      <c r="F4881" t="s">
        <v>9545</v>
      </c>
    </row>
    <row r="4882" spans="1:6">
      <c r="A4882" t="s">
        <v>9810</v>
      </c>
      <c r="B4882">
        <v>6205</v>
      </c>
      <c r="C4882" t="s">
        <v>9674</v>
      </c>
      <c r="D4882" t="s">
        <v>9569</v>
      </c>
      <c r="E4882">
        <v>2212</v>
      </c>
      <c r="F4882" t="s">
        <v>9545</v>
      </c>
    </row>
    <row r="4883" spans="1:6">
      <c r="A4883" t="s">
        <v>9810</v>
      </c>
      <c r="B4883">
        <v>7163</v>
      </c>
      <c r="C4883" t="s">
        <v>9674</v>
      </c>
      <c r="D4883" t="s">
        <v>9569</v>
      </c>
      <c r="E4883">
        <v>2212</v>
      </c>
      <c r="F4883" t="s">
        <v>9545</v>
      </c>
    </row>
    <row r="4884" spans="1:6">
      <c r="A4884" t="s">
        <v>9810</v>
      </c>
      <c r="B4884">
        <v>8877</v>
      </c>
      <c r="C4884" t="s">
        <v>9674</v>
      </c>
      <c r="D4884" t="s">
        <v>9569</v>
      </c>
      <c r="E4884">
        <v>2212</v>
      </c>
      <c r="F4884" t="s">
        <v>9545</v>
      </c>
    </row>
    <row r="4885" spans="1:6">
      <c r="A4885" t="s">
        <v>9810</v>
      </c>
      <c r="B4885">
        <v>7164</v>
      </c>
      <c r="C4885" t="s">
        <v>9674</v>
      </c>
      <c r="D4885" t="s">
        <v>9569</v>
      </c>
      <c r="E4885">
        <v>2212</v>
      </c>
      <c r="F4885" t="s">
        <v>9545</v>
      </c>
    </row>
    <row r="4886" spans="1:6">
      <c r="A4886" t="s">
        <v>9810</v>
      </c>
      <c r="B4886">
        <v>8865</v>
      </c>
      <c r="C4886" t="s">
        <v>9674</v>
      </c>
      <c r="D4886" t="s">
        <v>9569</v>
      </c>
      <c r="E4886">
        <v>2212</v>
      </c>
      <c r="F4886" t="s">
        <v>9545</v>
      </c>
    </row>
    <row r="4887" spans="1:6">
      <c r="A4887" t="s">
        <v>9810</v>
      </c>
      <c r="B4887">
        <v>8866</v>
      </c>
      <c r="C4887" t="s">
        <v>9674</v>
      </c>
      <c r="D4887" t="s">
        <v>9569</v>
      </c>
      <c r="E4887">
        <v>2212</v>
      </c>
      <c r="F4887" t="s">
        <v>9545</v>
      </c>
    </row>
    <row r="4888" spans="1:6">
      <c r="A4888" t="s">
        <v>9810</v>
      </c>
      <c r="B4888">
        <v>8864</v>
      </c>
      <c r="C4888" t="s">
        <v>9674</v>
      </c>
      <c r="D4888" t="s">
        <v>9569</v>
      </c>
      <c r="E4888">
        <v>2212</v>
      </c>
      <c r="F4888" t="s">
        <v>9545</v>
      </c>
    </row>
    <row r="4889" spans="1:6">
      <c r="A4889" t="s">
        <v>9810</v>
      </c>
      <c r="B4889">
        <v>7141</v>
      </c>
      <c r="C4889" t="s">
        <v>9674</v>
      </c>
      <c r="D4889" t="s">
        <v>9569</v>
      </c>
      <c r="E4889">
        <v>2212</v>
      </c>
      <c r="F4889" t="s">
        <v>9545</v>
      </c>
    </row>
    <row r="4890" spans="1:6">
      <c r="A4890" t="s">
        <v>9810</v>
      </c>
      <c r="B4890">
        <v>7143</v>
      </c>
      <c r="C4890" t="s">
        <v>9674</v>
      </c>
      <c r="D4890" t="s">
        <v>9569</v>
      </c>
      <c r="E4890">
        <v>2212</v>
      </c>
      <c r="F4890" t="s">
        <v>9545</v>
      </c>
    </row>
    <row r="4891" spans="1:6">
      <c r="A4891" t="s">
        <v>9810</v>
      </c>
      <c r="B4891">
        <v>7145</v>
      </c>
      <c r="C4891" t="s">
        <v>9674</v>
      </c>
      <c r="D4891" t="s">
        <v>9569</v>
      </c>
      <c r="E4891">
        <v>2212</v>
      </c>
      <c r="F4891" t="s">
        <v>9545</v>
      </c>
    </row>
    <row r="4892" spans="1:6">
      <c r="A4892" t="s">
        <v>9810</v>
      </c>
      <c r="B4892">
        <v>7147</v>
      </c>
      <c r="C4892" t="s">
        <v>9674</v>
      </c>
      <c r="D4892" t="s">
        <v>9569</v>
      </c>
      <c r="E4892">
        <v>2212</v>
      </c>
      <c r="F4892" t="s">
        <v>9545</v>
      </c>
    </row>
    <row r="4893" spans="1:6">
      <c r="A4893" t="s">
        <v>9810</v>
      </c>
      <c r="B4893">
        <v>3837</v>
      </c>
      <c r="C4893" t="s">
        <v>9674</v>
      </c>
      <c r="D4893" t="s">
        <v>9569</v>
      </c>
      <c r="E4893">
        <v>2212</v>
      </c>
      <c r="F4893" t="s">
        <v>9545</v>
      </c>
    </row>
    <row r="4894" spans="1:6">
      <c r="A4894" t="s">
        <v>9810</v>
      </c>
      <c r="B4894">
        <v>8878</v>
      </c>
      <c r="C4894" t="s">
        <v>9674</v>
      </c>
      <c r="D4894" t="s">
        <v>9569</v>
      </c>
      <c r="E4894">
        <v>2212</v>
      </c>
      <c r="F4894" t="s">
        <v>9545</v>
      </c>
    </row>
    <row r="4895" spans="1:6">
      <c r="A4895" t="s">
        <v>9810</v>
      </c>
      <c r="B4895">
        <v>8879</v>
      </c>
      <c r="C4895" t="s">
        <v>9674</v>
      </c>
      <c r="D4895" t="s">
        <v>9569</v>
      </c>
      <c r="E4895">
        <v>2212</v>
      </c>
      <c r="F4895" t="s">
        <v>9545</v>
      </c>
    </row>
    <row r="4896" spans="1:6">
      <c r="A4896" t="s">
        <v>9810</v>
      </c>
      <c r="B4896">
        <v>7233</v>
      </c>
      <c r="C4896" t="s">
        <v>9674</v>
      </c>
      <c r="D4896" t="s">
        <v>9569</v>
      </c>
      <c r="E4896">
        <v>2212</v>
      </c>
      <c r="F4896" t="s">
        <v>9545</v>
      </c>
    </row>
    <row r="4897" spans="1:6">
      <c r="A4897" t="s">
        <v>9810</v>
      </c>
      <c r="B4897">
        <v>5464</v>
      </c>
      <c r="C4897" t="s">
        <v>9674</v>
      </c>
      <c r="D4897" t="s">
        <v>9569</v>
      </c>
      <c r="E4897">
        <v>2212</v>
      </c>
      <c r="F4897" t="s">
        <v>9545</v>
      </c>
    </row>
    <row r="4898" spans="1:6">
      <c r="A4898" t="s">
        <v>9810</v>
      </c>
      <c r="B4898">
        <v>9532</v>
      </c>
      <c r="C4898" t="s">
        <v>9674</v>
      </c>
      <c r="D4898" t="s">
        <v>9569</v>
      </c>
      <c r="E4898">
        <v>2212</v>
      </c>
      <c r="F4898" t="s">
        <v>9545</v>
      </c>
    </row>
    <row r="4899" spans="1:6">
      <c r="A4899" t="s">
        <v>9810</v>
      </c>
      <c r="B4899">
        <v>5465</v>
      </c>
      <c r="C4899" t="s">
        <v>9674</v>
      </c>
      <c r="D4899" t="s">
        <v>9569</v>
      </c>
      <c r="E4899">
        <v>2212</v>
      </c>
      <c r="F4899" t="s">
        <v>9545</v>
      </c>
    </row>
    <row r="4900" spans="1:6">
      <c r="A4900" t="s">
        <v>9810</v>
      </c>
      <c r="B4900">
        <v>5456</v>
      </c>
      <c r="C4900" t="s">
        <v>9674</v>
      </c>
      <c r="D4900" t="s">
        <v>9569</v>
      </c>
      <c r="E4900">
        <v>2212</v>
      </c>
      <c r="F4900" t="s">
        <v>9545</v>
      </c>
    </row>
    <row r="4901" spans="1:6">
      <c r="A4901" t="s">
        <v>9810</v>
      </c>
      <c r="B4901">
        <v>7148</v>
      </c>
      <c r="C4901" t="s">
        <v>9674</v>
      </c>
      <c r="D4901" t="s">
        <v>9569</v>
      </c>
      <c r="E4901">
        <v>2212</v>
      </c>
      <c r="F4901" t="s">
        <v>9545</v>
      </c>
    </row>
    <row r="4902" spans="1:6">
      <c r="A4902" t="s">
        <v>9810</v>
      </c>
      <c r="B4902">
        <v>7385</v>
      </c>
      <c r="C4902" t="s">
        <v>9674</v>
      </c>
      <c r="D4902" t="s">
        <v>9569</v>
      </c>
      <c r="E4902">
        <v>2212</v>
      </c>
      <c r="F4902" t="s">
        <v>9545</v>
      </c>
    </row>
    <row r="4903" spans="1:6">
      <c r="A4903" t="s">
        <v>9810</v>
      </c>
      <c r="B4903">
        <v>7162</v>
      </c>
      <c r="C4903" t="s">
        <v>9674</v>
      </c>
      <c r="D4903" t="s">
        <v>9569</v>
      </c>
      <c r="E4903">
        <v>2212</v>
      </c>
      <c r="F4903" t="s">
        <v>9545</v>
      </c>
    </row>
    <row r="4904" spans="1:6">
      <c r="A4904" t="s">
        <v>9810</v>
      </c>
      <c r="B4904">
        <v>6241</v>
      </c>
      <c r="C4904" t="s">
        <v>9674</v>
      </c>
      <c r="D4904" t="s">
        <v>9569</v>
      </c>
      <c r="E4904">
        <v>2212</v>
      </c>
      <c r="F4904" t="s">
        <v>9545</v>
      </c>
    </row>
    <row r="4905" spans="1:6">
      <c r="A4905" t="s">
        <v>9811</v>
      </c>
      <c r="B4905">
        <v>8835</v>
      </c>
      <c r="C4905" t="s">
        <v>9674</v>
      </c>
      <c r="D4905" t="s">
        <v>9572</v>
      </c>
      <c r="E4905" t="s">
        <v>9812</v>
      </c>
      <c r="F4905" t="s">
        <v>9545</v>
      </c>
    </row>
    <row r="4906" spans="1:6">
      <c r="A4906" t="s">
        <v>9811</v>
      </c>
      <c r="B4906">
        <v>8848</v>
      </c>
      <c r="C4906" t="s">
        <v>9674</v>
      </c>
      <c r="D4906" t="s">
        <v>9572</v>
      </c>
      <c r="E4906" t="s">
        <v>9812</v>
      </c>
      <c r="F4906" t="s">
        <v>9545</v>
      </c>
    </row>
    <row r="4907" spans="1:6">
      <c r="A4907" t="s">
        <v>9811</v>
      </c>
      <c r="B4907">
        <v>7992</v>
      </c>
      <c r="C4907" t="s">
        <v>9674</v>
      </c>
      <c r="D4907" t="s">
        <v>9572</v>
      </c>
      <c r="E4907" t="s">
        <v>9812</v>
      </c>
      <c r="F4907" t="s">
        <v>9545</v>
      </c>
    </row>
    <row r="4908" spans="1:6">
      <c r="A4908" t="s">
        <v>9811</v>
      </c>
      <c r="B4908">
        <v>8830</v>
      </c>
      <c r="C4908" t="s">
        <v>9674</v>
      </c>
      <c r="D4908" t="s">
        <v>9572</v>
      </c>
      <c r="E4908" t="s">
        <v>9812</v>
      </c>
      <c r="F4908" t="s">
        <v>9545</v>
      </c>
    </row>
    <row r="4909" spans="1:6">
      <c r="A4909" t="s">
        <v>9811</v>
      </c>
      <c r="B4909">
        <v>8837</v>
      </c>
      <c r="C4909" t="s">
        <v>9674</v>
      </c>
      <c r="D4909" t="s">
        <v>9572</v>
      </c>
      <c r="E4909" t="s">
        <v>9812</v>
      </c>
      <c r="F4909" t="s">
        <v>9545</v>
      </c>
    </row>
    <row r="4910" spans="1:6">
      <c r="A4910" t="s">
        <v>9811</v>
      </c>
      <c r="B4910">
        <v>8827</v>
      </c>
      <c r="C4910" t="s">
        <v>9674</v>
      </c>
      <c r="D4910" t="s">
        <v>9572</v>
      </c>
      <c r="E4910" t="s">
        <v>9812</v>
      </c>
      <c r="F4910" t="s">
        <v>9545</v>
      </c>
    </row>
    <row r="4911" spans="1:6">
      <c r="A4911" t="s">
        <v>9811</v>
      </c>
      <c r="B4911">
        <v>8670</v>
      </c>
      <c r="C4911" t="s">
        <v>9674</v>
      </c>
      <c r="D4911" t="s">
        <v>9572</v>
      </c>
      <c r="E4911" t="s">
        <v>9812</v>
      </c>
      <c r="F4911" t="s">
        <v>9545</v>
      </c>
    </row>
    <row r="4912" spans="1:6">
      <c r="A4912" t="s">
        <v>9811</v>
      </c>
      <c r="B4912">
        <v>7977</v>
      </c>
      <c r="C4912" t="s">
        <v>9674</v>
      </c>
      <c r="D4912" t="s">
        <v>9572</v>
      </c>
      <c r="E4912" t="s">
        <v>9812</v>
      </c>
      <c r="F4912" t="s">
        <v>9545</v>
      </c>
    </row>
    <row r="4913" spans="1:6">
      <c r="A4913" t="s">
        <v>9811</v>
      </c>
      <c r="B4913">
        <v>7839</v>
      </c>
      <c r="C4913" t="s">
        <v>9674</v>
      </c>
      <c r="D4913" t="s">
        <v>9572</v>
      </c>
      <c r="E4913" t="s">
        <v>9812</v>
      </c>
      <c r="F4913" t="s">
        <v>9545</v>
      </c>
    </row>
    <row r="4914" spans="1:6">
      <c r="A4914" t="s">
        <v>9811</v>
      </c>
      <c r="B4914">
        <v>7380</v>
      </c>
      <c r="C4914" t="s">
        <v>9674</v>
      </c>
      <c r="D4914" t="s">
        <v>9572</v>
      </c>
      <c r="E4914" t="s">
        <v>9812</v>
      </c>
      <c r="F4914" t="s">
        <v>9545</v>
      </c>
    </row>
    <row r="4915" spans="1:6">
      <c r="A4915" t="s">
        <v>9811</v>
      </c>
      <c r="B4915">
        <v>7383</v>
      </c>
      <c r="C4915" t="s">
        <v>9674</v>
      </c>
      <c r="D4915" t="s">
        <v>9572</v>
      </c>
      <c r="E4915" t="s">
        <v>9812</v>
      </c>
      <c r="F4915" t="s">
        <v>9545</v>
      </c>
    </row>
    <row r="4916" spans="1:6">
      <c r="A4916" t="s">
        <v>9811</v>
      </c>
      <c r="B4916">
        <v>7160</v>
      </c>
      <c r="C4916" t="s">
        <v>9674</v>
      </c>
      <c r="D4916" t="s">
        <v>9572</v>
      </c>
      <c r="E4916" t="s">
        <v>9812</v>
      </c>
      <c r="F4916" t="s">
        <v>9545</v>
      </c>
    </row>
    <row r="4917" spans="1:6">
      <c r="A4917" t="s">
        <v>9811</v>
      </c>
      <c r="B4917">
        <v>7946</v>
      </c>
      <c r="C4917" t="s">
        <v>9674</v>
      </c>
      <c r="D4917" t="s">
        <v>9572</v>
      </c>
      <c r="E4917" t="s">
        <v>9812</v>
      </c>
      <c r="F4917" t="s">
        <v>9545</v>
      </c>
    </row>
    <row r="4918" spans="1:6">
      <c r="A4918" t="s">
        <v>9811</v>
      </c>
      <c r="B4918">
        <v>7978</v>
      </c>
      <c r="C4918" t="s">
        <v>9674</v>
      </c>
      <c r="D4918" t="s">
        <v>9572</v>
      </c>
      <c r="E4918" t="s">
        <v>9812</v>
      </c>
      <c r="F4918" t="s">
        <v>9545</v>
      </c>
    </row>
    <row r="4919" spans="1:6">
      <c r="A4919" t="s">
        <v>9811</v>
      </c>
      <c r="B4919">
        <v>7944</v>
      </c>
      <c r="C4919" t="s">
        <v>9674</v>
      </c>
      <c r="D4919" t="s">
        <v>9572</v>
      </c>
      <c r="E4919" t="s">
        <v>9812</v>
      </c>
      <c r="F4919" t="s">
        <v>9545</v>
      </c>
    </row>
    <row r="4920" spans="1:6">
      <c r="A4920" t="s">
        <v>9811</v>
      </c>
      <c r="B4920">
        <v>7914</v>
      </c>
      <c r="C4920" t="s">
        <v>9674</v>
      </c>
      <c r="D4920" t="s">
        <v>9572</v>
      </c>
      <c r="E4920" t="s">
        <v>9812</v>
      </c>
      <c r="F4920" t="s">
        <v>9545</v>
      </c>
    </row>
    <row r="4921" spans="1:6">
      <c r="A4921" t="s">
        <v>9811</v>
      </c>
      <c r="B4921">
        <v>7942</v>
      </c>
      <c r="C4921" t="s">
        <v>9674</v>
      </c>
      <c r="D4921" t="s">
        <v>9572</v>
      </c>
      <c r="E4921" t="s">
        <v>9812</v>
      </c>
      <c r="F4921" t="s">
        <v>9545</v>
      </c>
    </row>
    <row r="4922" spans="1:6">
      <c r="A4922" t="s">
        <v>9811</v>
      </c>
      <c r="B4922">
        <v>7376</v>
      </c>
      <c r="C4922" t="s">
        <v>9674</v>
      </c>
      <c r="D4922" t="s">
        <v>9572</v>
      </c>
      <c r="E4922" t="s">
        <v>9812</v>
      </c>
      <c r="F4922" t="s">
        <v>9545</v>
      </c>
    </row>
    <row r="4923" spans="1:6">
      <c r="A4923" t="s">
        <v>9811</v>
      </c>
      <c r="B4923">
        <v>7377</v>
      </c>
      <c r="C4923" t="s">
        <v>9674</v>
      </c>
      <c r="D4923" t="s">
        <v>9572</v>
      </c>
      <c r="E4923" t="s">
        <v>9812</v>
      </c>
      <c r="F4923" t="s">
        <v>9545</v>
      </c>
    </row>
    <row r="4924" spans="1:6">
      <c r="A4924" t="s">
        <v>9811</v>
      </c>
      <c r="B4924">
        <v>7158</v>
      </c>
      <c r="C4924" t="s">
        <v>9674</v>
      </c>
      <c r="D4924" t="s">
        <v>9572</v>
      </c>
      <c r="E4924" t="s">
        <v>9812</v>
      </c>
      <c r="F4924" t="s">
        <v>9545</v>
      </c>
    </row>
    <row r="4925" spans="1:6">
      <c r="A4925" t="s">
        <v>9811</v>
      </c>
      <c r="B4925">
        <v>7979</v>
      </c>
      <c r="C4925" t="s">
        <v>9674</v>
      </c>
      <c r="D4925" t="s">
        <v>9572</v>
      </c>
      <c r="E4925" t="s">
        <v>9812</v>
      </c>
      <c r="F4925" t="s">
        <v>9545</v>
      </c>
    </row>
    <row r="4926" spans="1:6">
      <c r="A4926" t="s">
        <v>9811</v>
      </c>
      <c r="B4926">
        <v>7947</v>
      </c>
      <c r="C4926" t="s">
        <v>9674</v>
      </c>
      <c r="D4926" t="s">
        <v>9572</v>
      </c>
      <c r="E4926" t="s">
        <v>9812</v>
      </c>
      <c r="F4926" t="s">
        <v>9545</v>
      </c>
    </row>
    <row r="4927" spans="1:6">
      <c r="A4927" t="s">
        <v>9811</v>
      </c>
      <c r="B4927">
        <v>5454</v>
      </c>
      <c r="C4927" t="s">
        <v>9674</v>
      </c>
      <c r="D4927" t="s">
        <v>9572</v>
      </c>
      <c r="E4927" t="s">
        <v>9812</v>
      </c>
      <c r="F4927" t="s">
        <v>9545</v>
      </c>
    </row>
    <row r="4928" spans="1:6">
      <c r="A4928" t="s">
        <v>9811</v>
      </c>
      <c r="B4928">
        <v>7945</v>
      </c>
      <c r="C4928" t="s">
        <v>9674</v>
      </c>
      <c r="D4928" t="s">
        <v>9572</v>
      </c>
      <c r="E4928" t="s">
        <v>9812</v>
      </c>
      <c r="F4928" t="s">
        <v>9545</v>
      </c>
    </row>
    <row r="4929" spans="1:6">
      <c r="A4929" t="s">
        <v>9811</v>
      </c>
      <c r="B4929">
        <v>7949</v>
      </c>
      <c r="C4929" t="s">
        <v>9674</v>
      </c>
      <c r="D4929" t="s">
        <v>9572</v>
      </c>
      <c r="E4929" t="s">
        <v>9812</v>
      </c>
      <c r="F4929" t="s">
        <v>9545</v>
      </c>
    </row>
    <row r="4930" spans="1:6">
      <c r="A4930" t="s">
        <v>9811</v>
      </c>
      <c r="B4930">
        <v>5460</v>
      </c>
      <c r="C4930" t="s">
        <v>9674</v>
      </c>
      <c r="D4930" t="s">
        <v>9572</v>
      </c>
      <c r="E4930" t="s">
        <v>9812</v>
      </c>
      <c r="F4930" t="s">
        <v>9545</v>
      </c>
    </row>
    <row r="4931" spans="1:6">
      <c r="A4931" t="s">
        <v>9811</v>
      </c>
      <c r="B4931">
        <v>5466</v>
      </c>
      <c r="C4931" t="s">
        <v>9674</v>
      </c>
      <c r="D4931" t="s">
        <v>9572</v>
      </c>
      <c r="E4931" t="s">
        <v>9812</v>
      </c>
      <c r="F4931" t="s">
        <v>9545</v>
      </c>
    </row>
    <row r="4932" spans="1:6">
      <c r="A4932" t="s">
        <v>9811</v>
      </c>
      <c r="B4932">
        <v>7915</v>
      </c>
      <c r="C4932" t="s">
        <v>9674</v>
      </c>
      <c r="D4932" t="s">
        <v>9572</v>
      </c>
      <c r="E4932" t="s">
        <v>9812</v>
      </c>
      <c r="F4932" t="s">
        <v>9545</v>
      </c>
    </row>
    <row r="4933" spans="1:6">
      <c r="A4933" t="s">
        <v>9811</v>
      </c>
      <c r="B4933">
        <v>7980</v>
      </c>
      <c r="C4933" t="s">
        <v>9674</v>
      </c>
      <c r="D4933" t="s">
        <v>9572</v>
      </c>
      <c r="E4933" t="s">
        <v>9812</v>
      </c>
      <c r="F4933" t="s">
        <v>9545</v>
      </c>
    </row>
    <row r="4934" spans="1:6">
      <c r="A4934" t="s">
        <v>9811</v>
      </c>
      <c r="B4934">
        <v>6630</v>
      </c>
      <c r="C4934" t="s">
        <v>9674</v>
      </c>
      <c r="D4934" t="s">
        <v>9572</v>
      </c>
      <c r="E4934" t="s">
        <v>9812</v>
      </c>
      <c r="F4934" t="s">
        <v>9545</v>
      </c>
    </row>
    <row r="4935" spans="1:6">
      <c r="A4935" t="s">
        <v>9811</v>
      </c>
      <c r="B4935">
        <v>7943</v>
      </c>
      <c r="C4935" t="s">
        <v>9674</v>
      </c>
      <c r="D4935" t="s">
        <v>9572</v>
      </c>
      <c r="E4935" t="s">
        <v>9812</v>
      </c>
      <c r="F4935" t="s">
        <v>9545</v>
      </c>
    </row>
    <row r="4936" spans="1:6">
      <c r="A4936" t="s">
        <v>9811</v>
      </c>
      <c r="B4936">
        <v>7985</v>
      </c>
      <c r="C4936" t="s">
        <v>9674</v>
      </c>
      <c r="D4936" t="s">
        <v>9572</v>
      </c>
      <c r="E4936" t="s">
        <v>9812</v>
      </c>
      <c r="F4936" t="s">
        <v>9545</v>
      </c>
    </row>
    <row r="4937" spans="1:6">
      <c r="A4937" t="s">
        <v>9811</v>
      </c>
      <c r="B4937">
        <v>8836</v>
      </c>
      <c r="C4937" t="s">
        <v>9674</v>
      </c>
      <c r="D4937" t="s">
        <v>9572</v>
      </c>
      <c r="E4937" t="s">
        <v>9812</v>
      </c>
      <c r="F4937" t="s">
        <v>9545</v>
      </c>
    </row>
    <row r="4938" spans="1:6">
      <c r="A4938" t="s">
        <v>9811</v>
      </c>
      <c r="B4938">
        <v>8671</v>
      </c>
      <c r="C4938" t="s">
        <v>9674</v>
      </c>
      <c r="D4938" t="s">
        <v>9572</v>
      </c>
      <c r="E4938" t="s">
        <v>9812</v>
      </c>
      <c r="F4938" t="s">
        <v>9545</v>
      </c>
    </row>
    <row r="4939" spans="1:6">
      <c r="A4939" t="s">
        <v>9811</v>
      </c>
      <c r="B4939">
        <v>8841</v>
      </c>
      <c r="C4939" t="s">
        <v>9674</v>
      </c>
      <c r="D4939" t="s">
        <v>9572</v>
      </c>
      <c r="E4939" t="s">
        <v>9812</v>
      </c>
      <c r="F4939" t="s">
        <v>9545</v>
      </c>
    </row>
    <row r="4940" spans="1:6">
      <c r="A4940" t="s">
        <v>9811</v>
      </c>
      <c r="B4940">
        <v>8672</v>
      </c>
      <c r="C4940" t="s">
        <v>9674</v>
      </c>
      <c r="D4940" t="s">
        <v>9572</v>
      </c>
      <c r="E4940" t="s">
        <v>9812</v>
      </c>
      <c r="F4940" t="s">
        <v>9545</v>
      </c>
    </row>
    <row r="4941" spans="1:6">
      <c r="A4941" t="s">
        <v>9811</v>
      </c>
      <c r="B4941">
        <v>8673</v>
      </c>
      <c r="C4941" t="s">
        <v>9674</v>
      </c>
      <c r="D4941" t="s">
        <v>9572</v>
      </c>
      <c r="E4941" t="s">
        <v>9812</v>
      </c>
      <c r="F4941" t="s">
        <v>9545</v>
      </c>
    </row>
    <row r="4942" spans="1:6">
      <c r="A4942" t="s">
        <v>9811</v>
      </c>
      <c r="B4942">
        <v>8849</v>
      </c>
      <c r="C4942" t="s">
        <v>9674</v>
      </c>
      <c r="D4942" t="s">
        <v>9572</v>
      </c>
      <c r="E4942" t="s">
        <v>9812</v>
      </c>
      <c r="F4942" t="s">
        <v>9545</v>
      </c>
    </row>
    <row r="4943" spans="1:6">
      <c r="A4943" t="s">
        <v>9811</v>
      </c>
      <c r="B4943">
        <v>7969</v>
      </c>
      <c r="C4943" t="s">
        <v>9674</v>
      </c>
      <c r="D4943" t="s">
        <v>9572</v>
      </c>
      <c r="E4943" t="s">
        <v>9812</v>
      </c>
      <c r="F4943" t="s">
        <v>9545</v>
      </c>
    </row>
    <row r="4944" spans="1:6">
      <c r="A4944" t="s">
        <v>9811</v>
      </c>
      <c r="B4944">
        <v>8675</v>
      </c>
      <c r="C4944" t="s">
        <v>9674</v>
      </c>
      <c r="D4944" t="s">
        <v>9572</v>
      </c>
      <c r="E4944" t="s">
        <v>9812</v>
      </c>
      <c r="F4944" t="s">
        <v>9545</v>
      </c>
    </row>
    <row r="4945" spans="1:6">
      <c r="A4945" t="s">
        <v>9811</v>
      </c>
      <c r="B4945">
        <v>8847</v>
      </c>
      <c r="C4945" t="s">
        <v>9674</v>
      </c>
      <c r="D4945" t="s">
        <v>9572</v>
      </c>
      <c r="E4945" t="s">
        <v>9812</v>
      </c>
      <c r="F4945" t="s">
        <v>9545</v>
      </c>
    </row>
    <row r="4946" spans="1:6">
      <c r="A4946" t="s">
        <v>9811</v>
      </c>
      <c r="B4946">
        <v>8840</v>
      </c>
      <c r="C4946" t="s">
        <v>9674</v>
      </c>
      <c r="D4946" t="s">
        <v>9572</v>
      </c>
      <c r="E4946" t="s">
        <v>9812</v>
      </c>
      <c r="F4946" t="s">
        <v>9545</v>
      </c>
    </row>
    <row r="4947" spans="1:6">
      <c r="A4947" t="s">
        <v>9811</v>
      </c>
      <c r="B4947">
        <v>8834</v>
      </c>
      <c r="C4947" t="s">
        <v>9674</v>
      </c>
      <c r="D4947" t="s">
        <v>9572</v>
      </c>
      <c r="E4947" t="s">
        <v>9812</v>
      </c>
      <c r="F4947" t="s">
        <v>9545</v>
      </c>
    </row>
    <row r="4948" spans="1:6">
      <c r="A4948" t="s">
        <v>9811</v>
      </c>
      <c r="B4948">
        <v>4348</v>
      </c>
      <c r="C4948" t="s">
        <v>9674</v>
      </c>
      <c r="D4948" t="s">
        <v>9572</v>
      </c>
      <c r="E4948" t="s">
        <v>9812</v>
      </c>
      <c r="F4948" t="s">
        <v>9545</v>
      </c>
    </row>
    <row r="4949" spans="1:6">
      <c r="A4949" t="s">
        <v>9811</v>
      </c>
      <c r="B4949">
        <v>4253</v>
      </c>
      <c r="C4949" t="s">
        <v>9674</v>
      </c>
      <c r="D4949" t="s">
        <v>9572</v>
      </c>
      <c r="E4949" t="s">
        <v>9812</v>
      </c>
      <c r="F4949" t="s">
        <v>9545</v>
      </c>
    </row>
    <row r="4950" spans="1:6">
      <c r="A4950" t="s">
        <v>9811</v>
      </c>
      <c r="B4950">
        <v>2582</v>
      </c>
      <c r="C4950" t="s">
        <v>9674</v>
      </c>
      <c r="D4950" t="s">
        <v>9572</v>
      </c>
      <c r="E4950" t="s">
        <v>9812</v>
      </c>
      <c r="F4950" t="s">
        <v>9545</v>
      </c>
    </row>
    <row r="4951" spans="1:6">
      <c r="A4951" t="s">
        <v>9811</v>
      </c>
      <c r="B4951">
        <v>5457</v>
      </c>
      <c r="C4951" t="s">
        <v>9674</v>
      </c>
      <c r="D4951" t="s">
        <v>9572</v>
      </c>
      <c r="E4951" t="s">
        <v>9812</v>
      </c>
      <c r="F4951" t="s">
        <v>9545</v>
      </c>
    </row>
    <row r="4952" spans="1:6">
      <c r="A4952" t="s">
        <v>9811</v>
      </c>
      <c r="B4952">
        <v>4347</v>
      </c>
      <c r="C4952" t="s">
        <v>9674</v>
      </c>
      <c r="D4952" t="s">
        <v>9572</v>
      </c>
      <c r="E4952" t="s">
        <v>9812</v>
      </c>
      <c r="F4952" t="s">
        <v>9545</v>
      </c>
    </row>
    <row r="4953" spans="1:6">
      <c r="A4953" t="s">
        <v>9811</v>
      </c>
      <c r="B4953">
        <v>4362</v>
      </c>
      <c r="C4953" t="s">
        <v>9674</v>
      </c>
      <c r="D4953" t="s">
        <v>9572</v>
      </c>
      <c r="E4953" t="s">
        <v>9812</v>
      </c>
      <c r="F4953" t="s">
        <v>9545</v>
      </c>
    </row>
    <row r="4954" spans="1:6">
      <c r="A4954" t="s">
        <v>9811</v>
      </c>
      <c r="B4954">
        <v>4363</v>
      </c>
      <c r="C4954" t="s">
        <v>9674</v>
      </c>
      <c r="D4954" t="s">
        <v>9572</v>
      </c>
      <c r="E4954" t="s">
        <v>9812</v>
      </c>
      <c r="F4954" t="s">
        <v>9545</v>
      </c>
    </row>
    <row r="4955" spans="1:6">
      <c r="A4955" t="s">
        <v>9811</v>
      </c>
      <c r="B4955">
        <v>4367</v>
      </c>
      <c r="C4955" t="s">
        <v>9674</v>
      </c>
      <c r="D4955" t="s">
        <v>9572</v>
      </c>
      <c r="E4955" t="s">
        <v>9812</v>
      </c>
      <c r="F4955" t="s">
        <v>9545</v>
      </c>
    </row>
    <row r="4956" spans="1:6">
      <c r="A4956" t="s">
        <v>9811</v>
      </c>
      <c r="B4956">
        <v>4368</v>
      </c>
      <c r="C4956" t="s">
        <v>9674</v>
      </c>
      <c r="D4956" t="s">
        <v>9572</v>
      </c>
      <c r="E4956" t="s">
        <v>9812</v>
      </c>
      <c r="F4956" t="s">
        <v>9545</v>
      </c>
    </row>
    <row r="4957" spans="1:6">
      <c r="A4957" t="s">
        <v>9811</v>
      </c>
      <c r="B4957">
        <v>7327</v>
      </c>
      <c r="C4957" t="s">
        <v>9674</v>
      </c>
      <c r="D4957" t="s">
        <v>9572</v>
      </c>
      <c r="E4957" t="s">
        <v>9812</v>
      </c>
      <c r="F4957" t="s">
        <v>9545</v>
      </c>
    </row>
    <row r="4958" spans="1:6">
      <c r="A4958" t="s">
        <v>9811</v>
      </c>
      <c r="B4958">
        <v>7328</v>
      </c>
      <c r="C4958" t="s">
        <v>9674</v>
      </c>
      <c r="D4958" t="s">
        <v>9572</v>
      </c>
      <c r="E4958" t="s">
        <v>9812</v>
      </c>
      <c r="F4958" t="s">
        <v>9545</v>
      </c>
    </row>
    <row r="4959" spans="1:6">
      <c r="A4959" t="s">
        <v>9811</v>
      </c>
      <c r="B4959">
        <v>4365</v>
      </c>
      <c r="C4959" t="s">
        <v>9674</v>
      </c>
      <c r="D4959" t="s">
        <v>9572</v>
      </c>
      <c r="E4959" t="s">
        <v>9812</v>
      </c>
      <c r="F4959" t="s">
        <v>9545</v>
      </c>
    </row>
    <row r="4960" spans="1:6">
      <c r="A4960" t="s">
        <v>9811</v>
      </c>
      <c r="B4960">
        <v>4364</v>
      </c>
      <c r="C4960" t="s">
        <v>9674</v>
      </c>
      <c r="D4960" t="s">
        <v>9572</v>
      </c>
      <c r="E4960" t="s">
        <v>9812</v>
      </c>
      <c r="F4960" t="s">
        <v>9545</v>
      </c>
    </row>
    <row r="4961" spans="1:6">
      <c r="A4961" t="s">
        <v>9811</v>
      </c>
      <c r="B4961">
        <v>4194</v>
      </c>
      <c r="C4961" t="s">
        <v>9674</v>
      </c>
      <c r="D4961" t="s">
        <v>9572</v>
      </c>
      <c r="E4961" t="s">
        <v>9812</v>
      </c>
      <c r="F4961" t="s">
        <v>9545</v>
      </c>
    </row>
    <row r="4962" spans="1:6">
      <c r="A4962" t="s">
        <v>9811</v>
      </c>
      <c r="B4962">
        <v>4190</v>
      </c>
      <c r="C4962" t="s">
        <v>9674</v>
      </c>
      <c r="D4962" t="s">
        <v>9572</v>
      </c>
      <c r="E4962" t="s">
        <v>9812</v>
      </c>
      <c r="F4962" t="s">
        <v>9545</v>
      </c>
    </row>
    <row r="4963" spans="1:6">
      <c r="A4963" t="s">
        <v>9811</v>
      </c>
      <c r="B4963">
        <v>4251</v>
      </c>
      <c r="C4963" t="s">
        <v>9674</v>
      </c>
      <c r="D4963" t="s">
        <v>9572</v>
      </c>
      <c r="E4963" t="s">
        <v>9812</v>
      </c>
      <c r="F4963" t="s">
        <v>9545</v>
      </c>
    </row>
    <row r="4964" spans="1:6">
      <c r="A4964" t="s">
        <v>9811</v>
      </c>
      <c r="B4964">
        <v>4252</v>
      </c>
      <c r="C4964" t="s">
        <v>9674</v>
      </c>
      <c r="D4964" t="s">
        <v>9572</v>
      </c>
      <c r="E4964" t="s">
        <v>9812</v>
      </c>
      <c r="F4964" t="s">
        <v>9545</v>
      </c>
    </row>
    <row r="4965" spans="1:6">
      <c r="A4965" t="s">
        <v>9811</v>
      </c>
      <c r="B4965">
        <v>2583</v>
      </c>
      <c r="C4965" t="s">
        <v>9674</v>
      </c>
      <c r="D4965" t="s">
        <v>9572</v>
      </c>
      <c r="E4965" t="s">
        <v>9812</v>
      </c>
      <c r="F4965" t="s">
        <v>9545</v>
      </c>
    </row>
    <row r="4966" spans="1:6">
      <c r="A4966" t="s">
        <v>9811</v>
      </c>
      <c r="B4966">
        <v>5458</v>
      </c>
      <c r="C4966" t="s">
        <v>9674</v>
      </c>
      <c r="D4966" t="s">
        <v>9572</v>
      </c>
      <c r="E4966" t="s">
        <v>9812</v>
      </c>
      <c r="F4966" t="s">
        <v>9545</v>
      </c>
    </row>
    <row r="4967" spans="1:6">
      <c r="A4967" t="s">
        <v>9811</v>
      </c>
      <c r="B4967">
        <v>7382</v>
      </c>
      <c r="C4967" t="s">
        <v>9674</v>
      </c>
      <c r="D4967" t="s">
        <v>9572</v>
      </c>
      <c r="E4967" t="s">
        <v>9812</v>
      </c>
      <c r="F4967" t="s">
        <v>9545</v>
      </c>
    </row>
    <row r="4968" spans="1:6">
      <c r="A4968" t="s">
        <v>9811</v>
      </c>
      <c r="B4968">
        <v>4192</v>
      </c>
      <c r="C4968" t="s">
        <v>9674</v>
      </c>
      <c r="D4968" t="s">
        <v>9572</v>
      </c>
      <c r="E4968" t="s">
        <v>9812</v>
      </c>
      <c r="F4968" t="s">
        <v>9545</v>
      </c>
    </row>
    <row r="4969" spans="1:6">
      <c r="A4969" t="s">
        <v>9811</v>
      </c>
      <c r="B4969">
        <v>4193</v>
      </c>
      <c r="C4969" t="s">
        <v>9674</v>
      </c>
      <c r="D4969" t="s">
        <v>9572</v>
      </c>
      <c r="E4969" t="s">
        <v>9812</v>
      </c>
      <c r="F4969" t="s">
        <v>9545</v>
      </c>
    </row>
    <row r="4970" spans="1:6">
      <c r="A4970" t="s">
        <v>9811</v>
      </c>
      <c r="B4970">
        <v>7973</v>
      </c>
      <c r="C4970" t="s">
        <v>9674</v>
      </c>
      <c r="D4970" t="s">
        <v>9572</v>
      </c>
      <c r="E4970" t="s">
        <v>9812</v>
      </c>
      <c r="F4970" t="s">
        <v>9545</v>
      </c>
    </row>
    <row r="4971" spans="1:6">
      <c r="A4971" t="s">
        <v>9811</v>
      </c>
      <c r="B4971">
        <v>7975</v>
      </c>
      <c r="C4971" t="s">
        <v>9674</v>
      </c>
      <c r="D4971" t="s">
        <v>9572</v>
      </c>
      <c r="E4971" t="s">
        <v>9812</v>
      </c>
      <c r="F4971" t="s">
        <v>9545</v>
      </c>
    </row>
    <row r="4972" spans="1:6">
      <c r="A4972" t="s">
        <v>9811</v>
      </c>
      <c r="B4972">
        <v>7974</v>
      </c>
      <c r="C4972" t="s">
        <v>9674</v>
      </c>
      <c r="D4972" t="s">
        <v>9572</v>
      </c>
      <c r="E4972" t="s">
        <v>9812</v>
      </c>
      <c r="F4972" t="s">
        <v>9545</v>
      </c>
    </row>
    <row r="4973" spans="1:6">
      <c r="A4973" t="s">
        <v>9811</v>
      </c>
      <c r="B4973">
        <v>7976</v>
      </c>
      <c r="C4973" t="s">
        <v>9674</v>
      </c>
      <c r="D4973" t="s">
        <v>9572</v>
      </c>
      <c r="E4973" t="s">
        <v>9812</v>
      </c>
      <c r="F4973" t="s">
        <v>9545</v>
      </c>
    </row>
    <row r="4974" spans="1:6">
      <c r="A4974" t="s">
        <v>9811</v>
      </c>
      <c r="B4974">
        <v>7836</v>
      </c>
      <c r="C4974" t="s">
        <v>9674</v>
      </c>
      <c r="D4974" t="s">
        <v>9572</v>
      </c>
      <c r="E4974" t="s">
        <v>9812</v>
      </c>
      <c r="F4974" t="s">
        <v>9545</v>
      </c>
    </row>
    <row r="4975" spans="1:6">
      <c r="A4975" t="s">
        <v>9811</v>
      </c>
      <c r="B4975">
        <v>7837</v>
      </c>
      <c r="C4975" t="s">
        <v>9674</v>
      </c>
      <c r="D4975" t="s">
        <v>9572</v>
      </c>
      <c r="E4975" t="s">
        <v>9812</v>
      </c>
      <c r="F4975" t="s">
        <v>9545</v>
      </c>
    </row>
    <row r="4976" spans="1:6">
      <c r="A4976" t="s">
        <v>9811</v>
      </c>
      <c r="B4976">
        <v>7379</v>
      </c>
      <c r="C4976" t="s">
        <v>9674</v>
      </c>
      <c r="D4976" t="s">
        <v>9572</v>
      </c>
      <c r="E4976" t="s">
        <v>9812</v>
      </c>
      <c r="F4976" t="s">
        <v>9545</v>
      </c>
    </row>
    <row r="4977" spans="1:6">
      <c r="A4977" t="s">
        <v>9811</v>
      </c>
      <c r="B4977">
        <v>7378</v>
      </c>
      <c r="C4977" t="s">
        <v>9674</v>
      </c>
      <c r="D4977" t="s">
        <v>9572</v>
      </c>
      <c r="E4977" t="s">
        <v>9812</v>
      </c>
      <c r="F4977" t="s">
        <v>9545</v>
      </c>
    </row>
    <row r="4978" spans="1:6">
      <c r="A4978" t="s">
        <v>9811</v>
      </c>
      <c r="B4978">
        <v>7948</v>
      </c>
      <c r="C4978" t="s">
        <v>9674</v>
      </c>
      <c r="D4978" t="s">
        <v>9572</v>
      </c>
      <c r="E4978" t="s">
        <v>9812</v>
      </c>
      <c r="F4978" t="s">
        <v>9545</v>
      </c>
    </row>
    <row r="4979" spans="1:6">
      <c r="A4979" t="s">
        <v>9811</v>
      </c>
      <c r="B4979">
        <v>7940</v>
      </c>
      <c r="C4979" t="s">
        <v>9674</v>
      </c>
      <c r="D4979" t="s">
        <v>9572</v>
      </c>
      <c r="E4979" t="s">
        <v>9812</v>
      </c>
      <c r="F4979" t="s">
        <v>9545</v>
      </c>
    </row>
    <row r="4980" spans="1:6">
      <c r="A4980" t="s">
        <v>9811</v>
      </c>
      <c r="B4980">
        <v>7941</v>
      </c>
      <c r="C4980" t="s">
        <v>9674</v>
      </c>
      <c r="D4980" t="s">
        <v>9572</v>
      </c>
      <c r="E4980" t="s">
        <v>9812</v>
      </c>
      <c r="F4980" t="s">
        <v>9545</v>
      </c>
    </row>
    <row r="4981" spans="1:6">
      <c r="A4981" t="s">
        <v>9811</v>
      </c>
      <c r="B4981">
        <v>7984</v>
      </c>
      <c r="C4981" t="s">
        <v>9674</v>
      </c>
      <c r="D4981" t="s">
        <v>9572</v>
      </c>
      <c r="E4981" t="s">
        <v>9812</v>
      </c>
      <c r="F4981" t="s">
        <v>9545</v>
      </c>
    </row>
    <row r="4982" spans="1:6">
      <c r="A4982" t="s">
        <v>9811</v>
      </c>
      <c r="B4982">
        <v>5495</v>
      </c>
      <c r="C4982" t="s">
        <v>9674</v>
      </c>
      <c r="D4982" t="s">
        <v>9572</v>
      </c>
      <c r="E4982" t="s">
        <v>9812</v>
      </c>
      <c r="F4982" t="s">
        <v>9545</v>
      </c>
    </row>
    <row r="4983" spans="1:6">
      <c r="A4983" t="s">
        <v>9811</v>
      </c>
      <c r="B4983">
        <v>9307</v>
      </c>
      <c r="C4983" t="s">
        <v>9674</v>
      </c>
      <c r="D4983" t="s">
        <v>9572</v>
      </c>
      <c r="E4983" t="s">
        <v>9812</v>
      </c>
      <c r="F4983" t="s">
        <v>9545</v>
      </c>
    </row>
    <row r="4984" spans="1:6">
      <c r="A4984" t="s">
        <v>9811</v>
      </c>
      <c r="B4984">
        <v>9306</v>
      </c>
      <c r="C4984" t="s">
        <v>9674</v>
      </c>
      <c r="D4984" t="s">
        <v>9572</v>
      </c>
      <c r="E4984" t="s">
        <v>9812</v>
      </c>
      <c r="F4984" t="s">
        <v>9545</v>
      </c>
    </row>
    <row r="4985" spans="1:6">
      <c r="A4985" t="s">
        <v>9811</v>
      </c>
      <c r="B4985">
        <v>8835</v>
      </c>
      <c r="C4985" t="s">
        <v>9674</v>
      </c>
      <c r="D4985" t="s">
        <v>9572</v>
      </c>
      <c r="E4985" t="s">
        <v>9812</v>
      </c>
      <c r="F4985" t="s">
        <v>9545</v>
      </c>
    </row>
    <row r="4986" spans="1:6">
      <c r="A4986" t="s">
        <v>9811</v>
      </c>
      <c r="B4986">
        <v>8848</v>
      </c>
      <c r="C4986" t="s">
        <v>9674</v>
      </c>
      <c r="D4986" t="s">
        <v>9572</v>
      </c>
      <c r="E4986" t="s">
        <v>9812</v>
      </c>
      <c r="F4986" t="s">
        <v>9545</v>
      </c>
    </row>
    <row r="4987" spans="1:6">
      <c r="A4987" t="s">
        <v>9811</v>
      </c>
      <c r="B4987">
        <v>7992</v>
      </c>
      <c r="C4987" t="s">
        <v>9674</v>
      </c>
      <c r="D4987" t="s">
        <v>9572</v>
      </c>
      <c r="E4987" t="s">
        <v>9812</v>
      </c>
      <c r="F4987" t="s">
        <v>9545</v>
      </c>
    </row>
    <row r="4988" spans="1:6">
      <c r="A4988" t="s">
        <v>9811</v>
      </c>
      <c r="B4988">
        <v>8830</v>
      </c>
      <c r="C4988" t="s">
        <v>9674</v>
      </c>
      <c r="D4988" t="s">
        <v>9572</v>
      </c>
      <c r="E4988" t="s">
        <v>9812</v>
      </c>
      <c r="F4988" t="s">
        <v>9545</v>
      </c>
    </row>
    <row r="4989" spans="1:6">
      <c r="A4989" t="s">
        <v>9811</v>
      </c>
      <c r="B4989">
        <v>8837</v>
      </c>
      <c r="C4989" t="s">
        <v>9674</v>
      </c>
      <c r="D4989" t="s">
        <v>9572</v>
      </c>
      <c r="E4989" t="s">
        <v>9812</v>
      </c>
      <c r="F4989" t="s">
        <v>9545</v>
      </c>
    </row>
    <row r="4990" spans="1:6">
      <c r="A4990" t="s">
        <v>9811</v>
      </c>
      <c r="B4990">
        <v>8827</v>
      </c>
      <c r="C4990" t="s">
        <v>9674</v>
      </c>
      <c r="D4990" t="s">
        <v>9572</v>
      </c>
      <c r="E4990" t="s">
        <v>9812</v>
      </c>
      <c r="F4990" t="s">
        <v>9545</v>
      </c>
    </row>
    <row r="4991" spans="1:6">
      <c r="A4991" t="s">
        <v>9811</v>
      </c>
      <c r="B4991">
        <v>8670</v>
      </c>
      <c r="C4991" t="s">
        <v>9674</v>
      </c>
      <c r="D4991" t="s">
        <v>9572</v>
      </c>
      <c r="E4991" t="s">
        <v>9812</v>
      </c>
      <c r="F4991" t="s">
        <v>9545</v>
      </c>
    </row>
    <row r="4992" spans="1:6">
      <c r="A4992" t="s">
        <v>9811</v>
      </c>
      <c r="B4992">
        <v>7977</v>
      </c>
      <c r="C4992" t="s">
        <v>9674</v>
      </c>
      <c r="D4992" t="s">
        <v>9572</v>
      </c>
      <c r="E4992" t="s">
        <v>9812</v>
      </c>
      <c r="F4992" t="s">
        <v>9545</v>
      </c>
    </row>
    <row r="4993" spans="1:6">
      <c r="A4993" t="s">
        <v>9811</v>
      </c>
      <c r="B4993">
        <v>7839</v>
      </c>
      <c r="C4993" t="s">
        <v>9674</v>
      </c>
      <c r="D4993" t="s">
        <v>9572</v>
      </c>
      <c r="E4993" t="s">
        <v>9812</v>
      </c>
      <c r="F4993" t="s">
        <v>9545</v>
      </c>
    </row>
    <row r="4994" spans="1:6">
      <c r="A4994" t="s">
        <v>9811</v>
      </c>
      <c r="B4994">
        <v>7380</v>
      </c>
      <c r="C4994" t="s">
        <v>9674</v>
      </c>
      <c r="D4994" t="s">
        <v>9572</v>
      </c>
      <c r="E4994" t="s">
        <v>9812</v>
      </c>
      <c r="F4994" t="s">
        <v>9545</v>
      </c>
    </row>
    <row r="4995" spans="1:6">
      <c r="A4995" t="s">
        <v>9811</v>
      </c>
      <c r="B4995">
        <v>7383</v>
      </c>
      <c r="C4995" t="s">
        <v>9674</v>
      </c>
      <c r="D4995" t="s">
        <v>9572</v>
      </c>
      <c r="E4995" t="s">
        <v>9812</v>
      </c>
      <c r="F4995" t="s">
        <v>9545</v>
      </c>
    </row>
    <row r="4996" spans="1:6">
      <c r="A4996" t="s">
        <v>9811</v>
      </c>
      <c r="B4996">
        <v>7160</v>
      </c>
      <c r="C4996" t="s">
        <v>9674</v>
      </c>
      <c r="D4996" t="s">
        <v>9572</v>
      </c>
      <c r="E4996" t="s">
        <v>9812</v>
      </c>
      <c r="F4996" t="s">
        <v>9545</v>
      </c>
    </row>
    <row r="4997" spans="1:6">
      <c r="A4997" t="s">
        <v>9811</v>
      </c>
      <c r="B4997">
        <v>7946</v>
      </c>
      <c r="C4997" t="s">
        <v>9674</v>
      </c>
      <c r="D4997" t="s">
        <v>9572</v>
      </c>
      <c r="E4997" t="s">
        <v>9812</v>
      </c>
      <c r="F4997" t="s">
        <v>9545</v>
      </c>
    </row>
    <row r="4998" spans="1:6">
      <c r="A4998" t="s">
        <v>9811</v>
      </c>
      <c r="B4998">
        <v>7978</v>
      </c>
      <c r="C4998" t="s">
        <v>9674</v>
      </c>
      <c r="D4998" t="s">
        <v>9572</v>
      </c>
      <c r="E4998" t="s">
        <v>9812</v>
      </c>
      <c r="F4998" t="s">
        <v>9545</v>
      </c>
    </row>
    <row r="4999" spans="1:6">
      <c r="A4999" t="s">
        <v>9811</v>
      </c>
      <c r="B4999">
        <v>7944</v>
      </c>
      <c r="C4999" t="s">
        <v>9674</v>
      </c>
      <c r="D4999" t="s">
        <v>9572</v>
      </c>
      <c r="E4999" t="s">
        <v>9812</v>
      </c>
      <c r="F4999" t="s">
        <v>9545</v>
      </c>
    </row>
    <row r="5000" spans="1:6">
      <c r="A5000" t="s">
        <v>9811</v>
      </c>
      <c r="B5000">
        <v>7914</v>
      </c>
      <c r="C5000" t="s">
        <v>9674</v>
      </c>
      <c r="D5000" t="s">
        <v>9572</v>
      </c>
      <c r="E5000" t="s">
        <v>9812</v>
      </c>
      <c r="F5000" t="s">
        <v>9545</v>
      </c>
    </row>
    <row r="5001" spans="1:6">
      <c r="A5001" t="s">
        <v>9811</v>
      </c>
      <c r="B5001">
        <v>7942</v>
      </c>
      <c r="C5001" t="s">
        <v>9674</v>
      </c>
      <c r="D5001" t="s">
        <v>9572</v>
      </c>
      <c r="E5001" t="s">
        <v>9812</v>
      </c>
      <c r="F5001" t="s">
        <v>9545</v>
      </c>
    </row>
    <row r="5002" spans="1:6">
      <c r="A5002" t="s">
        <v>9811</v>
      </c>
      <c r="B5002">
        <v>7376</v>
      </c>
      <c r="C5002" t="s">
        <v>9674</v>
      </c>
      <c r="D5002" t="s">
        <v>9572</v>
      </c>
      <c r="E5002" t="s">
        <v>9812</v>
      </c>
      <c r="F5002" t="s">
        <v>9545</v>
      </c>
    </row>
    <row r="5003" spans="1:6">
      <c r="A5003" t="s">
        <v>9811</v>
      </c>
      <c r="B5003">
        <v>7377</v>
      </c>
      <c r="C5003" t="s">
        <v>9674</v>
      </c>
      <c r="D5003" t="s">
        <v>9572</v>
      </c>
      <c r="E5003" t="s">
        <v>9812</v>
      </c>
      <c r="F5003" t="s">
        <v>9545</v>
      </c>
    </row>
    <row r="5004" spans="1:6">
      <c r="A5004" t="s">
        <v>9811</v>
      </c>
      <c r="B5004">
        <v>7158</v>
      </c>
      <c r="C5004" t="s">
        <v>9674</v>
      </c>
      <c r="D5004" t="s">
        <v>9572</v>
      </c>
      <c r="E5004" t="s">
        <v>9812</v>
      </c>
      <c r="F5004" t="s">
        <v>9545</v>
      </c>
    </row>
    <row r="5005" spans="1:6">
      <c r="A5005" t="s">
        <v>9811</v>
      </c>
      <c r="B5005">
        <v>7979</v>
      </c>
      <c r="C5005" t="s">
        <v>9674</v>
      </c>
      <c r="D5005" t="s">
        <v>9572</v>
      </c>
      <c r="E5005" t="s">
        <v>9812</v>
      </c>
      <c r="F5005" t="s">
        <v>9545</v>
      </c>
    </row>
    <row r="5006" spans="1:6">
      <c r="A5006" t="s">
        <v>9811</v>
      </c>
      <c r="B5006">
        <v>7947</v>
      </c>
      <c r="C5006" t="s">
        <v>9674</v>
      </c>
      <c r="D5006" t="s">
        <v>9572</v>
      </c>
      <c r="E5006" t="s">
        <v>9812</v>
      </c>
      <c r="F5006" t="s">
        <v>9545</v>
      </c>
    </row>
    <row r="5007" spans="1:6">
      <c r="A5007" t="s">
        <v>9811</v>
      </c>
      <c r="B5007">
        <v>5454</v>
      </c>
      <c r="C5007" t="s">
        <v>9674</v>
      </c>
      <c r="D5007" t="s">
        <v>9572</v>
      </c>
      <c r="E5007" t="s">
        <v>9812</v>
      </c>
      <c r="F5007" t="s">
        <v>9545</v>
      </c>
    </row>
    <row r="5008" spans="1:6">
      <c r="A5008" t="s">
        <v>9811</v>
      </c>
      <c r="B5008">
        <v>7945</v>
      </c>
      <c r="C5008" t="s">
        <v>9674</v>
      </c>
      <c r="D5008" t="s">
        <v>9572</v>
      </c>
      <c r="E5008" t="s">
        <v>9812</v>
      </c>
      <c r="F5008" t="s">
        <v>9545</v>
      </c>
    </row>
    <row r="5009" spans="1:6">
      <c r="A5009" t="s">
        <v>9811</v>
      </c>
      <c r="B5009">
        <v>7949</v>
      </c>
      <c r="C5009" t="s">
        <v>9674</v>
      </c>
      <c r="D5009" t="s">
        <v>9572</v>
      </c>
      <c r="E5009" t="s">
        <v>9812</v>
      </c>
      <c r="F5009" t="s">
        <v>9545</v>
      </c>
    </row>
    <row r="5010" spans="1:6">
      <c r="A5010" t="s">
        <v>9811</v>
      </c>
      <c r="B5010">
        <v>5460</v>
      </c>
      <c r="C5010" t="s">
        <v>9674</v>
      </c>
      <c r="D5010" t="s">
        <v>9572</v>
      </c>
      <c r="E5010" t="s">
        <v>9812</v>
      </c>
      <c r="F5010" t="s">
        <v>9545</v>
      </c>
    </row>
    <row r="5011" spans="1:6">
      <c r="A5011" t="s">
        <v>9811</v>
      </c>
      <c r="B5011">
        <v>5466</v>
      </c>
      <c r="C5011" t="s">
        <v>9674</v>
      </c>
      <c r="D5011" t="s">
        <v>9572</v>
      </c>
      <c r="E5011" t="s">
        <v>9812</v>
      </c>
      <c r="F5011" t="s">
        <v>9545</v>
      </c>
    </row>
    <row r="5012" spans="1:6">
      <c r="A5012" t="s">
        <v>9811</v>
      </c>
      <c r="B5012">
        <v>7915</v>
      </c>
      <c r="C5012" t="s">
        <v>9674</v>
      </c>
      <c r="D5012" t="s">
        <v>9572</v>
      </c>
      <c r="E5012" t="s">
        <v>9812</v>
      </c>
      <c r="F5012" t="s">
        <v>9545</v>
      </c>
    </row>
    <row r="5013" spans="1:6">
      <c r="A5013" t="s">
        <v>9811</v>
      </c>
      <c r="B5013">
        <v>7980</v>
      </c>
      <c r="C5013" t="s">
        <v>9674</v>
      </c>
      <c r="D5013" t="s">
        <v>9572</v>
      </c>
      <c r="E5013" t="s">
        <v>9812</v>
      </c>
      <c r="F5013" t="s">
        <v>9545</v>
      </c>
    </row>
    <row r="5014" spans="1:6">
      <c r="A5014" t="s">
        <v>9811</v>
      </c>
      <c r="B5014">
        <v>6630</v>
      </c>
      <c r="C5014" t="s">
        <v>9674</v>
      </c>
      <c r="D5014" t="s">
        <v>9572</v>
      </c>
      <c r="E5014" t="s">
        <v>9812</v>
      </c>
      <c r="F5014" t="s">
        <v>9545</v>
      </c>
    </row>
    <row r="5015" spans="1:6">
      <c r="A5015" t="s">
        <v>9811</v>
      </c>
      <c r="B5015">
        <v>7943</v>
      </c>
      <c r="C5015" t="s">
        <v>9674</v>
      </c>
      <c r="D5015" t="s">
        <v>9572</v>
      </c>
      <c r="E5015" t="s">
        <v>9812</v>
      </c>
      <c r="F5015" t="s">
        <v>9545</v>
      </c>
    </row>
    <row r="5016" spans="1:6">
      <c r="A5016" t="s">
        <v>9811</v>
      </c>
      <c r="B5016">
        <v>7985</v>
      </c>
      <c r="C5016" t="s">
        <v>9674</v>
      </c>
      <c r="D5016" t="s">
        <v>9572</v>
      </c>
      <c r="E5016" t="s">
        <v>9812</v>
      </c>
      <c r="F5016" t="s">
        <v>9545</v>
      </c>
    </row>
    <row r="5017" spans="1:6">
      <c r="A5017" t="s">
        <v>9811</v>
      </c>
      <c r="B5017">
        <v>8836</v>
      </c>
      <c r="C5017" t="s">
        <v>9674</v>
      </c>
      <c r="D5017" t="s">
        <v>9572</v>
      </c>
      <c r="E5017" t="s">
        <v>9812</v>
      </c>
      <c r="F5017" t="s">
        <v>9545</v>
      </c>
    </row>
    <row r="5018" spans="1:6">
      <c r="A5018" t="s">
        <v>9811</v>
      </c>
      <c r="B5018">
        <v>8671</v>
      </c>
      <c r="C5018" t="s">
        <v>9674</v>
      </c>
      <c r="D5018" t="s">
        <v>9572</v>
      </c>
      <c r="E5018" t="s">
        <v>9812</v>
      </c>
      <c r="F5018" t="s">
        <v>9545</v>
      </c>
    </row>
    <row r="5019" spans="1:6">
      <c r="A5019" t="s">
        <v>9811</v>
      </c>
      <c r="B5019">
        <v>8841</v>
      </c>
      <c r="C5019" t="s">
        <v>9674</v>
      </c>
      <c r="D5019" t="s">
        <v>9572</v>
      </c>
      <c r="E5019" t="s">
        <v>9812</v>
      </c>
      <c r="F5019" t="s">
        <v>9545</v>
      </c>
    </row>
    <row r="5020" spans="1:6">
      <c r="A5020" t="s">
        <v>9811</v>
      </c>
      <c r="B5020">
        <v>8672</v>
      </c>
      <c r="C5020" t="s">
        <v>9674</v>
      </c>
      <c r="D5020" t="s">
        <v>9572</v>
      </c>
      <c r="E5020" t="s">
        <v>9812</v>
      </c>
      <c r="F5020" t="s">
        <v>9545</v>
      </c>
    </row>
    <row r="5021" spans="1:6">
      <c r="A5021" t="s">
        <v>9811</v>
      </c>
      <c r="B5021">
        <v>8673</v>
      </c>
      <c r="C5021" t="s">
        <v>9674</v>
      </c>
      <c r="D5021" t="s">
        <v>9572</v>
      </c>
      <c r="E5021" t="s">
        <v>9812</v>
      </c>
      <c r="F5021" t="s">
        <v>9545</v>
      </c>
    </row>
    <row r="5022" spans="1:6">
      <c r="A5022" t="s">
        <v>9811</v>
      </c>
      <c r="B5022">
        <v>8849</v>
      </c>
      <c r="C5022" t="s">
        <v>9674</v>
      </c>
      <c r="D5022" t="s">
        <v>9572</v>
      </c>
      <c r="E5022" t="s">
        <v>9812</v>
      </c>
      <c r="F5022" t="s">
        <v>9545</v>
      </c>
    </row>
    <row r="5023" spans="1:6">
      <c r="A5023" t="s">
        <v>9811</v>
      </c>
      <c r="B5023">
        <v>7969</v>
      </c>
      <c r="C5023" t="s">
        <v>9674</v>
      </c>
      <c r="D5023" t="s">
        <v>9572</v>
      </c>
      <c r="E5023" t="s">
        <v>9812</v>
      </c>
      <c r="F5023" t="s">
        <v>9545</v>
      </c>
    </row>
    <row r="5024" spans="1:6">
      <c r="A5024" t="s">
        <v>9811</v>
      </c>
      <c r="B5024">
        <v>8675</v>
      </c>
      <c r="C5024" t="s">
        <v>9674</v>
      </c>
      <c r="D5024" t="s">
        <v>9572</v>
      </c>
      <c r="E5024" t="s">
        <v>9812</v>
      </c>
      <c r="F5024" t="s">
        <v>9545</v>
      </c>
    </row>
    <row r="5025" spans="1:6">
      <c r="A5025" t="s">
        <v>9811</v>
      </c>
      <c r="B5025">
        <v>8847</v>
      </c>
      <c r="C5025" t="s">
        <v>9674</v>
      </c>
      <c r="D5025" t="s">
        <v>9572</v>
      </c>
      <c r="E5025" t="s">
        <v>9812</v>
      </c>
      <c r="F5025" t="s">
        <v>9545</v>
      </c>
    </row>
    <row r="5026" spans="1:6">
      <c r="A5026" t="s">
        <v>9811</v>
      </c>
      <c r="B5026">
        <v>8840</v>
      </c>
      <c r="C5026" t="s">
        <v>9674</v>
      </c>
      <c r="D5026" t="s">
        <v>9572</v>
      </c>
      <c r="E5026" t="s">
        <v>9812</v>
      </c>
      <c r="F5026" t="s">
        <v>9545</v>
      </c>
    </row>
    <row r="5027" spans="1:6">
      <c r="A5027" t="s">
        <v>9811</v>
      </c>
      <c r="B5027">
        <v>8834</v>
      </c>
      <c r="C5027" t="s">
        <v>9674</v>
      </c>
      <c r="D5027" t="s">
        <v>9572</v>
      </c>
      <c r="E5027" t="s">
        <v>9812</v>
      </c>
      <c r="F5027" t="s">
        <v>9545</v>
      </c>
    </row>
    <row r="5028" spans="1:6">
      <c r="A5028" t="s">
        <v>9811</v>
      </c>
      <c r="B5028">
        <v>4348</v>
      </c>
      <c r="C5028" t="s">
        <v>9674</v>
      </c>
      <c r="D5028" t="s">
        <v>9572</v>
      </c>
      <c r="E5028" t="s">
        <v>9812</v>
      </c>
      <c r="F5028" t="s">
        <v>9545</v>
      </c>
    </row>
    <row r="5029" spans="1:6">
      <c r="A5029" t="s">
        <v>9811</v>
      </c>
      <c r="B5029">
        <v>4253</v>
      </c>
      <c r="C5029" t="s">
        <v>9674</v>
      </c>
      <c r="D5029" t="s">
        <v>9572</v>
      </c>
      <c r="E5029" t="s">
        <v>9812</v>
      </c>
      <c r="F5029" t="s">
        <v>9545</v>
      </c>
    </row>
    <row r="5030" spans="1:6">
      <c r="A5030" t="s">
        <v>9811</v>
      </c>
      <c r="B5030">
        <v>2582</v>
      </c>
      <c r="C5030" t="s">
        <v>9674</v>
      </c>
      <c r="D5030" t="s">
        <v>9572</v>
      </c>
      <c r="E5030" t="s">
        <v>9812</v>
      </c>
      <c r="F5030" t="s">
        <v>9545</v>
      </c>
    </row>
    <row r="5031" spans="1:6">
      <c r="A5031" t="s">
        <v>9811</v>
      </c>
      <c r="B5031">
        <v>5457</v>
      </c>
      <c r="C5031" t="s">
        <v>9674</v>
      </c>
      <c r="D5031" t="s">
        <v>9572</v>
      </c>
      <c r="E5031" t="s">
        <v>9812</v>
      </c>
      <c r="F5031" t="s">
        <v>9545</v>
      </c>
    </row>
    <row r="5032" spans="1:6">
      <c r="A5032" t="s">
        <v>9811</v>
      </c>
      <c r="B5032">
        <v>4347</v>
      </c>
      <c r="C5032" t="s">
        <v>9674</v>
      </c>
      <c r="D5032" t="s">
        <v>9572</v>
      </c>
      <c r="E5032" t="s">
        <v>9812</v>
      </c>
      <c r="F5032" t="s">
        <v>9545</v>
      </c>
    </row>
    <row r="5033" spans="1:6">
      <c r="A5033" t="s">
        <v>9811</v>
      </c>
      <c r="B5033">
        <v>4362</v>
      </c>
      <c r="C5033" t="s">
        <v>9674</v>
      </c>
      <c r="D5033" t="s">
        <v>9572</v>
      </c>
      <c r="E5033" t="s">
        <v>9812</v>
      </c>
      <c r="F5033" t="s">
        <v>9545</v>
      </c>
    </row>
    <row r="5034" spans="1:6">
      <c r="A5034" t="s">
        <v>9811</v>
      </c>
      <c r="B5034">
        <v>4363</v>
      </c>
      <c r="C5034" t="s">
        <v>9674</v>
      </c>
      <c r="D5034" t="s">
        <v>9572</v>
      </c>
      <c r="E5034" t="s">
        <v>9812</v>
      </c>
      <c r="F5034" t="s">
        <v>9545</v>
      </c>
    </row>
    <row r="5035" spans="1:6">
      <c r="A5035" t="s">
        <v>9811</v>
      </c>
      <c r="B5035">
        <v>4367</v>
      </c>
      <c r="C5035" t="s">
        <v>9674</v>
      </c>
      <c r="D5035" t="s">
        <v>9572</v>
      </c>
      <c r="E5035" t="s">
        <v>9812</v>
      </c>
      <c r="F5035" t="s">
        <v>9545</v>
      </c>
    </row>
    <row r="5036" spans="1:6">
      <c r="A5036" t="s">
        <v>9811</v>
      </c>
      <c r="B5036">
        <v>4368</v>
      </c>
      <c r="C5036" t="s">
        <v>9674</v>
      </c>
      <c r="D5036" t="s">
        <v>9572</v>
      </c>
      <c r="E5036" t="s">
        <v>9812</v>
      </c>
      <c r="F5036" t="s">
        <v>9545</v>
      </c>
    </row>
    <row r="5037" spans="1:6">
      <c r="A5037" t="s">
        <v>9811</v>
      </c>
      <c r="B5037">
        <v>7327</v>
      </c>
      <c r="C5037" t="s">
        <v>9674</v>
      </c>
      <c r="D5037" t="s">
        <v>9572</v>
      </c>
      <c r="E5037" t="s">
        <v>9812</v>
      </c>
      <c r="F5037" t="s">
        <v>9545</v>
      </c>
    </row>
    <row r="5038" spans="1:6">
      <c r="A5038" t="s">
        <v>9811</v>
      </c>
      <c r="B5038">
        <v>7328</v>
      </c>
      <c r="C5038" t="s">
        <v>9674</v>
      </c>
      <c r="D5038" t="s">
        <v>9572</v>
      </c>
      <c r="E5038" t="s">
        <v>9812</v>
      </c>
      <c r="F5038" t="s">
        <v>9545</v>
      </c>
    </row>
    <row r="5039" spans="1:6">
      <c r="A5039" t="s">
        <v>9811</v>
      </c>
      <c r="B5039">
        <v>4365</v>
      </c>
      <c r="C5039" t="s">
        <v>9674</v>
      </c>
      <c r="D5039" t="s">
        <v>9572</v>
      </c>
      <c r="E5039" t="s">
        <v>9812</v>
      </c>
      <c r="F5039" t="s">
        <v>9545</v>
      </c>
    </row>
    <row r="5040" spans="1:6">
      <c r="A5040" t="s">
        <v>9811</v>
      </c>
      <c r="B5040">
        <v>4364</v>
      </c>
      <c r="C5040" t="s">
        <v>9674</v>
      </c>
      <c r="D5040" t="s">
        <v>9572</v>
      </c>
      <c r="E5040" t="s">
        <v>9812</v>
      </c>
      <c r="F5040" t="s">
        <v>9545</v>
      </c>
    </row>
    <row r="5041" spans="1:6">
      <c r="A5041" t="s">
        <v>9811</v>
      </c>
      <c r="B5041">
        <v>4194</v>
      </c>
      <c r="C5041" t="s">
        <v>9674</v>
      </c>
      <c r="D5041" t="s">
        <v>9572</v>
      </c>
      <c r="E5041" t="s">
        <v>9812</v>
      </c>
      <c r="F5041" t="s">
        <v>9545</v>
      </c>
    </row>
    <row r="5042" spans="1:6">
      <c r="A5042" t="s">
        <v>9811</v>
      </c>
      <c r="B5042">
        <v>4190</v>
      </c>
      <c r="C5042" t="s">
        <v>9674</v>
      </c>
      <c r="D5042" t="s">
        <v>9572</v>
      </c>
      <c r="E5042" t="s">
        <v>9812</v>
      </c>
      <c r="F5042" t="s">
        <v>9545</v>
      </c>
    </row>
    <row r="5043" spans="1:6">
      <c r="A5043" t="s">
        <v>9811</v>
      </c>
      <c r="B5043">
        <v>4251</v>
      </c>
      <c r="C5043" t="s">
        <v>9674</v>
      </c>
      <c r="D5043" t="s">
        <v>9572</v>
      </c>
      <c r="E5043" t="s">
        <v>9812</v>
      </c>
      <c r="F5043" t="s">
        <v>9545</v>
      </c>
    </row>
    <row r="5044" spans="1:6">
      <c r="A5044" t="s">
        <v>9811</v>
      </c>
      <c r="B5044">
        <v>4252</v>
      </c>
      <c r="C5044" t="s">
        <v>9674</v>
      </c>
      <c r="D5044" t="s">
        <v>9572</v>
      </c>
      <c r="E5044" t="s">
        <v>9812</v>
      </c>
      <c r="F5044" t="s">
        <v>9545</v>
      </c>
    </row>
    <row r="5045" spans="1:6">
      <c r="A5045" t="s">
        <v>9811</v>
      </c>
      <c r="B5045">
        <v>2583</v>
      </c>
      <c r="C5045" t="s">
        <v>9674</v>
      </c>
      <c r="D5045" t="s">
        <v>9572</v>
      </c>
      <c r="E5045" t="s">
        <v>9812</v>
      </c>
      <c r="F5045" t="s">
        <v>9545</v>
      </c>
    </row>
    <row r="5046" spans="1:6">
      <c r="A5046" t="s">
        <v>9811</v>
      </c>
      <c r="B5046">
        <v>5458</v>
      </c>
      <c r="C5046" t="s">
        <v>9674</v>
      </c>
      <c r="D5046" t="s">
        <v>9572</v>
      </c>
      <c r="E5046" t="s">
        <v>9812</v>
      </c>
      <c r="F5046" t="s">
        <v>9545</v>
      </c>
    </row>
    <row r="5047" spans="1:6">
      <c r="A5047" t="s">
        <v>9811</v>
      </c>
      <c r="B5047">
        <v>7382</v>
      </c>
      <c r="C5047" t="s">
        <v>9674</v>
      </c>
      <c r="D5047" t="s">
        <v>9572</v>
      </c>
      <c r="E5047" t="s">
        <v>9812</v>
      </c>
      <c r="F5047" t="s">
        <v>9545</v>
      </c>
    </row>
    <row r="5048" spans="1:6">
      <c r="A5048" t="s">
        <v>9811</v>
      </c>
      <c r="B5048">
        <v>4192</v>
      </c>
      <c r="C5048" t="s">
        <v>9674</v>
      </c>
      <c r="D5048" t="s">
        <v>9572</v>
      </c>
      <c r="E5048" t="s">
        <v>9812</v>
      </c>
      <c r="F5048" t="s">
        <v>9545</v>
      </c>
    </row>
    <row r="5049" spans="1:6">
      <c r="A5049" t="s">
        <v>9811</v>
      </c>
      <c r="B5049">
        <v>4193</v>
      </c>
      <c r="C5049" t="s">
        <v>9674</v>
      </c>
      <c r="D5049" t="s">
        <v>9572</v>
      </c>
      <c r="E5049" t="s">
        <v>9812</v>
      </c>
      <c r="F5049" t="s">
        <v>9545</v>
      </c>
    </row>
    <row r="5050" spans="1:6">
      <c r="A5050" t="s">
        <v>9811</v>
      </c>
      <c r="B5050">
        <v>7973</v>
      </c>
      <c r="C5050" t="s">
        <v>9674</v>
      </c>
      <c r="D5050" t="s">
        <v>9572</v>
      </c>
      <c r="E5050" t="s">
        <v>9812</v>
      </c>
      <c r="F5050" t="s">
        <v>9545</v>
      </c>
    </row>
    <row r="5051" spans="1:6">
      <c r="A5051" t="s">
        <v>9811</v>
      </c>
      <c r="B5051">
        <v>7975</v>
      </c>
      <c r="C5051" t="s">
        <v>9674</v>
      </c>
      <c r="D5051" t="s">
        <v>9572</v>
      </c>
      <c r="E5051" t="s">
        <v>9812</v>
      </c>
      <c r="F5051" t="s">
        <v>9545</v>
      </c>
    </row>
    <row r="5052" spans="1:6">
      <c r="A5052" t="s">
        <v>9811</v>
      </c>
      <c r="B5052">
        <v>7974</v>
      </c>
      <c r="C5052" t="s">
        <v>9674</v>
      </c>
      <c r="D5052" t="s">
        <v>9572</v>
      </c>
      <c r="E5052" t="s">
        <v>9812</v>
      </c>
      <c r="F5052" t="s">
        <v>9545</v>
      </c>
    </row>
    <row r="5053" spans="1:6">
      <c r="A5053" t="s">
        <v>9811</v>
      </c>
      <c r="B5053">
        <v>7976</v>
      </c>
      <c r="C5053" t="s">
        <v>9674</v>
      </c>
      <c r="D5053" t="s">
        <v>9572</v>
      </c>
      <c r="E5053" t="s">
        <v>9812</v>
      </c>
      <c r="F5053" t="s">
        <v>9545</v>
      </c>
    </row>
    <row r="5054" spans="1:6">
      <c r="A5054" t="s">
        <v>9811</v>
      </c>
      <c r="B5054">
        <v>7836</v>
      </c>
      <c r="C5054" t="s">
        <v>9674</v>
      </c>
      <c r="D5054" t="s">
        <v>9572</v>
      </c>
      <c r="E5054" t="s">
        <v>9812</v>
      </c>
      <c r="F5054" t="s">
        <v>9545</v>
      </c>
    </row>
    <row r="5055" spans="1:6">
      <c r="A5055" t="s">
        <v>9811</v>
      </c>
      <c r="B5055">
        <v>7837</v>
      </c>
      <c r="C5055" t="s">
        <v>9674</v>
      </c>
      <c r="D5055" t="s">
        <v>9572</v>
      </c>
      <c r="E5055" t="s">
        <v>9812</v>
      </c>
      <c r="F5055" t="s">
        <v>9545</v>
      </c>
    </row>
    <row r="5056" spans="1:6">
      <c r="A5056" t="s">
        <v>9811</v>
      </c>
      <c r="B5056">
        <v>7379</v>
      </c>
      <c r="C5056" t="s">
        <v>9674</v>
      </c>
      <c r="D5056" t="s">
        <v>9572</v>
      </c>
      <c r="E5056" t="s">
        <v>9812</v>
      </c>
      <c r="F5056" t="s">
        <v>9545</v>
      </c>
    </row>
    <row r="5057" spans="1:6">
      <c r="A5057" t="s">
        <v>9811</v>
      </c>
      <c r="B5057">
        <v>7378</v>
      </c>
      <c r="C5057" t="s">
        <v>9674</v>
      </c>
      <c r="D5057" t="s">
        <v>9572</v>
      </c>
      <c r="E5057" t="s">
        <v>9812</v>
      </c>
      <c r="F5057" t="s">
        <v>9545</v>
      </c>
    </row>
    <row r="5058" spans="1:6">
      <c r="A5058" t="s">
        <v>9811</v>
      </c>
      <c r="B5058">
        <v>7948</v>
      </c>
      <c r="C5058" t="s">
        <v>9674</v>
      </c>
      <c r="D5058" t="s">
        <v>9572</v>
      </c>
      <c r="E5058" t="s">
        <v>9812</v>
      </c>
      <c r="F5058" t="s">
        <v>9545</v>
      </c>
    </row>
    <row r="5059" spans="1:6">
      <c r="A5059" t="s">
        <v>9811</v>
      </c>
      <c r="B5059">
        <v>7940</v>
      </c>
      <c r="C5059" t="s">
        <v>9674</v>
      </c>
      <c r="D5059" t="s">
        <v>9572</v>
      </c>
      <c r="E5059" t="s">
        <v>9812</v>
      </c>
      <c r="F5059" t="s">
        <v>9545</v>
      </c>
    </row>
    <row r="5060" spans="1:6">
      <c r="A5060" t="s">
        <v>9811</v>
      </c>
      <c r="B5060">
        <v>7941</v>
      </c>
      <c r="C5060" t="s">
        <v>9674</v>
      </c>
      <c r="D5060" t="s">
        <v>9572</v>
      </c>
      <c r="E5060" t="s">
        <v>9812</v>
      </c>
      <c r="F5060" t="s">
        <v>9545</v>
      </c>
    </row>
    <row r="5061" spans="1:6">
      <c r="A5061" t="s">
        <v>9811</v>
      </c>
      <c r="B5061">
        <v>7984</v>
      </c>
      <c r="C5061" t="s">
        <v>9674</v>
      </c>
      <c r="D5061" t="s">
        <v>9572</v>
      </c>
      <c r="E5061" t="s">
        <v>9812</v>
      </c>
      <c r="F5061" t="s">
        <v>9545</v>
      </c>
    </row>
    <row r="5062" spans="1:6">
      <c r="A5062" t="s">
        <v>9811</v>
      </c>
      <c r="B5062">
        <v>5495</v>
      </c>
      <c r="C5062" t="s">
        <v>9674</v>
      </c>
      <c r="D5062" t="s">
        <v>9572</v>
      </c>
      <c r="E5062" t="s">
        <v>9812</v>
      </c>
      <c r="F5062" t="s">
        <v>9545</v>
      </c>
    </row>
    <row r="5063" spans="1:6">
      <c r="A5063" t="s">
        <v>9811</v>
      </c>
      <c r="B5063">
        <v>9307</v>
      </c>
      <c r="C5063" t="s">
        <v>9674</v>
      </c>
      <c r="D5063" t="s">
        <v>9572</v>
      </c>
      <c r="E5063" t="s">
        <v>9812</v>
      </c>
      <c r="F5063" t="s">
        <v>9545</v>
      </c>
    </row>
    <row r="5064" spans="1:6">
      <c r="A5064" t="s">
        <v>9811</v>
      </c>
      <c r="B5064">
        <v>9306</v>
      </c>
      <c r="C5064" t="s">
        <v>9674</v>
      </c>
      <c r="D5064" t="s">
        <v>9572</v>
      </c>
      <c r="E5064" t="s">
        <v>9812</v>
      </c>
      <c r="F5064" t="s">
        <v>9545</v>
      </c>
    </row>
    <row r="5065" spans="1:6">
      <c r="A5065" t="s">
        <v>9702</v>
      </c>
      <c r="B5065">
        <v>6171</v>
      </c>
      <c r="C5065" t="s">
        <v>2209</v>
      </c>
      <c r="D5065" t="s">
        <v>9701</v>
      </c>
      <c r="E5065" t="s">
        <v>9858</v>
      </c>
      <c r="F5065" t="s">
        <v>5606</v>
      </c>
    </row>
    <row r="5066" spans="1:6">
      <c r="A5066" t="s">
        <v>9702</v>
      </c>
      <c r="B5066">
        <v>6171</v>
      </c>
      <c r="C5066" t="s">
        <v>9895</v>
      </c>
      <c r="D5066" t="s">
        <v>9701</v>
      </c>
      <c r="E5066" t="s">
        <v>9858</v>
      </c>
      <c r="F5066" t="s">
        <v>5606</v>
      </c>
    </row>
    <row r="5067" spans="1:6">
      <c r="A5067" t="s">
        <v>9702</v>
      </c>
      <c r="B5067">
        <v>6171</v>
      </c>
      <c r="C5067" t="s">
        <v>2210</v>
      </c>
      <c r="D5067" t="s">
        <v>9701</v>
      </c>
      <c r="E5067" t="s">
        <v>9858</v>
      </c>
      <c r="F5067" t="s">
        <v>5606</v>
      </c>
    </row>
    <row r="5068" spans="1:6">
      <c r="A5068" t="s">
        <v>9702</v>
      </c>
      <c r="B5068">
        <v>6171</v>
      </c>
      <c r="C5068" t="s">
        <v>9896</v>
      </c>
      <c r="D5068" t="s">
        <v>9701</v>
      </c>
      <c r="E5068" t="s">
        <v>9858</v>
      </c>
      <c r="F5068" t="s">
        <v>5606</v>
      </c>
    </row>
    <row r="5069" spans="1:6">
      <c r="A5069" t="s">
        <v>9702</v>
      </c>
      <c r="B5069">
        <v>6171</v>
      </c>
      <c r="C5069" t="s">
        <v>3029</v>
      </c>
      <c r="D5069" t="s">
        <v>9701</v>
      </c>
      <c r="E5069" t="s">
        <v>9858</v>
      </c>
      <c r="F5069" t="s">
        <v>5606</v>
      </c>
    </row>
    <row r="5070" spans="1:6">
      <c r="A5070" t="s">
        <v>9702</v>
      </c>
      <c r="B5070">
        <v>6171</v>
      </c>
      <c r="C5070" t="s">
        <v>14027</v>
      </c>
      <c r="D5070" t="s">
        <v>9701</v>
      </c>
      <c r="E5070" t="s">
        <v>9858</v>
      </c>
      <c r="F5070" t="s">
        <v>5606</v>
      </c>
    </row>
    <row r="5071" spans="1:6">
      <c r="A5071" t="s">
        <v>9702</v>
      </c>
      <c r="B5071">
        <v>6190</v>
      </c>
      <c r="C5071" t="s">
        <v>3120</v>
      </c>
      <c r="D5071" t="s">
        <v>9711</v>
      </c>
      <c r="E5071" t="s">
        <v>9866</v>
      </c>
      <c r="F5071" t="s">
        <v>5606</v>
      </c>
    </row>
    <row r="5072" spans="1:6">
      <c r="A5072" t="s">
        <v>9702</v>
      </c>
      <c r="B5072">
        <v>6195</v>
      </c>
      <c r="C5072" t="s">
        <v>9674</v>
      </c>
      <c r="D5072" t="s">
        <v>9724</v>
      </c>
      <c r="E5072" t="s">
        <v>9874</v>
      </c>
      <c r="F5072" t="s">
        <v>5606</v>
      </c>
    </row>
    <row r="5073" spans="1:6">
      <c r="A5073" t="s">
        <v>9702</v>
      </c>
      <c r="B5073">
        <v>6171</v>
      </c>
      <c r="C5073" t="s">
        <v>2209</v>
      </c>
      <c r="D5073" t="s">
        <v>9701</v>
      </c>
      <c r="E5073" t="s">
        <v>9858</v>
      </c>
      <c r="F5073" t="s">
        <v>5606</v>
      </c>
    </row>
    <row r="5074" spans="1:6">
      <c r="A5074" t="s">
        <v>9702</v>
      </c>
      <c r="B5074">
        <v>6171</v>
      </c>
      <c r="C5074" t="s">
        <v>9895</v>
      </c>
      <c r="D5074" t="s">
        <v>9701</v>
      </c>
      <c r="E5074" t="s">
        <v>9858</v>
      </c>
      <c r="F5074" t="s">
        <v>5606</v>
      </c>
    </row>
    <row r="5075" spans="1:6">
      <c r="A5075" t="s">
        <v>9702</v>
      </c>
      <c r="B5075">
        <v>6171</v>
      </c>
      <c r="C5075" t="s">
        <v>2210</v>
      </c>
      <c r="D5075" t="s">
        <v>9701</v>
      </c>
      <c r="E5075" t="s">
        <v>9858</v>
      </c>
      <c r="F5075" t="s">
        <v>5606</v>
      </c>
    </row>
    <row r="5076" spans="1:6">
      <c r="A5076" t="s">
        <v>9702</v>
      </c>
      <c r="B5076">
        <v>6171</v>
      </c>
      <c r="C5076" t="s">
        <v>9896</v>
      </c>
      <c r="D5076" t="s">
        <v>9701</v>
      </c>
      <c r="E5076" t="s">
        <v>9858</v>
      </c>
      <c r="F5076" t="s">
        <v>5606</v>
      </c>
    </row>
    <row r="5077" spans="1:6">
      <c r="A5077" t="s">
        <v>9702</v>
      </c>
      <c r="B5077">
        <v>6171</v>
      </c>
      <c r="C5077" t="s">
        <v>3029</v>
      </c>
      <c r="D5077" t="s">
        <v>9701</v>
      </c>
      <c r="E5077" t="s">
        <v>9858</v>
      </c>
      <c r="F5077" t="s">
        <v>5606</v>
      </c>
    </row>
    <row r="5078" spans="1:6">
      <c r="A5078" t="s">
        <v>9702</v>
      </c>
      <c r="B5078">
        <v>6171</v>
      </c>
      <c r="C5078" t="s">
        <v>14027</v>
      </c>
      <c r="D5078" t="s">
        <v>9701</v>
      </c>
      <c r="E5078" t="s">
        <v>9858</v>
      </c>
      <c r="F5078" t="s">
        <v>5606</v>
      </c>
    </row>
    <row r="5079" spans="1:6">
      <c r="A5079" t="s">
        <v>9702</v>
      </c>
      <c r="B5079">
        <v>6190</v>
      </c>
      <c r="C5079" t="s">
        <v>3120</v>
      </c>
      <c r="D5079" t="s">
        <v>9711</v>
      </c>
      <c r="E5079" t="s">
        <v>9866</v>
      </c>
      <c r="F5079" t="s">
        <v>5606</v>
      </c>
    </row>
    <row r="5080" spans="1:6">
      <c r="A5080" t="s">
        <v>9702</v>
      </c>
      <c r="B5080">
        <v>6195</v>
      </c>
      <c r="C5080" t="s">
        <v>9674</v>
      </c>
      <c r="D5080" t="s">
        <v>9724</v>
      </c>
      <c r="E5080" t="s">
        <v>9874</v>
      </c>
      <c r="F5080" t="s">
        <v>5606</v>
      </c>
    </row>
    <row r="5081" spans="1:6">
      <c r="A5081" t="s">
        <v>9686</v>
      </c>
      <c r="B5081">
        <v>6099</v>
      </c>
      <c r="C5081" t="s">
        <v>9674</v>
      </c>
      <c r="D5081" t="s">
        <v>9685</v>
      </c>
      <c r="E5081" t="s">
        <v>9847</v>
      </c>
      <c r="F5081" t="s">
        <v>5601</v>
      </c>
    </row>
    <row r="5082" spans="1:6">
      <c r="A5082" t="s">
        <v>9686</v>
      </c>
      <c r="B5082">
        <v>6100</v>
      </c>
      <c r="C5082" t="s">
        <v>9850</v>
      </c>
      <c r="D5082" t="s">
        <v>9692</v>
      </c>
      <c r="E5082">
        <v>823</v>
      </c>
      <c r="F5082" t="s">
        <v>5601</v>
      </c>
    </row>
    <row r="5083" spans="1:6">
      <c r="A5083" t="s">
        <v>9686</v>
      </c>
      <c r="B5083">
        <v>6100</v>
      </c>
      <c r="C5083" t="s">
        <v>9894</v>
      </c>
      <c r="D5083" t="s">
        <v>9692</v>
      </c>
      <c r="E5083">
        <v>823</v>
      </c>
      <c r="F5083" t="s">
        <v>5601</v>
      </c>
    </row>
    <row r="5084" spans="1:6">
      <c r="A5084" t="s">
        <v>9686</v>
      </c>
      <c r="B5084">
        <v>6160</v>
      </c>
      <c r="C5084" t="s">
        <v>9674</v>
      </c>
      <c r="D5084" t="s">
        <v>9695</v>
      </c>
      <c r="E5084" t="s">
        <v>9854</v>
      </c>
      <c r="F5084" t="s">
        <v>5601</v>
      </c>
    </row>
    <row r="5085" spans="1:6">
      <c r="A5085" t="s">
        <v>9686</v>
      </c>
      <c r="B5085">
        <v>6171</v>
      </c>
      <c r="C5085" t="s">
        <v>2209</v>
      </c>
      <c r="D5085" t="s">
        <v>9703</v>
      </c>
      <c r="E5085" t="s">
        <v>9859</v>
      </c>
      <c r="F5085" t="s">
        <v>5601</v>
      </c>
    </row>
    <row r="5086" spans="1:6">
      <c r="A5086" t="s">
        <v>9686</v>
      </c>
      <c r="B5086">
        <v>6171</v>
      </c>
      <c r="C5086" t="s">
        <v>9895</v>
      </c>
      <c r="D5086" t="s">
        <v>9703</v>
      </c>
      <c r="E5086" t="s">
        <v>9859</v>
      </c>
      <c r="F5086" t="s">
        <v>5601</v>
      </c>
    </row>
    <row r="5087" spans="1:6">
      <c r="A5087" t="s">
        <v>9686</v>
      </c>
      <c r="B5087">
        <v>6171</v>
      </c>
      <c r="C5087" t="s">
        <v>2210</v>
      </c>
      <c r="D5087" t="s">
        <v>9703</v>
      </c>
      <c r="E5087" t="s">
        <v>9859</v>
      </c>
      <c r="F5087" t="s">
        <v>5601</v>
      </c>
    </row>
    <row r="5088" spans="1:6">
      <c r="A5088" t="s">
        <v>9686</v>
      </c>
      <c r="B5088">
        <v>6171</v>
      </c>
      <c r="C5088" t="s">
        <v>9896</v>
      </c>
      <c r="D5088" t="s">
        <v>9703</v>
      </c>
      <c r="E5088" t="s">
        <v>9859</v>
      </c>
      <c r="F5088" t="s">
        <v>5601</v>
      </c>
    </row>
    <row r="5089" spans="1:6">
      <c r="A5089" t="s">
        <v>9686</v>
      </c>
      <c r="B5089">
        <v>6171</v>
      </c>
      <c r="C5089" t="s">
        <v>3029</v>
      </c>
      <c r="D5089" t="s">
        <v>9703</v>
      </c>
      <c r="E5089" t="s">
        <v>9859</v>
      </c>
      <c r="F5089" t="s">
        <v>5601</v>
      </c>
    </row>
    <row r="5090" spans="1:6">
      <c r="A5090" t="s">
        <v>9686</v>
      </c>
      <c r="B5090">
        <v>6171</v>
      </c>
      <c r="C5090" t="s">
        <v>14027</v>
      </c>
      <c r="D5090" t="s">
        <v>9703</v>
      </c>
      <c r="E5090" t="s">
        <v>9859</v>
      </c>
      <c r="F5090" t="s">
        <v>5601</v>
      </c>
    </row>
    <row r="5091" spans="1:6">
      <c r="A5091" t="s">
        <v>9686</v>
      </c>
      <c r="B5091">
        <v>6173</v>
      </c>
      <c r="C5091" t="s">
        <v>2211</v>
      </c>
      <c r="D5091" t="s">
        <v>9708</v>
      </c>
      <c r="E5091" t="s">
        <v>9863</v>
      </c>
      <c r="F5091" t="s">
        <v>5601</v>
      </c>
    </row>
    <row r="5092" spans="1:6">
      <c r="A5092" t="s">
        <v>9686</v>
      </c>
      <c r="B5092">
        <v>6173</v>
      </c>
      <c r="C5092" t="s">
        <v>2212</v>
      </c>
      <c r="D5092" t="s">
        <v>9708</v>
      </c>
      <c r="E5092" t="s">
        <v>9863</v>
      </c>
      <c r="F5092" t="s">
        <v>5601</v>
      </c>
    </row>
    <row r="5093" spans="1:6">
      <c r="A5093" t="s">
        <v>9686</v>
      </c>
      <c r="B5093">
        <v>6190</v>
      </c>
      <c r="C5093" t="s">
        <v>3120</v>
      </c>
      <c r="D5093" t="s">
        <v>9712</v>
      </c>
      <c r="E5093" t="s">
        <v>9867</v>
      </c>
      <c r="F5093" t="s">
        <v>5601</v>
      </c>
    </row>
    <row r="5094" spans="1:6">
      <c r="A5094" t="s">
        <v>9686</v>
      </c>
      <c r="B5094">
        <v>6195</v>
      </c>
      <c r="C5094" t="s">
        <v>9674</v>
      </c>
      <c r="D5094" t="s">
        <v>9725</v>
      </c>
      <c r="E5094" t="s">
        <v>9875</v>
      </c>
      <c r="F5094" t="s">
        <v>5601</v>
      </c>
    </row>
    <row r="5095" spans="1:6">
      <c r="A5095" t="s">
        <v>9686</v>
      </c>
      <c r="B5095">
        <v>6099</v>
      </c>
      <c r="C5095" t="s">
        <v>9674</v>
      </c>
      <c r="D5095" t="s">
        <v>9685</v>
      </c>
      <c r="E5095" t="s">
        <v>9847</v>
      </c>
      <c r="F5095" t="s">
        <v>5601</v>
      </c>
    </row>
    <row r="5096" spans="1:6">
      <c r="A5096" t="s">
        <v>9686</v>
      </c>
      <c r="B5096">
        <v>6100</v>
      </c>
      <c r="C5096" t="s">
        <v>9850</v>
      </c>
      <c r="D5096" t="s">
        <v>9692</v>
      </c>
      <c r="E5096">
        <v>823</v>
      </c>
      <c r="F5096" t="s">
        <v>5601</v>
      </c>
    </row>
    <row r="5097" spans="1:6">
      <c r="A5097" t="s">
        <v>9686</v>
      </c>
      <c r="B5097">
        <v>6100</v>
      </c>
      <c r="C5097" t="s">
        <v>9894</v>
      </c>
      <c r="D5097" t="s">
        <v>9692</v>
      </c>
      <c r="E5097">
        <v>823</v>
      </c>
      <c r="F5097" t="s">
        <v>5601</v>
      </c>
    </row>
    <row r="5098" spans="1:6">
      <c r="A5098" t="s">
        <v>9686</v>
      </c>
      <c r="B5098">
        <v>6160</v>
      </c>
      <c r="C5098" t="s">
        <v>9674</v>
      </c>
      <c r="D5098" t="s">
        <v>9695</v>
      </c>
      <c r="E5098" t="s">
        <v>9854</v>
      </c>
      <c r="F5098" t="s">
        <v>5601</v>
      </c>
    </row>
    <row r="5099" spans="1:6">
      <c r="A5099" t="s">
        <v>9686</v>
      </c>
      <c r="B5099">
        <v>6171</v>
      </c>
      <c r="C5099" t="s">
        <v>2209</v>
      </c>
      <c r="D5099" t="s">
        <v>9703</v>
      </c>
      <c r="E5099" t="s">
        <v>9859</v>
      </c>
      <c r="F5099" t="s">
        <v>5601</v>
      </c>
    </row>
    <row r="5100" spans="1:6">
      <c r="A5100" t="s">
        <v>9686</v>
      </c>
      <c r="B5100">
        <v>6171</v>
      </c>
      <c r="C5100" t="s">
        <v>9895</v>
      </c>
      <c r="D5100" t="s">
        <v>9703</v>
      </c>
      <c r="E5100" t="s">
        <v>9859</v>
      </c>
      <c r="F5100" t="s">
        <v>5601</v>
      </c>
    </row>
    <row r="5101" spans="1:6">
      <c r="A5101" t="s">
        <v>9686</v>
      </c>
      <c r="B5101">
        <v>6171</v>
      </c>
      <c r="C5101" t="s">
        <v>2210</v>
      </c>
      <c r="D5101" t="s">
        <v>9703</v>
      </c>
      <c r="E5101" t="s">
        <v>9859</v>
      </c>
      <c r="F5101" t="s">
        <v>5601</v>
      </c>
    </row>
    <row r="5102" spans="1:6">
      <c r="A5102" t="s">
        <v>9686</v>
      </c>
      <c r="B5102">
        <v>6171</v>
      </c>
      <c r="C5102" t="s">
        <v>9896</v>
      </c>
      <c r="D5102" t="s">
        <v>9703</v>
      </c>
      <c r="E5102" t="s">
        <v>9859</v>
      </c>
      <c r="F5102" t="s">
        <v>5601</v>
      </c>
    </row>
    <row r="5103" spans="1:6">
      <c r="A5103" t="s">
        <v>9686</v>
      </c>
      <c r="B5103">
        <v>6171</v>
      </c>
      <c r="C5103" t="s">
        <v>3029</v>
      </c>
      <c r="D5103" t="s">
        <v>9703</v>
      </c>
      <c r="E5103" t="s">
        <v>9859</v>
      </c>
      <c r="F5103" t="s">
        <v>5601</v>
      </c>
    </row>
    <row r="5104" spans="1:6">
      <c r="A5104" t="s">
        <v>9686</v>
      </c>
      <c r="B5104">
        <v>6171</v>
      </c>
      <c r="C5104" t="s">
        <v>14027</v>
      </c>
      <c r="D5104" t="s">
        <v>9703</v>
      </c>
      <c r="E5104" t="s">
        <v>9859</v>
      </c>
      <c r="F5104" t="s">
        <v>5601</v>
      </c>
    </row>
    <row r="5105" spans="1:6">
      <c r="A5105" t="s">
        <v>9686</v>
      </c>
      <c r="B5105">
        <v>6173</v>
      </c>
      <c r="C5105" t="s">
        <v>2211</v>
      </c>
      <c r="D5105" t="s">
        <v>9708</v>
      </c>
      <c r="E5105" t="s">
        <v>9863</v>
      </c>
      <c r="F5105" t="s">
        <v>5601</v>
      </c>
    </row>
    <row r="5106" spans="1:6">
      <c r="A5106" t="s">
        <v>9686</v>
      </c>
      <c r="B5106">
        <v>6173</v>
      </c>
      <c r="C5106" t="s">
        <v>2212</v>
      </c>
      <c r="D5106" t="s">
        <v>9708</v>
      </c>
      <c r="E5106" t="s">
        <v>9863</v>
      </c>
      <c r="F5106" t="s">
        <v>5601</v>
      </c>
    </row>
    <row r="5107" spans="1:6">
      <c r="A5107" t="s">
        <v>9686</v>
      </c>
      <c r="B5107">
        <v>6190</v>
      </c>
      <c r="C5107" t="s">
        <v>3120</v>
      </c>
      <c r="D5107" t="s">
        <v>9712</v>
      </c>
      <c r="E5107" t="s">
        <v>9867</v>
      </c>
      <c r="F5107" t="s">
        <v>5601</v>
      </c>
    </row>
    <row r="5108" spans="1:6">
      <c r="A5108" t="s">
        <v>9686</v>
      </c>
      <c r="B5108">
        <v>6195</v>
      </c>
      <c r="C5108" t="s">
        <v>9674</v>
      </c>
      <c r="D5108" t="s">
        <v>9725</v>
      </c>
      <c r="E5108" t="s">
        <v>9875</v>
      </c>
      <c r="F5108" t="s">
        <v>5601</v>
      </c>
    </row>
    <row r="5109" spans="1:6">
      <c r="A5109" t="s">
        <v>9688</v>
      </c>
      <c r="B5109">
        <v>6099</v>
      </c>
      <c r="C5109" t="s">
        <v>9674</v>
      </c>
      <c r="D5109" t="s">
        <v>9687</v>
      </c>
      <c r="E5109" t="s">
        <v>9848</v>
      </c>
      <c r="F5109" t="s">
        <v>5595</v>
      </c>
    </row>
    <row r="5110" spans="1:6">
      <c r="A5110" t="s">
        <v>9688</v>
      </c>
      <c r="B5110">
        <v>6100</v>
      </c>
      <c r="C5110" t="s">
        <v>9850</v>
      </c>
      <c r="D5110" t="s">
        <v>9693</v>
      </c>
      <c r="E5110" t="s">
        <v>9852</v>
      </c>
      <c r="F5110" t="s">
        <v>5595</v>
      </c>
    </row>
    <row r="5111" spans="1:6">
      <c r="A5111" t="s">
        <v>9688</v>
      </c>
      <c r="B5111">
        <v>6100</v>
      </c>
      <c r="C5111" t="s">
        <v>9894</v>
      </c>
      <c r="D5111" t="s">
        <v>9693</v>
      </c>
      <c r="E5111" t="s">
        <v>9852</v>
      </c>
      <c r="F5111" t="s">
        <v>5595</v>
      </c>
    </row>
    <row r="5112" spans="1:6">
      <c r="A5112" t="s">
        <v>9688</v>
      </c>
      <c r="B5112">
        <v>6160</v>
      </c>
      <c r="C5112" t="s">
        <v>9674</v>
      </c>
      <c r="D5112" t="s">
        <v>9696</v>
      </c>
      <c r="E5112" t="s">
        <v>9855</v>
      </c>
      <c r="F5112" t="s">
        <v>5595</v>
      </c>
    </row>
    <row r="5113" spans="1:6">
      <c r="A5113" t="s">
        <v>9688</v>
      </c>
      <c r="B5113">
        <v>6171</v>
      </c>
      <c r="C5113" t="s">
        <v>2209</v>
      </c>
      <c r="D5113" t="s">
        <v>9704</v>
      </c>
      <c r="E5113" t="s">
        <v>9860</v>
      </c>
      <c r="F5113" t="s">
        <v>5595</v>
      </c>
    </row>
    <row r="5114" spans="1:6">
      <c r="A5114" t="s">
        <v>9688</v>
      </c>
      <c r="B5114">
        <v>6171</v>
      </c>
      <c r="C5114" t="s">
        <v>9895</v>
      </c>
      <c r="D5114" t="s">
        <v>9704</v>
      </c>
      <c r="E5114" t="s">
        <v>9860</v>
      </c>
      <c r="F5114" t="s">
        <v>5595</v>
      </c>
    </row>
    <row r="5115" spans="1:6">
      <c r="A5115" t="s">
        <v>9688</v>
      </c>
      <c r="B5115">
        <v>6171</v>
      </c>
      <c r="C5115" t="s">
        <v>2210</v>
      </c>
      <c r="D5115" t="s">
        <v>9704</v>
      </c>
      <c r="E5115" t="s">
        <v>9860</v>
      </c>
      <c r="F5115" t="s">
        <v>5595</v>
      </c>
    </row>
    <row r="5116" spans="1:6">
      <c r="A5116" t="s">
        <v>9688</v>
      </c>
      <c r="B5116">
        <v>6171</v>
      </c>
      <c r="C5116" t="s">
        <v>9896</v>
      </c>
      <c r="D5116" t="s">
        <v>9704</v>
      </c>
      <c r="E5116" t="s">
        <v>9860</v>
      </c>
      <c r="F5116" t="s">
        <v>5595</v>
      </c>
    </row>
    <row r="5117" spans="1:6">
      <c r="A5117" t="s">
        <v>9688</v>
      </c>
      <c r="B5117">
        <v>6171</v>
      </c>
      <c r="C5117" t="s">
        <v>3029</v>
      </c>
      <c r="D5117" t="s">
        <v>9704</v>
      </c>
      <c r="E5117" t="s">
        <v>9860</v>
      </c>
      <c r="F5117" t="s">
        <v>5595</v>
      </c>
    </row>
    <row r="5118" spans="1:6">
      <c r="A5118" t="s">
        <v>9688</v>
      </c>
      <c r="B5118">
        <v>6171</v>
      </c>
      <c r="C5118" t="s">
        <v>14027</v>
      </c>
      <c r="D5118" t="s">
        <v>9704</v>
      </c>
      <c r="E5118" t="s">
        <v>9860</v>
      </c>
      <c r="F5118" t="s">
        <v>5595</v>
      </c>
    </row>
    <row r="5119" spans="1:6">
      <c r="A5119" t="s">
        <v>9688</v>
      </c>
      <c r="B5119">
        <v>6173</v>
      </c>
      <c r="C5119" t="s">
        <v>2211</v>
      </c>
      <c r="D5119" t="s">
        <v>9709</v>
      </c>
      <c r="E5119" t="s">
        <v>9864</v>
      </c>
      <c r="F5119" t="s">
        <v>5595</v>
      </c>
    </row>
    <row r="5120" spans="1:6">
      <c r="A5120" t="s">
        <v>9688</v>
      </c>
      <c r="B5120">
        <v>6173</v>
      </c>
      <c r="C5120" t="s">
        <v>2212</v>
      </c>
      <c r="D5120" t="s">
        <v>9709</v>
      </c>
      <c r="E5120" t="s">
        <v>9864</v>
      </c>
      <c r="F5120" t="s">
        <v>5595</v>
      </c>
    </row>
    <row r="5121" spans="1:6">
      <c r="A5121" t="s">
        <v>9688</v>
      </c>
      <c r="B5121">
        <v>6190</v>
      </c>
      <c r="C5121" t="s">
        <v>3120</v>
      </c>
      <c r="D5121" t="s">
        <v>9713</v>
      </c>
      <c r="E5121" t="s">
        <v>9868</v>
      </c>
      <c r="F5121" t="s">
        <v>5595</v>
      </c>
    </row>
    <row r="5122" spans="1:6">
      <c r="A5122" t="s">
        <v>9688</v>
      </c>
      <c r="B5122">
        <v>6195</v>
      </c>
      <c r="C5122" t="s">
        <v>9674</v>
      </c>
      <c r="D5122" t="s">
        <v>9726</v>
      </c>
      <c r="E5122" t="s">
        <v>9876</v>
      </c>
      <c r="F5122" t="s">
        <v>5595</v>
      </c>
    </row>
    <row r="5123" spans="1:6">
      <c r="A5123" t="s">
        <v>9688</v>
      </c>
      <c r="B5123">
        <v>6099</v>
      </c>
      <c r="C5123" t="s">
        <v>9674</v>
      </c>
      <c r="D5123" t="s">
        <v>9687</v>
      </c>
      <c r="E5123" t="s">
        <v>9848</v>
      </c>
      <c r="F5123" t="s">
        <v>5595</v>
      </c>
    </row>
    <row r="5124" spans="1:6">
      <c r="A5124" t="s">
        <v>9688</v>
      </c>
      <c r="B5124">
        <v>6100</v>
      </c>
      <c r="C5124" t="s">
        <v>9850</v>
      </c>
      <c r="D5124" t="s">
        <v>9693</v>
      </c>
      <c r="E5124" t="s">
        <v>9852</v>
      </c>
      <c r="F5124" t="s">
        <v>5595</v>
      </c>
    </row>
    <row r="5125" spans="1:6">
      <c r="A5125" t="s">
        <v>9688</v>
      </c>
      <c r="B5125">
        <v>6100</v>
      </c>
      <c r="C5125" t="s">
        <v>9894</v>
      </c>
      <c r="D5125" t="s">
        <v>9693</v>
      </c>
      <c r="E5125" t="s">
        <v>9852</v>
      </c>
      <c r="F5125" t="s">
        <v>5595</v>
      </c>
    </row>
    <row r="5126" spans="1:6">
      <c r="A5126" t="s">
        <v>9688</v>
      </c>
      <c r="B5126">
        <v>6160</v>
      </c>
      <c r="C5126" t="s">
        <v>9674</v>
      </c>
      <c r="D5126" t="s">
        <v>9696</v>
      </c>
      <c r="E5126" t="s">
        <v>9855</v>
      </c>
      <c r="F5126" t="s">
        <v>5595</v>
      </c>
    </row>
    <row r="5127" spans="1:6">
      <c r="A5127" t="s">
        <v>9688</v>
      </c>
      <c r="B5127">
        <v>6171</v>
      </c>
      <c r="C5127" t="s">
        <v>2209</v>
      </c>
      <c r="D5127" t="s">
        <v>9704</v>
      </c>
      <c r="E5127" t="s">
        <v>9860</v>
      </c>
      <c r="F5127" t="s">
        <v>5595</v>
      </c>
    </row>
    <row r="5128" spans="1:6">
      <c r="A5128" t="s">
        <v>9688</v>
      </c>
      <c r="B5128">
        <v>6171</v>
      </c>
      <c r="C5128" t="s">
        <v>9895</v>
      </c>
      <c r="D5128" t="s">
        <v>9704</v>
      </c>
      <c r="E5128" t="s">
        <v>9860</v>
      </c>
      <c r="F5128" t="s">
        <v>5595</v>
      </c>
    </row>
    <row r="5129" spans="1:6">
      <c r="A5129" t="s">
        <v>9688</v>
      </c>
      <c r="B5129">
        <v>6171</v>
      </c>
      <c r="C5129" t="s">
        <v>2210</v>
      </c>
      <c r="D5129" t="s">
        <v>9704</v>
      </c>
      <c r="E5129" t="s">
        <v>9860</v>
      </c>
      <c r="F5129" t="s">
        <v>5595</v>
      </c>
    </row>
    <row r="5130" spans="1:6">
      <c r="A5130" t="s">
        <v>9688</v>
      </c>
      <c r="B5130">
        <v>6171</v>
      </c>
      <c r="C5130" t="s">
        <v>9896</v>
      </c>
      <c r="D5130" t="s">
        <v>9704</v>
      </c>
      <c r="E5130" t="s">
        <v>9860</v>
      </c>
      <c r="F5130" t="s">
        <v>5595</v>
      </c>
    </row>
    <row r="5131" spans="1:6">
      <c r="A5131" t="s">
        <v>9688</v>
      </c>
      <c r="B5131">
        <v>6171</v>
      </c>
      <c r="C5131" t="s">
        <v>3029</v>
      </c>
      <c r="D5131" t="s">
        <v>9704</v>
      </c>
      <c r="E5131" t="s">
        <v>9860</v>
      </c>
      <c r="F5131" t="s">
        <v>5595</v>
      </c>
    </row>
    <row r="5132" spans="1:6">
      <c r="A5132" t="s">
        <v>9688</v>
      </c>
      <c r="B5132">
        <v>6171</v>
      </c>
      <c r="C5132" t="s">
        <v>14027</v>
      </c>
      <c r="D5132" t="s">
        <v>9704</v>
      </c>
      <c r="E5132" t="s">
        <v>9860</v>
      </c>
      <c r="F5132" t="s">
        <v>5595</v>
      </c>
    </row>
    <row r="5133" spans="1:6">
      <c r="A5133" t="s">
        <v>9688</v>
      </c>
      <c r="B5133">
        <v>6173</v>
      </c>
      <c r="C5133" t="s">
        <v>2211</v>
      </c>
      <c r="D5133" t="s">
        <v>9709</v>
      </c>
      <c r="E5133" t="s">
        <v>9864</v>
      </c>
      <c r="F5133" t="s">
        <v>5595</v>
      </c>
    </row>
    <row r="5134" spans="1:6">
      <c r="A5134" t="s">
        <v>9688</v>
      </c>
      <c r="B5134">
        <v>6173</v>
      </c>
      <c r="C5134" t="s">
        <v>2212</v>
      </c>
      <c r="D5134" t="s">
        <v>9709</v>
      </c>
      <c r="E5134" t="s">
        <v>9864</v>
      </c>
      <c r="F5134" t="s">
        <v>5595</v>
      </c>
    </row>
    <row r="5135" spans="1:6">
      <c r="A5135" t="s">
        <v>9688</v>
      </c>
      <c r="B5135">
        <v>6190</v>
      </c>
      <c r="C5135" t="s">
        <v>3120</v>
      </c>
      <c r="D5135" t="s">
        <v>9713</v>
      </c>
      <c r="E5135" t="s">
        <v>9868</v>
      </c>
      <c r="F5135" t="s">
        <v>5595</v>
      </c>
    </row>
    <row r="5136" spans="1:6">
      <c r="A5136" t="s">
        <v>9688</v>
      </c>
      <c r="B5136">
        <v>6195</v>
      </c>
      <c r="C5136" t="s">
        <v>9674</v>
      </c>
      <c r="D5136" t="s">
        <v>9726</v>
      </c>
      <c r="E5136" t="s">
        <v>9876</v>
      </c>
      <c r="F5136" t="s">
        <v>5595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0"/>
  <sheetViews>
    <sheetView workbookViewId="0"/>
  </sheetViews>
  <sheetFormatPr baseColWidth="10" defaultRowHeight="15"/>
  <sheetData>
    <row r="1" spans="1:14">
      <c r="A1" s="316" t="s">
        <v>9512</v>
      </c>
      <c r="B1" s="316" t="s">
        <v>9669</v>
      </c>
      <c r="C1" s="316" t="s">
        <v>9670</v>
      </c>
      <c r="D1" s="316" t="s">
        <v>9671</v>
      </c>
      <c r="E1" s="316" t="s">
        <v>9672</v>
      </c>
      <c r="F1" s="316" t="s">
        <v>9673</v>
      </c>
      <c r="G1" s="316" t="s">
        <v>9513</v>
      </c>
      <c r="H1" s="316" t="s">
        <v>9514</v>
      </c>
      <c r="I1" s="316" t="s">
        <v>9515</v>
      </c>
      <c r="J1" s="317" t="s">
        <v>9516</v>
      </c>
      <c r="K1" s="317" t="s">
        <v>9517</v>
      </c>
      <c r="L1" s="316" t="s">
        <v>9518</v>
      </c>
      <c r="M1" s="316" t="s">
        <v>9519</v>
      </c>
      <c r="N1" s="316" t="s">
        <v>9520</v>
      </c>
    </row>
    <row r="2" spans="1:14">
      <c r="A2" t="s">
        <v>9681</v>
      </c>
      <c r="B2" t="s">
        <v>75</v>
      </c>
      <c r="C2" t="s">
        <v>9522</v>
      </c>
      <c r="D2" t="s">
        <v>13963</v>
      </c>
      <c r="E2" t="s">
        <v>9523</v>
      </c>
      <c r="F2" t="s">
        <v>9557</v>
      </c>
      <c r="G2" s="229" t="s">
        <v>9889</v>
      </c>
      <c r="I2" s="13" t="s">
        <v>5606</v>
      </c>
      <c r="J2" s="318">
        <v>541.9</v>
      </c>
      <c r="K2" s="318">
        <v>541.9</v>
      </c>
      <c r="L2" t="s">
        <v>9682</v>
      </c>
      <c r="M2" t="s">
        <v>13964</v>
      </c>
    </row>
    <row r="3" spans="1:14">
      <c r="A3" t="s">
        <v>9683</v>
      </c>
      <c r="B3" t="s">
        <v>75</v>
      </c>
      <c r="C3" t="s">
        <v>9522</v>
      </c>
      <c r="D3" t="s">
        <v>13965</v>
      </c>
      <c r="E3" t="s">
        <v>9523</v>
      </c>
      <c r="F3" t="s">
        <v>9557</v>
      </c>
      <c r="G3" s="229">
        <v>6099</v>
      </c>
      <c r="I3" s="13" t="s">
        <v>9527</v>
      </c>
      <c r="J3" s="318">
        <v>656</v>
      </c>
      <c r="K3" s="318">
        <v>656</v>
      </c>
      <c r="L3" t="s">
        <v>9674</v>
      </c>
      <c r="M3" t="s">
        <v>9684</v>
      </c>
    </row>
    <row r="4" spans="1:14">
      <c r="A4" t="s">
        <v>9685</v>
      </c>
      <c r="B4" t="s">
        <v>75</v>
      </c>
      <c r="C4" t="s">
        <v>9522</v>
      </c>
      <c r="D4" t="s">
        <v>13966</v>
      </c>
      <c r="E4" t="s">
        <v>9523</v>
      </c>
      <c r="F4" t="s">
        <v>9557</v>
      </c>
      <c r="G4" s="229">
        <v>6099</v>
      </c>
      <c r="I4" s="13" t="s">
        <v>5601</v>
      </c>
      <c r="J4" s="318">
        <v>1197.9000000000001</v>
      </c>
      <c r="K4" s="318">
        <v>1197.9000000000001</v>
      </c>
      <c r="L4" t="s">
        <v>9674</v>
      </c>
      <c r="M4" t="s">
        <v>9686</v>
      </c>
    </row>
    <row r="5" spans="1:14">
      <c r="A5" t="s">
        <v>9687</v>
      </c>
      <c r="B5" t="s">
        <v>75</v>
      </c>
      <c r="C5" t="s">
        <v>9522</v>
      </c>
      <c r="D5" t="s">
        <v>13967</v>
      </c>
      <c r="E5" t="s">
        <v>9523</v>
      </c>
      <c r="F5" t="s">
        <v>9557</v>
      </c>
      <c r="G5" s="229">
        <v>6099</v>
      </c>
      <c r="I5" s="13" t="s">
        <v>5595</v>
      </c>
      <c r="J5" s="318">
        <v>1853.9</v>
      </c>
      <c r="K5" s="318">
        <v>1853.9</v>
      </c>
      <c r="L5" t="s">
        <v>9674</v>
      </c>
      <c r="M5" t="s">
        <v>9688</v>
      </c>
    </row>
    <row r="6" spans="1:14">
      <c r="A6" t="s">
        <v>9689</v>
      </c>
      <c r="B6" t="s">
        <v>75</v>
      </c>
      <c r="C6" t="s">
        <v>9522</v>
      </c>
      <c r="D6" t="s">
        <v>13968</v>
      </c>
      <c r="E6" t="s">
        <v>9523</v>
      </c>
      <c r="F6" t="s">
        <v>9557</v>
      </c>
      <c r="G6" s="229" t="s">
        <v>9890</v>
      </c>
      <c r="I6" s="13" t="s">
        <v>9527</v>
      </c>
      <c r="J6" s="318">
        <v>450.7</v>
      </c>
      <c r="K6" s="318">
        <v>450.7</v>
      </c>
      <c r="L6" t="s">
        <v>9690</v>
      </c>
      <c r="M6" t="s">
        <v>9684</v>
      </c>
    </row>
    <row r="7" spans="1:14">
      <c r="A7" t="s">
        <v>9691</v>
      </c>
      <c r="B7" t="s">
        <v>75</v>
      </c>
      <c r="C7" t="s">
        <v>9522</v>
      </c>
      <c r="D7" t="s">
        <v>13969</v>
      </c>
      <c r="E7" t="s">
        <v>9523</v>
      </c>
      <c r="F7" t="s">
        <v>9557</v>
      </c>
      <c r="G7" s="229" t="s">
        <v>9890</v>
      </c>
      <c r="I7" s="13" t="s">
        <v>5606</v>
      </c>
      <c r="J7" s="318">
        <v>372.3</v>
      </c>
      <c r="K7" s="318">
        <v>372.3</v>
      </c>
      <c r="L7" t="s">
        <v>9690</v>
      </c>
      <c r="M7" t="s">
        <v>13964</v>
      </c>
    </row>
    <row r="8" spans="1:14">
      <c r="A8" t="s">
        <v>9692</v>
      </c>
      <c r="B8" t="s">
        <v>75</v>
      </c>
      <c r="C8" t="s">
        <v>9522</v>
      </c>
      <c r="D8" t="s">
        <v>13970</v>
      </c>
      <c r="E8" t="s">
        <v>9523</v>
      </c>
      <c r="F8" t="s">
        <v>9557</v>
      </c>
      <c r="G8" s="229" t="s">
        <v>9890</v>
      </c>
      <c r="I8" s="13" t="s">
        <v>5601</v>
      </c>
      <c r="J8" s="318">
        <v>823</v>
      </c>
      <c r="K8" s="318">
        <v>823</v>
      </c>
      <c r="L8" t="s">
        <v>9690</v>
      </c>
      <c r="M8" t="s">
        <v>9686</v>
      </c>
    </row>
    <row r="9" spans="1:14">
      <c r="A9" t="s">
        <v>9693</v>
      </c>
      <c r="B9" t="s">
        <v>75</v>
      </c>
      <c r="C9" t="s">
        <v>9522</v>
      </c>
      <c r="D9" t="s">
        <v>13971</v>
      </c>
      <c r="E9" t="s">
        <v>9523</v>
      </c>
      <c r="F9" t="s">
        <v>9557</v>
      </c>
      <c r="G9" s="229" t="s">
        <v>9890</v>
      </c>
      <c r="I9" s="13" t="s">
        <v>5595</v>
      </c>
      <c r="J9" s="318">
        <v>1273.7</v>
      </c>
      <c r="K9" s="318">
        <v>1273.7</v>
      </c>
      <c r="L9" t="s">
        <v>9690</v>
      </c>
      <c r="M9" t="s">
        <v>9688</v>
      </c>
    </row>
    <row r="10" spans="1:14">
      <c r="A10" t="s">
        <v>9694</v>
      </c>
      <c r="B10" t="s">
        <v>75</v>
      </c>
      <c r="C10" t="s">
        <v>9522</v>
      </c>
      <c r="D10" t="s">
        <v>13972</v>
      </c>
      <c r="E10" t="s">
        <v>9523</v>
      </c>
      <c r="F10" t="s">
        <v>9557</v>
      </c>
      <c r="G10" s="229">
        <v>6160</v>
      </c>
      <c r="I10" s="13" t="s">
        <v>9527</v>
      </c>
      <c r="J10" s="318">
        <v>469.8</v>
      </c>
      <c r="K10" s="318">
        <v>469.8</v>
      </c>
      <c r="L10" t="s">
        <v>9674</v>
      </c>
      <c r="M10" t="s">
        <v>9684</v>
      </c>
    </row>
    <row r="11" spans="1:14">
      <c r="A11" t="s">
        <v>9695</v>
      </c>
      <c r="B11" t="s">
        <v>75</v>
      </c>
      <c r="C11" t="s">
        <v>9522</v>
      </c>
      <c r="D11" t="s">
        <v>13973</v>
      </c>
      <c r="E11" t="s">
        <v>9523</v>
      </c>
      <c r="F11" t="s">
        <v>9557</v>
      </c>
      <c r="G11" s="229">
        <v>6160</v>
      </c>
      <c r="I11" s="13" t="s">
        <v>5601</v>
      </c>
      <c r="J11" s="318">
        <v>857.9</v>
      </c>
      <c r="K11" s="318">
        <v>857.9</v>
      </c>
      <c r="L11" t="s">
        <v>9674</v>
      </c>
      <c r="M11" t="s">
        <v>9686</v>
      </c>
    </row>
    <row r="12" spans="1:14">
      <c r="A12" t="s">
        <v>9696</v>
      </c>
      <c r="B12" t="s">
        <v>75</v>
      </c>
      <c r="C12" t="s">
        <v>9522</v>
      </c>
      <c r="D12" t="s">
        <v>13974</v>
      </c>
      <c r="E12" t="s">
        <v>9523</v>
      </c>
      <c r="F12" t="s">
        <v>9557</v>
      </c>
      <c r="G12" s="229">
        <v>6160</v>
      </c>
      <c r="I12" s="13" t="s">
        <v>5595</v>
      </c>
      <c r="J12" s="318">
        <v>1327.7</v>
      </c>
      <c r="K12" s="318">
        <v>1327.7</v>
      </c>
      <c r="L12" t="s">
        <v>9674</v>
      </c>
      <c r="M12" t="s">
        <v>9688</v>
      </c>
    </row>
    <row r="13" spans="1:14">
      <c r="A13" t="s">
        <v>9697</v>
      </c>
      <c r="B13" t="s">
        <v>75</v>
      </c>
      <c r="C13" t="s">
        <v>9522</v>
      </c>
      <c r="D13" t="s">
        <v>13975</v>
      </c>
      <c r="E13" t="s">
        <v>9523</v>
      </c>
      <c r="F13" t="s">
        <v>9557</v>
      </c>
      <c r="G13" s="229" t="s">
        <v>9891</v>
      </c>
      <c r="I13" s="13" t="s">
        <v>5606</v>
      </c>
      <c r="J13" s="318">
        <v>388.1</v>
      </c>
      <c r="K13" s="318">
        <v>388.1</v>
      </c>
      <c r="L13" t="s">
        <v>9698</v>
      </c>
      <c r="M13" t="s">
        <v>13964</v>
      </c>
    </row>
    <row r="14" spans="1:14">
      <c r="A14" t="s">
        <v>9699</v>
      </c>
      <c r="B14" t="s">
        <v>75</v>
      </c>
      <c r="C14" t="s">
        <v>9522</v>
      </c>
      <c r="D14" t="s">
        <v>13976</v>
      </c>
      <c r="E14" t="s">
        <v>9523</v>
      </c>
      <c r="F14" t="s">
        <v>9557</v>
      </c>
      <c r="G14" s="229" t="s">
        <v>14026</v>
      </c>
      <c r="I14" s="13" t="s">
        <v>9527</v>
      </c>
      <c r="J14" s="318">
        <v>490.1</v>
      </c>
      <c r="K14" s="318">
        <v>490.1</v>
      </c>
      <c r="L14" t="s">
        <v>9700</v>
      </c>
      <c r="M14" t="s">
        <v>9684</v>
      </c>
    </row>
    <row r="15" spans="1:14">
      <c r="A15" t="s">
        <v>9701</v>
      </c>
      <c r="B15" t="s">
        <v>75</v>
      </c>
      <c r="C15" t="s">
        <v>9522</v>
      </c>
      <c r="D15" t="s">
        <v>13977</v>
      </c>
      <c r="E15" t="s">
        <v>9523</v>
      </c>
      <c r="F15" t="s">
        <v>9557</v>
      </c>
      <c r="G15" s="229" t="s">
        <v>14026</v>
      </c>
      <c r="I15" s="13" t="s">
        <v>5606</v>
      </c>
      <c r="J15" s="318">
        <v>1449.1</v>
      </c>
      <c r="K15" s="318">
        <v>1449.1</v>
      </c>
      <c r="L15" t="s">
        <v>9700</v>
      </c>
      <c r="M15" t="s">
        <v>9702</v>
      </c>
    </row>
    <row r="16" spans="1:14">
      <c r="A16" t="s">
        <v>9703</v>
      </c>
      <c r="B16" t="s">
        <v>75</v>
      </c>
      <c r="C16" t="s">
        <v>9522</v>
      </c>
      <c r="D16" t="s">
        <v>13978</v>
      </c>
      <c r="E16" t="s">
        <v>9523</v>
      </c>
      <c r="F16" t="s">
        <v>9557</v>
      </c>
      <c r="G16" s="229" t="s">
        <v>14026</v>
      </c>
      <c r="I16" s="13" t="s">
        <v>5601</v>
      </c>
      <c r="J16" s="318">
        <v>1939.2</v>
      </c>
      <c r="K16" s="318">
        <v>1939.2</v>
      </c>
      <c r="L16" t="s">
        <v>9700</v>
      </c>
      <c r="M16" t="s">
        <v>9686</v>
      </c>
    </row>
    <row r="17" spans="1:13">
      <c r="A17" t="s">
        <v>9704</v>
      </c>
      <c r="B17" t="s">
        <v>75</v>
      </c>
      <c r="C17" t="s">
        <v>9522</v>
      </c>
      <c r="D17" t="s">
        <v>13979</v>
      </c>
      <c r="E17" t="s">
        <v>9523</v>
      </c>
      <c r="F17" t="s">
        <v>9557</v>
      </c>
      <c r="G17" s="229" t="s">
        <v>14026</v>
      </c>
      <c r="I17" s="13" t="s">
        <v>5595</v>
      </c>
      <c r="J17" s="318">
        <v>2429.3000000000002</v>
      </c>
      <c r="K17" s="318">
        <v>2429.3000000000002</v>
      </c>
      <c r="L17" t="s">
        <v>9700</v>
      </c>
      <c r="M17" t="s">
        <v>9688</v>
      </c>
    </row>
    <row r="18" spans="1:13">
      <c r="A18" t="s">
        <v>9705</v>
      </c>
      <c r="B18" t="s">
        <v>75</v>
      </c>
      <c r="C18" t="s">
        <v>9522</v>
      </c>
      <c r="D18" t="s">
        <v>13980</v>
      </c>
      <c r="E18" t="s">
        <v>9523</v>
      </c>
      <c r="F18" t="s">
        <v>9557</v>
      </c>
      <c r="G18" s="229" t="s">
        <v>9892</v>
      </c>
      <c r="I18" s="13" t="s">
        <v>9527</v>
      </c>
      <c r="J18" s="318">
        <v>796.4</v>
      </c>
      <c r="K18" s="318">
        <v>796.4</v>
      </c>
      <c r="L18" t="s">
        <v>9706</v>
      </c>
      <c r="M18" t="s">
        <v>9684</v>
      </c>
    </row>
    <row r="19" spans="1:13">
      <c r="A19" t="s">
        <v>9707</v>
      </c>
      <c r="B19" t="s">
        <v>75</v>
      </c>
      <c r="C19" t="s">
        <v>9522</v>
      </c>
      <c r="D19" t="s">
        <v>13981</v>
      </c>
      <c r="E19" t="s">
        <v>9523</v>
      </c>
      <c r="F19" t="s">
        <v>9557</v>
      </c>
      <c r="G19" s="229" t="s">
        <v>9892</v>
      </c>
      <c r="I19" s="13" t="s">
        <v>5606</v>
      </c>
      <c r="J19" s="318">
        <v>657.9</v>
      </c>
      <c r="K19" s="318">
        <v>657.9</v>
      </c>
      <c r="L19" t="s">
        <v>9706</v>
      </c>
      <c r="M19" t="s">
        <v>13964</v>
      </c>
    </row>
    <row r="20" spans="1:13">
      <c r="A20" t="s">
        <v>9708</v>
      </c>
      <c r="B20" t="s">
        <v>75</v>
      </c>
      <c r="C20" t="s">
        <v>9522</v>
      </c>
      <c r="D20" t="s">
        <v>13982</v>
      </c>
      <c r="E20" t="s">
        <v>9523</v>
      </c>
      <c r="F20" t="s">
        <v>9557</v>
      </c>
      <c r="G20" s="229" t="s">
        <v>9892</v>
      </c>
      <c r="I20" s="13" t="s">
        <v>5601</v>
      </c>
      <c r="J20" s="318">
        <v>1454.3</v>
      </c>
      <c r="K20" s="318">
        <v>1454.3</v>
      </c>
      <c r="L20" t="s">
        <v>9706</v>
      </c>
      <c r="M20" t="s">
        <v>9686</v>
      </c>
    </row>
    <row r="21" spans="1:13">
      <c r="A21" t="s">
        <v>9709</v>
      </c>
      <c r="B21" t="s">
        <v>75</v>
      </c>
      <c r="C21" t="s">
        <v>9522</v>
      </c>
      <c r="D21" t="s">
        <v>13983</v>
      </c>
      <c r="E21" t="s">
        <v>9523</v>
      </c>
      <c r="F21" t="s">
        <v>9557</v>
      </c>
      <c r="G21" s="229" t="s">
        <v>9892</v>
      </c>
      <c r="I21" s="13" t="s">
        <v>5595</v>
      </c>
      <c r="J21" s="318">
        <v>2250.6999999999998</v>
      </c>
      <c r="K21" s="318">
        <v>2250.6999999999998</v>
      </c>
      <c r="L21" t="s">
        <v>9706</v>
      </c>
      <c r="M21" t="s">
        <v>9688</v>
      </c>
    </row>
    <row r="22" spans="1:13">
      <c r="A22" t="s">
        <v>9710</v>
      </c>
      <c r="B22" t="s">
        <v>75</v>
      </c>
      <c r="C22" t="s">
        <v>9522</v>
      </c>
      <c r="D22" t="s">
        <v>13984</v>
      </c>
      <c r="E22" t="s">
        <v>9523</v>
      </c>
      <c r="F22" t="s">
        <v>9557</v>
      </c>
      <c r="G22" s="229">
        <v>6190</v>
      </c>
      <c r="I22" s="13" t="s">
        <v>9527</v>
      </c>
      <c r="J22" s="318">
        <v>319.8</v>
      </c>
      <c r="K22" s="318">
        <v>319.8</v>
      </c>
      <c r="L22" t="s">
        <v>3120</v>
      </c>
      <c r="M22" t="s">
        <v>9684</v>
      </c>
    </row>
    <row r="23" spans="1:13">
      <c r="A23" t="s">
        <v>9711</v>
      </c>
      <c r="B23" t="s">
        <v>75</v>
      </c>
      <c r="C23" t="s">
        <v>9522</v>
      </c>
      <c r="D23" t="s">
        <v>13985</v>
      </c>
      <c r="E23" t="s">
        <v>9523</v>
      </c>
      <c r="F23" t="s">
        <v>9557</v>
      </c>
      <c r="G23" s="229">
        <v>6190</v>
      </c>
      <c r="I23" s="13" t="s">
        <v>5606</v>
      </c>
      <c r="J23" s="318">
        <v>727.6</v>
      </c>
      <c r="K23" s="318">
        <v>727.6</v>
      </c>
      <c r="L23" t="s">
        <v>3120</v>
      </c>
      <c r="M23" t="s">
        <v>9702</v>
      </c>
    </row>
    <row r="24" spans="1:13">
      <c r="A24" t="s">
        <v>9712</v>
      </c>
      <c r="B24" t="s">
        <v>75</v>
      </c>
      <c r="C24" t="s">
        <v>9522</v>
      </c>
      <c r="D24" t="s">
        <v>13986</v>
      </c>
      <c r="E24" t="s">
        <v>9523</v>
      </c>
      <c r="F24" t="s">
        <v>9557</v>
      </c>
      <c r="G24" s="229">
        <v>6190</v>
      </c>
      <c r="I24" s="13" t="s">
        <v>5601</v>
      </c>
      <c r="J24" s="318">
        <v>1047.4000000000001</v>
      </c>
      <c r="K24" s="318">
        <v>1047.4000000000001</v>
      </c>
      <c r="L24" t="s">
        <v>3120</v>
      </c>
      <c r="M24" t="s">
        <v>9686</v>
      </c>
    </row>
    <row r="25" spans="1:13">
      <c r="A25" t="s">
        <v>9713</v>
      </c>
      <c r="B25" t="s">
        <v>75</v>
      </c>
      <c r="C25" t="s">
        <v>9522</v>
      </c>
      <c r="D25" t="s">
        <v>13987</v>
      </c>
      <c r="E25" t="s">
        <v>9523</v>
      </c>
      <c r="F25" t="s">
        <v>9557</v>
      </c>
      <c r="G25" s="229">
        <v>6190</v>
      </c>
      <c r="I25" s="13" t="s">
        <v>5595</v>
      </c>
      <c r="J25" s="318">
        <v>1367.2</v>
      </c>
      <c r="K25" s="318">
        <v>1367.2</v>
      </c>
      <c r="L25" t="s">
        <v>3120</v>
      </c>
      <c r="M25" t="s">
        <v>9688</v>
      </c>
    </row>
    <row r="26" spans="1:13">
      <c r="A26" t="s">
        <v>9714</v>
      </c>
      <c r="B26" t="s">
        <v>75</v>
      </c>
      <c r="C26" t="s">
        <v>9522</v>
      </c>
      <c r="D26" t="s">
        <v>13988</v>
      </c>
      <c r="E26" t="s">
        <v>9523</v>
      </c>
      <c r="F26" t="s">
        <v>9557</v>
      </c>
      <c r="G26" s="229" t="s">
        <v>9893</v>
      </c>
      <c r="I26" s="13" t="s">
        <v>9527</v>
      </c>
      <c r="J26" s="318">
        <v>1133.9000000000001</v>
      </c>
      <c r="K26" s="318">
        <v>1133.9000000000001</v>
      </c>
      <c r="L26" t="s">
        <v>9715</v>
      </c>
      <c r="M26" t="s">
        <v>9716</v>
      </c>
    </row>
    <row r="27" spans="1:13">
      <c r="A27" t="s">
        <v>9717</v>
      </c>
      <c r="B27" t="s">
        <v>75</v>
      </c>
      <c r="C27" t="s">
        <v>9522</v>
      </c>
      <c r="D27" t="s">
        <v>13989</v>
      </c>
      <c r="E27" t="s">
        <v>9523</v>
      </c>
      <c r="F27" t="s">
        <v>9557</v>
      </c>
      <c r="G27" s="229" t="s">
        <v>9893</v>
      </c>
      <c r="I27" s="13" t="s">
        <v>5606</v>
      </c>
      <c r="J27" s="318">
        <v>665.3</v>
      </c>
      <c r="K27" s="318">
        <v>665.3</v>
      </c>
      <c r="L27" t="s">
        <v>9715</v>
      </c>
      <c r="M27" t="s">
        <v>9718</v>
      </c>
    </row>
    <row r="28" spans="1:13">
      <c r="A28" t="s">
        <v>9719</v>
      </c>
      <c r="B28" t="s">
        <v>75</v>
      </c>
      <c r="C28" t="s">
        <v>9522</v>
      </c>
      <c r="D28" t="s">
        <v>13990</v>
      </c>
      <c r="E28" t="s">
        <v>9523</v>
      </c>
      <c r="F28" t="s">
        <v>9557</v>
      </c>
      <c r="G28" s="229" t="s">
        <v>9893</v>
      </c>
      <c r="I28" s="13" t="s">
        <v>5601</v>
      </c>
      <c r="J28" s="318">
        <v>1799.2</v>
      </c>
      <c r="K28" s="318">
        <v>1799.2</v>
      </c>
      <c r="L28" t="s">
        <v>9715</v>
      </c>
      <c r="M28" t="s">
        <v>9720</v>
      </c>
    </row>
    <row r="29" spans="1:13">
      <c r="A29" t="s">
        <v>9721</v>
      </c>
      <c r="B29" t="s">
        <v>75</v>
      </c>
      <c r="C29" t="s">
        <v>9522</v>
      </c>
      <c r="D29" t="s">
        <v>13991</v>
      </c>
      <c r="E29" t="s">
        <v>9523</v>
      </c>
      <c r="F29" t="s">
        <v>9557</v>
      </c>
      <c r="G29" s="229" t="s">
        <v>9893</v>
      </c>
      <c r="I29" s="13" t="s">
        <v>5595</v>
      </c>
      <c r="J29" s="318">
        <v>2933.1</v>
      </c>
      <c r="K29" s="318">
        <v>2933.1</v>
      </c>
      <c r="L29" t="s">
        <v>9715</v>
      </c>
      <c r="M29" t="s">
        <v>9722</v>
      </c>
    </row>
    <row r="30" spans="1:13">
      <c r="A30" t="s">
        <v>9723</v>
      </c>
      <c r="B30" t="s">
        <v>75</v>
      </c>
      <c r="C30" t="s">
        <v>9522</v>
      </c>
      <c r="D30" t="s">
        <v>13992</v>
      </c>
      <c r="E30" t="s">
        <v>9523</v>
      </c>
      <c r="F30" t="s">
        <v>9557</v>
      </c>
      <c r="G30" s="229">
        <v>6195</v>
      </c>
      <c r="I30" s="13" t="s">
        <v>9527</v>
      </c>
      <c r="J30" s="318">
        <v>1828.9</v>
      </c>
      <c r="K30" s="318">
        <v>1828.9</v>
      </c>
      <c r="L30" t="s">
        <v>9674</v>
      </c>
      <c r="M30" t="s">
        <v>9684</v>
      </c>
    </row>
    <row r="31" spans="1:13">
      <c r="A31" t="s">
        <v>9724</v>
      </c>
      <c r="B31" t="s">
        <v>75</v>
      </c>
      <c r="C31" t="s">
        <v>9522</v>
      </c>
      <c r="D31" t="s">
        <v>13993</v>
      </c>
      <c r="E31" t="s">
        <v>9523</v>
      </c>
      <c r="F31" t="s">
        <v>9557</v>
      </c>
      <c r="G31" s="229">
        <v>6195</v>
      </c>
      <c r="I31" s="13" t="s">
        <v>5606</v>
      </c>
      <c r="J31" s="318">
        <v>1510.8</v>
      </c>
      <c r="K31" s="318">
        <v>1510.8</v>
      </c>
      <c r="L31" t="s">
        <v>9674</v>
      </c>
      <c r="M31" t="s">
        <v>9702</v>
      </c>
    </row>
    <row r="32" spans="1:13">
      <c r="A32" t="s">
        <v>9725</v>
      </c>
      <c r="B32" t="s">
        <v>75</v>
      </c>
      <c r="C32" t="s">
        <v>9522</v>
      </c>
      <c r="D32" t="s">
        <v>13994</v>
      </c>
      <c r="E32" t="s">
        <v>9523</v>
      </c>
      <c r="F32" t="s">
        <v>9557</v>
      </c>
      <c r="G32" s="229">
        <v>6195</v>
      </c>
      <c r="I32" s="13" t="s">
        <v>5601</v>
      </c>
      <c r="J32" s="318">
        <v>3339.7</v>
      </c>
      <c r="K32" s="318">
        <v>3339.7</v>
      </c>
      <c r="L32" t="s">
        <v>9674</v>
      </c>
      <c r="M32" t="s">
        <v>9686</v>
      </c>
    </row>
    <row r="33" spans="1:13">
      <c r="A33" t="s">
        <v>9726</v>
      </c>
      <c r="B33" t="s">
        <v>75</v>
      </c>
      <c r="C33" t="s">
        <v>9522</v>
      </c>
      <c r="D33" t="s">
        <v>13995</v>
      </c>
      <c r="E33" t="s">
        <v>9523</v>
      </c>
      <c r="F33" t="s">
        <v>9557</v>
      </c>
      <c r="G33" s="229">
        <v>6195</v>
      </c>
      <c r="I33" s="13" t="s">
        <v>5595</v>
      </c>
      <c r="J33" s="318">
        <v>5168.6000000000004</v>
      </c>
      <c r="K33" s="318">
        <v>5168.6000000000004</v>
      </c>
      <c r="L33" t="s">
        <v>9674</v>
      </c>
      <c r="M33" t="s">
        <v>9688</v>
      </c>
    </row>
    <row r="34" spans="1:13">
      <c r="A34" t="s">
        <v>9727</v>
      </c>
      <c r="B34" t="s">
        <v>75</v>
      </c>
      <c r="C34" t="s">
        <v>9522</v>
      </c>
      <c r="D34" t="s">
        <v>9727</v>
      </c>
      <c r="E34" t="s">
        <v>9523</v>
      </c>
      <c r="F34" t="s">
        <v>13996</v>
      </c>
      <c r="G34" s="229">
        <v>6411</v>
      </c>
      <c r="I34" s="13" t="s">
        <v>9527</v>
      </c>
      <c r="J34" s="318">
        <v>172.79999999999998</v>
      </c>
      <c r="K34" s="318">
        <v>288</v>
      </c>
      <c r="L34" t="s">
        <v>9728</v>
      </c>
      <c r="M34" t="s">
        <v>9729</v>
      </c>
    </row>
    <row r="35" spans="1:13">
      <c r="A35" t="s">
        <v>9730</v>
      </c>
      <c r="B35" t="s">
        <v>75</v>
      </c>
      <c r="C35" t="s">
        <v>9522</v>
      </c>
      <c r="D35" t="s">
        <v>9730</v>
      </c>
      <c r="E35" t="s">
        <v>9523</v>
      </c>
      <c r="F35" t="s">
        <v>13996</v>
      </c>
      <c r="G35" s="229">
        <v>6411</v>
      </c>
      <c r="I35" s="13" t="s">
        <v>9527</v>
      </c>
      <c r="J35" s="318">
        <v>288</v>
      </c>
      <c r="K35" s="318">
        <v>480</v>
      </c>
      <c r="L35" t="s">
        <v>9728</v>
      </c>
      <c r="M35" t="s">
        <v>9731</v>
      </c>
    </row>
    <row r="36" spans="1:13">
      <c r="A36" t="s">
        <v>9732</v>
      </c>
      <c r="B36" t="s">
        <v>75</v>
      </c>
      <c r="C36" t="s">
        <v>9522</v>
      </c>
      <c r="D36" t="s">
        <v>9732</v>
      </c>
      <c r="E36" t="s">
        <v>9523</v>
      </c>
      <c r="F36" t="s">
        <v>13996</v>
      </c>
      <c r="G36" s="229">
        <v>6411</v>
      </c>
      <c r="I36" s="13" t="s">
        <v>9527</v>
      </c>
      <c r="J36" s="318">
        <v>326.39999999999998</v>
      </c>
      <c r="K36" s="318">
        <v>544</v>
      </c>
      <c r="L36" t="s">
        <v>9728</v>
      </c>
      <c r="M36" t="s">
        <v>9733</v>
      </c>
    </row>
    <row r="37" spans="1:13">
      <c r="A37" t="s">
        <v>9734</v>
      </c>
      <c r="B37" t="s">
        <v>75</v>
      </c>
      <c r="C37" t="s">
        <v>9522</v>
      </c>
      <c r="D37" t="s">
        <v>9734</v>
      </c>
      <c r="E37" t="s">
        <v>9523</v>
      </c>
      <c r="F37" t="s">
        <v>13996</v>
      </c>
      <c r="G37" s="229">
        <v>6411</v>
      </c>
      <c r="I37" s="13" t="s">
        <v>9545</v>
      </c>
      <c r="J37" s="318">
        <v>345.59999999999997</v>
      </c>
      <c r="K37" s="318">
        <v>576</v>
      </c>
      <c r="L37" t="s">
        <v>9728</v>
      </c>
      <c r="M37" t="s">
        <v>9735</v>
      </c>
    </row>
    <row r="38" spans="1:13">
      <c r="A38" t="s">
        <v>9736</v>
      </c>
      <c r="B38" t="s">
        <v>75</v>
      </c>
      <c r="C38" t="s">
        <v>9522</v>
      </c>
      <c r="D38" t="s">
        <v>9736</v>
      </c>
      <c r="E38" t="s">
        <v>9523</v>
      </c>
      <c r="F38" t="s">
        <v>13996</v>
      </c>
      <c r="G38" s="229">
        <v>6411</v>
      </c>
      <c r="I38" s="13" t="s">
        <v>9545</v>
      </c>
      <c r="J38" s="318">
        <v>576</v>
      </c>
      <c r="K38" s="318">
        <v>960</v>
      </c>
      <c r="L38" t="s">
        <v>9728</v>
      </c>
      <c r="M38" t="s">
        <v>9737</v>
      </c>
    </row>
    <row r="39" spans="1:13">
      <c r="A39" t="s">
        <v>9738</v>
      </c>
      <c r="B39" t="s">
        <v>75</v>
      </c>
      <c r="C39" t="s">
        <v>9522</v>
      </c>
      <c r="D39" t="s">
        <v>9738</v>
      </c>
      <c r="E39" t="s">
        <v>9523</v>
      </c>
      <c r="F39" t="s">
        <v>13996</v>
      </c>
      <c r="G39" s="229">
        <v>6411</v>
      </c>
      <c r="I39" s="13" t="s">
        <v>9545</v>
      </c>
      <c r="J39" s="318">
        <v>648</v>
      </c>
      <c r="K39" s="318">
        <v>1080</v>
      </c>
      <c r="L39" t="s">
        <v>9728</v>
      </c>
      <c r="M39" t="s">
        <v>9739</v>
      </c>
    </row>
    <row r="40" spans="1:13">
      <c r="A40" t="s">
        <v>9740</v>
      </c>
      <c r="B40" t="s">
        <v>75</v>
      </c>
      <c r="C40" t="s">
        <v>9522</v>
      </c>
      <c r="D40" t="s">
        <v>9740</v>
      </c>
      <c r="E40" t="s">
        <v>9523</v>
      </c>
      <c r="F40" t="s">
        <v>13996</v>
      </c>
      <c r="G40" s="229">
        <v>6411</v>
      </c>
      <c r="I40" s="13" t="s">
        <v>5606</v>
      </c>
      <c r="J40" s="318">
        <v>288</v>
      </c>
      <c r="K40" s="318">
        <v>480</v>
      </c>
      <c r="L40" t="s">
        <v>9728</v>
      </c>
      <c r="M40" t="s">
        <v>9741</v>
      </c>
    </row>
    <row r="41" spans="1:13">
      <c r="A41" t="s">
        <v>9742</v>
      </c>
      <c r="B41" t="s">
        <v>75</v>
      </c>
      <c r="C41" t="s">
        <v>9522</v>
      </c>
      <c r="D41" t="s">
        <v>9742</v>
      </c>
      <c r="E41" t="s">
        <v>9523</v>
      </c>
      <c r="F41" t="s">
        <v>13996</v>
      </c>
      <c r="G41" s="229">
        <v>6411</v>
      </c>
      <c r="I41" s="13" t="s">
        <v>5606</v>
      </c>
      <c r="J41" s="318">
        <v>326.39999999999998</v>
      </c>
      <c r="K41" s="318">
        <v>544</v>
      </c>
      <c r="L41" t="s">
        <v>9728</v>
      </c>
      <c r="M41" t="s">
        <v>9743</v>
      </c>
    </row>
    <row r="42" spans="1:13">
      <c r="A42" t="s">
        <v>9744</v>
      </c>
      <c r="B42" t="s">
        <v>75</v>
      </c>
      <c r="C42" t="s">
        <v>9522</v>
      </c>
      <c r="D42" t="s">
        <v>13997</v>
      </c>
      <c r="E42" t="s">
        <v>9523</v>
      </c>
      <c r="F42" t="s">
        <v>9524</v>
      </c>
      <c r="G42" s="229">
        <v>6411</v>
      </c>
      <c r="I42" s="13" t="s">
        <v>5606</v>
      </c>
      <c r="J42" s="318">
        <v>336</v>
      </c>
      <c r="K42" s="318">
        <v>560</v>
      </c>
      <c r="L42" t="s">
        <v>9728</v>
      </c>
      <c r="M42" t="s">
        <v>9745</v>
      </c>
    </row>
    <row r="43" spans="1:13">
      <c r="A43" t="s">
        <v>9746</v>
      </c>
      <c r="B43" t="s">
        <v>75</v>
      </c>
      <c r="C43" t="s">
        <v>9522</v>
      </c>
      <c r="D43" t="s">
        <v>13998</v>
      </c>
      <c r="E43" t="s">
        <v>9523</v>
      </c>
      <c r="F43" t="s">
        <v>9557</v>
      </c>
      <c r="G43" s="229">
        <v>6411</v>
      </c>
      <c r="I43" s="13" t="s">
        <v>5606</v>
      </c>
      <c r="J43" s="318">
        <v>436.8</v>
      </c>
      <c r="K43" s="318">
        <v>728</v>
      </c>
      <c r="L43" t="s">
        <v>9728</v>
      </c>
      <c r="M43" t="s">
        <v>9747</v>
      </c>
    </row>
    <row r="44" spans="1:13">
      <c r="A44" t="s">
        <v>9748</v>
      </c>
      <c r="B44" t="s">
        <v>75</v>
      </c>
      <c r="C44" t="s">
        <v>9522</v>
      </c>
      <c r="D44" t="s">
        <v>9748</v>
      </c>
      <c r="E44" t="s">
        <v>9523</v>
      </c>
      <c r="F44" t="s">
        <v>13996</v>
      </c>
      <c r="G44" s="229">
        <v>6411</v>
      </c>
      <c r="I44" s="13" t="s">
        <v>5601</v>
      </c>
      <c r="J44" s="318">
        <v>528</v>
      </c>
      <c r="K44" s="318">
        <v>880</v>
      </c>
      <c r="L44" t="s">
        <v>9728</v>
      </c>
      <c r="M44" t="s">
        <v>9749</v>
      </c>
    </row>
    <row r="45" spans="1:13">
      <c r="A45" t="s">
        <v>9750</v>
      </c>
      <c r="B45" t="s">
        <v>75</v>
      </c>
      <c r="C45" t="s">
        <v>9522</v>
      </c>
      <c r="D45" t="s">
        <v>9750</v>
      </c>
      <c r="E45" t="s">
        <v>9523</v>
      </c>
      <c r="F45" t="s">
        <v>13996</v>
      </c>
      <c r="G45" s="229">
        <v>6411</v>
      </c>
      <c r="I45" s="13" t="s">
        <v>5601</v>
      </c>
      <c r="J45" s="318">
        <v>595.19999999999993</v>
      </c>
      <c r="K45" s="318">
        <v>992</v>
      </c>
      <c r="L45" t="s">
        <v>9728</v>
      </c>
      <c r="M45" t="s">
        <v>9751</v>
      </c>
    </row>
    <row r="46" spans="1:13">
      <c r="A46" t="s">
        <v>9752</v>
      </c>
      <c r="B46" t="s">
        <v>75</v>
      </c>
      <c r="C46" t="s">
        <v>9522</v>
      </c>
      <c r="D46" t="s">
        <v>13999</v>
      </c>
      <c r="E46" t="s">
        <v>9523</v>
      </c>
      <c r="F46" t="s">
        <v>9524</v>
      </c>
      <c r="G46" s="229">
        <v>6411</v>
      </c>
      <c r="I46" s="13" t="s">
        <v>5601</v>
      </c>
      <c r="J46" s="318">
        <v>624</v>
      </c>
      <c r="K46" s="318">
        <v>1040</v>
      </c>
      <c r="L46" t="s">
        <v>9728</v>
      </c>
      <c r="M46" t="s">
        <v>9753</v>
      </c>
    </row>
    <row r="47" spans="1:13">
      <c r="A47" t="s">
        <v>9754</v>
      </c>
      <c r="B47" t="s">
        <v>75</v>
      </c>
      <c r="C47" t="s">
        <v>9522</v>
      </c>
      <c r="D47" t="s">
        <v>14000</v>
      </c>
      <c r="E47" t="s">
        <v>9523</v>
      </c>
      <c r="F47" t="s">
        <v>9557</v>
      </c>
      <c r="G47" s="229">
        <v>6411</v>
      </c>
      <c r="I47" s="13" t="s">
        <v>5601</v>
      </c>
      <c r="J47" s="318">
        <v>816</v>
      </c>
      <c r="K47" s="318">
        <v>1360</v>
      </c>
      <c r="L47" t="s">
        <v>9728</v>
      </c>
      <c r="M47" t="s">
        <v>9755</v>
      </c>
    </row>
    <row r="48" spans="1:13">
      <c r="A48" t="s">
        <v>9756</v>
      </c>
      <c r="B48" t="s">
        <v>75</v>
      </c>
      <c r="C48" t="s">
        <v>9522</v>
      </c>
      <c r="D48" t="s">
        <v>9756</v>
      </c>
      <c r="E48" t="s">
        <v>9523</v>
      </c>
      <c r="F48" t="s">
        <v>13996</v>
      </c>
      <c r="G48" s="229">
        <v>6411</v>
      </c>
      <c r="I48" s="13" t="s">
        <v>5595</v>
      </c>
      <c r="J48" s="318">
        <v>792</v>
      </c>
      <c r="K48" s="318">
        <v>1320</v>
      </c>
      <c r="L48" t="s">
        <v>9728</v>
      </c>
      <c r="M48" t="s">
        <v>9757</v>
      </c>
    </row>
    <row r="49" spans="1:13">
      <c r="A49" t="s">
        <v>9758</v>
      </c>
      <c r="B49" t="s">
        <v>75</v>
      </c>
      <c r="C49" t="s">
        <v>9522</v>
      </c>
      <c r="D49" t="s">
        <v>9758</v>
      </c>
      <c r="E49" t="s">
        <v>9523</v>
      </c>
      <c r="F49" t="s">
        <v>13996</v>
      </c>
      <c r="G49" s="229">
        <v>6411</v>
      </c>
      <c r="I49" s="13" t="s">
        <v>5595</v>
      </c>
      <c r="J49" s="318">
        <v>888</v>
      </c>
      <c r="K49" s="318">
        <v>1480</v>
      </c>
      <c r="L49" t="s">
        <v>9728</v>
      </c>
      <c r="M49" t="s">
        <v>9759</v>
      </c>
    </row>
    <row r="50" spans="1:13">
      <c r="A50" t="s">
        <v>9760</v>
      </c>
      <c r="B50" t="s">
        <v>75</v>
      </c>
      <c r="C50" t="s">
        <v>9522</v>
      </c>
      <c r="D50" t="s">
        <v>14001</v>
      </c>
      <c r="E50" t="s">
        <v>9523</v>
      </c>
      <c r="F50" t="s">
        <v>9524</v>
      </c>
      <c r="G50" s="229">
        <v>6411</v>
      </c>
      <c r="I50" s="13" t="s">
        <v>5595</v>
      </c>
      <c r="J50" s="318">
        <v>912</v>
      </c>
      <c r="K50" s="318">
        <v>1520</v>
      </c>
      <c r="L50" t="s">
        <v>9728</v>
      </c>
      <c r="M50" t="s">
        <v>9761</v>
      </c>
    </row>
    <row r="51" spans="1:13">
      <c r="A51" t="s">
        <v>9762</v>
      </c>
      <c r="B51" t="s">
        <v>75</v>
      </c>
      <c r="C51" t="s">
        <v>9522</v>
      </c>
      <c r="D51" t="s">
        <v>14002</v>
      </c>
      <c r="E51" t="s">
        <v>9523</v>
      </c>
      <c r="F51" t="s">
        <v>9557</v>
      </c>
      <c r="G51" s="229">
        <v>6411</v>
      </c>
      <c r="I51" s="13" t="s">
        <v>5595</v>
      </c>
      <c r="J51" s="318">
        <v>1200</v>
      </c>
      <c r="K51" s="318">
        <v>2000</v>
      </c>
      <c r="L51" t="s">
        <v>9728</v>
      </c>
      <c r="M51" t="s">
        <v>9763</v>
      </c>
    </row>
    <row r="52" spans="1:13">
      <c r="A52" t="s">
        <v>9764</v>
      </c>
      <c r="B52" t="s">
        <v>75</v>
      </c>
      <c r="C52" t="s">
        <v>9522</v>
      </c>
      <c r="D52" t="s">
        <v>9764</v>
      </c>
      <c r="E52" t="s">
        <v>9523</v>
      </c>
      <c r="F52" t="s">
        <v>13996</v>
      </c>
      <c r="G52" s="229">
        <v>6411</v>
      </c>
      <c r="I52" s="13" t="s">
        <v>9527</v>
      </c>
      <c r="J52" s="318">
        <v>201.6</v>
      </c>
      <c r="K52" s="318">
        <v>336</v>
      </c>
      <c r="L52" t="s">
        <v>9765</v>
      </c>
      <c r="M52" t="s">
        <v>9729</v>
      </c>
    </row>
    <row r="53" spans="1:13">
      <c r="A53" t="s">
        <v>9766</v>
      </c>
      <c r="B53" t="s">
        <v>75</v>
      </c>
      <c r="C53" t="s">
        <v>9522</v>
      </c>
      <c r="D53" t="s">
        <v>9766</v>
      </c>
      <c r="E53" t="s">
        <v>9523</v>
      </c>
      <c r="F53" t="s">
        <v>13996</v>
      </c>
      <c r="G53" s="229">
        <v>6411</v>
      </c>
      <c r="I53" s="13" t="s">
        <v>9527</v>
      </c>
      <c r="J53" s="318">
        <v>336</v>
      </c>
      <c r="K53" s="318">
        <v>560</v>
      </c>
      <c r="L53" t="s">
        <v>9765</v>
      </c>
      <c r="M53" t="s">
        <v>9731</v>
      </c>
    </row>
    <row r="54" spans="1:13">
      <c r="A54" t="s">
        <v>9767</v>
      </c>
      <c r="B54" t="s">
        <v>75</v>
      </c>
      <c r="C54" t="s">
        <v>9522</v>
      </c>
      <c r="D54" t="s">
        <v>9767</v>
      </c>
      <c r="E54" t="s">
        <v>9523</v>
      </c>
      <c r="F54" t="s">
        <v>13996</v>
      </c>
      <c r="G54" s="229">
        <v>6411</v>
      </c>
      <c r="I54" s="13" t="s">
        <v>9527</v>
      </c>
      <c r="J54" s="318">
        <v>379.2</v>
      </c>
      <c r="K54" s="318">
        <v>632</v>
      </c>
      <c r="L54" t="s">
        <v>9765</v>
      </c>
      <c r="M54" t="s">
        <v>9733</v>
      </c>
    </row>
    <row r="55" spans="1:13">
      <c r="A55" t="s">
        <v>9768</v>
      </c>
      <c r="B55" t="s">
        <v>75</v>
      </c>
      <c r="C55" t="s">
        <v>9522</v>
      </c>
      <c r="D55" t="s">
        <v>9768</v>
      </c>
      <c r="E55" t="s">
        <v>9523</v>
      </c>
      <c r="F55" t="s">
        <v>13996</v>
      </c>
      <c r="G55" s="229">
        <v>6411</v>
      </c>
      <c r="I55" s="13" t="s">
        <v>9545</v>
      </c>
      <c r="J55" s="318">
        <v>403.2</v>
      </c>
      <c r="K55" s="318">
        <v>672</v>
      </c>
      <c r="L55" t="s">
        <v>9765</v>
      </c>
      <c r="M55" t="s">
        <v>9735</v>
      </c>
    </row>
    <row r="56" spans="1:13">
      <c r="A56" t="s">
        <v>9769</v>
      </c>
      <c r="B56" t="s">
        <v>75</v>
      </c>
      <c r="C56" t="s">
        <v>9522</v>
      </c>
      <c r="D56" t="s">
        <v>9769</v>
      </c>
      <c r="E56" t="s">
        <v>9523</v>
      </c>
      <c r="F56" t="s">
        <v>13996</v>
      </c>
      <c r="G56" s="229">
        <v>6411</v>
      </c>
      <c r="I56" s="13" t="s">
        <v>9545</v>
      </c>
      <c r="J56" s="318">
        <v>672</v>
      </c>
      <c r="K56" s="318">
        <v>1120</v>
      </c>
      <c r="L56" t="s">
        <v>9765</v>
      </c>
      <c r="M56" t="s">
        <v>9737</v>
      </c>
    </row>
    <row r="57" spans="1:13">
      <c r="A57" t="s">
        <v>9770</v>
      </c>
      <c r="B57" t="s">
        <v>75</v>
      </c>
      <c r="C57" t="s">
        <v>9522</v>
      </c>
      <c r="D57" t="s">
        <v>9770</v>
      </c>
      <c r="E57" t="s">
        <v>9523</v>
      </c>
      <c r="F57" t="s">
        <v>13996</v>
      </c>
      <c r="G57" s="229">
        <v>6411</v>
      </c>
      <c r="I57" s="13" t="s">
        <v>9545</v>
      </c>
      <c r="J57" s="318">
        <v>753.6</v>
      </c>
      <c r="K57" s="318">
        <v>1256</v>
      </c>
      <c r="L57" t="s">
        <v>9765</v>
      </c>
      <c r="M57" t="s">
        <v>9739</v>
      </c>
    </row>
    <row r="58" spans="1:13">
      <c r="A58" t="s">
        <v>9771</v>
      </c>
      <c r="B58" t="s">
        <v>75</v>
      </c>
      <c r="C58" t="s">
        <v>9522</v>
      </c>
      <c r="D58" t="s">
        <v>9771</v>
      </c>
      <c r="E58" t="s">
        <v>9523</v>
      </c>
      <c r="F58" t="s">
        <v>13996</v>
      </c>
      <c r="G58" s="229">
        <v>6411</v>
      </c>
      <c r="I58" s="13" t="s">
        <v>5606</v>
      </c>
      <c r="J58" s="318">
        <v>336</v>
      </c>
      <c r="K58" s="318">
        <v>560</v>
      </c>
      <c r="L58" t="s">
        <v>9765</v>
      </c>
      <c r="M58" t="s">
        <v>9741</v>
      </c>
    </row>
    <row r="59" spans="1:13">
      <c r="A59" t="s">
        <v>9772</v>
      </c>
      <c r="B59" t="s">
        <v>75</v>
      </c>
      <c r="C59" t="s">
        <v>9522</v>
      </c>
      <c r="D59" t="s">
        <v>9772</v>
      </c>
      <c r="E59" t="s">
        <v>9523</v>
      </c>
      <c r="F59" t="s">
        <v>13996</v>
      </c>
      <c r="G59" s="229">
        <v>6411</v>
      </c>
      <c r="I59" s="13" t="s">
        <v>5606</v>
      </c>
      <c r="J59" s="318">
        <v>379.2</v>
      </c>
      <c r="K59" s="318">
        <v>632</v>
      </c>
      <c r="L59" t="s">
        <v>9765</v>
      </c>
      <c r="M59" t="s">
        <v>9743</v>
      </c>
    </row>
    <row r="60" spans="1:13">
      <c r="A60" t="s">
        <v>9773</v>
      </c>
      <c r="B60" t="s">
        <v>75</v>
      </c>
      <c r="C60" t="s">
        <v>9522</v>
      </c>
      <c r="D60" t="s">
        <v>14003</v>
      </c>
      <c r="E60" t="s">
        <v>9523</v>
      </c>
      <c r="F60" t="s">
        <v>9524</v>
      </c>
      <c r="G60" s="229">
        <v>6411</v>
      </c>
      <c r="I60" s="13" t="s">
        <v>5606</v>
      </c>
      <c r="J60" s="318">
        <v>393.59999999999997</v>
      </c>
      <c r="K60" s="318">
        <v>656</v>
      </c>
      <c r="L60" t="s">
        <v>9765</v>
      </c>
      <c r="M60" t="s">
        <v>9745</v>
      </c>
    </row>
    <row r="61" spans="1:13">
      <c r="A61" t="s">
        <v>9774</v>
      </c>
      <c r="B61" t="s">
        <v>75</v>
      </c>
      <c r="C61" t="s">
        <v>9522</v>
      </c>
      <c r="D61" t="s">
        <v>14004</v>
      </c>
      <c r="E61" t="s">
        <v>9523</v>
      </c>
      <c r="F61" t="s">
        <v>9557</v>
      </c>
      <c r="G61" s="229">
        <v>6411</v>
      </c>
      <c r="I61" s="13" t="s">
        <v>5606</v>
      </c>
      <c r="J61" s="318">
        <v>516</v>
      </c>
      <c r="K61" s="318">
        <v>860</v>
      </c>
      <c r="L61" t="s">
        <v>9765</v>
      </c>
      <c r="M61" t="s">
        <v>9747</v>
      </c>
    </row>
    <row r="62" spans="1:13">
      <c r="A62" t="s">
        <v>9775</v>
      </c>
      <c r="B62" t="s">
        <v>75</v>
      </c>
      <c r="C62" t="s">
        <v>9522</v>
      </c>
      <c r="D62" t="s">
        <v>9775</v>
      </c>
      <c r="E62" t="s">
        <v>9523</v>
      </c>
      <c r="F62" t="s">
        <v>13996</v>
      </c>
      <c r="G62" s="229">
        <v>6411</v>
      </c>
      <c r="I62" s="13" t="s">
        <v>5601</v>
      </c>
      <c r="J62" s="318">
        <v>624</v>
      </c>
      <c r="K62" s="318">
        <v>1040</v>
      </c>
      <c r="L62" t="s">
        <v>9765</v>
      </c>
      <c r="M62" t="s">
        <v>9749</v>
      </c>
    </row>
    <row r="63" spans="1:13">
      <c r="A63" t="s">
        <v>9776</v>
      </c>
      <c r="B63" t="s">
        <v>75</v>
      </c>
      <c r="C63" t="s">
        <v>9522</v>
      </c>
      <c r="D63" t="s">
        <v>9776</v>
      </c>
      <c r="E63" t="s">
        <v>9523</v>
      </c>
      <c r="F63" t="s">
        <v>13996</v>
      </c>
      <c r="G63" s="229">
        <v>6411</v>
      </c>
      <c r="I63" s="13" t="s">
        <v>5601</v>
      </c>
      <c r="J63" s="318">
        <v>700.8</v>
      </c>
      <c r="K63" s="318">
        <v>1168</v>
      </c>
      <c r="L63" t="s">
        <v>9765</v>
      </c>
      <c r="M63" t="s">
        <v>9751</v>
      </c>
    </row>
    <row r="64" spans="1:13">
      <c r="A64" t="s">
        <v>9777</v>
      </c>
      <c r="B64" t="s">
        <v>75</v>
      </c>
      <c r="C64" t="s">
        <v>9522</v>
      </c>
      <c r="D64" t="s">
        <v>14005</v>
      </c>
      <c r="E64" t="s">
        <v>9523</v>
      </c>
      <c r="F64" t="s">
        <v>9524</v>
      </c>
      <c r="G64" s="229">
        <v>6411</v>
      </c>
      <c r="I64" s="13" t="s">
        <v>5601</v>
      </c>
      <c r="J64" s="318">
        <v>732</v>
      </c>
      <c r="K64" s="318">
        <v>1220</v>
      </c>
      <c r="L64" t="s">
        <v>9765</v>
      </c>
      <c r="M64" t="s">
        <v>9753</v>
      </c>
    </row>
    <row r="65" spans="1:13">
      <c r="A65" t="s">
        <v>9778</v>
      </c>
      <c r="B65" t="s">
        <v>75</v>
      </c>
      <c r="C65" t="s">
        <v>9522</v>
      </c>
      <c r="D65" t="s">
        <v>14006</v>
      </c>
      <c r="E65" t="s">
        <v>9523</v>
      </c>
      <c r="F65" t="s">
        <v>9557</v>
      </c>
      <c r="G65" s="229">
        <v>6411</v>
      </c>
      <c r="I65" s="13" t="s">
        <v>5601</v>
      </c>
      <c r="J65" s="318">
        <v>912</v>
      </c>
      <c r="K65" s="318">
        <v>1520</v>
      </c>
      <c r="L65" t="s">
        <v>9765</v>
      </c>
      <c r="M65" t="s">
        <v>9755</v>
      </c>
    </row>
    <row r="66" spans="1:13">
      <c r="A66" t="s">
        <v>9779</v>
      </c>
      <c r="B66" t="s">
        <v>75</v>
      </c>
      <c r="C66" t="s">
        <v>9522</v>
      </c>
      <c r="D66" t="s">
        <v>9779</v>
      </c>
      <c r="E66" t="s">
        <v>9523</v>
      </c>
      <c r="F66" t="s">
        <v>13996</v>
      </c>
      <c r="G66" s="229">
        <v>6411</v>
      </c>
      <c r="I66" s="13" t="s">
        <v>5595</v>
      </c>
      <c r="J66" s="318">
        <v>940.8</v>
      </c>
      <c r="K66" s="318">
        <v>1568</v>
      </c>
      <c r="L66" t="s">
        <v>9765</v>
      </c>
      <c r="M66" t="s">
        <v>9757</v>
      </c>
    </row>
    <row r="67" spans="1:13">
      <c r="A67" t="s">
        <v>9780</v>
      </c>
      <c r="B67" t="s">
        <v>75</v>
      </c>
      <c r="C67" t="s">
        <v>9522</v>
      </c>
      <c r="D67" t="s">
        <v>9780</v>
      </c>
      <c r="E67" t="s">
        <v>9523</v>
      </c>
      <c r="F67" t="s">
        <v>13996</v>
      </c>
      <c r="G67" s="229">
        <v>6411</v>
      </c>
      <c r="I67" s="13" t="s">
        <v>5595</v>
      </c>
      <c r="J67" s="318">
        <v>1056</v>
      </c>
      <c r="K67" s="318">
        <v>1760</v>
      </c>
      <c r="L67" t="s">
        <v>9765</v>
      </c>
      <c r="M67" t="s">
        <v>9759</v>
      </c>
    </row>
    <row r="68" spans="1:13">
      <c r="A68" t="s">
        <v>9781</v>
      </c>
      <c r="B68" t="s">
        <v>75</v>
      </c>
      <c r="C68" t="s">
        <v>9522</v>
      </c>
      <c r="D68" t="s">
        <v>14007</v>
      </c>
      <c r="E68" t="s">
        <v>9523</v>
      </c>
      <c r="F68" t="s">
        <v>9524</v>
      </c>
      <c r="G68" s="229">
        <v>6411</v>
      </c>
      <c r="I68" s="13" t="s">
        <v>5595</v>
      </c>
      <c r="J68" s="318">
        <v>1080</v>
      </c>
      <c r="K68" s="318">
        <v>1800</v>
      </c>
      <c r="L68" t="s">
        <v>9765</v>
      </c>
      <c r="M68" t="s">
        <v>9761</v>
      </c>
    </row>
    <row r="69" spans="1:13">
      <c r="A69" t="s">
        <v>9782</v>
      </c>
      <c r="B69" t="s">
        <v>75</v>
      </c>
      <c r="C69" t="s">
        <v>9522</v>
      </c>
      <c r="D69" t="s">
        <v>14008</v>
      </c>
      <c r="E69" t="s">
        <v>9523</v>
      </c>
      <c r="F69" t="s">
        <v>9557</v>
      </c>
      <c r="G69" s="229">
        <v>6411</v>
      </c>
      <c r="I69" s="13" t="s">
        <v>5595</v>
      </c>
      <c r="J69" s="318">
        <v>1368</v>
      </c>
      <c r="K69" s="318">
        <v>2280</v>
      </c>
      <c r="L69" t="s">
        <v>9765</v>
      </c>
      <c r="M69" t="s">
        <v>9763</v>
      </c>
    </row>
    <row r="70" spans="1:13">
      <c r="A70" t="s">
        <v>9783</v>
      </c>
      <c r="B70" t="s">
        <v>75</v>
      </c>
      <c r="C70" t="s">
        <v>9522</v>
      </c>
      <c r="D70" t="s">
        <v>14009</v>
      </c>
      <c r="E70" t="s">
        <v>9523</v>
      </c>
      <c r="F70" t="s">
        <v>9524</v>
      </c>
      <c r="G70" s="229">
        <v>6411</v>
      </c>
      <c r="I70" s="13" t="s">
        <v>5606</v>
      </c>
      <c r="J70" s="318">
        <v>264</v>
      </c>
      <c r="K70" s="318">
        <v>440</v>
      </c>
      <c r="L70" t="s">
        <v>9784</v>
      </c>
      <c r="M70" t="s">
        <v>9745</v>
      </c>
    </row>
    <row r="71" spans="1:13">
      <c r="A71" t="s">
        <v>9785</v>
      </c>
      <c r="B71" t="s">
        <v>75</v>
      </c>
      <c r="C71" t="s">
        <v>9522</v>
      </c>
      <c r="D71" t="s">
        <v>14010</v>
      </c>
      <c r="E71" t="s">
        <v>9523</v>
      </c>
      <c r="F71" t="s">
        <v>9557</v>
      </c>
      <c r="G71" s="229">
        <v>6411</v>
      </c>
      <c r="I71" s="13" t="s">
        <v>5606</v>
      </c>
      <c r="J71" s="318">
        <v>336</v>
      </c>
      <c r="K71" s="318">
        <v>560</v>
      </c>
      <c r="L71" t="s">
        <v>9784</v>
      </c>
      <c r="M71" t="s">
        <v>9747</v>
      </c>
    </row>
    <row r="72" spans="1:13">
      <c r="A72" t="s">
        <v>9786</v>
      </c>
      <c r="B72" t="s">
        <v>75</v>
      </c>
      <c r="C72" t="s">
        <v>9522</v>
      </c>
      <c r="D72" t="s">
        <v>14011</v>
      </c>
      <c r="E72" t="s">
        <v>9523</v>
      </c>
      <c r="F72" t="s">
        <v>9524</v>
      </c>
      <c r="G72" s="229">
        <v>6411</v>
      </c>
      <c r="I72" s="13" t="s">
        <v>5601</v>
      </c>
      <c r="J72" s="318">
        <v>480</v>
      </c>
      <c r="K72" s="318">
        <v>800</v>
      </c>
      <c r="L72" t="s">
        <v>9784</v>
      </c>
      <c r="M72" t="s">
        <v>9753</v>
      </c>
    </row>
    <row r="73" spans="1:13">
      <c r="A73" t="s">
        <v>9787</v>
      </c>
      <c r="B73" t="s">
        <v>75</v>
      </c>
      <c r="C73" t="s">
        <v>9522</v>
      </c>
      <c r="D73" t="s">
        <v>14012</v>
      </c>
      <c r="E73" t="s">
        <v>9523</v>
      </c>
      <c r="F73" t="s">
        <v>9557</v>
      </c>
      <c r="G73" s="229">
        <v>6411</v>
      </c>
      <c r="I73" s="13" t="s">
        <v>5601</v>
      </c>
      <c r="J73" s="318">
        <v>624</v>
      </c>
      <c r="K73" s="318">
        <v>1040</v>
      </c>
      <c r="L73" t="s">
        <v>9784</v>
      </c>
      <c r="M73" t="s">
        <v>9755</v>
      </c>
    </row>
    <row r="74" spans="1:13">
      <c r="A74" t="s">
        <v>9788</v>
      </c>
      <c r="B74" t="s">
        <v>75</v>
      </c>
      <c r="C74" t="s">
        <v>9522</v>
      </c>
      <c r="D74" t="s">
        <v>14013</v>
      </c>
      <c r="E74" t="s">
        <v>9523</v>
      </c>
      <c r="F74" t="s">
        <v>9524</v>
      </c>
      <c r="G74" s="229">
        <v>6411</v>
      </c>
      <c r="I74" s="13" t="s">
        <v>5595</v>
      </c>
      <c r="J74" s="318">
        <v>720</v>
      </c>
      <c r="K74" s="318">
        <v>1200</v>
      </c>
      <c r="L74" t="s">
        <v>9784</v>
      </c>
      <c r="M74" t="s">
        <v>9761</v>
      </c>
    </row>
    <row r="75" spans="1:13">
      <c r="A75" t="s">
        <v>9789</v>
      </c>
      <c r="B75" t="s">
        <v>75</v>
      </c>
      <c r="C75" t="s">
        <v>9522</v>
      </c>
      <c r="D75" t="s">
        <v>14014</v>
      </c>
      <c r="E75" t="s">
        <v>9523</v>
      </c>
      <c r="F75" t="s">
        <v>9557</v>
      </c>
      <c r="G75" s="229">
        <v>6411</v>
      </c>
      <c r="I75" s="13" t="s">
        <v>5595</v>
      </c>
      <c r="J75" s="318">
        <v>936</v>
      </c>
      <c r="K75" s="318">
        <v>1560</v>
      </c>
      <c r="L75" t="s">
        <v>9784</v>
      </c>
      <c r="M75" t="s">
        <v>9763</v>
      </c>
    </row>
    <row r="76" spans="1:13">
      <c r="A76" t="s">
        <v>9790</v>
      </c>
      <c r="B76" t="s">
        <v>75</v>
      </c>
      <c r="C76" t="s">
        <v>9522</v>
      </c>
      <c r="D76" t="s">
        <v>14015</v>
      </c>
      <c r="E76" t="s">
        <v>9523</v>
      </c>
      <c r="F76" t="s">
        <v>9524</v>
      </c>
      <c r="G76" s="229">
        <v>6411</v>
      </c>
      <c r="I76" s="13" t="s">
        <v>5606</v>
      </c>
      <c r="J76" s="318">
        <v>300</v>
      </c>
      <c r="K76" s="318">
        <v>500</v>
      </c>
      <c r="L76" t="s">
        <v>9791</v>
      </c>
      <c r="M76" t="s">
        <v>9745</v>
      </c>
    </row>
    <row r="77" spans="1:13">
      <c r="A77" t="s">
        <v>9792</v>
      </c>
      <c r="B77" t="s">
        <v>75</v>
      </c>
      <c r="C77" t="s">
        <v>9522</v>
      </c>
      <c r="D77" t="s">
        <v>14016</v>
      </c>
      <c r="E77" t="s">
        <v>9523</v>
      </c>
      <c r="F77" t="s">
        <v>9557</v>
      </c>
      <c r="G77" s="229">
        <v>6411</v>
      </c>
      <c r="I77" s="13" t="s">
        <v>5606</v>
      </c>
      <c r="J77" s="318">
        <v>384</v>
      </c>
      <c r="K77" s="318">
        <v>640</v>
      </c>
      <c r="L77" t="s">
        <v>9791</v>
      </c>
      <c r="M77" t="s">
        <v>9747</v>
      </c>
    </row>
    <row r="78" spans="1:13">
      <c r="A78" t="s">
        <v>9793</v>
      </c>
      <c r="B78" t="s">
        <v>75</v>
      </c>
      <c r="C78" t="s">
        <v>9522</v>
      </c>
      <c r="D78" t="s">
        <v>14017</v>
      </c>
      <c r="E78" t="s">
        <v>9523</v>
      </c>
      <c r="F78" t="s">
        <v>9524</v>
      </c>
      <c r="G78" s="229">
        <v>6411</v>
      </c>
      <c r="I78" s="13" t="s">
        <v>5601</v>
      </c>
      <c r="J78" s="318">
        <v>540</v>
      </c>
      <c r="K78" s="318">
        <v>900</v>
      </c>
      <c r="L78" t="s">
        <v>9791</v>
      </c>
      <c r="M78" t="s">
        <v>9753</v>
      </c>
    </row>
    <row r="79" spans="1:13">
      <c r="A79" t="s">
        <v>9794</v>
      </c>
      <c r="B79" t="s">
        <v>75</v>
      </c>
      <c r="C79" t="s">
        <v>9522</v>
      </c>
      <c r="D79" t="s">
        <v>14018</v>
      </c>
      <c r="E79" t="s">
        <v>9523</v>
      </c>
      <c r="F79" t="s">
        <v>9557</v>
      </c>
      <c r="G79" s="229">
        <v>6411</v>
      </c>
      <c r="I79" s="13" t="s">
        <v>5601</v>
      </c>
      <c r="J79" s="318">
        <v>720</v>
      </c>
      <c r="K79" s="318">
        <v>1200</v>
      </c>
      <c r="L79" t="s">
        <v>9791</v>
      </c>
      <c r="M79" t="s">
        <v>9755</v>
      </c>
    </row>
    <row r="80" spans="1:13">
      <c r="A80" t="s">
        <v>9795</v>
      </c>
      <c r="B80" t="s">
        <v>75</v>
      </c>
      <c r="C80" t="s">
        <v>9522</v>
      </c>
      <c r="D80" t="s">
        <v>14019</v>
      </c>
      <c r="E80" t="s">
        <v>9523</v>
      </c>
      <c r="F80" t="s">
        <v>9524</v>
      </c>
      <c r="G80" s="229">
        <v>6411</v>
      </c>
      <c r="I80" s="13" t="s">
        <v>5595</v>
      </c>
      <c r="J80" s="318">
        <v>816</v>
      </c>
      <c r="K80" s="318">
        <v>1360</v>
      </c>
      <c r="L80" t="s">
        <v>9791</v>
      </c>
      <c r="M80" t="s">
        <v>9761</v>
      </c>
    </row>
    <row r="81" spans="1:14">
      <c r="A81" t="s">
        <v>9796</v>
      </c>
      <c r="B81" t="s">
        <v>75</v>
      </c>
      <c r="C81" t="s">
        <v>9522</v>
      </c>
      <c r="D81" t="s">
        <v>14020</v>
      </c>
      <c r="E81" t="s">
        <v>9523</v>
      </c>
      <c r="F81" t="s">
        <v>9557</v>
      </c>
      <c r="G81" s="229">
        <v>6411</v>
      </c>
      <c r="I81" s="13" t="s">
        <v>5595</v>
      </c>
      <c r="J81" s="318">
        <v>1080</v>
      </c>
      <c r="K81" s="318">
        <v>1800</v>
      </c>
      <c r="L81" t="s">
        <v>9791</v>
      </c>
      <c r="M81" t="s">
        <v>9763</v>
      </c>
    </row>
    <row r="82" spans="1:14">
      <c r="A82" t="s">
        <v>9521</v>
      </c>
      <c r="B82" t="s">
        <v>4765</v>
      </c>
      <c r="C82" t="s">
        <v>9522</v>
      </c>
      <c r="D82" t="s">
        <v>9668</v>
      </c>
      <c r="E82" t="s">
        <v>9523</v>
      </c>
      <c r="F82" t="s">
        <v>9524</v>
      </c>
      <c r="G82" t="s">
        <v>9525</v>
      </c>
      <c r="H82" t="s">
        <v>9526</v>
      </c>
      <c r="I82" s="13" t="s">
        <v>9527</v>
      </c>
      <c r="J82" s="318">
        <v>652</v>
      </c>
      <c r="K82" s="318">
        <v>652</v>
      </c>
      <c r="L82" t="s">
        <v>9528</v>
      </c>
      <c r="M82" t="s">
        <v>9529</v>
      </c>
      <c r="N82" t="s">
        <v>9530</v>
      </c>
    </row>
    <row r="83" spans="1:14">
      <c r="A83" t="s">
        <v>9531</v>
      </c>
      <c r="B83" t="s">
        <v>4765</v>
      </c>
      <c r="C83" t="s">
        <v>9522</v>
      </c>
      <c r="D83" t="s">
        <v>9532</v>
      </c>
      <c r="E83" t="s">
        <v>9523</v>
      </c>
      <c r="F83" t="s">
        <v>9524</v>
      </c>
      <c r="G83" t="s">
        <v>9533</v>
      </c>
      <c r="H83" t="s">
        <v>9534</v>
      </c>
      <c r="I83" s="13" t="s">
        <v>9527</v>
      </c>
      <c r="J83" s="318">
        <v>1034</v>
      </c>
      <c r="K83" s="318">
        <v>1034</v>
      </c>
      <c r="L83" t="s">
        <v>9535</v>
      </c>
      <c r="M83" t="s">
        <v>9536</v>
      </c>
      <c r="N83" t="s">
        <v>9530</v>
      </c>
    </row>
    <row r="84" spans="1:14">
      <c r="A84" t="s">
        <v>9537</v>
      </c>
      <c r="B84" t="s">
        <v>4765</v>
      </c>
      <c r="C84" t="s">
        <v>9522</v>
      </c>
      <c r="D84" t="s">
        <v>9538</v>
      </c>
      <c r="E84" t="s">
        <v>9523</v>
      </c>
      <c r="F84" t="s">
        <v>9524</v>
      </c>
      <c r="G84" t="s">
        <v>9539</v>
      </c>
      <c r="H84" t="s">
        <v>9540</v>
      </c>
      <c r="I84" s="13" t="s">
        <v>9527</v>
      </c>
      <c r="J84" s="318">
        <v>282.27</v>
      </c>
      <c r="K84" s="318">
        <v>282.27</v>
      </c>
      <c r="L84" t="s">
        <v>9541</v>
      </c>
      <c r="M84" t="s">
        <v>9542</v>
      </c>
      <c r="N84" t="s">
        <v>9530</v>
      </c>
    </row>
    <row r="85" spans="1:14">
      <c r="A85" t="s">
        <v>9543</v>
      </c>
      <c r="B85" t="s">
        <v>4765</v>
      </c>
      <c r="C85" t="s">
        <v>9522</v>
      </c>
      <c r="D85" t="s">
        <v>9544</v>
      </c>
      <c r="E85" t="s">
        <v>9523</v>
      </c>
      <c r="F85" t="s">
        <v>9524</v>
      </c>
      <c r="G85" t="s">
        <v>9525</v>
      </c>
      <c r="H85" t="s">
        <v>9526</v>
      </c>
      <c r="I85" s="13" t="s">
        <v>9545</v>
      </c>
      <c r="J85" s="318">
        <v>1302</v>
      </c>
      <c r="K85" s="318">
        <v>1302</v>
      </c>
      <c r="L85" t="s">
        <v>9528</v>
      </c>
      <c r="M85" t="s">
        <v>9546</v>
      </c>
      <c r="N85" t="s">
        <v>9530</v>
      </c>
    </row>
    <row r="86" spans="1:14">
      <c r="A86" t="s">
        <v>9547</v>
      </c>
      <c r="B86" t="s">
        <v>4765</v>
      </c>
      <c r="C86" t="s">
        <v>9522</v>
      </c>
      <c r="D86" t="s">
        <v>9548</v>
      </c>
      <c r="E86" t="s">
        <v>9523</v>
      </c>
      <c r="F86" t="s">
        <v>9524</v>
      </c>
      <c r="G86" t="s">
        <v>9533</v>
      </c>
      <c r="H86" t="s">
        <v>9534</v>
      </c>
      <c r="I86" s="13" t="s">
        <v>9545</v>
      </c>
      <c r="J86" s="318">
        <v>2068</v>
      </c>
      <c r="K86" s="318">
        <v>2068</v>
      </c>
      <c r="L86" t="s">
        <v>9535</v>
      </c>
      <c r="M86" t="s">
        <v>9549</v>
      </c>
      <c r="N86" t="s">
        <v>9530</v>
      </c>
    </row>
    <row r="87" spans="1:14">
      <c r="A87" t="s">
        <v>9550</v>
      </c>
      <c r="B87" t="s">
        <v>4765</v>
      </c>
      <c r="C87" t="s">
        <v>9522</v>
      </c>
      <c r="D87" t="s">
        <v>9551</v>
      </c>
      <c r="E87" t="s">
        <v>9523</v>
      </c>
      <c r="F87" t="s">
        <v>9524</v>
      </c>
      <c r="G87" t="s">
        <v>9552</v>
      </c>
      <c r="H87" t="s">
        <v>9540</v>
      </c>
      <c r="I87" s="13" t="s">
        <v>9545</v>
      </c>
      <c r="J87" s="318">
        <v>564.54</v>
      </c>
      <c r="K87" s="318">
        <v>564.54</v>
      </c>
      <c r="L87" t="s">
        <v>9553</v>
      </c>
      <c r="M87" t="s">
        <v>9554</v>
      </c>
      <c r="N87" t="s">
        <v>9530</v>
      </c>
    </row>
    <row r="88" spans="1:14">
      <c r="A88" t="s">
        <v>9555</v>
      </c>
      <c r="B88" t="s">
        <v>4765</v>
      </c>
      <c r="C88" t="s">
        <v>9522</v>
      </c>
      <c r="D88" t="s">
        <v>9556</v>
      </c>
      <c r="E88" t="s">
        <v>9523</v>
      </c>
      <c r="F88" t="s">
        <v>9557</v>
      </c>
      <c r="G88" t="s">
        <v>9525</v>
      </c>
      <c r="H88" t="s">
        <v>9526</v>
      </c>
      <c r="I88" s="13" t="s">
        <v>9527</v>
      </c>
      <c r="J88" s="318">
        <v>685</v>
      </c>
      <c r="K88" s="318">
        <v>685</v>
      </c>
      <c r="L88" t="s">
        <v>9528</v>
      </c>
      <c r="M88" t="s">
        <v>9558</v>
      </c>
      <c r="N88" t="s">
        <v>9559</v>
      </c>
    </row>
    <row r="89" spans="1:14">
      <c r="A89" t="s">
        <v>9560</v>
      </c>
      <c r="B89" t="s">
        <v>4765</v>
      </c>
      <c r="C89" t="s">
        <v>9522</v>
      </c>
      <c r="D89" t="s">
        <v>9561</v>
      </c>
      <c r="E89" t="s">
        <v>9523</v>
      </c>
      <c r="F89" t="s">
        <v>9557</v>
      </c>
      <c r="G89" t="s">
        <v>9533</v>
      </c>
      <c r="H89" t="s">
        <v>9534</v>
      </c>
      <c r="I89" s="13" t="s">
        <v>9527</v>
      </c>
      <c r="J89" s="318">
        <v>1107</v>
      </c>
      <c r="K89" s="318">
        <v>1107</v>
      </c>
      <c r="L89" t="s">
        <v>9535</v>
      </c>
      <c r="M89" t="s">
        <v>9562</v>
      </c>
      <c r="N89" t="s">
        <v>9559</v>
      </c>
    </row>
    <row r="90" spans="1:14">
      <c r="A90" t="s">
        <v>9563</v>
      </c>
      <c r="B90" t="s">
        <v>4765</v>
      </c>
      <c r="C90" t="s">
        <v>9522</v>
      </c>
      <c r="D90" t="s">
        <v>9564</v>
      </c>
      <c r="E90" t="s">
        <v>9523</v>
      </c>
      <c r="F90" t="s">
        <v>9557</v>
      </c>
      <c r="G90" t="s">
        <v>9552</v>
      </c>
      <c r="H90" t="s">
        <v>9540</v>
      </c>
      <c r="I90" s="13" t="s">
        <v>9527</v>
      </c>
      <c r="J90" s="318">
        <v>289.64</v>
      </c>
      <c r="K90" s="318">
        <v>289.64</v>
      </c>
      <c r="L90" t="s">
        <v>9553</v>
      </c>
      <c r="M90" t="s">
        <v>9565</v>
      </c>
      <c r="N90" t="s">
        <v>9559</v>
      </c>
    </row>
    <row r="91" spans="1:14">
      <c r="A91" t="s">
        <v>9566</v>
      </c>
      <c r="B91" t="s">
        <v>4765</v>
      </c>
      <c r="C91" t="s">
        <v>9522</v>
      </c>
      <c r="D91" t="s">
        <v>9567</v>
      </c>
      <c r="E91" t="s">
        <v>9523</v>
      </c>
      <c r="F91" t="s">
        <v>9557</v>
      </c>
      <c r="G91" t="s">
        <v>9525</v>
      </c>
      <c r="H91" t="s">
        <v>9526</v>
      </c>
      <c r="I91" s="13" t="s">
        <v>9545</v>
      </c>
      <c r="J91" s="318">
        <v>1370</v>
      </c>
      <c r="K91" s="318">
        <v>1370</v>
      </c>
      <c r="L91" t="s">
        <v>9528</v>
      </c>
      <c r="M91" t="s">
        <v>9568</v>
      </c>
      <c r="N91" t="s">
        <v>9559</v>
      </c>
    </row>
    <row r="92" spans="1:14">
      <c r="A92" t="s">
        <v>9569</v>
      </c>
      <c r="B92" t="s">
        <v>4765</v>
      </c>
      <c r="C92" t="s">
        <v>9522</v>
      </c>
      <c r="D92" t="s">
        <v>9570</v>
      </c>
      <c r="E92" t="s">
        <v>9523</v>
      </c>
      <c r="F92" t="s">
        <v>9557</v>
      </c>
      <c r="G92" t="s">
        <v>9533</v>
      </c>
      <c r="H92" t="s">
        <v>9534</v>
      </c>
      <c r="I92" s="13" t="s">
        <v>9545</v>
      </c>
      <c r="J92" s="318">
        <v>2212</v>
      </c>
      <c r="K92" s="318">
        <v>2212</v>
      </c>
      <c r="L92" t="s">
        <v>9535</v>
      </c>
      <c r="M92" t="s">
        <v>9571</v>
      </c>
      <c r="N92" t="s">
        <v>9559</v>
      </c>
    </row>
    <row r="93" spans="1:14">
      <c r="A93" t="s">
        <v>9572</v>
      </c>
      <c r="B93" t="s">
        <v>4765</v>
      </c>
      <c r="C93" t="s">
        <v>9522</v>
      </c>
      <c r="D93" t="s">
        <v>9573</v>
      </c>
      <c r="E93" t="s">
        <v>9523</v>
      </c>
      <c r="F93" t="s">
        <v>9557</v>
      </c>
      <c r="G93" t="s">
        <v>9552</v>
      </c>
      <c r="H93" t="s">
        <v>9540</v>
      </c>
      <c r="I93" s="13" t="s">
        <v>9545</v>
      </c>
      <c r="J93" s="318">
        <v>579.28</v>
      </c>
      <c r="K93" s="318">
        <v>579.28</v>
      </c>
      <c r="L93" t="s">
        <v>9553</v>
      </c>
      <c r="M93" t="s">
        <v>9574</v>
      </c>
      <c r="N93" t="s">
        <v>9559</v>
      </c>
    </row>
    <row r="94" spans="1:14">
      <c r="A94" t="s">
        <v>5594</v>
      </c>
      <c r="B94" t="s">
        <v>4765</v>
      </c>
      <c r="C94" t="s">
        <v>9522</v>
      </c>
      <c r="D94" t="s">
        <v>9575</v>
      </c>
      <c r="E94" t="s">
        <v>9523</v>
      </c>
      <c r="F94" t="s">
        <v>9557</v>
      </c>
      <c r="G94" t="s">
        <v>9525</v>
      </c>
      <c r="H94" t="s">
        <v>9526</v>
      </c>
      <c r="I94" s="13" t="s">
        <v>5595</v>
      </c>
      <c r="J94" s="318">
        <v>1107.3900000000001</v>
      </c>
      <c r="K94" s="318">
        <v>1107.3900000000001</v>
      </c>
      <c r="L94" t="s">
        <v>9528</v>
      </c>
      <c r="M94" t="s">
        <v>14021</v>
      </c>
      <c r="N94" t="s">
        <v>9576</v>
      </c>
    </row>
    <row r="95" spans="1:14">
      <c r="A95" t="s">
        <v>5596</v>
      </c>
      <c r="B95" t="s">
        <v>4765</v>
      </c>
      <c r="C95" t="s">
        <v>9522</v>
      </c>
      <c r="D95" t="s">
        <v>9577</v>
      </c>
      <c r="E95" t="s">
        <v>9523</v>
      </c>
      <c r="F95" t="s">
        <v>9557</v>
      </c>
      <c r="G95" t="s">
        <v>9578</v>
      </c>
      <c r="H95" t="s">
        <v>9534</v>
      </c>
      <c r="I95" s="13" t="s">
        <v>5595</v>
      </c>
      <c r="J95" s="318">
        <v>1830.68</v>
      </c>
      <c r="K95" s="318">
        <v>1830.68</v>
      </c>
      <c r="L95" t="s">
        <v>9579</v>
      </c>
      <c r="M95" t="s">
        <v>14021</v>
      </c>
      <c r="N95" t="s">
        <v>9576</v>
      </c>
    </row>
    <row r="96" spans="1:14">
      <c r="A96" t="s">
        <v>5597</v>
      </c>
      <c r="B96" t="s">
        <v>4765</v>
      </c>
      <c r="C96" t="s">
        <v>9522</v>
      </c>
      <c r="D96" t="s">
        <v>9580</v>
      </c>
      <c r="E96" t="s">
        <v>9523</v>
      </c>
      <c r="F96" t="s">
        <v>9557</v>
      </c>
      <c r="G96" t="s">
        <v>9581</v>
      </c>
      <c r="H96" t="s">
        <v>9540</v>
      </c>
      <c r="I96" s="13" t="s">
        <v>5595</v>
      </c>
      <c r="J96" s="318">
        <v>660.04</v>
      </c>
      <c r="K96" s="318">
        <v>660.04</v>
      </c>
      <c r="L96" t="s">
        <v>9582</v>
      </c>
      <c r="M96" t="s">
        <v>14021</v>
      </c>
      <c r="N96" t="s">
        <v>9576</v>
      </c>
    </row>
    <row r="97" spans="1:14">
      <c r="A97" t="s">
        <v>5598</v>
      </c>
      <c r="B97" t="s">
        <v>4765</v>
      </c>
      <c r="C97" t="s">
        <v>9522</v>
      </c>
      <c r="D97" t="s">
        <v>9583</v>
      </c>
      <c r="E97" t="s">
        <v>9523</v>
      </c>
      <c r="F97" t="s">
        <v>9557</v>
      </c>
      <c r="G97" t="s">
        <v>9584</v>
      </c>
      <c r="H97" t="s">
        <v>9585</v>
      </c>
      <c r="I97" s="13" t="s">
        <v>5595</v>
      </c>
      <c r="J97" s="318">
        <v>538.58000000000004</v>
      </c>
      <c r="K97" s="318">
        <v>538.58000000000004</v>
      </c>
      <c r="L97" t="s">
        <v>9586</v>
      </c>
      <c r="M97" t="s">
        <v>14021</v>
      </c>
      <c r="N97" t="s">
        <v>9576</v>
      </c>
    </row>
    <row r="98" spans="1:14">
      <c r="A98" t="s">
        <v>5599</v>
      </c>
      <c r="B98" t="s">
        <v>4765</v>
      </c>
      <c r="C98" t="s">
        <v>9522</v>
      </c>
      <c r="D98" t="s">
        <v>9587</v>
      </c>
      <c r="E98" t="s">
        <v>9523</v>
      </c>
      <c r="F98" t="s">
        <v>9557</v>
      </c>
      <c r="G98" t="s">
        <v>9588</v>
      </c>
      <c r="H98" t="s">
        <v>9585</v>
      </c>
      <c r="I98" s="13" t="s">
        <v>5595</v>
      </c>
      <c r="J98" s="318">
        <v>908.53</v>
      </c>
      <c r="K98" s="318">
        <v>908.53</v>
      </c>
      <c r="L98" t="s">
        <v>9589</v>
      </c>
      <c r="M98" t="s">
        <v>14022</v>
      </c>
      <c r="N98" t="s">
        <v>9576</v>
      </c>
    </row>
    <row r="99" spans="1:14">
      <c r="A99" t="s">
        <v>5600</v>
      </c>
      <c r="B99" t="s">
        <v>4765</v>
      </c>
      <c r="C99" t="s">
        <v>9522</v>
      </c>
      <c r="D99" t="s">
        <v>9590</v>
      </c>
      <c r="E99" t="s">
        <v>9523</v>
      </c>
      <c r="F99" t="s">
        <v>9557</v>
      </c>
      <c r="G99" t="s">
        <v>9525</v>
      </c>
      <c r="H99" t="s">
        <v>9526</v>
      </c>
      <c r="I99" s="13" t="s">
        <v>5601</v>
      </c>
      <c r="J99" s="318">
        <v>603.69000000000005</v>
      </c>
      <c r="K99" s="318">
        <v>603.69000000000005</v>
      </c>
      <c r="L99" t="s">
        <v>9528</v>
      </c>
      <c r="M99" t="s">
        <v>14023</v>
      </c>
      <c r="N99" t="s">
        <v>9576</v>
      </c>
    </row>
    <row r="100" spans="1:14">
      <c r="A100" t="s">
        <v>5602</v>
      </c>
      <c r="B100" t="s">
        <v>4765</v>
      </c>
      <c r="C100" t="s">
        <v>9522</v>
      </c>
      <c r="D100" t="s">
        <v>9591</v>
      </c>
      <c r="E100" t="s">
        <v>9523</v>
      </c>
      <c r="F100" t="s">
        <v>9557</v>
      </c>
      <c r="G100" t="s">
        <v>9578</v>
      </c>
      <c r="H100" t="s">
        <v>9534</v>
      </c>
      <c r="I100" s="13" t="s">
        <v>5601</v>
      </c>
      <c r="J100" s="318">
        <v>1017.84</v>
      </c>
      <c r="K100" s="318">
        <v>1017.84</v>
      </c>
      <c r="L100" t="s">
        <v>9579</v>
      </c>
      <c r="M100" t="s">
        <v>14023</v>
      </c>
      <c r="N100" t="s">
        <v>9576</v>
      </c>
    </row>
    <row r="101" spans="1:14">
      <c r="A101" t="s">
        <v>5603</v>
      </c>
      <c r="B101" t="s">
        <v>4765</v>
      </c>
      <c r="C101" t="s">
        <v>9522</v>
      </c>
      <c r="D101" t="s">
        <v>9592</v>
      </c>
      <c r="E101" t="s">
        <v>9523</v>
      </c>
      <c r="F101" t="s">
        <v>9557</v>
      </c>
      <c r="G101" t="s">
        <v>9581</v>
      </c>
      <c r="H101" t="s">
        <v>9540</v>
      </c>
      <c r="I101" s="13" t="s">
        <v>5601</v>
      </c>
      <c r="J101" s="318">
        <v>370.4</v>
      </c>
      <c r="K101" s="318">
        <v>370.4</v>
      </c>
      <c r="L101" t="s">
        <v>9582</v>
      </c>
      <c r="M101" t="s">
        <v>14023</v>
      </c>
      <c r="N101" t="s">
        <v>9576</v>
      </c>
    </row>
    <row r="102" spans="1:14">
      <c r="A102" t="s">
        <v>5604</v>
      </c>
      <c r="B102" t="s">
        <v>4765</v>
      </c>
      <c r="C102" t="s">
        <v>9522</v>
      </c>
      <c r="D102" t="s">
        <v>9593</v>
      </c>
      <c r="E102" t="s">
        <v>9523</v>
      </c>
      <c r="F102" t="s">
        <v>9557</v>
      </c>
      <c r="G102" t="s">
        <v>9584</v>
      </c>
      <c r="H102" t="s">
        <v>9585</v>
      </c>
      <c r="I102" s="13" t="s">
        <v>5601</v>
      </c>
      <c r="J102" s="318">
        <v>313.52</v>
      </c>
      <c r="K102" s="318">
        <v>313.52</v>
      </c>
      <c r="L102" t="s">
        <v>9586</v>
      </c>
      <c r="M102" t="s">
        <v>14023</v>
      </c>
      <c r="N102" t="s">
        <v>9576</v>
      </c>
    </row>
    <row r="103" spans="1:14">
      <c r="A103" t="s">
        <v>5605</v>
      </c>
      <c r="B103" t="s">
        <v>4765</v>
      </c>
      <c r="C103" t="s">
        <v>9522</v>
      </c>
      <c r="D103" t="s">
        <v>9594</v>
      </c>
      <c r="E103" t="s">
        <v>9523</v>
      </c>
      <c r="F103" t="s">
        <v>9557</v>
      </c>
      <c r="G103" t="s">
        <v>9588</v>
      </c>
      <c r="H103" t="s">
        <v>9585</v>
      </c>
      <c r="I103" s="13" t="s">
        <v>5601</v>
      </c>
      <c r="J103" s="318">
        <v>683.47</v>
      </c>
      <c r="K103" s="318">
        <v>683.47</v>
      </c>
      <c r="L103" t="s">
        <v>9589</v>
      </c>
      <c r="M103" t="s">
        <v>14024</v>
      </c>
      <c r="N103" t="s">
        <v>9576</v>
      </c>
    </row>
    <row r="104" spans="1:14">
      <c r="A104" t="s">
        <v>185</v>
      </c>
      <c r="B104" t="s">
        <v>4765</v>
      </c>
      <c r="C104" t="s">
        <v>9522</v>
      </c>
      <c r="D104" t="s">
        <v>9595</v>
      </c>
      <c r="E104" t="s">
        <v>9523</v>
      </c>
      <c r="F104" t="s">
        <v>9557</v>
      </c>
      <c r="G104" t="s">
        <v>9525</v>
      </c>
      <c r="H104" t="s">
        <v>9526</v>
      </c>
      <c r="I104" s="13" t="s">
        <v>5606</v>
      </c>
      <c r="J104" s="318">
        <v>100</v>
      </c>
      <c r="K104" s="318">
        <v>100</v>
      </c>
      <c r="L104" t="s">
        <v>9528</v>
      </c>
      <c r="M104" t="s">
        <v>13964</v>
      </c>
      <c r="N104" t="s">
        <v>9576</v>
      </c>
    </row>
    <row r="105" spans="1:14">
      <c r="A105" t="s">
        <v>186</v>
      </c>
      <c r="B105" t="s">
        <v>4765</v>
      </c>
      <c r="C105" t="s">
        <v>9522</v>
      </c>
      <c r="D105" t="s">
        <v>9596</v>
      </c>
      <c r="E105" t="s">
        <v>9523</v>
      </c>
      <c r="F105" t="s">
        <v>9557</v>
      </c>
      <c r="G105" t="s">
        <v>9578</v>
      </c>
      <c r="H105" t="s">
        <v>9534</v>
      </c>
      <c r="I105" s="13" t="s">
        <v>5606</v>
      </c>
      <c r="J105" s="318">
        <v>205</v>
      </c>
      <c r="K105" s="318">
        <v>205</v>
      </c>
      <c r="L105" t="s">
        <v>9579</v>
      </c>
      <c r="M105" t="s">
        <v>13964</v>
      </c>
      <c r="N105" t="s">
        <v>9576</v>
      </c>
    </row>
    <row r="106" spans="1:14">
      <c r="A106" t="s">
        <v>187</v>
      </c>
      <c r="B106" t="s">
        <v>4765</v>
      </c>
      <c r="C106" t="s">
        <v>9522</v>
      </c>
      <c r="D106" t="s">
        <v>9597</v>
      </c>
      <c r="E106" t="s">
        <v>9523</v>
      </c>
      <c r="F106" t="s">
        <v>9557</v>
      </c>
      <c r="G106" t="s">
        <v>9598</v>
      </c>
      <c r="H106" t="s">
        <v>9540</v>
      </c>
      <c r="I106" s="13" t="s">
        <v>5606</v>
      </c>
      <c r="J106" s="318">
        <v>88.46</v>
      </c>
      <c r="K106" s="318">
        <v>88.46</v>
      </c>
      <c r="L106" t="s">
        <v>9599</v>
      </c>
      <c r="M106" t="s">
        <v>13964</v>
      </c>
      <c r="N106" t="s">
        <v>9576</v>
      </c>
    </row>
    <row r="107" spans="1:14">
      <c r="A107" t="s">
        <v>189</v>
      </c>
      <c r="B107" t="s">
        <v>4765</v>
      </c>
      <c r="C107" t="s">
        <v>9522</v>
      </c>
      <c r="D107" t="s">
        <v>9600</v>
      </c>
      <c r="E107" t="s">
        <v>9523</v>
      </c>
      <c r="F107" t="s">
        <v>9557</v>
      </c>
      <c r="G107" t="s">
        <v>9601</v>
      </c>
      <c r="H107" t="s">
        <v>9585</v>
      </c>
      <c r="I107" s="13" t="s">
        <v>5606</v>
      </c>
      <c r="J107" s="318">
        <v>80.760000000000005</v>
      </c>
      <c r="K107" s="318">
        <v>80.760000000000005</v>
      </c>
      <c r="L107" t="s">
        <v>9579</v>
      </c>
      <c r="M107" t="s">
        <v>13964</v>
      </c>
      <c r="N107" t="s">
        <v>9576</v>
      </c>
    </row>
    <row r="108" spans="1:14">
      <c r="A108" t="s">
        <v>9602</v>
      </c>
      <c r="B108" t="s">
        <v>4765</v>
      </c>
      <c r="C108" t="s">
        <v>9522</v>
      </c>
      <c r="D108" t="s">
        <v>9603</v>
      </c>
      <c r="E108" t="s">
        <v>9523</v>
      </c>
      <c r="F108" t="s">
        <v>9557</v>
      </c>
      <c r="G108" t="s">
        <v>9525</v>
      </c>
      <c r="H108" t="s">
        <v>9526</v>
      </c>
      <c r="I108" s="13" t="s">
        <v>5606</v>
      </c>
      <c r="J108" s="318">
        <v>1511.09</v>
      </c>
      <c r="K108" s="318">
        <v>1511.09</v>
      </c>
      <c r="L108" t="s">
        <v>9528</v>
      </c>
      <c r="M108" t="s">
        <v>9604</v>
      </c>
      <c r="N108" t="s">
        <v>9559</v>
      </c>
    </row>
    <row r="109" spans="1:14">
      <c r="A109" t="s">
        <v>9605</v>
      </c>
      <c r="B109" t="s">
        <v>4765</v>
      </c>
      <c r="C109" t="s">
        <v>9522</v>
      </c>
      <c r="D109" t="s">
        <v>9606</v>
      </c>
      <c r="E109" t="s">
        <v>9523</v>
      </c>
      <c r="F109" t="s">
        <v>9557</v>
      </c>
      <c r="G109" t="s">
        <v>9533</v>
      </c>
      <c r="H109" t="s">
        <v>9534</v>
      </c>
      <c r="I109" s="13" t="s">
        <v>5606</v>
      </c>
      <c r="J109" s="318">
        <v>2438.52</v>
      </c>
      <c r="K109" s="318">
        <v>2438.52</v>
      </c>
      <c r="L109" t="s">
        <v>9535</v>
      </c>
      <c r="M109" t="s">
        <v>9604</v>
      </c>
      <c r="N109" t="s">
        <v>9559</v>
      </c>
    </row>
    <row r="110" spans="1:14">
      <c r="A110" t="s">
        <v>9607</v>
      </c>
      <c r="B110" t="s">
        <v>4765</v>
      </c>
      <c r="C110" t="s">
        <v>9522</v>
      </c>
      <c r="D110" t="s">
        <v>9608</v>
      </c>
      <c r="E110" t="s">
        <v>9523</v>
      </c>
      <c r="F110" t="s">
        <v>9557</v>
      </c>
      <c r="G110" t="s">
        <v>9609</v>
      </c>
      <c r="H110" t="s">
        <v>9540</v>
      </c>
      <c r="I110" s="13" t="s">
        <v>5606</v>
      </c>
      <c r="J110" s="318">
        <v>868.93</v>
      </c>
      <c r="K110" s="318">
        <v>868.93</v>
      </c>
      <c r="L110" t="s">
        <v>9599</v>
      </c>
      <c r="M110" t="s">
        <v>9604</v>
      </c>
      <c r="N110" t="s">
        <v>9559</v>
      </c>
    </row>
    <row r="111" spans="1:14">
      <c r="A111" t="s">
        <v>9610</v>
      </c>
      <c r="B111" t="s">
        <v>4765</v>
      </c>
      <c r="C111" t="s">
        <v>9522</v>
      </c>
      <c r="D111" t="s">
        <v>9611</v>
      </c>
      <c r="E111" t="s">
        <v>9523</v>
      </c>
      <c r="F111" t="s">
        <v>9557</v>
      </c>
      <c r="G111" t="s">
        <v>9612</v>
      </c>
      <c r="H111" t="s">
        <v>9585</v>
      </c>
      <c r="I111" s="13" t="s">
        <v>5606</v>
      </c>
      <c r="J111" s="318">
        <v>675.19</v>
      </c>
      <c r="K111" s="318">
        <v>675.19</v>
      </c>
      <c r="L111" t="s">
        <v>9613</v>
      </c>
      <c r="M111" t="s">
        <v>9604</v>
      </c>
      <c r="N111" t="s">
        <v>9559</v>
      </c>
    </row>
    <row r="112" spans="1:14">
      <c r="A112" t="s">
        <v>9614</v>
      </c>
      <c r="B112" t="s">
        <v>4765</v>
      </c>
      <c r="C112" t="s">
        <v>9522</v>
      </c>
      <c r="D112" t="s">
        <v>9615</v>
      </c>
      <c r="E112" t="s">
        <v>9523</v>
      </c>
      <c r="F112" t="s">
        <v>9557</v>
      </c>
      <c r="G112" t="s">
        <v>9525</v>
      </c>
      <c r="H112" t="s">
        <v>9526</v>
      </c>
      <c r="I112" s="13" t="s">
        <v>9527</v>
      </c>
      <c r="J112" s="318">
        <v>503.69</v>
      </c>
      <c r="K112" s="318">
        <v>503.69</v>
      </c>
      <c r="L112" t="s">
        <v>9528</v>
      </c>
      <c r="M112" t="s">
        <v>9616</v>
      </c>
      <c r="N112" t="s">
        <v>9559</v>
      </c>
    </row>
    <row r="113" spans="1:14">
      <c r="A113" t="s">
        <v>9617</v>
      </c>
      <c r="B113" t="s">
        <v>4765</v>
      </c>
      <c r="C113" t="s">
        <v>9522</v>
      </c>
      <c r="D113" t="s">
        <v>9618</v>
      </c>
      <c r="E113" t="s">
        <v>9523</v>
      </c>
      <c r="F113" t="s">
        <v>9557</v>
      </c>
      <c r="G113" t="s">
        <v>9533</v>
      </c>
      <c r="H113" t="s">
        <v>9534</v>
      </c>
      <c r="I113" s="13" t="s">
        <v>9527</v>
      </c>
      <c r="J113" s="318">
        <v>812.84</v>
      </c>
      <c r="K113" s="318">
        <v>812.84</v>
      </c>
      <c r="L113" t="s">
        <v>9535</v>
      </c>
      <c r="M113" t="s">
        <v>9616</v>
      </c>
      <c r="N113" t="s">
        <v>9559</v>
      </c>
    </row>
    <row r="114" spans="1:14">
      <c r="A114" t="s">
        <v>9619</v>
      </c>
      <c r="B114" t="s">
        <v>4765</v>
      </c>
      <c r="C114" t="s">
        <v>9522</v>
      </c>
      <c r="D114" t="s">
        <v>9620</v>
      </c>
      <c r="E114" t="s">
        <v>9523</v>
      </c>
      <c r="F114" t="s">
        <v>9557</v>
      </c>
      <c r="G114" t="s">
        <v>9609</v>
      </c>
      <c r="H114" t="s">
        <v>9540</v>
      </c>
      <c r="I114" s="13" t="s">
        <v>9527</v>
      </c>
      <c r="J114" s="318">
        <v>289.64</v>
      </c>
      <c r="K114" s="318">
        <v>289.64</v>
      </c>
      <c r="L114" t="s">
        <v>9599</v>
      </c>
      <c r="M114" t="s">
        <v>9616</v>
      </c>
      <c r="N114" t="s">
        <v>9559</v>
      </c>
    </row>
    <row r="115" spans="1:14">
      <c r="A115" t="s">
        <v>9621</v>
      </c>
      <c r="B115" t="s">
        <v>4765</v>
      </c>
      <c r="C115" t="s">
        <v>9522</v>
      </c>
      <c r="D115" t="s">
        <v>9622</v>
      </c>
      <c r="E115" t="s">
        <v>9523</v>
      </c>
      <c r="F115" t="s">
        <v>9557</v>
      </c>
      <c r="G115" t="s">
        <v>9623</v>
      </c>
      <c r="H115" t="s">
        <v>9585</v>
      </c>
      <c r="I115" s="13" t="s">
        <v>9527</v>
      </c>
      <c r="J115" s="318">
        <v>225.06</v>
      </c>
      <c r="K115" s="318">
        <v>225.06</v>
      </c>
      <c r="L115" t="s">
        <v>9624</v>
      </c>
      <c r="M115" t="s">
        <v>9616</v>
      </c>
      <c r="N115" t="s">
        <v>9559</v>
      </c>
    </row>
    <row r="116" spans="1:14">
      <c r="A116" t="s">
        <v>9625</v>
      </c>
      <c r="B116" t="s">
        <v>4765</v>
      </c>
      <c r="C116" t="s">
        <v>9522</v>
      </c>
      <c r="D116" t="s">
        <v>9626</v>
      </c>
      <c r="E116" t="s">
        <v>9523</v>
      </c>
      <c r="F116" t="s">
        <v>9557</v>
      </c>
      <c r="G116" t="s">
        <v>9525</v>
      </c>
      <c r="H116" t="s">
        <v>9526</v>
      </c>
      <c r="I116" s="13" t="s">
        <v>9545</v>
      </c>
      <c r="J116" s="318">
        <v>1007.39</v>
      </c>
      <c r="K116" s="318">
        <v>1007.39</v>
      </c>
      <c r="L116" t="s">
        <v>9528</v>
      </c>
      <c r="M116" t="s">
        <v>9627</v>
      </c>
      <c r="N116" t="s">
        <v>9559</v>
      </c>
    </row>
    <row r="117" spans="1:14">
      <c r="A117" t="s">
        <v>9628</v>
      </c>
      <c r="B117" t="s">
        <v>4765</v>
      </c>
      <c r="C117" t="s">
        <v>9522</v>
      </c>
      <c r="D117" t="s">
        <v>9629</v>
      </c>
      <c r="E117" t="s">
        <v>9523</v>
      </c>
      <c r="F117" t="s">
        <v>9557</v>
      </c>
      <c r="G117" t="s">
        <v>9533</v>
      </c>
      <c r="H117" t="s">
        <v>9534</v>
      </c>
      <c r="I117" s="13" t="s">
        <v>9545</v>
      </c>
      <c r="J117" s="318">
        <v>1625.68</v>
      </c>
      <c r="K117" s="318">
        <v>1625.68</v>
      </c>
      <c r="L117" t="s">
        <v>9535</v>
      </c>
      <c r="M117" t="s">
        <v>9627</v>
      </c>
      <c r="N117" t="s">
        <v>9559</v>
      </c>
    </row>
    <row r="118" spans="1:14">
      <c r="A118" t="s">
        <v>9630</v>
      </c>
      <c r="B118" t="s">
        <v>4765</v>
      </c>
      <c r="C118" t="s">
        <v>9522</v>
      </c>
      <c r="D118" t="s">
        <v>9631</v>
      </c>
      <c r="E118" t="s">
        <v>9523</v>
      </c>
      <c r="F118" t="s">
        <v>9557</v>
      </c>
      <c r="G118" t="s">
        <v>9609</v>
      </c>
      <c r="H118" t="s">
        <v>9540</v>
      </c>
      <c r="I118" s="13" t="s">
        <v>9545</v>
      </c>
      <c r="J118" s="318">
        <v>579.28</v>
      </c>
      <c r="K118" s="318">
        <v>579.28</v>
      </c>
      <c r="L118" t="s">
        <v>9599</v>
      </c>
      <c r="M118" t="s">
        <v>9627</v>
      </c>
      <c r="N118" t="s">
        <v>9559</v>
      </c>
    </row>
    <row r="119" spans="1:14">
      <c r="A119" t="s">
        <v>9632</v>
      </c>
      <c r="B119" t="s">
        <v>4765</v>
      </c>
      <c r="C119" t="s">
        <v>9522</v>
      </c>
      <c r="D119" t="s">
        <v>9633</v>
      </c>
      <c r="E119" t="s">
        <v>9523</v>
      </c>
      <c r="F119" t="s">
        <v>9557</v>
      </c>
      <c r="G119" t="s">
        <v>9634</v>
      </c>
      <c r="H119" t="s">
        <v>9585</v>
      </c>
      <c r="I119" s="13" t="s">
        <v>9545</v>
      </c>
      <c r="J119" s="318">
        <v>450.12</v>
      </c>
      <c r="K119" s="318">
        <v>450.12</v>
      </c>
      <c r="L119" t="s">
        <v>9635</v>
      </c>
      <c r="M119" t="s">
        <v>9627</v>
      </c>
      <c r="N119" t="s">
        <v>9559</v>
      </c>
    </row>
    <row r="120" spans="1:14">
      <c r="A120" t="s">
        <v>9636</v>
      </c>
      <c r="B120" t="s">
        <v>4765</v>
      </c>
      <c r="C120" t="s">
        <v>9522</v>
      </c>
      <c r="D120" t="s">
        <v>9637</v>
      </c>
      <c r="E120" t="s">
        <v>9523</v>
      </c>
      <c r="F120" t="s">
        <v>9524</v>
      </c>
      <c r="G120" t="s">
        <v>9525</v>
      </c>
      <c r="H120" t="s">
        <v>9526</v>
      </c>
      <c r="I120" s="13" t="s">
        <v>9527</v>
      </c>
      <c r="J120" s="318">
        <v>478.23</v>
      </c>
      <c r="K120" s="318">
        <v>478.23</v>
      </c>
      <c r="L120" t="s">
        <v>9528</v>
      </c>
      <c r="M120" t="s">
        <v>9638</v>
      </c>
      <c r="N120" t="s">
        <v>9530</v>
      </c>
    </row>
    <row r="121" spans="1:14">
      <c r="A121" t="s">
        <v>9639</v>
      </c>
      <c r="B121" t="s">
        <v>4765</v>
      </c>
      <c r="C121" t="s">
        <v>9522</v>
      </c>
      <c r="D121" t="s">
        <v>9640</v>
      </c>
      <c r="E121" t="s">
        <v>9523</v>
      </c>
      <c r="F121" t="s">
        <v>9524</v>
      </c>
      <c r="G121" t="s">
        <v>9533</v>
      </c>
      <c r="H121" t="s">
        <v>9534</v>
      </c>
      <c r="I121" s="13" t="s">
        <v>9527</v>
      </c>
      <c r="J121" s="318">
        <v>760.16</v>
      </c>
      <c r="K121" s="318">
        <v>760.16</v>
      </c>
      <c r="L121" t="s">
        <v>9535</v>
      </c>
      <c r="M121" t="s">
        <v>9638</v>
      </c>
      <c r="N121" t="s">
        <v>9530</v>
      </c>
    </row>
    <row r="122" spans="1:14">
      <c r="A122" t="s">
        <v>9641</v>
      </c>
      <c r="B122" t="s">
        <v>4765</v>
      </c>
      <c r="C122" t="s">
        <v>9522</v>
      </c>
      <c r="D122" t="s">
        <v>9642</v>
      </c>
      <c r="E122" t="s">
        <v>9523</v>
      </c>
      <c r="F122" t="s">
        <v>9524</v>
      </c>
      <c r="G122" t="s">
        <v>9609</v>
      </c>
      <c r="H122" t="s">
        <v>9540</v>
      </c>
      <c r="I122" s="13" t="s">
        <v>9527</v>
      </c>
      <c r="J122" s="318">
        <v>282.27</v>
      </c>
      <c r="K122" s="318">
        <v>282.27</v>
      </c>
      <c r="L122" t="s">
        <v>9599</v>
      </c>
      <c r="M122" t="s">
        <v>9638</v>
      </c>
      <c r="N122" t="s">
        <v>9530</v>
      </c>
    </row>
    <row r="123" spans="1:14">
      <c r="A123" t="s">
        <v>9643</v>
      </c>
      <c r="B123" t="s">
        <v>4765</v>
      </c>
      <c r="C123" t="s">
        <v>9522</v>
      </c>
      <c r="D123" t="s">
        <v>9644</v>
      </c>
      <c r="E123" t="s">
        <v>9523</v>
      </c>
      <c r="F123" t="s">
        <v>9524</v>
      </c>
      <c r="G123" t="s">
        <v>9634</v>
      </c>
      <c r="H123" t="s">
        <v>9585</v>
      </c>
      <c r="I123" s="13" t="s">
        <v>9527</v>
      </c>
      <c r="J123" s="318">
        <v>216.78</v>
      </c>
      <c r="K123" s="318">
        <v>216.78</v>
      </c>
      <c r="L123" t="s">
        <v>9635</v>
      </c>
      <c r="M123" t="s">
        <v>9638</v>
      </c>
      <c r="N123" t="s">
        <v>9530</v>
      </c>
    </row>
    <row r="124" spans="1:14">
      <c r="A124" t="s">
        <v>9645</v>
      </c>
      <c r="B124" t="s">
        <v>4765</v>
      </c>
      <c r="C124" t="s">
        <v>9522</v>
      </c>
      <c r="D124" t="s">
        <v>9646</v>
      </c>
      <c r="E124" t="s">
        <v>9523</v>
      </c>
      <c r="F124" t="s">
        <v>9524</v>
      </c>
      <c r="G124" t="s">
        <v>9525</v>
      </c>
      <c r="H124" t="s">
        <v>9526</v>
      </c>
      <c r="I124" s="13" t="s">
        <v>9545</v>
      </c>
      <c r="J124" s="318">
        <v>956.46</v>
      </c>
      <c r="K124" s="318">
        <v>956.46</v>
      </c>
      <c r="L124" t="s">
        <v>9528</v>
      </c>
      <c r="M124" t="s">
        <v>9647</v>
      </c>
      <c r="N124" t="s">
        <v>9530</v>
      </c>
    </row>
    <row r="125" spans="1:14">
      <c r="A125" t="s">
        <v>9648</v>
      </c>
      <c r="B125" t="s">
        <v>4765</v>
      </c>
      <c r="C125" t="s">
        <v>9522</v>
      </c>
      <c r="D125" t="s">
        <v>9649</v>
      </c>
      <c r="E125" t="s">
        <v>9523</v>
      </c>
      <c r="F125" t="s">
        <v>9524</v>
      </c>
      <c r="G125" t="s">
        <v>9533</v>
      </c>
      <c r="H125" t="s">
        <v>9534</v>
      </c>
      <c r="I125" s="13" t="s">
        <v>9545</v>
      </c>
      <c r="J125" s="318">
        <v>1520.33</v>
      </c>
      <c r="K125" s="318">
        <v>1520.33</v>
      </c>
      <c r="L125" t="s">
        <v>9535</v>
      </c>
      <c r="M125" t="s">
        <v>9647</v>
      </c>
      <c r="N125" t="s">
        <v>9530</v>
      </c>
    </row>
    <row r="126" spans="1:14">
      <c r="A126" t="s">
        <v>9650</v>
      </c>
      <c r="B126" t="s">
        <v>4765</v>
      </c>
      <c r="C126" t="s">
        <v>9522</v>
      </c>
      <c r="D126" t="s">
        <v>9651</v>
      </c>
      <c r="E126" t="s">
        <v>9523</v>
      </c>
      <c r="F126" t="s">
        <v>9524</v>
      </c>
      <c r="G126" t="s">
        <v>9609</v>
      </c>
      <c r="H126" t="s">
        <v>9540</v>
      </c>
      <c r="I126" s="13" t="s">
        <v>9545</v>
      </c>
      <c r="J126" s="318">
        <v>564.54</v>
      </c>
      <c r="K126" s="318">
        <v>564.54</v>
      </c>
      <c r="L126" t="s">
        <v>9599</v>
      </c>
      <c r="M126" t="s">
        <v>9647</v>
      </c>
      <c r="N126" t="s">
        <v>9530</v>
      </c>
    </row>
    <row r="127" spans="1:14">
      <c r="A127" t="s">
        <v>9652</v>
      </c>
      <c r="B127" t="s">
        <v>4765</v>
      </c>
      <c r="C127" t="s">
        <v>9522</v>
      </c>
      <c r="D127" t="s">
        <v>9653</v>
      </c>
      <c r="E127" t="s">
        <v>9523</v>
      </c>
      <c r="F127" t="s">
        <v>9524</v>
      </c>
      <c r="G127" t="s">
        <v>9634</v>
      </c>
      <c r="H127" t="s">
        <v>9585</v>
      </c>
      <c r="I127" s="13" t="s">
        <v>9545</v>
      </c>
      <c r="J127" s="318">
        <v>433.56</v>
      </c>
      <c r="K127" s="318">
        <v>433.56</v>
      </c>
      <c r="L127" t="s">
        <v>9635</v>
      </c>
      <c r="M127" t="s">
        <v>9647</v>
      </c>
      <c r="N127" t="s">
        <v>9530</v>
      </c>
    </row>
    <row r="128" spans="1:14">
      <c r="A128" t="s">
        <v>9654</v>
      </c>
      <c r="B128" t="s">
        <v>4765</v>
      </c>
      <c r="C128" t="s">
        <v>9522</v>
      </c>
      <c r="D128" t="s">
        <v>9655</v>
      </c>
      <c r="E128" t="s">
        <v>9523</v>
      </c>
      <c r="F128" t="s">
        <v>9524</v>
      </c>
      <c r="G128" t="s">
        <v>9525</v>
      </c>
      <c r="H128" t="s">
        <v>9526</v>
      </c>
      <c r="I128" s="13" t="s">
        <v>5606</v>
      </c>
      <c r="J128" s="318">
        <v>1434.69</v>
      </c>
      <c r="K128" s="318">
        <v>1434.69</v>
      </c>
      <c r="L128" t="s">
        <v>9528</v>
      </c>
      <c r="M128" t="s">
        <v>9656</v>
      </c>
      <c r="N128" t="s">
        <v>9530</v>
      </c>
    </row>
    <row r="129" spans="1:14">
      <c r="A129" t="s">
        <v>9657</v>
      </c>
      <c r="B129" t="s">
        <v>4765</v>
      </c>
      <c r="C129" t="s">
        <v>9522</v>
      </c>
      <c r="D129" t="s">
        <v>9658</v>
      </c>
      <c r="E129" t="s">
        <v>9523</v>
      </c>
      <c r="F129" t="s">
        <v>9524</v>
      </c>
      <c r="G129" t="s">
        <v>9533</v>
      </c>
      <c r="H129" t="s">
        <v>9534</v>
      </c>
      <c r="I129" s="13" t="s">
        <v>5606</v>
      </c>
      <c r="J129" s="318">
        <v>2280.4899999999998</v>
      </c>
      <c r="K129" s="318">
        <v>2280.4899999999998</v>
      </c>
      <c r="L129" t="s">
        <v>9535</v>
      </c>
      <c r="M129" t="s">
        <v>9656</v>
      </c>
      <c r="N129" t="s">
        <v>9530</v>
      </c>
    </row>
    <row r="130" spans="1:14">
      <c r="A130" t="s">
        <v>9659</v>
      </c>
      <c r="B130" t="s">
        <v>4765</v>
      </c>
      <c r="C130" t="s">
        <v>9522</v>
      </c>
      <c r="D130" t="s">
        <v>9660</v>
      </c>
      <c r="E130" t="s">
        <v>9523</v>
      </c>
      <c r="F130" t="s">
        <v>9524</v>
      </c>
      <c r="G130" t="s">
        <v>9661</v>
      </c>
      <c r="H130" t="s">
        <v>9540</v>
      </c>
      <c r="I130" s="13" t="s">
        <v>5606</v>
      </c>
      <c r="J130" s="318">
        <v>846.81</v>
      </c>
      <c r="K130" s="318">
        <v>846.81</v>
      </c>
      <c r="L130" t="s">
        <v>9662</v>
      </c>
      <c r="M130" t="s">
        <v>9656</v>
      </c>
      <c r="N130" t="s">
        <v>9530</v>
      </c>
    </row>
    <row r="131" spans="1:14">
      <c r="A131" t="s">
        <v>9663</v>
      </c>
      <c r="B131" t="s">
        <v>4765</v>
      </c>
      <c r="C131" t="s">
        <v>9522</v>
      </c>
      <c r="D131" t="s">
        <v>9664</v>
      </c>
      <c r="E131" t="s">
        <v>9523</v>
      </c>
      <c r="F131" t="s">
        <v>9524</v>
      </c>
      <c r="G131" t="s">
        <v>9634</v>
      </c>
      <c r="H131" t="s">
        <v>9585</v>
      </c>
      <c r="I131" s="13" t="s">
        <v>5606</v>
      </c>
      <c r="J131" s="318">
        <v>650.34</v>
      </c>
      <c r="K131" s="318">
        <v>650.34</v>
      </c>
      <c r="L131" t="s">
        <v>9635</v>
      </c>
      <c r="M131" t="s">
        <v>9656</v>
      </c>
      <c r="N131" t="s">
        <v>9530</v>
      </c>
    </row>
    <row r="132" spans="1:14">
      <c r="A132" t="s">
        <v>188</v>
      </c>
      <c r="B132" t="s">
        <v>4765</v>
      </c>
      <c r="C132" t="s">
        <v>9522</v>
      </c>
      <c r="D132" t="s">
        <v>9665</v>
      </c>
      <c r="E132" t="s">
        <v>9523</v>
      </c>
      <c r="F132" t="s">
        <v>9557</v>
      </c>
      <c r="G132" t="s">
        <v>9588</v>
      </c>
      <c r="H132" t="s">
        <v>9585</v>
      </c>
      <c r="I132" s="13" t="s">
        <v>5606</v>
      </c>
      <c r="J132" s="318">
        <v>458.41</v>
      </c>
      <c r="K132" s="318">
        <v>458.41</v>
      </c>
      <c r="L132" t="s">
        <v>9589</v>
      </c>
      <c r="M132" t="s">
        <v>14025</v>
      </c>
      <c r="N132" t="s">
        <v>9576</v>
      </c>
    </row>
    <row r="133" spans="1:14">
      <c r="G133" s="229"/>
      <c r="I133" s="13"/>
      <c r="J133" s="318"/>
      <c r="K133" s="318"/>
    </row>
    <row r="134" spans="1:14">
      <c r="G134" s="229"/>
      <c r="I134" s="13"/>
      <c r="J134" s="318"/>
      <c r="K134" s="318"/>
    </row>
    <row r="135" spans="1:14">
      <c r="G135" s="229"/>
      <c r="I135" s="13"/>
      <c r="J135" s="318"/>
      <c r="K135" s="318"/>
    </row>
    <row r="136" spans="1:14">
      <c r="G136" s="229"/>
      <c r="I136" s="13"/>
      <c r="J136" s="318"/>
      <c r="K136" s="318"/>
    </row>
    <row r="137" spans="1:14">
      <c r="G137" s="229"/>
      <c r="I137" s="13"/>
      <c r="J137" s="318"/>
      <c r="K137" s="318"/>
    </row>
    <row r="138" spans="1:14">
      <c r="G138" s="229"/>
      <c r="I138" s="13"/>
      <c r="J138" s="318"/>
      <c r="K138" s="318"/>
    </row>
    <row r="139" spans="1:14">
      <c r="G139" s="229"/>
      <c r="I139" s="13"/>
      <c r="J139" s="318"/>
      <c r="K139" s="318"/>
    </row>
    <row r="140" spans="1:14">
      <c r="G140" s="229"/>
      <c r="I140" s="13"/>
      <c r="J140" s="318"/>
      <c r="K140" s="318"/>
    </row>
    <row r="141" spans="1:14">
      <c r="G141" s="229"/>
      <c r="I141" s="13"/>
      <c r="J141" s="318"/>
      <c r="K141" s="318"/>
    </row>
    <row r="142" spans="1:14">
      <c r="G142" s="229"/>
      <c r="I142" s="13"/>
      <c r="J142" s="318"/>
      <c r="K142" s="318"/>
    </row>
    <row r="143" spans="1:14">
      <c r="G143" s="229"/>
      <c r="I143" s="13"/>
      <c r="J143" s="318"/>
      <c r="K143" s="318"/>
    </row>
    <row r="144" spans="1:14">
      <c r="G144" s="229"/>
      <c r="I144" s="13"/>
      <c r="J144" s="318"/>
      <c r="K144" s="318"/>
    </row>
    <row r="145" spans="7:11">
      <c r="G145" s="229"/>
      <c r="I145" s="13"/>
      <c r="J145" s="318"/>
      <c r="K145" s="318"/>
    </row>
    <row r="146" spans="7:11">
      <c r="G146" s="229"/>
      <c r="I146" s="13"/>
      <c r="J146" s="318"/>
      <c r="K146" s="318"/>
    </row>
    <row r="147" spans="7:11">
      <c r="G147" s="229"/>
      <c r="I147" s="13"/>
      <c r="J147" s="318"/>
      <c r="K147" s="318"/>
    </row>
    <row r="148" spans="7:11">
      <c r="G148" s="229"/>
      <c r="I148" s="13"/>
      <c r="J148" s="318"/>
      <c r="K148" s="318"/>
    </row>
    <row r="149" spans="7:11">
      <c r="G149" s="229"/>
      <c r="I149" s="13"/>
      <c r="J149" s="318"/>
      <c r="K149" s="318"/>
    </row>
    <row r="150" spans="7:11">
      <c r="G150" s="229"/>
      <c r="I150" s="13"/>
      <c r="J150" s="318"/>
      <c r="K150" s="318"/>
    </row>
    <row r="151" spans="7:11">
      <c r="G151" s="229"/>
      <c r="I151" s="13"/>
      <c r="J151" s="318"/>
      <c r="K151" s="318"/>
    </row>
    <row r="152" spans="7:11">
      <c r="G152" s="229"/>
      <c r="I152" s="13"/>
      <c r="J152" s="318"/>
      <c r="K152" s="318"/>
    </row>
    <row r="153" spans="7:11">
      <c r="G153" s="229"/>
      <c r="I153" s="13"/>
      <c r="J153" s="318"/>
      <c r="K153" s="318"/>
    </row>
    <row r="154" spans="7:11">
      <c r="G154" s="229"/>
      <c r="I154" s="13"/>
      <c r="J154" s="318"/>
      <c r="K154" s="318"/>
    </row>
    <row r="155" spans="7:11">
      <c r="G155" s="229"/>
      <c r="I155" s="13"/>
      <c r="J155" s="318"/>
      <c r="K155" s="318"/>
    </row>
    <row r="156" spans="7:11">
      <c r="G156" s="229"/>
      <c r="I156" s="13"/>
      <c r="J156" s="318"/>
      <c r="K156" s="318"/>
    </row>
    <row r="157" spans="7:11">
      <c r="G157" s="229"/>
      <c r="I157" s="13"/>
      <c r="J157" s="318"/>
      <c r="K157" s="318"/>
    </row>
    <row r="158" spans="7:11">
      <c r="G158" s="229"/>
      <c r="I158" s="13"/>
      <c r="J158" s="318"/>
      <c r="K158" s="318"/>
    </row>
    <row r="159" spans="7:11">
      <c r="G159" s="229"/>
      <c r="I159" s="13"/>
      <c r="J159" s="318"/>
      <c r="K159" s="318"/>
    </row>
    <row r="160" spans="7:11">
      <c r="G160" s="229"/>
      <c r="I160" s="13"/>
      <c r="J160" s="318"/>
      <c r="K160" s="318"/>
    </row>
    <row r="161" spans="7:11">
      <c r="G161" s="229"/>
      <c r="I161" s="13"/>
      <c r="J161" s="318"/>
      <c r="K161" s="318"/>
    </row>
    <row r="162" spans="7:11">
      <c r="G162" s="229"/>
      <c r="I162" s="13"/>
      <c r="J162" s="318"/>
      <c r="K162" s="318"/>
    </row>
    <row r="163" spans="7:11">
      <c r="G163" s="229"/>
      <c r="I163" s="13"/>
      <c r="J163" s="318"/>
      <c r="K163" s="318"/>
    </row>
    <row r="164" spans="7:11">
      <c r="G164" s="229"/>
      <c r="I164" s="13"/>
      <c r="J164" s="318"/>
      <c r="K164" s="318"/>
    </row>
    <row r="165" spans="7:11">
      <c r="G165" s="229"/>
      <c r="I165" s="13"/>
      <c r="J165" s="318"/>
      <c r="K165" s="318"/>
    </row>
    <row r="166" spans="7:11">
      <c r="G166" s="229"/>
      <c r="I166" s="13"/>
      <c r="J166" s="318"/>
      <c r="K166" s="318"/>
    </row>
    <row r="167" spans="7:11">
      <c r="G167" s="229"/>
      <c r="I167" s="13"/>
      <c r="J167" s="318"/>
      <c r="K167" s="318"/>
    </row>
    <row r="168" spans="7:11">
      <c r="G168" s="229"/>
      <c r="I168" s="13"/>
      <c r="J168" s="318"/>
      <c r="K168" s="318"/>
    </row>
    <row r="169" spans="7:11">
      <c r="G169" s="229"/>
      <c r="I169" s="13"/>
      <c r="J169" s="318"/>
      <c r="K169" s="318"/>
    </row>
    <row r="170" spans="7:11">
      <c r="G170" s="229"/>
      <c r="I170" s="13"/>
      <c r="J170" s="318"/>
      <c r="K170" s="318"/>
    </row>
    <row r="171" spans="7:11">
      <c r="G171" s="229"/>
      <c r="I171" s="13"/>
      <c r="J171" s="318"/>
      <c r="K171" s="318"/>
    </row>
    <row r="172" spans="7:11">
      <c r="G172" s="229"/>
      <c r="I172" s="13"/>
      <c r="J172" s="318"/>
      <c r="K172" s="318"/>
    </row>
    <row r="173" spans="7:11">
      <c r="G173" s="229"/>
      <c r="I173" s="13"/>
      <c r="J173" s="318"/>
      <c r="K173" s="318"/>
    </row>
    <row r="174" spans="7:11">
      <c r="G174" s="229"/>
      <c r="I174" s="13"/>
      <c r="J174" s="318"/>
      <c r="K174" s="318"/>
    </row>
    <row r="175" spans="7:11">
      <c r="G175" s="229"/>
      <c r="I175" s="13"/>
      <c r="J175" s="318"/>
      <c r="K175" s="318"/>
    </row>
    <row r="176" spans="7:11">
      <c r="G176" s="229"/>
      <c r="I176" s="13"/>
      <c r="J176" s="318"/>
      <c r="K176" s="318"/>
    </row>
    <row r="177" spans="7:11">
      <c r="G177" s="229"/>
      <c r="I177" s="13"/>
      <c r="J177" s="318"/>
      <c r="K177" s="318"/>
    </row>
    <row r="178" spans="7:11">
      <c r="G178" s="229"/>
      <c r="I178" s="13"/>
      <c r="J178" s="318"/>
      <c r="K178" s="318"/>
    </row>
    <row r="179" spans="7:11">
      <c r="G179" s="229"/>
      <c r="I179" s="13"/>
      <c r="J179" s="318"/>
      <c r="K179" s="318"/>
    </row>
    <row r="180" spans="7:11">
      <c r="G180" s="229"/>
      <c r="I180" s="13"/>
      <c r="J180" s="318"/>
      <c r="K180" s="318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3"/>
  <sheetViews>
    <sheetView workbookViewId="0"/>
  </sheetViews>
  <sheetFormatPr baseColWidth="10" defaultRowHeight="15"/>
  <sheetData>
    <row r="1" spans="1:2" ht="30">
      <c r="A1" s="314" t="s">
        <v>9511</v>
      </c>
      <c r="B1" s="315" t="s">
        <v>5609</v>
      </c>
    </row>
    <row r="2" spans="1:2">
      <c r="A2">
        <v>2582</v>
      </c>
      <c r="B2" t="s">
        <v>5607</v>
      </c>
    </row>
    <row r="3" spans="1:2">
      <c r="A3">
        <v>5457</v>
      </c>
      <c r="B3" t="s">
        <v>5607</v>
      </c>
    </row>
    <row r="4" spans="1:2">
      <c r="A4">
        <v>1723</v>
      </c>
      <c r="B4" t="s">
        <v>5607</v>
      </c>
    </row>
    <row r="5" spans="1:2">
      <c r="A5">
        <v>2583</v>
      </c>
      <c r="B5" t="s">
        <v>5608</v>
      </c>
    </row>
    <row r="6" spans="1:2">
      <c r="A6">
        <v>3837</v>
      </c>
      <c r="B6" t="s">
        <v>5608</v>
      </c>
    </row>
    <row r="7" spans="1:2">
      <c r="A7">
        <v>5458</v>
      </c>
      <c r="B7" t="s">
        <v>5608</v>
      </c>
    </row>
    <row r="8" spans="1:2">
      <c r="A8">
        <v>5460</v>
      </c>
      <c r="B8" t="s">
        <v>5608</v>
      </c>
    </row>
    <row r="9" spans="1:2">
      <c r="A9">
        <v>5462</v>
      </c>
      <c r="B9" t="s">
        <v>5608</v>
      </c>
    </row>
    <row r="10" spans="1:2">
      <c r="A10">
        <v>5463</v>
      </c>
      <c r="B10" t="s">
        <v>5608</v>
      </c>
    </row>
    <row r="11" spans="1:2">
      <c r="A11">
        <v>5464</v>
      </c>
      <c r="B11" t="s">
        <v>5608</v>
      </c>
    </row>
    <row r="12" spans="1:2">
      <c r="A12">
        <v>5466</v>
      </c>
      <c r="B12" t="s">
        <v>5608</v>
      </c>
    </row>
    <row r="13" spans="1:2">
      <c r="A13">
        <v>6099</v>
      </c>
      <c r="B13" t="s">
        <v>5608</v>
      </c>
    </row>
    <row r="14" spans="1:2">
      <c r="A14">
        <v>7143</v>
      </c>
      <c r="B14" t="s">
        <v>5608</v>
      </c>
    </row>
    <row r="15" spans="1:2">
      <c r="A15">
        <v>7147</v>
      </c>
      <c r="B15" t="s">
        <v>5608</v>
      </c>
    </row>
    <row r="16" spans="1:2">
      <c r="A16">
        <v>7158</v>
      </c>
      <c r="B16" t="s">
        <v>5608</v>
      </c>
    </row>
    <row r="17" spans="1:2">
      <c r="A17">
        <v>7160</v>
      </c>
      <c r="B17" t="s">
        <v>5608</v>
      </c>
    </row>
    <row r="18" spans="1:2">
      <c r="A18">
        <v>7164</v>
      </c>
      <c r="B18" t="s">
        <v>5608</v>
      </c>
    </row>
    <row r="19" spans="1:2">
      <c r="A19">
        <v>7380</v>
      </c>
      <c r="B19" t="s">
        <v>5608</v>
      </c>
    </row>
    <row r="20" spans="1:2">
      <c r="A20">
        <v>7382</v>
      </c>
      <c r="B20" t="s">
        <v>5608</v>
      </c>
    </row>
    <row r="21" spans="1:2">
      <c r="A21">
        <v>7383</v>
      </c>
      <c r="B21" t="s">
        <v>5608</v>
      </c>
    </row>
    <row r="22" spans="1:2">
      <c r="A22">
        <v>7873</v>
      </c>
      <c r="B22" t="s">
        <v>5608</v>
      </c>
    </row>
    <row r="23" spans="1:2">
      <c r="A23">
        <v>7875</v>
      </c>
      <c r="B23" t="s">
        <v>5608</v>
      </c>
    </row>
    <row r="24" spans="1:2">
      <c r="A24">
        <v>7914</v>
      </c>
      <c r="B24" t="s">
        <v>5608</v>
      </c>
    </row>
    <row r="25" spans="1:2">
      <c r="A25">
        <v>7915</v>
      </c>
      <c r="B25" t="s">
        <v>5608</v>
      </c>
    </row>
    <row r="26" spans="1:2">
      <c r="A26">
        <v>7945</v>
      </c>
      <c r="B26" t="s">
        <v>5608</v>
      </c>
    </row>
    <row r="27" spans="1:2">
      <c r="A27">
        <v>8038</v>
      </c>
      <c r="B27" t="s">
        <v>5608</v>
      </c>
    </row>
    <row r="28" spans="1:2">
      <c r="A28">
        <v>8677</v>
      </c>
      <c r="B28" t="s">
        <v>5608</v>
      </c>
    </row>
    <row r="29" spans="1:2">
      <c r="A29">
        <v>8722</v>
      </c>
      <c r="B29" t="s">
        <v>5608</v>
      </c>
    </row>
    <row r="30" spans="1:2">
      <c r="A30">
        <v>8740</v>
      </c>
      <c r="B30" t="s">
        <v>5608</v>
      </c>
    </row>
    <row r="31" spans="1:2">
      <c r="A31">
        <v>8750</v>
      </c>
      <c r="B31" t="s">
        <v>5608</v>
      </c>
    </row>
    <row r="32" spans="1:2">
      <c r="A32">
        <v>8752</v>
      </c>
      <c r="B32" t="s">
        <v>5608</v>
      </c>
    </row>
    <row r="33" spans="1:2">
      <c r="A33">
        <v>8852</v>
      </c>
      <c r="B33" t="s">
        <v>5608</v>
      </c>
    </row>
    <row r="34" spans="1:2">
      <c r="A34">
        <v>8886</v>
      </c>
      <c r="B34" t="s">
        <v>5608</v>
      </c>
    </row>
    <row r="35" spans="1:2">
      <c r="A35">
        <v>1911</v>
      </c>
      <c r="B35" t="s">
        <v>5608</v>
      </c>
    </row>
    <row r="36" spans="1:2">
      <c r="A36">
        <v>4190</v>
      </c>
      <c r="B36" t="s">
        <v>5608</v>
      </c>
    </row>
    <row r="37" spans="1:2">
      <c r="A37">
        <v>4192</v>
      </c>
      <c r="B37" t="s">
        <v>5608</v>
      </c>
    </row>
    <row r="38" spans="1:2">
      <c r="A38">
        <v>4193</v>
      </c>
      <c r="B38" t="s">
        <v>5608</v>
      </c>
    </row>
    <row r="39" spans="1:2">
      <c r="A39">
        <v>4194</v>
      </c>
      <c r="B39" t="s">
        <v>5608</v>
      </c>
    </row>
    <row r="40" spans="1:2">
      <c r="A40">
        <v>4251</v>
      </c>
      <c r="B40" t="s">
        <v>5608</v>
      </c>
    </row>
    <row r="41" spans="1:2">
      <c r="A41">
        <v>4252</v>
      </c>
      <c r="B41" t="s">
        <v>5608</v>
      </c>
    </row>
    <row r="42" spans="1:2">
      <c r="A42">
        <v>4253</v>
      </c>
      <c r="B42" t="s">
        <v>5608</v>
      </c>
    </row>
    <row r="43" spans="1:2">
      <c r="A43">
        <v>4347</v>
      </c>
      <c r="B43" t="s">
        <v>5608</v>
      </c>
    </row>
    <row r="44" spans="1:2">
      <c r="A44">
        <v>4348</v>
      </c>
      <c r="B44" t="s">
        <v>5608</v>
      </c>
    </row>
    <row r="45" spans="1:2">
      <c r="A45">
        <v>4362</v>
      </c>
      <c r="B45" t="s">
        <v>5608</v>
      </c>
    </row>
    <row r="46" spans="1:2">
      <c r="A46">
        <v>4363</v>
      </c>
      <c r="B46" t="s">
        <v>5608</v>
      </c>
    </row>
    <row r="47" spans="1:2">
      <c r="A47">
        <v>4364</v>
      </c>
      <c r="B47" t="s">
        <v>5608</v>
      </c>
    </row>
    <row r="48" spans="1:2">
      <c r="A48">
        <v>4365</v>
      </c>
      <c r="B48" t="s">
        <v>5608</v>
      </c>
    </row>
    <row r="49" spans="1:2">
      <c r="A49">
        <v>4367</v>
      </c>
      <c r="B49" t="s">
        <v>5608</v>
      </c>
    </row>
    <row r="50" spans="1:2">
      <c r="A50">
        <v>4368</v>
      </c>
      <c r="B50" t="s">
        <v>5608</v>
      </c>
    </row>
    <row r="51" spans="1:2">
      <c r="A51">
        <v>5454</v>
      </c>
      <c r="B51" t="s">
        <v>5608</v>
      </c>
    </row>
    <row r="52" spans="1:2">
      <c r="A52">
        <v>5455</v>
      </c>
      <c r="B52" t="s">
        <v>5608</v>
      </c>
    </row>
    <row r="53" spans="1:2">
      <c r="A53">
        <v>5456</v>
      </c>
      <c r="B53" t="s">
        <v>5608</v>
      </c>
    </row>
    <row r="54" spans="1:2">
      <c r="A54">
        <v>6100</v>
      </c>
      <c r="B54" t="s">
        <v>5608</v>
      </c>
    </row>
    <row r="55" spans="1:2">
      <c r="A55">
        <v>6160</v>
      </c>
      <c r="B55" t="s">
        <v>5608</v>
      </c>
    </row>
    <row r="56" spans="1:2">
      <c r="A56">
        <v>6173</v>
      </c>
      <c r="B56" t="s">
        <v>5608</v>
      </c>
    </row>
    <row r="57" spans="1:2">
      <c r="A57">
        <v>6205</v>
      </c>
      <c r="B57" t="s">
        <v>5608</v>
      </c>
    </row>
    <row r="58" spans="1:2">
      <c r="A58">
        <v>6385</v>
      </c>
      <c r="B58" t="s">
        <v>5608</v>
      </c>
    </row>
    <row r="59" spans="1:2">
      <c r="A59">
        <v>6386</v>
      </c>
      <c r="B59" t="s">
        <v>5608</v>
      </c>
    </row>
    <row r="60" spans="1:2">
      <c r="A60">
        <v>6388</v>
      </c>
      <c r="B60" t="s">
        <v>5608</v>
      </c>
    </row>
    <row r="61" spans="1:2">
      <c r="A61">
        <v>6389</v>
      </c>
      <c r="B61" t="s">
        <v>5608</v>
      </c>
    </row>
    <row r="62" spans="1:2">
      <c r="A62">
        <v>6390</v>
      </c>
      <c r="B62" t="s">
        <v>5608</v>
      </c>
    </row>
    <row r="63" spans="1:2">
      <c r="A63">
        <v>6391</v>
      </c>
      <c r="B63" t="s">
        <v>5608</v>
      </c>
    </row>
    <row r="64" spans="1:2">
      <c r="A64">
        <v>6630</v>
      </c>
      <c r="B64" t="s">
        <v>5608</v>
      </c>
    </row>
    <row r="65" spans="1:2">
      <c r="A65">
        <v>7141</v>
      </c>
      <c r="B65" t="s">
        <v>5608</v>
      </c>
    </row>
    <row r="66" spans="1:2">
      <c r="A66">
        <v>7145</v>
      </c>
      <c r="B66" t="s">
        <v>5608</v>
      </c>
    </row>
    <row r="67" spans="1:2">
      <c r="A67">
        <v>7163</v>
      </c>
      <c r="B67" t="s">
        <v>5608</v>
      </c>
    </row>
    <row r="68" spans="1:2">
      <c r="A68">
        <v>7233</v>
      </c>
      <c r="B68" t="s">
        <v>5610</v>
      </c>
    </row>
    <row r="69" spans="1:2">
      <c r="A69">
        <v>7321</v>
      </c>
      <c r="B69" t="s">
        <v>5608</v>
      </c>
    </row>
    <row r="70" spans="1:2">
      <c r="A70">
        <v>7327</v>
      </c>
      <c r="B70" t="s">
        <v>5608</v>
      </c>
    </row>
    <row r="71" spans="1:2">
      <c r="A71">
        <v>7328</v>
      </c>
      <c r="B71" t="s">
        <v>5608</v>
      </c>
    </row>
    <row r="72" spans="1:2">
      <c r="A72">
        <v>7376</v>
      </c>
      <c r="B72" t="s">
        <v>5608</v>
      </c>
    </row>
    <row r="73" spans="1:2">
      <c r="A73">
        <v>7377</v>
      </c>
      <c r="B73" t="s">
        <v>5608</v>
      </c>
    </row>
    <row r="74" spans="1:2">
      <c r="A74">
        <v>7378</v>
      </c>
      <c r="B74" t="s">
        <v>5608</v>
      </c>
    </row>
    <row r="75" spans="1:2">
      <c r="A75">
        <v>7379</v>
      </c>
      <c r="B75" t="s">
        <v>5608</v>
      </c>
    </row>
    <row r="76" spans="1:2">
      <c r="A76">
        <v>7809</v>
      </c>
      <c r="B76" t="s">
        <v>5610</v>
      </c>
    </row>
    <row r="77" spans="1:2">
      <c r="A77">
        <v>7831</v>
      </c>
      <c r="B77" t="s">
        <v>5608</v>
      </c>
    </row>
    <row r="78" spans="1:2">
      <c r="A78">
        <v>7832</v>
      </c>
      <c r="B78" t="s">
        <v>5608</v>
      </c>
    </row>
    <row r="79" spans="1:2">
      <c r="A79">
        <v>7833</v>
      </c>
      <c r="B79" t="s">
        <v>5608</v>
      </c>
    </row>
    <row r="80" spans="1:2">
      <c r="A80">
        <v>7834</v>
      </c>
      <c r="B80" t="s">
        <v>5608</v>
      </c>
    </row>
    <row r="81" spans="1:2">
      <c r="A81">
        <v>7836</v>
      </c>
      <c r="B81" t="s">
        <v>5608</v>
      </c>
    </row>
    <row r="82" spans="1:2">
      <c r="A82">
        <v>7837</v>
      </c>
      <c r="B82" t="s">
        <v>5608</v>
      </c>
    </row>
    <row r="83" spans="1:2">
      <c r="A83">
        <v>7839</v>
      </c>
      <c r="B83" t="s">
        <v>5608</v>
      </c>
    </row>
    <row r="84" spans="1:2">
      <c r="A84">
        <v>7870</v>
      </c>
      <c r="B84" t="s">
        <v>5610</v>
      </c>
    </row>
    <row r="85" spans="1:2">
      <c r="A85">
        <v>7871</v>
      </c>
      <c r="B85" t="s">
        <v>5610</v>
      </c>
    </row>
    <row r="86" spans="1:2">
      <c r="A86">
        <v>7872</v>
      </c>
      <c r="B86" t="s">
        <v>5610</v>
      </c>
    </row>
    <row r="87" spans="1:2">
      <c r="A87">
        <v>7901</v>
      </c>
      <c r="B87" t="s">
        <v>5610</v>
      </c>
    </row>
    <row r="88" spans="1:2">
      <c r="A88">
        <v>7902</v>
      </c>
      <c r="B88" t="s">
        <v>5610</v>
      </c>
    </row>
    <row r="89" spans="1:2">
      <c r="A89">
        <v>7903</v>
      </c>
      <c r="B89" t="s">
        <v>5610</v>
      </c>
    </row>
    <row r="90" spans="1:2">
      <c r="A90">
        <v>7906</v>
      </c>
      <c r="B90" t="s">
        <v>5610</v>
      </c>
    </row>
    <row r="91" spans="1:2">
      <c r="A91">
        <v>7912</v>
      </c>
      <c r="B91" t="s">
        <v>5610</v>
      </c>
    </row>
    <row r="92" spans="1:2">
      <c r="A92">
        <v>7913</v>
      </c>
      <c r="B92" t="s">
        <v>5610</v>
      </c>
    </row>
    <row r="93" spans="1:2">
      <c r="A93">
        <v>7916</v>
      </c>
      <c r="B93" t="s">
        <v>5610</v>
      </c>
    </row>
    <row r="94" spans="1:2">
      <c r="A94">
        <v>7917</v>
      </c>
      <c r="B94" t="s">
        <v>5610</v>
      </c>
    </row>
    <row r="95" spans="1:2">
      <c r="A95">
        <v>7918</v>
      </c>
      <c r="B95" t="s">
        <v>5610</v>
      </c>
    </row>
    <row r="96" spans="1:2">
      <c r="A96">
        <v>7919</v>
      </c>
      <c r="B96" t="s">
        <v>5610</v>
      </c>
    </row>
    <row r="97" spans="1:2">
      <c r="A97">
        <v>7940</v>
      </c>
      <c r="B97" t="s">
        <v>5608</v>
      </c>
    </row>
    <row r="98" spans="1:2">
      <c r="A98">
        <v>7941</v>
      </c>
      <c r="B98" t="s">
        <v>5608</v>
      </c>
    </row>
    <row r="99" spans="1:2">
      <c r="A99">
        <v>7942</v>
      </c>
      <c r="B99" t="s">
        <v>5608</v>
      </c>
    </row>
    <row r="100" spans="1:2">
      <c r="A100">
        <v>7943</v>
      </c>
      <c r="B100" t="s">
        <v>5608</v>
      </c>
    </row>
    <row r="101" spans="1:2">
      <c r="A101">
        <v>7944</v>
      </c>
      <c r="B101" t="s">
        <v>5608</v>
      </c>
    </row>
    <row r="102" spans="1:2">
      <c r="A102">
        <v>7946</v>
      </c>
      <c r="B102" t="s">
        <v>5608</v>
      </c>
    </row>
    <row r="103" spans="1:2">
      <c r="A103">
        <v>7947</v>
      </c>
      <c r="B103" t="s">
        <v>5608</v>
      </c>
    </row>
    <row r="104" spans="1:2">
      <c r="A104">
        <v>7948</v>
      </c>
      <c r="B104" t="s">
        <v>5608</v>
      </c>
    </row>
    <row r="105" spans="1:2">
      <c r="A105">
        <v>7949</v>
      </c>
      <c r="B105" t="s">
        <v>5608</v>
      </c>
    </row>
    <row r="106" spans="1:2">
      <c r="A106">
        <v>7967</v>
      </c>
      <c r="B106" t="s">
        <v>5610</v>
      </c>
    </row>
    <row r="107" spans="1:2">
      <c r="A107">
        <v>7969</v>
      </c>
      <c r="B107" t="s">
        <v>5608</v>
      </c>
    </row>
    <row r="108" spans="1:2">
      <c r="A108">
        <v>7971</v>
      </c>
      <c r="B108" t="s">
        <v>5610</v>
      </c>
    </row>
    <row r="109" spans="1:2">
      <c r="A109">
        <v>7972</v>
      </c>
      <c r="B109" t="s">
        <v>5610</v>
      </c>
    </row>
    <row r="110" spans="1:2">
      <c r="A110">
        <v>7973</v>
      </c>
      <c r="B110" t="s">
        <v>5608</v>
      </c>
    </row>
    <row r="111" spans="1:2">
      <c r="A111">
        <v>7974</v>
      </c>
      <c r="B111" t="s">
        <v>5608</v>
      </c>
    </row>
    <row r="112" spans="1:2">
      <c r="A112">
        <v>7975</v>
      </c>
      <c r="B112" t="s">
        <v>5608</v>
      </c>
    </row>
    <row r="113" spans="1:2">
      <c r="A113">
        <v>7976</v>
      </c>
      <c r="B113" t="s">
        <v>5608</v>
      </c>
    </row>
    <row r="114" spans="1:2">
      <c r="A114">
        <v>7977</v>
      </c>
      <c r="B114" t="s">
        <v>5608</v>
      </c>
    </row>
    <row r="115" spans="1:2">
      <c r="A115">
        <v>7978</v>
      </c>
      <c r="B115" t="s">
        <v>5608</v>
      </c>
    </row>
    <row r="116" spans="1:2">
      <c r="A116">
        <v>7979</v>
      </c>
      <c r="B116" t="s">
        <v>5608</v>
      </c>
    </row>
    <row r="117" spans="1:2">
      <c r="A117">
        <v>7980</v>
      </c>
      <c r="B117" t="s">
        <v>5608</v>
      </c>
    </row>
    <row r="118" spans="1:2">
      <c r="A118">
        <v>7981</v>
      </c>
      <c r="B118" t="s">
        <v>5610</v>
      </c>
    </row>
    <row r="119" spans="1:2">
      <c r="A119">
        <v>7984</v>
      </c>
      <c r="B119" t="s">
        <v>5608</v>
      </c>
    </row>
    <row r="120" spans="1:2">
      <c r="A120">
        <v>7985</v>
      </c>
      <c r="B120" t="s">
        <v>5608</v>
      </c>
    </row>
    <row r="121" spans="1:2">
      <c r="A121">
        <v>7992</v>
      </c>
      <c r="B121" t="s">
        <v>5608</v>
      </c>
    </row>
    <row r="122" spans="1:2">
      <c r="A122">
        <v>7995</v>
      </c>
      <c r="B122" t="s">
        <v>5610</v>
      </c>
    </row>
    <row r="123" spans="1:2">
      <c r="A123">
        <v>7996</v>
      </c>
      <c r="B123" t="s">
        <v>5610</v>
      </c>
    </row>
    <row r="124" spans="1:2">
      <c r="A124">
        <v>8014</v>
      </c>
      <c r="B124" t="s">
        <v>5610</v>
      </c>
    </row>
    <row r="125" spans="1:2">
      <c r="A125">
        <v>8028</v>
      </c>
      <c r="B125" t="s">
        <v>5610</v>
      </c>
    </row>
    <row r="126" spans="1:2">
      <c r="A126">
        <v>8478</v>
      </c>
      <c r="B126" t="s">
        <v>5608</v>
      </c>
    </row>
    <row r="127" spans="1:2">
      <c r="A127">
        <v>8479</v>
      </c>
      <c r="B127" t="s">
        <v>5608</v>
      </c>
    </row>
    <row r="128" spans="1:2">
      <c r="A128">
        <v>8480</v>
      </c>
      <c r="B128" t="s">
        <v>5608</v>
      </c>
    </row>
    <row r="129" spans="1:2">
      <c r="A129">
        <v>8482</v>
      </c>
      <c r="B129" t="s">
        <v>5608</v>
      </c>
    </row>
    <row r="130" spans="1:2">
      <c r="A130">
        <v>8485</v>
      </c>
      <c r="B130" t="s">
        <v>5608</v>
      </c>
    </row>
    <row r="131" spans="1:2">
      <c r="A131">
        <v>8486</v>
      </c>
      <c r="B131" t="s">
        <v>5608</v>
      </c>
    </row>
    <row r="132" spans="1:2">
      <c r="A132">
        <v>8487</v>
      </c>
      <c r="B132" t="s">
        <v>5608</v>
      </c>
    </row>
    <row r="133" spans="1:2">
      <c r="A133">
        <v>8488</v>
      </c>
      <c r="B133" t="s">
        <v>5608</v>
      </c>
    </row>
    <row r="134" spans="1:2">
      <c r="A134">
        <v>8489</v>
      </c>
      <c r="B134" t="s">
        <v>5608</v>
      </c>
    </row>
    <row r="135" spans="1:2">
      <c r="A135">
        <v>8490</v>
      </c>
      <c r="B135" t="s">
        <v>5608</v>
      </c>
    </row>
    <row r="136" spans="1:2">
      <c r="A136">
        <v>8491</v>
      </c>
      <c r="B136" t="s">
        <v>5608</v>
      </c>
    </row>
    <row r="137" spans="1:2">
      <c r="A137">
        <v>8645</v>
      </c>
      <c r="B137" t="s">
        <v>5608</v>
      </c>
    </row>
    <row r="138" spans="1:2">
      <c r="A138">
        <v>8646</v>
      </c>
      <c r="B138" t="s">
        <v>5608</v>
      </c>
    </row>
    <row r="139" spans="1:2">
      <c r="A139">
        <v>8647</v>
      </c>
      <c r="B139" t="s">
        <v>5608</v>
      </c>
    </row>
    <row r="140" spans="1:2">
      <c r="A140">
        <v>8648</v>
      </c>
      <c r="B140" t="s">
        <v>5608</v>
      </c>
    </row>
    <row r="141" spans="1:2">
      <c r="A141">
        <v>8649</v>
      </c>
      <c r="B141" t="s">
        <v>5608</v>
      </c>
    </row>
    <row r="142" spans="1:2">
      <c r="A142">
        <v>8654</v>
      </c>
      <c r="B142" t="s">
        <v>5608</v>
      </c>
    </row>
    <row r="143" spans="1:2">
      <c r="A143">
        <v>8655</v>
      </c>
      <c r="B143" t="s">
        <v>5608</v>
      </c>
    </row>
    <row r="144" spans="1:2">
      <c r="A144">
        <v>8667</v>
      </c>
      <c r="B144" t="s">
        <v>5610</v>
      </c>
    </row>
    <row r="145" spans="1:2">
      <c r="A145">
        <v>8670</v>
      </c>
      <c r="B145" t="s">
        <v>5610</v>
      </c>
    </row>
    <row r="146" spans="1:2">
      <c r="A146">
        <v>8671</v>
      </c>
      <c r="B146" t="s">
        <v>5608</v>
      </c>
    </row>
    <row r="147" spans="1:2">
      <c r="A147">
        <v>8672</v>
      </c>
      <c r="B147" t="s">
        <v>5608</v>
      </c>
    </row>
    <row r="148" spans="1:2">
      <c r="A148">
        <v>8673</v>
      </c>
      <c r="B148" t="s">
        <v>5608</v>
      </c>
    </row>
    <row r="149" spans="1:2">
      <c r="A149">
        <v>8674</v>
      </c>
      <c r="B149" t="s">
        <v>5610</v>
      </c>
    </row>
    <row r="150" spans="1:2">
      <c r="A150">
        <v>8675</v>
      </c>
      <c r="B150" t="s">
        <v>5608</v>
      </c>
    </row>
    <row r="151" spans="1:2">
      <c r="A151">
        <v>8676</v>
      </c>
      <c r="B151" t="s">
        <v>5610</v>
      </c>
    </row>
    <row r="152" spans="1:2">
      <c r="A152">
        <v>8678</v>
      </c>
      <c r="B152" t="s">
        <v>5610</v>
      </c>
    </row>
    <row r="153" spans="1:2">
      <c r="A153">
        <v>8683</v>
      </c>
      <c r="B153" t="s">
        <v>5610</v>
      </c>
    </row>
    <row r="154" spans="1:2">
      <c r="A154">
        <v>8685</v>
      </c>
      <c r="B154" t="s">
        <v>5610</v>
      </c>
    </row>
    <row r="155" spans="1:2">
      <c r="A155">
        <v>8686</v>
      </c>
      <c r="B155" t="s">
        <v>5610</v>
      </c>
    </row>
    <row r="156" spans="1:2">
      <c r="A156">
        <v>8687</v>
      </c>
      <c r="B156" t="s">
        <v>5610</v>
      </c>
    </row>
    <row r="157" spans="1:2">
      <c r="A157">
        <v>8688</v>
      </c>
      <c r="B157" t="s">
        <v>5610</v>
      </c>
    </row>
    <row r="158" spans="1:2">
      <c r="A158">
        <v>8720</v>
      </c>
      <c r="B158" t="s">
        <v>5610</v>
      </c>
    </row>
    <row r="159" spans="1:2">
      <c r="A159">
        <v>8721</v>
      </c>
      <c r="B159" t="s">
        <v>5610</v>
      </c>
    </row>
    <row r="160" spans="1:2">
      <c r="A160">
        <v>8730</v>
      </c>
      <c r="B160" t="s">
        <v>5610</v>
      </c>
    </row>
    <row r="161" spans="1:2">
      <c r="A161">
        <v>8731</v>
      </c>
      <c r="B161" t="s">
        <v>5610</v>
      </c>
    </row>
    <row r="162" spans="1:2">
      <c r="A162">
        <v>8733</v>
      </c>
      <c r="B162" t="s">
        <v>5610</v>
      </c>
    </row>
    <row r="163" spans="1:2">
      <c r="A163">
        <v>8737</v>
      </c>
      <c r="B163" t="s">
        <v>5610</v>
      </c>
    </row>
    <row r="164" spans="1:2">
      <c r="A164">
        <v>8827</v>
      </c>
      <c r="B164" t="s">
        <v>5610</v>
      </c>
    </row>
    <row r="165" spans="1:2">
      <c r="A165">
        <v>8830</v>
      </c>
      <c r="B165" t="s">
        <v>5610</v>
      </c>
    </row>
    <row r="166" spans="1:2">
      <c r="A166">
        <v>8832</v>
      </c>
      <c r="B166" t="s">
        <v>5610</v>
      </c>
    </row>
    <row r="167" spans="1:2">
      <c r="A167">
        <v>8834</v>
      </c>
      <c r="B167" t="s">
        <v>5608</v>
      </c>
    </row>
    <row r="168" spans="1:2">
      <c r="A168">
        <v>8835</v>
      </c>
      <c r="B168" t="s">
        <v>5610</v>
      </c>
    </row>
    <row r="169" spans="1:2">
      <c r="A169">
        <v>8836</v>
      </c>
      <c r="B169" t="s">
        <v>5610</v>
      </c>
    </row>
    <row r="170" spans="1:2">
      <c r="A170">
        <v>8837</v>
      </c>
      <c r="B170" t="s">
        <v>5610</v>
      </c>
    </row>
    <row r="171" spans="1:2">
      <c r="A171">
        <v>8839</v>
      </c>
      <c r="B171" t="s">
        <v>5610</v>
      </c>
    </row>
    <row r="172" spans="1:2">
      <c r="A172">
        <v>8840</v>
      </c>
      <c r="B172" t="s">
        <v>5608</v>
      </c>
    </row>
    <row r="173" spans="1:2">
      <c r="A173">
        <v>8841</v>
      </c>
      <c r="B173" t="s">
        <v>5610</v>
      </c>
    </row>
    <row r="174" spans="1:2">
      <c r="A174">
        <v>8843</v>
      </c>
      <c r="B174" t="s">
        <v>5610</v>
      </c>
    </row>
    <row r="175" spans="1:2">
      <c r="A175">
        <v>8847</v>
      </c>
      <c r="B175" t="s">
        <v>5608</v>
      </c>
    </row>
    <row r="176" spans="1:2">
      <c r="A176">
        <v>8848</v>
      </c>
      <c r="B176" t="s">
        <v>5610</v>
      </c>
    </row>
    <row r="177" spans="1:2">
      <c r="A177">
        <v>8849</v>
      </c>
      <c r="B177" t="s">
        <v>5610</v>
      </c>
    </row>
    <row r="178" spans="1:2">
      <c r="A178">
        <v>8850</v>
      </c>
      <c r="B178" t="s">
        <v>5610</v>
      </c>
    </row>
    <row r="179" spans="1:2">
      <c r="A179">
        <v>8853</v>
      </c>
      <c r="B179" t="s">
        <v>5610</v>
      </c>
    </row>
    <row r="180" spans="1:2">
      <c r="A180">
        <v>8855</v>
      </c>
      <c r="B180" t="s">
        <v>5610</v>
      </c>
    </row>
    <row r="181" spans="1:2">
      <c r="A181">
        <v>8861</v>
      </c>
      <c r="B181" t="s">
        <v>5610</v>
      </c>
    </row>
    <row r="182" spans="1:2">
      <c r="A182">
        <v>8862</v>
      </c>
      <c r="B182" t="s">
        <v>5610</v>
      </c>
    </row>
    <row r="183" spans="1:2">
      <c r="A183">
        <v>8863</v>
      </c>
      <c r="B183" t="s">
        <v>5610</v>
      </c>
    </row>
    <row r="184" spans="1:2">
      <c r="A184">
        <v>8864</v>
      </c>
      <c r="B184" t="s">
        <v>5610</v>
      </c>
    </row>
    <row r="185" spans="1:2">
      <c r="A185">
        <v>8865</v>
      </c>
      <c r="B185" t="s">
        <v>5610</v>
      </c>
    </row>
    <row r="186" spans="1:2">
      <c r="A186">
        <v>8866</v>
      </c>
      <c r="B186" t="s">
        <v>5610</v>
      </c>
    </row>
    <row r="187" spans="1:2">
      <c r="A187">
        <v>8870</v>
      </c>
      <c r="B187" t="s">
        <v>5610</v>
      </c>
    </row>
    <row r="188" spans="1:2">
      <c r="A188">
        <v>8872</v>
      </c>
      <c r="B188" t="s">
        <v>5610</v>
      </c>
    </row>
    <row r="189" spans="1:2">
      <c r="A189">
        <v>8874</v>
      </c>
      <c r="B189" t="s">
        <v>5610</v>
      </c>
    </row>
    <row r="190" spans="1:2">
      <c r="A190">
        <v>8877</v>
      </c>
      <c r="B190" t="s">
        <v>5610</v>
      </c>
    </row>
    <row r="191" spans="1:2">
      <c r="A191">
        <v>8878</v>
      </c>
      <c r="B191" t="s">
        <v>5610</v>
      </c>
    </row>
    <row r="192" spans="1:2">
      <c r="A192">
        <v>8879</v>
      </c>
      <c r="B192" t="s">
        <v>5610</v>
      </c>
    </row>
    <row r="193" spans="1:2">
      <c r="A193">
        <v>9307</v>
      </c>
      <c r="B193" t="s">
        <v>5610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M319"/>
  <sheetViews>
    <sheetView workbookViewId="0"/>
  </sheetViews>
  <sheetFormatPr baseColWidth="10" defaultRowHeight="15"/>
  <sheetData>
    <row r="4" spans="1:13" ht="45">
      <c r="A4" s="230" t="s">
        <v>8219</v>
      </c>
      <c r="B4" s="230" t="s">
        <v>8220</v>
      </c>
      <c r="C4" s="230" t="s">
        <v>8221</v>
      </c>
      <c r="D4" s="230" t="s">
        <v>8222</v>
      </c>
      <c r="E4" s="230" t="s">
        <v>8223</v>
      </c>
      <c r="F4" s="230" t="s">
        <v>8224</v>
      </c>
      <c r="G4" s="230" t="s">
        <v>8225</v>
      </c>
      <c r="H4" s="230" t="s">
        <v>8226</v>
      </c>
      <c r="I4" s="230" t="s">
        <v>8227</v>
      </c>
      <c r="J4" s="230" t="s">
        <v>8228</v>
      </c>
      <c r="K4" s="230" t="s">
        <v>8229</v>
      </c>
      <c r="L4" s="230" t="s">
        <v>8230</v>
      </c>
      <c r="M4" s="230" t="s">
        <v>8231</v>
      </c>
    </row>
    <row r="5" spans="1:13">
      <c r="A5" s="231" t="s">
        <v>2813</v>
      </c>
      <c r="B5" s="232" t="s">
        <v>2439</v>
      </c>
      <c r="C5" s="232">
        <v>0.35099999999999998</v>
      </c>
      <c r="D5" s="232">
        <v>280.79999999999995</v>
      </c>
      <c r="E5" s="232">
        <v>1198</v>
      </c>
      <c r="F5" s="232">
        <v>1</v>
      </c>
      <c r="G5" s="232">
        <v>4.3</v>
      </c>
      <c r="H5" s="232">
        <v>73.400000000000006</v>
      </c>
      <c r="I5" s="232">
        <v>42.9</v>
      </c>
      <c r="J5" s="232">
        <v>16.399999999999999</v>
      </c>
      <c r="K5" s="233" t="s">
        <v>8232</v>
      </c>
      <c r="L5" s="232" t="s">
        <v>8233</v>
      </c>
      <c r="M5" s="234">
        <v>2</v>
      </c>
    </row>
    <row r="6" spans="1:13" ht="22.5">
      <c r="A6" s="235" t="s">
        <v>2815</v>
      </c>
      <c r="B6" s="236" t="s">
        <v>2440</v>
      </c>
      <c r="C6" s="237">
        <v>2.5000000000000001E-2</v>
      </c>
      <c r="D6" s="237">
        <v>20</v>
      </c>
      <c r="E6" s="237">
        <v>146.44999999999999</v>
      </c>
      <c r="F6" s="237">
        <v>1</v>
      </c>
      <c r="G6" s="237">
        <v>4.3</v>
      </c>
      <c r="H6" s="237">
        <v>73</v>
      </c>
      <c r="I6" s="237">
        <v>48.5</v>
      </c>
      <c r="J6" s="237">
        <v>12.8</v>
      </c>
      <c r="K6" s="237" t="s">
        <v>8234</v>
      </c>
      <c r="L6" s="237" t="s">
        <v>8233</v>
      </c>
      <c r="M6" s="238">
        <v>1</v>
      </c>
    </row>
    <row r="7" spans="1:13">
      <c r="A7" s="239" t="s">
        <v>2817</v>
      </c>
      <c r="B7" s="237" t="s">
        <v>2819</v>
      </c>
      <c r="C7" s="237">
        <v>1.88</v>
      </c>
      <c r="D7" s="237">
        <v>1504</v>
      </c>
      <c r="E7" s="237">
        <v>4180</v>
      </c>
      <c r="F7" s="237">
        <v>2</v>
      </c>
      <c r="G7" s="237">
        <v>8.6999999999999993</v>
      </c>
      <c r="H7" s="237">
        <v>75.5</v>
      </c>
      <c r="I7" s="237">
        <v>44.3</v>
      </c>
      <c r="J7" s="237">
        <v>28.6</v>
      </c>
      <c r="K7" s="240" t="s">
        <v>8235</v>
      </c>
      <c r="L7" s="237" t="s">
        <v>8233</v>
      </c>
      <c r="M7" s="238">
        <v>2</v>
      </c>
    </row>
    <row r="8" spans="1:13">
      <c r="A8" s="239" t="s">
        <v>2821</v>
      </c>
      <c r="B8" s="237" t="s">
        <v>2823</v>
      </c>
      <c r="C8" s="237">
        <v>1.88</v>
      </c>
      <c r="D8" s="237">
        <v>1504</v>
      </c>
      <c r="E8" s="237">
        <v>6176</v>
      </c>
      <c r="F8" s="237">
        <v>2</v>
      </c>
      <c r="G8" s="237">
        <v>8.6999999999999993</v>
      </c>
      <c r="H8" s="237">
        <v>75.5</v>
      </c>
      <c r="I8" s="237">
        <v>44.3</v>
      </c>
      <c r="J8" s="237">
        <v>28.6</v>
      </c>
      <c r="K8" s="240" t="s">
        <v>8235</v>
      </c>
      <c r="L8" s="237" t="s">
        <v>8233</v>
      </c>
      <c r="M8" s="238">
        <v>2</v>
      </c>
    </row>
    <row r="9" spans="1:13">
      <c r="A9" s="239" t="s">
        <v>2824</v>
      </c>
      <c r="B9" s="237" t="s">
        <v>2826</v>
      </c>
      <c r="C9" s="237">
        <v>1.48</v>
      </c>
      <c r="D9" s="237">
        <v>1184</v>
      </c>
      <c r="E9" s="237">
        <v>4845</v>
      </c>
      <c r="F9" s="237">
        <v>4</v>
      </c>
      <c r="G9" s="237">
        <v>17.3</v>
      </c>
      <c r="H9" s="237">
        <v>75.599999999999994</v>
      </c>
      <c r="I9" s="237">
        <v>44.3</v>
      </c>
      <c r="J9" s="237">
        <v>43.8</v>
      </c>
      <c r="K9" s="240" t="s">
        <v>8235</v>
      </c>
      <c r="L9" s="237" t="s">
        <v>8233</v>
      </c>
      <c r="M9" s="238">
        <v>2</v>
      </c>
    </row>
    <row r="10" spans="1:13">
      <c r="A10" s="239" t="s">
        <v>2827</v>
      </c>
      <c r="B10" s="237" t="s">
        <v>2829</v>
      </c>
      <c r="C10" s="237">
        <v>1.88</v>
      </c>
      <c r="D10" s="237">
        <v>1504</v>
      </c>
      <c r="E10" s="237">
        <v>6176</v>
      </c>
      <c r="F10" s="237">
        <v>2</v>
      </c>
      <c r="G10" s="237">
        <v>8.6999999999999993</v>
      </c>
      <c r="H10" s="237">
        <v>75.5</v>
      </c>
      <c r="I10" s="237">
        <v>44.3</v>
      </c>
      <c r="J10" s="237">
        <v>28.6</v>
      </c>
      <c r="K10" s="240" t="s">
        <v>8235</v>
      </c>
      <c r="L10" s="237" t="s">
        <v>8233</v>
      </c>
      <c r="M10" s="238">
        <v>2</v>
      </c>
    </row>
    <row r="11" spans="1:13">
      <c r="A11" s="239" t="s">
        <v>2830</v>
      </c>
      <c r="B11" s="237" t="s">
        <v>2832</v>
      </c>
      <c r="C11" s="237">
        <v>2.38</v>
      </c>
      <c r="D11" s="237">
        <v>1904</v>
      </c>
      <c r="E11" s="237">
        <v>7848</v>
      </c>
      <c r="F11" s="237">
        <v>4</v>
      </c>
      <c r="G11" s="237">
        <v>17.3</v>
      </c>
      <c r="H11" s="237">
        <v>75.599999999999994</v>
      </c>
      <c r="I11" s="237">
        <v>44.3</v>
      </c>
      <c r="J11" s="237">
        <v>43.8</v>
      </c>
      <c r="K11" s="240" t="s">
        <v>8235</v>
      </c>
      <c r="L11" s="237" t="s">
        <v>8233</v>
      </c>
      <c r="M11" s="238">
        <v>2</v>
      </c>
    </row>
    <row r="12" spans="1:13">
      <c r="A12" s="239" t="s">
        <v>2443</v>
      </c>
      <c r="B12" s="237" t="s">
        <v>2417</v>
      </c>
      <c r="C12" s="237">
        <v>1.15625</v>
      </c>
      <c r="D12" s="237">
        <v>925</v>
      </c>
      <c r="E12" s="237">
        <v>3156</v>
      </c>
      <c r="F12" s="237">
        <v>2</v>
      </c>
      <c r="G12" s="237">
        <v>8.9</v>
      </c>
      <c r="H12" s="237">
        <v>70.599999999999994</v>
      </c>
      <c r="I12" s="237">
        <v>44</v>
      </c>
      <c r="J12" s="237">
        <v>28.2</v>
      </c>
      <c r="K12" s="240" t="s">
        <v>8232</v>
      </c>
      <c r="L12" s="237" t="s">
        <v>8233</v>
      </c>
      <c r="M12" s="238">
        <v>2</v>
      </c>
    </row>
    <row r="13" spans="1:13">
      <c r="A13" s="239" t="s">
        <v>2444</v>
      </c>
      <c r="B13" s="237" t="s">
        <v>2417</v>
      </c>
      <c r="C13" s="237">
        <v>1.71</v>
      </c>
      <c r="D13" s="237">
        <v>1368</v>
      </c>
      <c r="E13" s="237">
        <v>3156</v>
      </c>
      <c r="F13" s="237">
        <v>2</v>
      </c>
      <c r="G13" s="237">
        <v>8.9</v>
      </c>
      <c r="H13" s="237">
        <v>77.5</v>
      </c>
      <c r="I13" s="237">
        <v>44</v>
      </c>
      <c r="J13" s="237">
        <v>28.2</v>
      </c>
      <c r="K13" s="240" t="s">
        <v>8236</v>
      </c>
      <c r="L13" s="237" t="s">
        <v>8233</v>
      </c>
      <c r="M13" s="238">
        <v>2</v>
      </c>
    </row>
    <row r="14" spans="1:13">
      <c r="A14" s="239" t="s">
        <v>55</v>
      </c>
      <c r="B14" s="237" t="s">
        <v>57</v>
      </c>
      <c r="C14" s="237">
        <v>1.15625</v>
      </c>
      <c r="D14" s="237">
        <v>925</v>
      </c>
      <c r="E14" s="237">
        <v>3156</v>
      </c>
      <c r="F14" s="237">
        <v>2</v>
      </c>
      <c r="G14" s="237">
        <v>8.9</v>
      </c>
      <c r="H14" s="237">
        <v>70.599999999999994</v>
      </c>
      <c r="I14" s="237">
        <v>44</v>
      </c>
      <c r="J14" s="237">
        <v>28.2</v>
      </c>
      <c r="K14" s="240" t="s">
        <v>8232</v>
      </c>
      <c r="L14" s="237" t="s">
        <v>8233</v>
      </c>
      <c r="M14" s="238">
        <v>2</v>
      </c>
    </row>
    <row r="15" spans="1:13">
      <c r="A15" s="239" t="s">
        <v>2442</v>
      </c>
      <c r="B15" s="237" t="s">
        <v>171</v>
      </c>
      <c r="C15" s="237">
        <v>2.0375000000000001</v>
      </c>
      <c r="D15" s="237">
        <v>1630</v>
      </c>
      <c r="E15" s="237">
        <v>5562</v>
      </c>
      <c r="F15" s="237">
        <v>4</v>
      </c>
      <c r="G15" s="237">
        <v>17.3</v>
      </c>
      <c r="H15" s="237">
        <v>61</v>
      </c>
      <c r="I15" s="237">
        <v>44</v>
      </c>
      <c r="J15" s="237">
        <v>48.7</v>
      </c>
      <c r="K15" s="240" t="s">
        <v>8237</v>
      </c>
      <c r="L15" s="237" t="s">
        <v>8233</v>
      </c>
      <c r="M15" s="238">
        <v>2</v>
      </c>
    </row>
    <row r="16" spans="1:13" ht="45">
      <c r="A16" s="239" t="s">
        <v>162</v>
      </c>
      <c r="B16" s="237" t="s">
        <v>8238</v>
      </c>
      <c r="C16" s="237">
        <v>7.1249999999999994E-2</v>
      </c>
      <c r="D16" s="237">
        <v>57</v>
      </c>
      <c r="E16" s="237">
        <v>277</v>
      </c>
      <c r="F16" s="237">
        <v>1</v>
      </c>
      <c r="G16" s="237">
        <v>4.29</v>
      </c>
      <c r="H16" s="237">
        <v>30.6</v>
      </c>
      <c r="I16" s="237">
        <v>42.88</v>
      </c>
      <c r="J16" s="237">
        <v>4.3499999999999996</v>
      </c>
      <c r="K16" s="237" t="s">
        <v>8239</v>
      </c>
      <c r="L16" s="237" t="s">
        <v>8233</v>
      </c>
      <c r="M16" s="238">
        <v>1</v>
      </c>
    </row>
    <row r="17" spans="1:13" ht="33.75">
      <c r="A17" s="239" t="s">
        <v>2523</v>
      </c>
      <c r="B17" s="237" t="s">
        <v>4997</v>
      </c>
      <c r="C17" s="237">
        <v>0.14249999999999999</v>
      </c>
      <c r="D17" s="237">
        <v>114</v>
      </c>
      <c r="E17" s="237">
        <v>544</v>
      </c>
      <c r="F17" s="237">
        <v>1</v>
      </c>
      <c r="G17" s="237">
        <v>4.3</v>
      </c>
      <c r="H17" s="237">
        <v>44.3</v>
      </c>
      <c r="I17" s="237">
        <v>43.8</v>
      </c>
      <c r="J17" s="237">
        <v>9.16</v>
      </c>
      <c r="K17" s="237" t="s">
        <v>8239</v>
      </c>
      <c r="L17" s="237" t="s">
        <v>8233</v>
      </c>
      <c r="M17" s="238">
        <v>1</v>
      </c>
    </row>
    <row r="18" spans="1:13" ht="33.75">
      <c r="A18" s="239" t="s">
        <v>3156</v>
      </c>
      <c r="B18" s="237" t="s">
        <v>4997</v>
      </c>
      <c r="C18" s="237">
        <v>0.14249999999999999</v>
      </c>
      <c r="D18" s="237">
        <v>114</v>
      </c>
      <c r="E18" s="237">
        <v>544</v>
      </c>
      <c r="F18" s="237">
        <v>1</v>
      </c>
      <c r="G18" s="237">
        <v>4.3</v>
      </c>
      <c r="H18" s="237">
        <v>44.3</v>
      </c>
      <c r="I18" s="237">
        <v>43.8</v>
      </c>
      <c r="J18" s="237">
        <v>9.16</v>
      </c>
      <c r="K18" s="237" t="s">
        <v>8239</v>
      </c>
      <c r="L18" s="237" t="s">
        <v>8233</v>
      </c>
      <c r="M18" s="238">
        <v>1</v>
      </c>
    </row>
    <row r="19" spans="1:13" ht="56.25">
      <c r="A19" s="239" t="s">
        <v>2175</v>
      </c>
      <c r="B19" s="237" t="s">
        <v>8240</v>
      </c>
      <c r="C19" s="237">
        <v>0.7</v>
      </c>
      <c r="D19" s="237">
        <v>560</v>
      </c>
      <c r="E19" s="237">
        <v>2302</v>
      </c>
      <c r="F19" s="237">
        <v>1</v>
      </c>
      <c r="G19" s="237">
        <v>4.3</v>
      </c>
      <c r="H19" s="237">
        <v>71.099999999999994</v>
      </c>
      <c r="I19" s="237">
        <v>44</v>
      </c>
      <c r="J19" s="237">
        <v>15.9</v>
      </c>
      <c r="K19" s="237" t="s">
        <v>8241</v>
      </c>
      <c r="L19" s="237" t="s">
        <v>8233</v>
      </c>
      <c r="M19" s="238">
        <v>2</v>
      </c>
    </row>
    <row r="20" spans="1:13" ht="45">
      <c r="A20" s="239" t="s">
        <v>3275</v>
      </c>
      <c r="B20" s="237" t="s">
        <v>8242</v>
      </c>
      <c r="C20" s="237">
        <v>2.5000000000000001E-2</v>
      </c>
      <c r="D20" s="237">
        <v>20</v>
      </c>
      <c r="E20" s="237">
        <v>146.44999999999999</v>
      </c>
      <c r="F20" s="237">
        <v>1</v>
      </c>
      <c r="G20" s="237">
        <v>4.3</v>
      </c>
      <c r="H20" s="237">
        <v>73</v>
      </c>
      <c r="I20" s="237">
        <v>48.5</v>
      </c>
      <c r="J20" s="237">
        <v>12.8</v>
      </c>
      <c r="K20" s="237" t="s">
        <v>8234</v>
      </c>
      <c r="L20" s="237" t="s">
        <v>8233</v>
      </c>
      <c r="M20" s="238">
        <v>1</v>
      </c>
    </row>
    <row r="21" spans="1:13" ht="22.5">
      <c r="A21" s="239" t="s">
        <v>64</v>
      </c>
      <c r="B21" s="237" t="s">
        <v>8243</v>
      </c>
      <c r="C21" s="237"/>
      <c r="D21" s="237"/>
      <c r="E21" s="237"/>
      <c r="F21" s="237">
        <v>36</v>
      </c>
      <c r="G21" s="237">
        <v>180</v>
      </c>
      <c r="H21" s="237">
        <v>114.7</v>
      </c>
      <c r="I21" s="237">
        <v>64.400000000000006</v>
      </c>
      <c r="J21" s="237">
        <v>244</v>
      </c>
      <c r="K21" s="237" t="s">
        <v>8244</v>
      </c>
      <c r="L21" s="237" t="s">
        <v>8245</v>
      </c>
      <c r="M21" s="238"/>
    </row>
    <row r="22" spans="1:13" ht="22.5">
      <c r="A22" s="239" t="s">
        <v>66</v>
      </c>
      <c r="B22" s="237" t="s">
        <v>8246</v>
      </c>
      <c r="C22" s="237"/>
      <c r="D22" s="237"/>
      <c r="E22" s="237"/>
      <c r="F22" s="237">
        <v>42</v>
      </c>
      <c r="G22" s="237">
        <v>204</v>
      </c>
      <c r="H22" s="237">
        <v>114.7</v>
      </c>
      <c r="I22" s="237">
        <v>64.400000000000006</v>
      </c>
      <c r="J22" s="237">
        <v>244</v>
      </c>
      <c r="K22" s="237" t="s">
        <v>8244</v>
      </c>
      <c r="L22" s="237" t="s">
        <v>8245</v>
      </c>
      <c r="M22" s="238"/>
    </row>
    <row r="23" spans="1:13" ht="22.5">
      <c r="A23" s="239" t="s">
        <v>5117</v>
      </c>
      <c r="B23" s="237" t="s">
        <v>4705</v>
      </c>
      <c r="C23" s="237">
        <v>0.50624999999999998</v>
      </c>
      <c r="D23" s="237">
        <v>405</v>
      </c>
      <c r="E23" s="237">
        <v>1383</v>
      </c>
      <c r="F23" s="237">
        <v>2</v>
      </c>
      <c r="G23" s="237">
        <v>8.6999999999999993</v>
      </c>
      <c r="H23" s="237">
        <v>55.6</v>
      </c>
      <c r="I23" s="237">
        <v>48.3</v>
      </c>
      <c r="J23" s="237">
        <v>27.3</v>
      </c>
      <c r="K23" s="237" t="s">
        <v>8247</v>
      </c>
      <c r="L23" s="237" t="s">
        <v>8233</v>
      </c>
      <c r="M23" s="238">
        <v>2</v>
      </c>
    </row>
    <row r="24" spans="1:13" ht="22.5">
      <c r="A24" s="239" t="s">
        <v>5118</v>
      </c>
      <c r="B24" s="237" t="s">
        <v>4707</v>
      </c>
      <c r="C24" s="237">
        <v>0.42249999999999999</v>
      </c>
      <c r="D24" s="237">
        <v>338</v>
      </c>
      <c r="E24" s="237">
        <v>1154</v>
      </c>
      <c r="F24" s="237">
        <v>2</v>
      </c>
      <c r="G24" s="237">
        <v>8.6999999999999993</v>
      </c>
      <c r="H24" s="237">
        <v>55.6</v>
      </c>
      <c r="I24" s="237">
        <v>48.3</v>
      </c>
      <c r="J24" s="237">
        <v>25</v>
      </c>
      <c r="K24" s="237" t="s">
        <v>8247</v>
      </c>
      <c r="L24" s="237" t="s">
        <v>8233</v>
      </c>
      <c r="M24" s="238">
        <v>1</v>
      </c>
    </row>
    <row r="25" spans="1:13" ht="22.5">
      <c r="A25" s="239" t="s">
        <v>5115</v>
      </c>
      <c r="B25" s="237" t="s">
        <v>4699</v>
      </c>
      <c r="C25" s="237">
        <v>0.44750000000000001</v>
      </c>
      <c r="D25" s="237">
        <v>358</v>
      </c>
      <c r="E25" s="237">
        <v>1222</v>
      </c>
      <c r="F25" s="237">
        <v>2</v>
      </c>
      <c r="G25" s="237">
        <v>8.6999999999999993</v>
      </c>
      <c r="H25" s="237">
        <v>55.6</v>
      </c>
      <c r="I25" s="237">
        <v>48.3</v>
      </c>
      <c r="J25" s="237">
        <v>27.3</v>
      </c>
      <c r="K25" s="237" t="s">
        <v>8247</v>
      </c>
      <c r="L25" s="237" t="s">
        <v>8233</v>
      </c>
      <c r="M25" s="238">
        <v>2</v>
      </c>
    </row>
    <row r="26" spans="1:13" ht="22.5">
      <c r="A26" s="239" t="s">
        <v>5116</v>
      </c>
      <c r="B26" s="237" t="s">
        <v>4702</v>
      </c>
      <c r="C26" s="237">
        <v>0.375</v>
      </c>
      <c r="D26" s="237">
        <v>300</v>
      </c>
      <c r="E26" s="237">
        <v>1024</v>
      </c>
      <c r="F26" s="237">
        <v>2</v>
      </c>
      <c r="G26" s="237">
        <v>8.6999999999999993</v>
      </c>
      <c r="H26" s="237">
        <v>55.6</v>
      </c>
      <c r="I26" s="237">
        <v>48.3</v>
      </c>
      <c r="J26" s="237">
        <v>25</v>
      </c>
      <c r="K26" s="237" t="s">
        <v>8247</v>
      </c>
      <c r="L26" s="237" t="s">
        <v>8233</v>
      </c>
      <c r="M26" s="238">
        <v>1</v>
      </c>
    </row>
    <row r="27" spans="1:13" ht="22.5">
      <c r="A27" s="239" t="s">
        <v>7713</v>
      </c>
      <c r="B27" s="237" t="s">
        <v>4705</v>
      </c>
      <c r="C27" s="237">
        <v>0.50624999999999998</v>
      </c>
      <c r="D27" s="237">
        <v>405</v>
      </c>
      <c r="E27" s="237">
        <v>1383</v>
      </c>
      <c r="F27" s="237">
        <v>2</v>
      </c>
      <c r="G27" s="237">
        <v>8.6999999999999993</v>
      </c>
      <c r="H27" s="237">
        <v>55.6</v>
      </c>
      <c r="I27" s="237">
        <v>48.3</v>
      </c>
      <c r="J27" s="237">
        <v>27.3</v>
      </c>
      <c r="K27" s="237" t="s">
        <v>8247</v>
      </c>
      <c r="L27" s="237" t="s">
        <v>8233</v>
      </c>
      <c r="M27" s="238">
        <v>2</v>
      </c>
    </row>
    <row r="28" spans="1:13" ht="22.5">
      <c r="A28" s="239" t="s">
        <v>7738</v>
      </c>
      <c r="B28" s="237" t="s">
        <v>4707</v>
      </c>
      <c r="C28" s="237">
        <v>0.42249999999999999</v>
      </c>
      <c r="D28" s="237">
        <v>338</v>
      </c>
      <c r="E28" s="237">
        <v>1154</v>
      </c>
      <c r="F28" s="237">
        <v>2</v>
      </c>
      <c r="G28" s="237">
        <v>8.6999999999999993</v>
      </c>
      <c r="H28" s="237">
        <v>55.6</v>
      </c>
      <c r="I28" s="237">
        <v>48.3</v>
      </c>
      <c r="J28" s="237">
        <v>25</v>
      </c>
      <c r="K28" s="237" t="s">
        <v>8247</v>
      </c>
      <c r="L28" s="237" t="s">
        <v>8233</v>
      </c>
      <c r="M28" s="238">
        <v>1</v>
      </c>
    </row>
    <row r="29" spans="1:13" ht="22.5">
      <c r="A29" s="239" t="s">
        <v>7712</v>
      </c>
      <c r="B29" s="237" t="s">
        <v>4699</v>
      </c>
      <c r="C29" s="237">
        <v>0.44750000000000001</v>
      </c>
      <c r="D29" s="237">
        <v>358</v>
      </c>
      <c r="E29" s="237">
        <v>1222</v>
      </c>
      <c r="F29" s="237">
        <v>2</v>
      </c>
      <c r="G29" s="237">
        <v>8.6999999999999993</v>
      </c>
      <c r="H29" s="237">
        <v>55.6</v>
      </c>
      <c r="I29" s="237">
        <v>48.3</v>
      </c>
      <c r="J29" s="237">
        <v>27.3</v>
      </c>
      <c r="K29" s="237" t="s">
        <v>8247</v>
      </c>
      <c r="L29" s="237" t="s">
        <v>8233</v>
      </c>
      <c r="M29" s="238">
        <v>2</v>
      </c>
    </row>
    <row r="30" spans="1:13" ht="22.5">
      <c r="A30" s="239" t="s">
        <v>7739</v>
      </c>
      <c r="B30" s="237" t="s">
        <v>4702</v>
      </c>
      <c r="C30" s="237">
        <v>0.375</v>
      </c>
      <c r="D30" s="237">
        <v>300</v>
      </c>
      <c r="E30" s="237">
        <v>1024</v>
      </c>
      <c r="F30" s="237">
        <v>2</v>
      </c>
      <c r="G30" s="237">
        <v>8.6999999999999993</v>
      </c>
      <c r="H30" s="237">
        <v>55.6</v>
      </c>
      <c r="I30" s="237">
        <v>48.3</v>
      </c>
      <c r="J30" s="237">
        <v>25</v>
      </c>
      <c r="K30" s="237" t="s">
        <v>8247</v>
      </c>
      <c r="L30" s="237" t="s">
        <v>8233</v>
      </c>
      <c r="M30" s="238">
        <v>1</v>
      </c>
    </row>
    <row r="31" spans="1:13" ht="22.5">
      <c r="A31" s="239" t="s">
        <v>4704</v>
      </c>
      <c r="B31" s="237" t="s">
        <v>4705</v>
      </c>
      <c r="C31" s="237">
        <v>0.50624999999999998</v>
      </c>
      <c r="D31" s="237">
        <v>405</v>
      </c>
      <c r="E31" s="237">
        <v>1383</v>
      </c>
      <c r="F31" s="237">
        <v>2</v>
      </c>
      <c r="G31" s="237">
        <v>8.6999999999999993</v>
      </c>
      <c r="H31" s="237">
        <v>55.6</v>
      </c>
      <c r="I31" s="237">
        <v>48.3</v>
      </c>
      <c r="J31" s="237">
        <v>27.3</v>
      </c>
      <c r="K31" s="237" t="s">
        <v>8247</v>
      </c>
      <c r="L31" s="237" t="s">
        <v>8233</v>
      </c>
      <c r="M31" s="238">
        <v>2</v>
      </c>
    </row>
    <row r="32" spans="1:13" ht="22.5">
      <c r="A32" s="239" t="s">
        <v>4706</v>
      </c>
      <c r="B32" s="237" t="s">
        <v>4707</v>
      </c>
      <c r="C32" s="237">
        <v>0.42249999999999999</v>
      </c>
      <c r="D32" s="237">
        <v>338</v>
      </c>
      <c r="E32" s="237">
        <v>1154</v>
      </c>
      <c r="F32" s="237">
        <v>2</v>
      </c>
      <c r="G32" s="237">
        <v>8.6999999999999993</v>
      </c>
      <c r="H32" s="237">
        <v>55.6</v>
      </c>
      <c r="I32" s="237">
        <v>48.3</v>
      </c>
      <c r="J32" s="237">
        <v>25</v>
      </c>
      <c r="K32" s="237" t="s">
        <v>8247</v>
      </c>
      <c r="L32" s="237" t="s">
        <v>8233</v>
      </c>
      <c r="M32" s="238">
        <v>1</v>
      </c>
    </row>
    <row r="33" spans="1:13" ht="22.5">
      <c r="A33" s="239" t="s">
        <v>3122</v>
      </c>
      <c r="B33" s="237" t="s">
        <v>4705</v>
      </c>
      <c r="C33" s="237">
        <v>0.50624999999999998</v>
      </c>
      <c r="D33" s="237">
        <v>405</v>
      </c>
      <c r="E33" s="237">
        <v>1383</v>
      </c>
      <c r="F33" s="237">
        <v>2</v>
      </c>
      <c r="G33" s="237">
        <v>8.6999999999999993</v>
      </c>
      <c r="H33" s="237">
        <v>55.6</v>
      </c>
      <c r="I33" s="237">
        <v>48.3</v>
      </c>
      <c r="J33" s="237">
        <v>27.3</v>
      </c>
      <c r="K33" s="237" t="s">
        <v>8247</v>
      </c>
      <c r="L33" s="237" t="s">
        <v>8233</v>
      </c>
      <c r="M33" s="238">
        <v>2</v>
      </c>
    </row>
    <row r="34" spans="1:13" ht="22.5">
      <c r="A34" s="239" t="s">
        <v>3123</v>
      </c>
      <c r="B34" s="237" t="s">
        <v>4707</v>
      </c>
      <c r="C34" s="237">
        <v>0.42249999999999999</v>
      </c>
      <c r="D34" s="237">
        <v>338</v>
      </c>
      <c r="E34" s="237">
        <v>1154</v>
      </c>
      <c r="F34" s="237">
        <v>2</v>
      </c>
      <c r="G34" s="237">
        <v>8.6999999999999993</v>
      </c>
      <c r="H34" s="237">
        <v>55.6</v>
      </c>
      <c r="I34" s="237">
        <v>48.3</v>
      </c>
      <c r="J34" s="237">
        <v>25</v>
      </c>
      <c r="K34" s="237" t="s">
        <v>8247</v>
      </c>
      <c r="L34" s="237" t="s">
        <v>8233</v>
      </c>
      <c r="M34" s="238">
        <v>1</v>
      </c>
    </row>
    <row r="35" spans="1:13" ht="22.5">
      <c r="A35" s="239" t="s">
        <v>4698</v>
      </c>
      <c r="B35" s="237" t="s">
        <v>4699</v>
      </c>
      <c r="C35" s="237">
        <v>0.44750000000000001</v>
      </c>
      <c r="D35" s="237">
        <v>358</v>
      </c>
      <c r="E35" s="237">
        <v>1222</v>
      </c>
      <c r="F35" s="237">
        <v>2</v>
      </c>
      <c r="G35" s="237">
        <v>8.6999999999999993</v>
      </c>
      <c r="H35" s="237">
        <v>55.6</v>
      </c>
      <c r="I35" s="237">
        <v>48.3</v>
      </c>
      <c r="J35" s="237">
        <v>27.3</v>
      </c>
      <c r="K35" s="237" t="s">
        <v>8247</v>
      </c>
      <c r="L35" s="237" t="s">
        <v>8233</v>
      </c>
      <c r="M35" s="238">
        <v>2</v>
      </c>
    </row>
    <row r="36" spans="1:13" ht="22.5">
      <c r="A36" s="239" t="s">
        <v>4701</v>
      </c>
      <c r="B36" s="237" t="s">
        <v>4702</v>
      </c>
      <c r="C36" s="237">
        <v>0.375</v>
      </c>
      <c r="D36" s="237">
        <v>300</v>
      </c>
      <c r="E36" s="237">
        <v>1024</v>
      </c>
      <c r="F36" s="237">
        <v>2</v>
      </c>
      <c r="G36" s="237">
        <v>8.6999999999999993</v>
      </c>
      <c r="H36" s="237">
        <v>55.6</v>
      </c>
      <c r="I36" s="237">
        <v>48.3</v>
      </c>
      <c r="J36" s="237">
        <v>25</v>
      </c>
      <c r="K36" s="237" t="s">
        <v>8247</v>
      </c>
      <c r="L36" s="237" t="s">
        <v>8233</v>
      </c>
      <c r="M36" s="238">
        <v>1</v>
      </c>
    </row>
    <row r="37" spans="1:13" ht="67.5">
      <c r="A37" s="239" t="s">
        <v>4710</v>
      </c>
      <c r="B37" s="237" t="s">
        <v>4711</v>
      </c>
      <c r="C37" s="237">
        <v>2.5000000000000001E-2</v>
      </c>
      <c r="D37" s="237">
        <v>20</v>
      </c>
      <c r="E37" s="237">
        <v>146.44999999999999</v>
      </c>
      <c r="F37" s="237">
        <v>1</v>
      </c>
      <c r="G37" s="237">
        <v>4.3</v>
      </c>
      <c r="H37" s="237">
        <v>73</v>
      </c>
      <c r="I37" s="237">
        <v>48.5</v>
      </c>
      <c r="J37" s="237">
        <v>12.8</v>
      </c>
      <c r="K37" s="237" t="s">
        <v>8234</v>
      </c>
      <c r="L37" s="237" t="s">
        <v>8233</v>
      </c>
      <c r="M37" s="238">
        <v>1</v>
      </c>
    </row>
    <row r="38" spans="1:13" ht="45">
      <c r="A38" s="239" t="s">
        <v>472</v>
      </c>
      <c r="B38" s="237" t="s">
        <v>473</v>
      </c>
      <c r="C38" s="237">
        <v>2.2499999999999999E-2</v>
      </c>
      <c r="D38" s="237">
        <v>18</v>
      </c>
      <c r="E38" s="237">
        <v>47</v>
      </c>
      <c r="F38" s="237">
        <v>0</v>
      </c>
      <c r="G38" s="312">
        <f>1.72*2.54</f>
        <v>4.3688000000000002</v>
      </c>
      <c r="H38" s="312">
        <f>6.5*2.54</f>
        <v>16.510000000000002</v>
      </c>
      <c r="I38" s="312">
        <f>17*2.54</f>
        <v>43.18</v>
      </c>
      <c r="J38" s="237">
        <v>3.5</v>
      </c>
      <c r="K38" s="237" t="s">
        <v>8248</v>
      </c>
      <c r="L38" s="237" t="s">
        <v>8233</v>
      </c>
      <c r="M38" s="238">
        <v>2</v>
      </c>
    </row>
    <row r="39" spans="1:13" ht="45">
      <c r="A39" s="239" t="s">
        <v>2106</v>
      </c>
      <c r="B39" s="237" t="s">
        <v>8249</v>
      </c>
      <c r="C39" s="237">
        <v>1.2010000000000001</v>
      </c>
      <c r="D39" s="237">
        <v>960.80000000000007</v>
      </c>
      <c r="E39" s="237">
        <v>4053</v>
      </c>
      <c r="F39" s="237">
        <v>2</v>
      </c>
      <c r="G39" s="237">
        <v>8.65</v>
      </c>
      <c r="H39" s="237">
        <v>74.599999999999994</v>
      </c>
      <c r="I39" s="237">
        <v>44.5</v>
      </c>
      <c r="J39" s="237">
        <v>30</v>
      </c>
      <c r="K39" s="237" t="s">
        <v>8250</v>
      </c>
      <c r="L39" s="237" t="s">
        <v>8233</v>
      </c>
      <c r="M39" s="238">
        <v>2</v>
      </c>
    </row>
    <row r="40" spans="1:13" ht="45">
      <c r="A40" s="239" t="s">
        <v>1588</v>
      </c>
      <c r="B40" s="237" t="s">
        <v>8249</v>
      </c>
      <c r="C40" s="241">
        <v>0.73099999999999998</v>
      </c>
      <c r="D40" s="242">
        <v>584.79999999999995</v>
      </c>
      <c r="E40" s="242">
        <v>4053</v>
      </c>
      <c r="F40" s="237">
        <v>2</v>
      </c>
      <c r="G40" s="237">
        <v>8.65</v>
      </c>
      <c r="H40" s="237">
        <v>74.599999999999994</v>
      </c>
      <c r="I40" s="237">
        <v>44.5</v>
      </c>
      <c r="J40" s="237">
        <v>30</v>
      </c>
      <c r="K40" s="237" t="s">
        <v>8250</v>
      </c>
      <c r="L40" s="237" t="s">
        <v>8233</v>
      </c>
      <c r="M40" s="238">
        <v>2</v>
      </c>
    </row>
    <row r="41" spans="1:13" ht="45">
      <c r="A41" s="239" t="s">
        <v>1590</v>
      </c>
      <c r="B41" s="237" t="s">
        <v>8249</v>
      </c>
      <c r="C41" s="237">
        <v>0.99299999999999999</v>
      </c>
      <c r="D41" s="242">
        <v>794.4</v>
      </c>
      <c r="E41" s="237">
        <v>4053</v>
      </c>
      <c r="F41" s="237">
        <v>2</v>
      </c>
      <c r="G41" s="237">
        <v>8.65</v>
      </c>
      <c r="H41" s="237">
        <v>74.599999999999994</v>
      </c>
      <c r="I41" s="237">
        <v>44.5</v>
      </c>
      <c r="J41" s="237">
        <v>30</v>
      </c>
      <c r="K41" s="237" t="s">
        <v>8250</v>
      </c>
      <c r="L41" s="237" t="s">
        <v>8233</v>
      </c>
      <c r="M41" s="238">
        <v>2</v>
      </c>
    </row>
    <row r="42" spans="1:13" ht="45">
      <c r="A42" s="239" t="s">
        <v>2587</v>
      </c>
      <c r="B42" s="237" t="s">
        <v>8249</v>
      </c>
      <c r="C42" s="241">
        <v>1.2010000000000001</v>
      </c>
      <c r="D42" s="242">
        <v>960.80000000000007</v>
      </c>
      <c r="E42" s="242">
        <v>4053</v>
      </c>
      <c r="F42" s="237">
        <v>2</v>
      </c>
      <c r="G42" s="237">
        <v>8.65</v>
      </c>
      <c r="H42" s="237">
        <v>74.599999999999994</v>
      </c>
      <c r="I42" s="237">
        <v>44.5</v>
      </c>
      <c r="J42" s="237">
        <v>30</v>
      </c>
      <c r="K42" s="237" t="s">
        <v>8250</v>
      </c>
      <c r="L42" s="237" t="s">
        <v>8233</v>
      </c>
      <c r="M42" s="238">
        <v>2</v>
      </c>
    </row>
    <row r="43" spans="1:13" ht="45">
      <c r="A43" s="239" t="s">
        <v>1592</v>
      </c>
      <c r="B43" s="237" t="s">
        <v>8249</v>
      </c>
      <c r="C43" s="241">
        <v>0.73099999999999998</v>
      </c>
      <c r="D43" s="242">
        <v>584.79999999999995</v>
      </c>
      <c r="E43" s="242">
        <v>4053</v>
      </c>
      <c r="F43" s="237">
        <v>2</v>
      </c>
      <c r="G43" s="237">
        <v>8.65</v>
      </c>
      <c r="H43" s="237">
        <v>74.599999999999994</v>
      </c>
      <c r="I43" s="237">
        <v>44.5</v>
      </c>
      <c r="J43" s="237">
        <v>30</v>
      </c>
      <c r="K43" s="237" t="s">
        <v>8250</v>
      </c>
      <c r="L43" s="237" t="s">
        <v>8233</v>
      </c>
      <c r="M43" s="238">
        <v>2</v>
      </c>
    </row>
    <row r="44" spans="1:13" ht="45">
      <c r="A44" s="239" t="s">
        <v>2640</v>
      </c>
      <c r="B44" s="237" t="s">
        <v>8249</v>
      </c>
      <c r="C44" s="237">
        <v>0.73099999999999998</v>
      </c>
      <c r="D44" s="242">
        <v>584.79999999999995</v>
      </c>
      <c r="E44" s="237">
        <v>4053</v>
      </c>
      <c r="F44" s="237">
        <v>2</v>
      </c>
      <c r="G44" s="237">
        <v>8.65</v>
      </c>
      <c r="H44" s="237">
        <v>74.599999999999994</v>
      </c>
      <c r="I44" s="237">
        <v>44.5</v>
      </c>
      <c r="J44" s="237">
        <v>30</v>
      </c>
      <c r="K44" s="237" t="s">
        <v>8250</v>
      </c>
      <c r="L44" s="237" t="s">
        <v>8233</v>
      </c>
      <c r="M44" s="238">
        <v>2</v>
      </c>
    </row>
    <row r="45" spans="1:13" ht="45">
      <c r="A45" s="239" t="s">
        <v>1594</v>
      </c>
      <c r="B45" s="237" t="s">
        <v>8249</v>
      </c>
      <c r="C45" s="237">
        <v>0.73099999999999998</v>
      </c>
      <c r="D45" s="242">
        <v>584.79999999999995</v>
      </c>
      <c r="E45" s="237">
        <v>4053</v>
      </c>
      <c r="F45" s="237">
        <v>2</v>
      </c>
      <c r="G45" s="237">
        <v>8.65</v>
      </c>
      <c r="H45" s="237">
        <v>74.599999999999994</v>
      </c>
      <c r="I45" s="237">
        <v>44.5</v>
      </c>
      <c r="J45" s="237">
        <v>30</v>
      </c>
      <c r="K45" s="237" t="s">
        <v>8250</v>
      </c>
      <c r="L45" s="237" t="s">
        <v>8233</v>
      </c>
      <c r="M45" s="238">
        <v>2</v>
      </c>
    </row>
    <row r="46" spans="1:13" ht="45">
      <c r="A46" s="239" t="s">
        <v>2641</v>
      </c>
      <c r="B46" s="237" t="s">
        <v>8249</v>
      </c>
      <c r="C46" s="241">
        <v>0.73099999999999998</v>
      </c>
      <c r="D46" s="242">
        <v>584.79999999999995</v>
      </c>
      <c r="E46" s="242">
        <v>4053</v>
      </c>
      <c r="F46" s="237">
        <v>2</v>
      </c>
      <c r="G46" s="237">
        <v>8.65</v>
      </c>
      <c r="H46" s="237">
        <v>74.599999999999994</v>
      </c>
      <c r="I46" s="237">
        <v>44.5</v>
      </c>
      <c r="J46" s="237">
        <v>30</v>
      </c>
      <c r="K46" s="237" t="s">
        <v>8250</v>
      </c>
      <c r="L46" s="237" t="s">
        <v>8233</v>
      </c>
      <c r="M46" s="238">
        <v>2</v>
      </c>
    </row>
    <row r="47" spans="1:13" ht="45">
      <c r="A47" s="239" t="s">
        <v>1370</v>
      </c>
      <c r="B47" s="237" t="s">
        <v>8249</v>
      </c>
      <c r="C47" s="237">
        <v>0.73099999999999998</v>
      </c>
      <c r="D47" s="237">
        <v>584.79999999999995</v>
      </c>
      <c r="E47" s="237">
        <v>4053</v>
      </c>
      <c r="F47" s="237">
        <v>2</v>
      </c>
      <c r="G47" s="237">
        <v>8.65</v>
      </c>
      <c r="H47" s="237">
        <v>74.599999999999994</v>
      </c>
      <c r="I47" s="237">
        <v>44.5</v>
      </c>
      <c r="J47" s="237">
        <v>30</v>
      </c>
      <c r="K47" s="237" t="s">
        <v>8250</v>
      </c>
      <c r="L47" s="237" t="s">
        <v>8233</v>
      </c>
      <c r="M47" s="238">
        <v>2</v>
      </c>
    </row>
    <row r="48" spans="1:13" ht="45">
      <c r="A48" s="239" t="s">
        <v>2589</v>
      </c>
      <c r="B48" s="237" t="s">
        <v>8249</v>
      </c>
      <c r="C48" s="241">
        <v>0.73099999999999998</v>
      </c>
      <c r="D48" s="242">
        <v>584.79999999999995</v>
      </c>
      <c r="E48" s="242">
        <v>4053</v>
      </c>
      <c r="F48" s="237">
        <v>2</v>
      </c>
      <c r="G48" s="237">
        <v>8.65</v>
      </c>
      <c r="H48" s="237">
        <v>74.599999999999994</v>
      </c>
      <c r="I48" s="237">
        <v>44.5</v>
      </c>
      <c r="J48" s="237">
        <v>30</v>
      </c>
      <c r="K48" s="237" t="s">
        <v>8250</v>
      </c>
      <c r="L48" s="237" t="s">
        <v>8233</v>
      </c>
      <c r="M48" s="238">
        <v>2</v>
      </c>
    </row>
    <row r="49" spans="1:13" ht="45">
      <c r="A49" s="239" t="s">
        <v>1597</v>
      </c>
      <c r="B49" s="237" t="s">
        <v>8249</v>
      </c>
      <c r="C49" s="237">
        <v>0.73099999999999998</v>
      </c>
      <c r="D49" s="242">
        <v>584.79999999999995</v>
      </c>
      <c r="E49" s="237">
        <v>4053</v>
      </c>
      <c r="F49" s="237">
        <v>2</v>
      </c>
      <c r="G49" s="237">
        <v>8.65</v>
      </c>
      <c r="H49" s="237">
        <v>74.599999999999994</v>
      </c>
      <c r="I49" s="237">
        <v>44.5</v>
      </c>
      <c r="J49" s="237">
        <v>30</v>
      </c>
      <c r="K49" s="237" t="s">
        <v>8250</v>
      </c>
      <c r="L49" s="237" t="s">
        <v>8233</v>
      </c>
      <c r="M49" s="238">
        <v>2</v>
      </c>
    </row>
    <row r="50" spans="1:13" ht="45">
      <c r="A50" s="239" t="s">
        <v>2642</v>
      </c>
      <c r="B50" s="237" t="s">
        <v>8249</v>
      </c>
      <c r="C50" s="237">
        <v>0.73099999999999998</v>
      </c>
      <c r="D50" s="242">
        <v>584.79999999999995</v>
      </c>
      <c r="E50" s="237">
        <v>4053</v>
      </c>
      <c r="F50" s="237">
        <v>2</v>
      </c>
      <c r="G50" s="237">
        <v>8.65</v>
      </c>
      <c r="H50" s="237">
        <v>74.599999999999994</v>
      </c>
      <c r="I50" s="237">
        <v>44.5</v>
      </c>
      <c r="J50" s="237">
        <v>30</v>
      </c>
      <c r="K50" s="237" t="s">
        <v>8250</v>
      </c>
      <c r="L50" s="237" t="s">
        <v>8233</v>
      </c>
      <c r="M50" s="238">
        <v>2</v>
      </c>
    </row>
    <row r="51" spans="1:13" ht="45">
      <c r="A51" s="239" t="s">
        <v>1599</v>
      </c>
      <c r="B51" s="237" t="s">
        <v>8249</v>
      </c>
      <c r="C51" s="241">
        <v>0.99299999999999999</v>
      </c>
      <c r="D51" s="242">
        <v>794.4</v>
      </c>
      <c r="E51" s="242">
        <v>4053</v>
      </c>
      <c r="F51" s="237">
        <v>2</v>
      </c>
      <c r="G51" s="237">
        <v>8.65</v>
      </c>
      <c r="H51" s="237">
        <v>74.599999999999994</v>
      </c>
      <c r="I51" s="237">
        <v>44.5</v>
      </c>
      <c r="J51" s="237">
        <v>30</v>
      </c>
      <c r="K51" s="237" t="s">
        <v>8250</v>
      </c>
      <c r="L51" s="237" t="s">
        <v>8233</v>
      </c>
      <c r="M51" s="238">
        <v>2</v>
      </c>
    </row>
    <row r="52" spans="1:13" ht="45">
      <c r="A52" s="239" t="s">
        <v>2643</v>
      </c>
      <c r="B52" s="237" t="s">
        <v>8249</v>
      </c>
      <c r="C52" s="237">
        <v>0.73099999999999998</v>
      </c>
      <c r="D52" s="237">
        <v>584.79999999999995</v>
      </c>
      <c r="E52" s="237">
        <v>4053</v>
      </c>
      <c r="F52" s="237">
        <v>2</v>
      </c>
      <c r="G52" s="237">
        <v>8.65</v>
      </c>
      <c r="H52" s="237">
        <v>74.599999999999994</v>
      </c>
      <c r="I52" s="237">
        <v>44.5</v>
      </c>
      <c r="J52" s="237">
        <v>30</v>
      </c>
      <c r="K52" s="237" t="s">
        <v>8250</v>
      </c>
      <c r="L52" s="237" t="s">
        <v>8233</v>
      </c>
      <c r="M52" s="238">
        <v>2</v>
      </c>
    </row>
    <row r="53" spans="1:13" ht="45">
      <c r="A53" s="239" t="s">
        <v>1601</v>
      </c>
      <c r="B53" s="237" t="s">
        <v>8249</v>
      </c>
      <c r="C53" s="241">
        <v>0.73099999999999998</v>
      </c>
      <c r="D53" s="242">
        <v>584.79999999999995</v>
      </c>
      <c r="E53" s="242">
        <v>4053</v>
      </c>
      <c r="F53" s="237">
        <v>2</v>
      </c>
      <c r="G53" s="237">
        <v>8.65</v>
      </c>
      <c r="H53" s="237">
        <v>74.599999999999994</v>
      </c>
      <c r="I53" s="237">
        <v>44.5</v>
      </c>
      <c r="J53" s="237">
        <v>30</v>
      </c>
      <c r="K53" s="237" t="s">
        <v>8250</v>
      </c>
      <c r="L53" s="237" t="s">
        <v>8233</v>
      </c>
      <c r="M53" s="238">
        <v>2</v>
      </c>
    </row>
    <row r="54" spans="1:13" ht="45">
      <c r="A54" s="239" t="s">
        <v>1603</v>
      </c>
      <c r="B54" s="237" t="s">
        <v>8249</v>
      </c>
      <c r="C54" s="237">
        <v>0.73099999999999998</v>
      </c>
      <c r="D54" s="242">
        <v>584.79999999999995</v>
      </c>
      <c r="E54" s="237">
        <v>4053</v>
      </c>
      <c r="F54" s="237">
        <v>2</v>
      </c>
      <c r="G54" s="237">
        <v>8.65</v>
      </c>
      <c r="H54" s="237">
        <v>74.599999999999994</v>
      </c>
      <c r="I54" s="237">
        <v>44.5</v>
      </c>
      <c r="J54" s="237">
        <v>30</v>
      </c>
      <c r="K54" s="237" t="s">
        <v>8250</v>
      </c>
      <c r="L54" s="237" t="s">
        <v>8233</v>
      </c>
      <c r="M54" s="238">
        <v>2</v>
      </c>
    </row>
    <row r="55" spans="1:13" ht="45">
      <c r="A55" s="239" t="s">
        <v>1605</v>
      </c>
      <c r="B55" s="237" t="s">
        <v>8249</v>
      </c>
      <c r="C55" s="237">
        <v>0.99299999999999999</v>
      </c>
      <c r="D55" s="242">
        <v>794.4</v>
      </c>
      <c r="E55" s="237">
        <v>4053</v>
      </c>
      <c r="F55" s="237">
        <v>2</v>
      </c>
      <c r="G55" s="237">
        <v>8.65</v>
      </c>
      <c r="H55" s="237">
        <v>74.599999999999994</v>
      </c>
      <c r="I55" s="237">
        <v>44.5</v>
      </c>
      <c r="J55" s="237">
        <v>30</v>
      </c>
      <c r="K55" s="237" t="s">
        <v>8250</v>
      </c>
      <c r="L55" s="237" t="s">
        <v>8233</v>
      </c>
      <c r="M55" s="238">
        <v>2</v>
      </c>
    </row>
    <row r="56" spans="1:13" ht="45">
      <c r="A56" s="239" t="s">
        <v>1371</v>
      </c>
      <c r="B56" s="237" t="s">
        <v>8249</v>
      </c>
      <c r="C56" s="241">
        <v>0.99299999999999999</v>
      </c>
      <c r="D56" s="242">
        <v>794.4</v>
      </c>
      <c r="E56" s="242">
        <v>4053</v>
      </c>
      <c r="F56" s="237">
        <v>2</v>
      </c>
      <c r="G56" s="237">
        <v>8.65</v>
      </c>
      <c r="H56" s="237">
        <v>74.599999999999994</v>
      </c>
      <c r="I56" s="237">
        <v>44.5</v>
      </c>
      <c r="J56" s="237">
        <v>30</v>
      </c>
      <c r="K56" s="237" t="s">
        <v>8250</v>
      </c>
      <c r="L56" s="237" t="s">
        <v>8233</v>
      </c>
      <c r="M56" s="238">
        <v>2</v>
      </c>
    </row>
    <row r="57" spans="1:13" ht="45">
      <c r="A57" s="239" t="s">
        <v>1608</v>
      </c>
      <c r="B57" s="237" t="s">
        <v>8249</v>
      </c>
      <c r="C57" s="237">
        <v>0.99299999999999999</v>
      </c>
      <c r="D57" s="237">
        <v>794.4</v>
      </c>
      <c r="E57" s="237">
        <v>4053</v>
      </c>
      <c r="F57" s="237">
        <v>2</v>
      </c>
      <c r="G57" s="237">
        <v>8.65</v>
      </c>
      <c r="H57" s="237">
        <v>74.599999999999994</v>
      </c>
      <c r="I57" s="237">
        <v>44.5</v>
      </c>
      <c r="J57" s="237">
        <v>30</v>
      </c>
      <c r="K57" s="237" t="s">
        <v>8250</v>
      </c>
      <c r="L57" s="237" t="s">
        <v>8233</v>
      </c>
      <c r="M57" s="238">
        <v>2</v>
      </c>
    </row>
    <row r="58" spans="1:13" ht="45">
      <c r="A58" s="239" t="s">
        <v>2644</v>
      </c>
      <c r="B58" s="237" t="s">
        <v>8249</v>
      </c>
      <c r="C58" s="241">
        <v>0.73099999999999998</v>
      </c>
      <c r="D58" s="242">
        <v>584.79999999999995</v>
      </c>
      <c r="E58" s="242">
        <v>4053</v>
      </c>
      <c r="F58" s="237">
        <v>2</v>
      </c>
      <c r="G58" s="237">
        <v>8.65</v>
      </c>
      <c r="H58" s="237">
        <v>74.599999999999994</v>
      </c>
      <c r="I58" s="237">
        <v>44.5</v>
      </c>
      <c r="J58" s="237">
        <v>30</v>
      </c>
      <c r="K58" s="237" t="s">
        <v>8250</v>
      </c>
      <c r="L58" s="237" t="s">
        <v>8233</v>
      </c>
      <c r="M58" s="238">
        <v>2</v>
      </c>
    </row>
    <row r="59" spans="1:13" ht="45">
      <c r="A59" s="239" t="s">
        <v>2645</v>
      </c>
      <c r="B59" s="237" t="s">
        <v>8249</v>
      </c>
      <c r="C59" s="237">
        <v>0.73099999999999998</v>
      </c>
      <c r="D59" s="242">
        <v>584.79999999999995</v>
      </c>
      <c r="E59" s="237">
        <v>4053</v>
      </c>
      <c r="F59" s="237">
        <v>2</v>
      </c>
      <c r="G59" s="237">
        <v>8.65</v>
      </c>
      <c r="H59" s="237">
        <v>74.599999999999994</v>
      </c>
      <c r="I59" s="237">
        <v>44.5</v>
      </c>
      <c r="J59" s="237">
        <v>30</v>
      </c>
      <c r="K59" s="237" t="s">
        <v>8250</v>
      </c>
      <c r="L59" s="237" t="s">
        <v>8233</v>
      </c>
      <c r="M59" s="238">
        <v>2</v>
      </c>
    </row>
    <row r="60" spans="1:13" ht="45">
      <c r="A60" s="239" t="s">
        <v>2646</v>
      </c>
      <c r="B60" s="237" t="s">
        <v>8249</v>
      </c>
      <c r="C60" s="237">
        <v>0.73099999999999998</v>
      </c>
      <c r="D60" s="242">
        <v>584.79999999999995</v>
      </c>
      <c r="E60" s="237">
        <v>4053</v>
      </c>
      <c r="F60" s="237">
        <v>2</v>
      </c>
      <c r="G60" s="237">
        <v>8.65</v>
      </c>
      <c r="H60" s="237">
        <v>74.599999999999994</v>
      </c>
      <c r="I60" s="237">
        <v>44.5</v>
      </c>
      <c r="J60" s="237">
        <v>30</v>
      </c>
      <c r="K60" s="237" t="s">
        <v>8250</v>
      </c>
      <c r="L60" s="237" t="s">
        <v>8233</v>
      </c>
      <c r="M60" s="238">
        <v>2</v>
      </c>
    </row>
    <row r="61" spans="1:13" ht="45">
      <c r="A61" s="239" t="s">
        <v>2591</v>
      </c>
      <c r="B61" s="237" t="s">
        <v>8249</v>
      </c>
      <c r="C61" s="241">
        <v>0.99299999999999999</v>
      </c>
      <c r="D61" s="242">
        <v>794.4</v>
      </c>
      <c r="E61" s="242">
        <v>4053</v>
      </c>
      <c r="F61" s="237">
        <v>2</v>
      </c>
      <c r="G61" s="237">
        <v>8.65</v>
      </c>
      <c r="H61" s="237">
        <v>74.599999999999994</v>
      </c>
      <c r="I61" s="237">
        <v>44.5</v>
      </c>
      <c r="J61" s="237">
        <v>30</v>
      </c>
      <c r="K61" s="237" t="s">
        <v>8250</v>
      </c>
      <c r="L61" s="237" t="s">
        <v>8233</v>
      </c>
      <c r="M61" s="238">
        <v>2</v>
      </c>
    </row>
    <row r="62" spans="1:13" ht="45">
      <c r="A62" s="239" t="s">
        <v>2647</v>
      </c>
      <c r="B62" s="237" t="s">
        <v>8249</v>
      </c>
      <c r="C62" s="237">
        <v>0.99299999999999999</v>
      </c>
      <c r="D62" s="237">
        <v>794.4</v>
      </c>
      <c r="E62" s="237">
        <v>4053</v>
      </c>
      <c r="F62" s="237">
        <v>2</v>
      </c>
      <c r="G62" s="237">
        <v>8.65</v>
      </c>
      <c r="H62" s="237">
        <v>74.599999999999994</v>
      </c>
      <c r="I62" s="237">
        <v>44.5</v>
      </c>
      <c r="J62" s="237">
        <v>30</v>
      </c>
      <c r="K62" s="237" t="s">
        <v>8250</v>
      </c>
      <c r="L62" s="237" t="s">
        <v>8233</v>
      </c>
      <c r="M62" s="238">
        <v>2</v>
      </c>
    </row>
    <row r="63" spans="1:13" ht="45">
      <c r="A63" s="239" t="s">
        <v>1610</v>
      </c>
      <c r="B63" s="237" t="s">
        <v>8249</v>
      </c>
      <c r="C63" s="241">
        <v>0.99299999999999999</v>
      </c>
      <c r="D63" s="242">
        <v>794.4</v>
      </c>
      <c r="E63" s="242">
        <v>4053</v>
      </c>
      <c r="F63" s="237">
        <v>2</v>
      </c>
      <c r="G63" s="237">
        <v>8.65</v>
      </c>
      <c r="H63" s="237">
        <v>74.599999999999994</v>
      </c>
      <c r="I63" s="237">
        <v>44.5</v>
      </c>
      <c r="J63" s="237">
        <v>30</v>
      </c>
      <c r="K63" s="237" t="s">
        <v>8250</v>
      </c>
      <c r="L63" s="237" t="s">
        <v>8233</v>
      </c>
      <c r="M63" s="238">
        <v>2</v>
      </c>
    </row>
    <row r="64" spans="1:13" ht="45">
      <c r="A64" s="239" t="s">
        <v>2648</v>
      </c>
      <c r="B64" s="237" t="s">
        <v>8249</v>
      </c>
      <c r="C64" s="237">
        <v>0.73099999999999998</v>
      </c>
      <c r="D64" s="242">
        <v>584.79999999999995</v>
      </c>
      <c r="E64" s="237">
        <v>4053</v>
      </c>
      <c r="F64" s="237">
        <v>2</v>
      </c>
      <c r="G64" s="237">
        <v>8.65</v>
      </c>
      <c r="H64" s="237">
        <v>74.599999999999994</v>
      </c>
      <c r="I64" s="237">
        <v>44.5</v>
      </c>
      <c r="J64" s="237">
        <v>30</v>
      </c>
      <c r="K64" s="237" t="s">
        <v>8250</v>
      </c>
      <c r="L64" s="237" t="s">
        <v>8233</v>
      </c>
      <c r="M64" s="238">
        <v>2</v>
      </c>
    </row>
    <row r="65" spans="1:13" ht="45">
      <c r="A65" s="239" t="s">
        <v>1612</v>
      </c>
      <c r="B65" s="237" t="s">
        <v>8249</v>
      </c>
      <c r="C65" s="237">
        <v>0.99299999999999999</v>
      </c>
      <c r="D65" s="242">
        <v>794.4</v>
      </c>
      <c r="E65" s="237">
        <v>4053</v>
      </c>
      <c r="F65" s="237">
        <v>2</v>
      </c>
      <c r="G65" s="237">
        <v>8.65</v>
      </c>
      <c r="H65" s="237">
        <v>74.599999999999994</v>
      </c>
      <c r="I65" s="237">
        <v>44.5</v>
      </c>
      <c r="J65" s="237">
        <v>30</v>
      </c>
      <c r="K65" s="237" t="s">
        <v>8250</v>
      </c>
      <c r="L65" s="237" t="s">
        <v>8233</v>
      </c>
      <c r="M65" s="238">
        <v>2</v>
      </c>
    </row>
    <row r="66" spans="1:13" ht="45">
      <c r="A66" s="239" t="s">
        <v>2649</v>
      </c>
      <c r="B66" s="237" t="s">
        <v>8249</v>
      </c>
      <c r="C66" s="241">
        <v>0.99299999999999999</v>
      </c>
      <c r="D66" s="242">
        <v>794.4</v>
      </c>
      <c r="E66" s="242">
        <v>4053</v>
      </c>
      <c r="F66" s="237">
        <v>2</v>
      </c>
      <c r="G66" s="237">
        <v>8.65</v>
      </c>
      <c r="H66" s="237">
        <v>74.599999999999994</v>
      </c>
      <c r="I66" s="237">
        <v>44.5</v>
      </c>
      <c r="J66" s="237">
        <v>30</v>
      </c>
      <c r="K66" s="237" t="s">
        <v>8250</v>
      </c>
      <c r="L66" s="237" t="s">
        <v>8233</v>
      </c>
      <c r="M66" s="238">
        <v>2</v>
      </c>
    </row>
    <row r="67" spans="1:13" ht="45">
      <c r="A67" s="239" t="s">
        <v>2406</v>
      </c>
      <c r="B67" s="237" t="s">
        <v>8249</v>
      </c>
      <c r="C67" s="237">
        <v>0.99299999999999999</v>
      </c>
      <c r="D67" s="237">
        <v>794.4</v>
      </c>
      <c r="E67" s="237">
        <v>4053</v>
      </c>
      <c r="F67" s="237">
        <v>2</v>
      </c>
      <c r="G67" s="237">
        <v>8.65</v>
      </c>
      <c r="H67" s="237">
        <v>74.599999999999994</v>
      </c>
      <c r="I67" s="237">
        <v>44.5</v>
      </c>
      <c r="J67" s="237">
        <v>30</v>
      </c>
      <c r="K67" s="237" t="s">
        <v>8250</v>
      </c>
      <c r="L67" s="237" t="s">
        <v>8233</v>
      </c>
      <c r="M67" s="238">
        <v>2</v>
      </c>
    </row>
    <row r="68" spans="1:13" ht="45">
      <c r="A68" s="239" t="s">
        <v>1614</v>
      </c>
      <c r="B68" s="237" t="s">
        <v>8249</v>
      </c>
      <c r="C68" s="241">
        <v>0.99299999999999999</v>
      </c>
      <c r="D68" s="242">
        <v>794.4</v>
      </c>
      <c r="E68" s="242">
        <v>4053</v>
      </c>
      <c r="F68" s="237">
        <v>2</v>
      </c>
      <c r="G68" s="237">
        <v>8.65</v>
      </c>
      <c r="H68" s="237">
        <v>74.599999999999994</v>
      </c>
      <c r="I68" s="237">
        <v>44.5</v>
      </c>
      <c r="J68" s="237">
        <v>30</v>
      </c>
      <c r="K68" s="237" t="s">
        <v>8250</v>
      </c>
      <c r="L68" s="237" t="s">
        <v>8233</v>
      </c>
      <c r="M68" s="238">
        <v>2</v>
      </c>
    </row>
    <row r="69" spans="1:13" ht="45">
      <c r="A69" s="239" t="s">
        <v>2650</v>
      </c>
      <c r="B69" s="237" t="s">
        <v>8249</v>
      </c>
      <c r="C69" s="237">
        <v>0.99299999999999999</v>
      </c>
      <c r="D69" s="242">
        <v>794.4</v>
      </c>
      <c r="E69" s="237">
        <v>4053</v>
      </c>
      <c r="F69" s="237">
        <v>2</v>
      </c>
      <c r="G69" s="237">
        <v>8.65</v>
      </c>
      <c r="H69" s="237">
        <v>74.599999999999994</v>
      </c>
      <c r="I69" s="237">
        <v>44.5</v>
      </c>
      <c r="J69" s="237">
        <v>30</v>
      </c>
      <c r="K69" s="237" t="s">
        <v>8250</v>
      </c>
      <c r="L69" s="237" t="s">
        <v>8233</v>
      </c>
      <c r="M69" s="238">
        <v>2</v>
      </c>
    </row>
    <row r="70" spans="1:13" ht="45">
      <c r="A70" s="239" t="s">
        <v>1616</v>
      </c>
      <c r="B70" s="237" t="s">
        <v>8249</v>
      </c>
      <c r="C70" s="237">
        <v>0.99299999999999999</v>
      </c>
      <c r="D70" s="242">
        <v>794.4</v>
      </c>
      <c r="E70" s="237">
        <v>4053</v>
      </c>
      <c r="F70" s="237">
        <v>2</v>
      </c>
      <c r="G70" s="237">
        <v>8.65</v>
      </c>
      <c r="H70" s="237">
        <v>74.599999999999994</v>
      </c>
      <c r="I70" s="237">
        <v>44.5</v>
      </c>
      <c r="J70" s="237">
        <v>30</v>
      </c>
      <c r="K70" s="237" t="s">
        <v>8250</v>
      </c>
      <c r="L70" s="237" t="s">
        <v>8233</v>
      </c>
      <c r="M70" s="238">
        <v>2</v>
      </c>
    </row>
    <row r="71" spans="1:13" ht="45">
      <c r="A71" s="239" t="s">
        <v>2651</v>
      </c>
      <c r="B71" s="237" t="s">
        <v>8249</v>
      </c>
      <c r="C71" s="241">
        <v>0.99299999999999999</v>
      </c>
      <c r="D71" s="242">
        <v>794.4</v>
      </c>
      <c r="E71" s="242">
        <v>4053</v>
      </c>
      <c r="F71" s="237">
        <v>2</v>
      </c>
      <c r="G71" s="237">
        <v>8.65</v>
      </c>
      <c r="H71" s="237">
        <v>74.599999999999994</v>
      </c>
      <c r="I71" s="237">
        <v>44.5</v>
      </c>
      <c r="J71" s="237">
        <v>30</v>
      </c>
      <c r="K71" s="237" t="s">
        <v>8250</v>
      </c>
      <c r="L71" s="237" t="s">
        <v>8233</v>
      </c>
      <c r="M71" s="238">
        <v>2</v>
      </c>
    </row>
    <row r="72" spans="1:13" ht="45">
      <c r="A72" s="239" t="s">
        <v>1618</v>
      </c>
      <c r="B72" s="237" t="s">
        <v>8249</v>
      </c>
      <c r="C72" s="237">
        <v>1.2010000000000001</v>
      </c>
      <c r="D72" s="237">
        <v>960.80000000000007</v>
      </c>
      <c r="E72" s="237">
        <v>4053</v>
      </c>
      <c r="F72" s="237">
        <v>2</v>
      </c>
      <c r="G72" s="237">
        <v>8.65</v>
      </c>
      <c r="H72" s="237">
        <v>74.599999999999994</v>
      </c>
      <c r="I72" s="237">
        <v>44.5</v>
      </c>
      <c r="J72" s="237">
        <v>30</v>
      </c>
      <c r="K72" s="237" t="s">
        <v>8250</v>
      </c>
      <c r="L72" s="237" t="s">
        <v>8233</v>
      </c>
      <c r="M72" s="238">
        <v>2</v>
      </c>
    </row>
    <row r="73" spans="1:13" ht="45">
      <c r="A73" s="239" t="s">
        <v>2652</v>
      </c>
      <c r="B73" s="237" t="s">
        <v>8249</v>
      </c>
      <c r="C73" s="241">
        <v>1.2010000000000001</v>
      </c>
      <c r="D73" s="242">
        <v>960.80000000000007</v>
      </c>
      <c r="E73" s="242">
        <v>4053</v>
      </c>
      <c r="F73" s="237">
        <v>2</v>
      </c>
      <c r="G73" s="237">
        <v>8.65</v>
      </c>
      <c r="H73" s="237">
        <v>74.599999999999994</v>
      </c>
      <c r="I73" s="237">
        <v>44.5</v>
      </c>
      <c r="J73" s="237">
        <v>30</v>
      </c>
      <c r="K73" s="237" t="s">
        <v>8250</v>
      </c>
      <c r="L73" s="237" t="s">
        <v>8233</v>
      </c>
      <c r="M73" s="238">
        <v>2</v>
      </c>
    </row>
    <row r="74" spans="1:13" ht="45">
      <c r="A74" s="239" t="s">
        <v>2110</v>
      </c>
      <c r="B74" s="237" t="s">
        <v>8249</v>
      </c>
      <c r="C74" s="237">
        <v>1.2010000000000001</v>
      </c>
      <c r="D74" s="242">
        <v>960.80000000000007</v>
      </c>
      <c r="E74" s="237">
        <v>4053</v>
      </c>
      <c r="F74" s="237">
        <v>2</v>
      </c>
      <c r="G74" s="237">
        <v>8.65</v>
      </c>
      <c r="H74" s="237">
        <v>74.599999999999994</v>
      </c>
      <c r="I74" s="237">
        <v>44.5</v>
      </c>
      <c r="J74" s="237">
        <v>30</v>
      </c>
      <c r="K74" s="237" t="s">
        <v>8250</v>
      </c>
      <c r="L74" s="237" t="s">
        <v>8233</v>
      </c>
      <c r="M74" s="238">
        <v>2</v>
      </c>
    </row>
    <row r="75" spans="1:13" ht="45">
      <c r="A75" s="239" t="s">
        <v>2653</v>
      </c>
      <c r="B75" s="237" t="s">
        <v>8249</v>
      </c>
      <c r="C75" s="237">
        <v>1.2010000000000001</v>
      </c>
      <c r="D75" s="242">
        <v>960.80000000000007</v>
      </c>
      <c r="E75" s="237">
        <v>4053</v>
      </c>
      <c r="F75" s="237">
        <v>2</v>
      </c>
      <c r="G75" s="237">
        <v>8.65</v>
      </c>
      <c r="H75" s="237">
        <v>74.599999999999994</v>
      </c>
      <c r="I75" s="237">
        <v>44.5</v>
      </c>
      <c r="J75" s="237">
        <v>30</v>
      </c>
      <c r="K75" s="237" t="s">
        <v>8250</v>
      </c>
      <c r="L75" s="237" t="s">
        <v>8233</v>
      </c>
      <c r="M75" s="238">
        <v>2</v>
      </c>
    </row>
    <row r="76" spans="1:13" ht="33.75">
      <c r="A76" s="239" t="s">
        <v>2252</v>
      </c>
      <c r="B76" s="237" t="s">
        <v>8251</v>
      </c>
      <c r="C76" s="241">
        <v>0.1</v>
      </c>
      <c r="D76" s="242">
        <v>80.000000000000014</v>
      </c>
      <c r="E76" s="242">
        <v>342</v>
      </c>
      <c r="F76" s="237">
        <v>2</v>
      </c>
      <c r="G76" s="237">
        <v>8.76</v>
      </c>
      <c r="H76" s="237">
        <v>74</v>
      </c>
      <c r="I76" s="237">
        <v>44.75</v>
      </c>
      <c r="J76" s="237">
        <v>15.6</v>
      </c>
      <c r="K76" s="237" t="s">
        <v>8252</v>
      </c>
      <c r="L76" s="237" t="s">
        <v>8233</v>
      </c>
      <c r="M76" s="238">
        <v>2</v>
      </c>
    </row>
    <row r="77" spans="1:13" ht="33.75">
      <c r="A77" s="239" t="s">
        <v>2505</v>
      </c>
      <c r="B77" s="237" t="s">
        <v>8253</v>
      </c>
      <c r="C77" s="237">
        <v>0.51</v>
      </c>
      <c r="D77" s="242">
        <v>408.00000000000006</v>
      </c>
      <c r="E77" s="237">
        <v>43900</v>
      </c>
      <c r="F77" s="237">
        <v>10</v>
      </c>
      <c r="G77" s="237">
        <v>44</v>
      </c>
      <c r="H77" s="237">
        <v>80</v>
      </c>
      <c r="I77" s="237">
        <v>44.7</v>
      </c>
      <c r="J77" s="237">
        <v>96.62</v>
      </c>
      <c r="K77" s="237" t="s">
        <v>8254</v>
      </c>
      <c r="L77" s="237" t="s">
        <v>3734</v>
      </c>
      <c r="M77" s="238">
        <v>6</v>
      </c>
    </row>
    <row r="78" spans="1:13" ht="22.5">
      <c r="A78" s="239" t="s">
        <v>2500</v>
      </c>
      <c r="B78" s="237" t="s">
        <v>8255</v>
      </c>
      <c r="C78" s="237"/>
      <c r="D78" s="237"/>
      <c r="E78" s="237"/>
      <c r="F78" s="237">
        <v>42</v>
      </c>
      <c r="G78" s="237">
        <v>200.15</v>
      </c>
      <c r="H78" s="237">
        <v>110</v>
      </c>
      <c r="I78" s="237">
        <v>60</v>
      </c>
      <c r="J78" s="237">
        <v>187</v>
      </c>
      <c r="K78" s="237" t="s">
        <v>8244</v>
      </c>
      <c r="L78" s="237"/>
      <c r="M78" s="238"/>
    </row>
    <row r="79" spans="1:13" ht="22.5">
      <c r="A79" s="239" t="s">
        <v>2502</v>
      </c>
      <c r="B79" s="237" t="s">
        <v>2388</v>
      </c>
      <c r="C79" s="237">
        <v>0.215</v>
      </c>
      <c r="D79" s="237">
        <v>172</v>
      </c>
      <c r="E79" s="237">
        <v>586</v>
      </c>
      <c r="F79" s="237"/>
      <c r="G79" s="237">
        <v>5.55</v>
      </c>
      <c r="H79" s="237">
        <v>49.223999999999997</v>
      </c>
      <c r="I79" s="237">
        <v>21.734999999999999</v>
      </c>
      <c r="J79" s="237">
        <v>7.1</v>
      </c>
      <c r="K79" s="237"/>
      <c r="L79" s="237"/>
      <c r="M79" s="238"/>
    </row>
    <row r="80" spans="1:13" ht="22.5">
      <c r="A80" s="243" t="s">
        <v>2508</v>
      </c>
      <c r="B80" s="237" t="s">
        <v>8256</v>
      </c>
      <c r="C80" s="237">
        <v>0.4425</v>
      </c>
      <c r="D80" s="237">
        <v>354</v>
      </c>
      <c r="E80" s="237">
        <v>1208</v>
      </c>
      <c r="F80" s="237"/>
      <c r="G80" s="237">
        <v>5.55</v>
      </c>
      <c r="H80" s="237">
        <v>49.223999999999997</v>
      </c>
      <c r="I80" s="237">
        <v>21.734999999999999</v>
      </c>
      <c r="J80" s="237">
        <v>7.1</v>
      </c>
      <c r="K80" s="237"/>
      <c r="L80" s="237"/>
      <c r="M80" s="238"/>
    </row>
    <row r="81" spans="1:13" ht="22.5">
      <c r="A81" s="243" t="s">
        <v>2869</v>
      </c>
      <c r="B81" s="237" t="s">
        <v>8256</v>
      </c>
      <c r="C81" s="237">
        <v>0.4425</v>
      </c>
      <c r="D81" s="237">
        <v>354</v>
      </c>
      <c r="E81" s="237">
        <v>1208</v>
      </c>
      <c r="F81" s="237"/>
      <c r="G81" s="237">
        <v>5.55</v>
      </c>
      <c r="H81" s="237">
        <v>49.223999999999997</v>
      </c>
      <c r="I81" s="237">
        <v>21.734999999999999</v>
      </c>
      <c r="J81" s="237">
        <v>7.1</v>
      </c>
      <c r="K81" s="237"/>
      <c r="L81" s="237"/>
      <c r="M81" s="238"/>
    </row>
    <row r="82" spans="1:13" ht="33.75">
      <c r="A82" s="243" t="s">
        <v>8257</v>
      </c>
      <c r="B82" s="237" t="s">
        <v>2555</v>
      </c>
      <c r="C82" s="237">
        <v>0.4425</v>
      </c>
      <c r="D82" s="237">
        <v>354</v>
      </c>
      <c r="E82" s="237">
        <v>1208</v>
      </c>
      <c r="F82" s="237"/>
      <c r="G82" s="237">
        <v>5.55</v>
      </c>
      <c r="H82" s="237">
        <v>49.223999999999997</v>
      </c>
      <c r="I82" s="237">
        <v>21.734999999999999</v>
      </c>
      <c r="J82" s="237">
        <v>7.1</v>
      </c>
      <c r="K82" s="237"/>
      <c r="L82" s="237"/>
      <c r="M82" s="238"/>
    </row>
    <row r="83" spans="1:13" ht="33.75">
      <c r="A83" s="243" t="s">
        <v>2701</v>
      </c>
      <c r="B83" s="237" t="s">
        <v>2555</v>
      </c>
      <c r="C83" s="237">
        <v>0.4425</v>
      </c>
      <c r="D83" s="237">
        <v>354</v>
      </c>
      <c r="E83" s="237">
        <v>1208</v>
      </c>
      <c r="F83" s="237"/>
      <c r="G83" s="237">
        <v>5.55</v>
      </c>
      <c r="H83" s="237">
        <v>49.223999999999997</v>
      </c>
      <c r="I83" s="237">
        <v>21.734999999999999</v>
      </c>
      <c r="J83" s="237">
        <v>7.1</v>
      </c>
      <c r="K83" s="237"/>
      <c r="L83" s="237"/>
      <c r="M83" s="238"/>
    </row>
    <row r="84" spans="1:13" ht="33.75">
      <c r="A84" s="243" t="s">
        <v>2702</v>
      </c>
      <c r="B84" s="237" t="s">
        <v>2555</v>
      </c>
      <c r="C84" s="237">
        <v>0.4425</v>
      </c>
      <c r="D84" s="237">
        <v>354</v>
      </c>
      <c r="E84" s="237">
        <v>1208</v>
      </c>
      <c r="F84" s="237"/>
      <c r="G84" s="237">
        <v>5.55</v>
      </c>
      <c r="H84" s="237">
        <v>49.223999999999997</v>
      </c>
      <c r="I84" s="237">
        <v>21.734999999999999</v>
      </c>
      <c r="J84" s="237">
        <v>7.1</v>
      </c>
      <c r="K84" s="237"/>
      <c r="L84" s="237"/>
      <c r="M84" s="238"/>
    </row>
    <row r="85" spans="1:13" ht="33.75">
      <c r="A85" s="243" t="s">
        <v>2703</v>
      </c>
      <c r="B85" s="237" t="s">
        <v>2555</v>
      </c>
      <c r="C85" s="237">
        <v>0.4425</v>
      </c>
      <c r="D85" s="237">
        <v>354</v>
      </c>
      <c r="E85" s="237">
        <v>1208</v>
      </c>
      <c r="F85" s="237"/>
      <c r="G85" s="237">
        <v>5.55</v>
      </c>
      <c r="H85" s="237">
        <v>49.223999999999997</v>
      </c>
      <c r="I85" s="237">
        <v>21.734999999999999</v>
      </c>
      <c r="J85" s="237">
        <v>7.1</v>
      </c>
      <c r="K85" s="237"/>
      <c r="L85" s="237"/>
      <c r="M85" s="238"/>
    </row>
    <row r="86" spans="1:13" ht="33.75">
      <c r="A86" s="243" t="s">
        <v>2704</v>
      </c>
      <c r="B86" s="237" t="s">
        <v>2555</v>
      </c>
      <c r="C86" s="237">
        <v>0.4425</v>
      </c>
      <c r="D86" s="237">
        <v>354</v>
      </c>
      <c r="E86" s="237">
        <v>1208</v>
      </c>
      <c r="F86" s="237"/>
      <c r="G86" s="237">
        <v>5.55</v>
      </c>
      <c r="H86" s="237">
        <v>49.223999999999997</v>
      </c>
      <c r="I86" s="237">
        <v>21.734999999999999</v>
      </c>
      <c r="J86" s="237">
        <v>7.1</v>
      </c>
      <c r="K86" s="237"/>
      <c r="L86" s="237"/>
      <c r="M86" s="238"/>
    </row>
    <row r="87" spans="1:13" ht="33.75">
      <c r="A87" s="243" t="s">
        <v>2705</v>
      </c>
      <c r="B87" s="237" t="s">
        <v>2555</v>
      </c>
      <c r="C87" s="237">
        <v>0.4425</v>
      </c>
      <c r="D87" s="237">
        <v>354</v>
      </c>
      <c r="E87" s="237">
        <v>1208</v>
      </c>
      <c r="F87" s="237"/>
      <c r="G87" s="237">
        <v>5.55</v>
      </c>
      <c r="H87" s="237">
        <v>49.223999999999997</v>
      </c>
      <c r="I87" s="237">
        <v>21.734999999999999</v>
      </c>
      <c r="J87" s="237">
        <v>7.1</v>
      </c>
      <c r="K87" s="237"/>
      <c r="L87" s="237"/>
      <c r="M87" s="238"/>
    </row>
    <row r="88" spans="1:13" ht="33.75">
      <c r="A88" s="243" t="s">
        <v>2706</v>
      </c>
      <c r="B88" s="237" t="s">
        <v>2555</v>
      </c>
      <c r="C88" s="237">
        <v>0.4425</v>
      </c>
      <c r="D88" s="237">
        <v>354</v>
      </c>
      <c r="E88" s="237">
        <v>1208</v>
      </c>
      <c r="F88" s="237"/>
      <c r="G88" s="237">
        <v>5.55</v>
      </c>
      <c r="H88" s="237">
        <v>49.223999999999997</v>
      </c>
      <c r="I88" s="237">
        <v>21.734999999999999</v>
      </c>
      <c r="J88" s="237">
        <v>7.1</v>
      </c>
      <c r="K88" s="237"/>
      <c r="L88" s="237"/>
      <c r="M88" s="238"/>
    </row>
    <row r="89" spans="1:13" ht="33.75">
      <c r="A89" s="243" t="s">
        <v>2707</v>
      </c>
      <c r="B89" s="237" t="s">
        <v>2555</v>
      </c>
      <c r="C89" s="237">
        <v>0.4425</v>
      </c>
      <c r="D89" s="237">
        <v>354</v>
      </c>
      <c r="E89" s="237">
        <v>1208</v>
      </c>
      <c r="F89" s="237"/>
      <c r="G89" s="237">
        <v>5.55</v>
      </c>
      <c r="H89" s="237">
        <v>49.223999999999997</v>
      </c>
      <c r="I89" s="237">
        <v>21.734999999999999</v>
      </c>
      <c r="J89" s="237">
        <v>7.1</v>
      </c>
      <c r="K89" s="237"/>
      <c r="L89" s="237"/>
      <c r="M89" s="238"/>
    </row>
    <row r="90" spans="1:13" ht="33.75">
      <c r="A90" s="243" t="s">
        <v>2708</v>
      </c>
      <c r="B90" s="237" t="s">
        <v>2555</v>
      </c>
      <c r="C90" s="237">
        <v>0.4425</v>
      </c>
      <c r="D90" s="237">
        <v>354</v>
      </c>
      <c r="E90" s="237">
        <v>1208</v>
      </c>
      <c r="F90" s="237"/>
      <c r="G90" s="237">
        <v>5.55</v>
      </c>
      <c r="H90" s="237">
        <v>49.223999999999997</v>
      </c>
      <c r="I90" s="237">
        <v>21.734999999999999</v>
      </c>
      <c r="J90" s="237">
        <v>7.1</v>
      </c>
      <c r="K90" s="237"/>
      <c r="L90" s="237"/>
      <c r="M90" s="238"/>
    </row>
    <row r="91" spans="1:13" ht="33.75">
      <c r="A91" s="243" t="s">
        <v>2709</v>
      </c>
      <c r="B91" s="237" t="s">
        <v>2555</v>
      </c>
      <c r="C91" s="237">
        <v>0.4425</v>
      </c>
      <c r="D91" s="237">
        <v>354</v>
      </c>
      <c r="E91" s="237">
        <v>1208</v>
      </c>
      <c r="F91" s="237"/>
      <c r="G91" s="237">
        <v>5.55</v>
      </c>
      <c r="H91" s="237">
        <v>49.223999999999997</v>
      </c>
      <c r="I91" s="237">
        <v>21.734999999999999</v>
      </c>
      <c r="J91" s="237">
        <v>7.1</v>
      </c>
      <c r="K91" s="237"/>
      <c r="L91" s="237"/>
      <c r="M91" s="238"/>
    </row>
    <row r="92" spans="1:13" ht="33.75">
      <c r="A92" s="243" t="s">
        <v>2710</v>
      </c>
      <c r="B92" s="237" t="s">
        <v>2555</v>
      </c>
      <c r="C92" s="237">
        <v>0.4425</v>
      </c>
      <c r="D92" s="237">
        <v>354</v>
      </c>
      <c r="E92" s="237">
        <v>1208</v>
      </c>
      <c r="F92" s="237"/>
      <c r="G92" s="237">
        <v>5.55</v>
      </c>
      <c r="H92" s="237">
        <v>49.223999999999997</v>
      </c>
      <c r="I92" s="237">
        <v>21.734999999999999</v>
      </c>
      <c r="J92" s="237">
        <v>7.1</v>
      </c>
      <c r="K92" s="237"/>
      <c r="L92" s="237"/>
      <c r="M92" s="238"/>
    </row>
    <row r="93" spans="1:13" ht="33.75">
      <c r="A93" s="243" t="s">
        <v>2711</v>
      </c>
      <c r="B93" s="237" t="s">
        <v>2555</v>
      </c>
      <c r="C93" s="237">
        <v>0.4425</v>
      </c>
      <c r="D93" s="237">
        <v>354</v>
      </c>
      <c r="E93" s="237">
        <v>1208</v>
      </c>
      <c r="F93" s="237"/>
      <c r="G93" s="237">
        <v>5.55</v>
      </c>
      <c r="H93" s="237">
        <v>49.223999999999997</v>
      </c>
      <c r="I93" s="237">
        <v>21.734999999999999</v>
      </c>
      <c r="J93" s="237">
        <v>7.1</v>
      </c>
      <c r="K93" s="237"/>
      <c r="L93" s="237"/>
      <c r="M93" s="238"/>
    </row>
    <row r="94" spans="1:13" ht="33.75">
      <c r="A94" s="243" t="s">
        <v>2712</v>
      </c>
      <c r="B94" s="237" t="s">
        <v>2555</v>
      </c>
      <c r="C94" s="237">
        <v>0.4425</v>
      </c>
      <c r="D94" s="237">
        <v>354</v>
      </c>
      <c r="E94" s="237">
        <v>1208</v>
      </c>
      <c r="F94" s="237"/>
      <c r="G94" s="237">
        <v>5.55</v>
      </c>
      <c r="H94" s="237">
        <v>49.223999999999997</v>
      </c>
      <c r="I94" s="237">
        <v>21.734999999999999</v>
      </c>
      <c r="J94" s="237">
        <v>7.1</v>
      </c>
      <c r="K94" s="237"/>
      <c r="L94" s="237"/>
      <c r="M94" s="238"/>
    </row>
    <row r="95" spans="1:13" ht="33.75">
      <c r="A95" s="243" t="s">
        <v>2713</v>
      </c>
      <c r="B95" s="237" t="s">
        <v>2555</v>
      </c>
      <c r="C95" s="237">
        <v>0.4425</v>
      </c>
      <c r="D95" s="237">
        <v>354</v>
      </c>
      <c r="E95" s="237">
        <v>1208</v>
      </c>
      <c r="F95" s="237"/>
      <c r="G95" s="237">
        <v>5.55</v>
      </c>
      <c r="H95" s="237">
        <v>49.223999999999997</v>
      </c>
      <c r="I95" s="237">
        <v>21.734999999999999</v>
      </c>
      <c r="J95" s="237">
        <v>7.1</v>
      </c>
      <c r="K95" s="237"/>
      <c r="L95" s="237"/>
      <c r="M95" s="238"/>
    </row>
    <row r="96" spans="1:13" ht="33.75">
      <c r="A96" s="243" t="s">
        <v>2714</v>
      </c>
      <c r="B96" s="237" t="s">
        <v>2555</v>
      </c>
      <c r="C96" s="237">
        <v>0.4425</v>
      </c>
      <c r="D96" s="237">
        <v>354</v>
      </c>
      <c r="E96" s="237">
        <v>1208</v>
      </c>
      <c r="F96" s="237"/>
      <c r="G96" s="237">
        <v>5.55</v>
      </c>
      <c r="H96" s="237">
        <v>49.223999999999997</v>
      </c>
      <c r="I96" s="237">
        <v>21.734999999999999</v>
      </c>
      <c r="J96" s="237">
        <v>7.1</v>
      </c>
      <c r="K96" s="237"/>
      <c r="L96" s="237"/>
      <c r="M96" s="238"/>
    </row>
    <row r="97" spans="1:13" ht="33.75">
      <c r="A97" s="243" t="s">
        <v>2715</v>
      </c>
      <c r="B97" s="237" t="s">
        <v>2555</v>
      </c>
      <c r="C97" s="237">
        <v>0.4425</v>
      </c>
      <c r="D97" s="237">
        <v>354</v>
      </c>
      <c r="E97" s="237">
        <v>1208</v>
      </c>
      <c r="F97" s="237"/>
      <c r="G97" s="237">
        <v>5.55</v>
      </c>
      <c r="H97" s="237">
        <v>49.223999999999997</v>
      </c>
      <c r="I97" s="237">
        <v>21.734999999999999</v>
      </c>
      <c r="J97" s="237">
        <v>7.1</v>
      </c>
      <c r="K97" s="237"/>
      <c r="L97" s="237"/>
      <c r="M97" s="238"/>
    </row>
    <row r="98" spans="1:13" ht="33.75">
      <c r="A98" s="243" t="s">
        <v>2716</v>
      </c>
      <c r="B98" s="237" t="s">
        <v>2555</v>
      </c>
      <c r="C98" s="237">
        <v>0.4425</v>
      </c>
      <c r="D98" s="237">
        <v>354</v>
      </c>
      <c r="E98" s="237">
        <v>1208</v>
      </c>
      <c r="F98" s="237"/>
      <c r="G98" s="237">
        <v>5.55</v>
      </c>
      <c r="H98" s="237">
        <v>49.223999999999997</v>
      </c>
      <c r="I98" s="237">
        <v>21.734999999999999</v>
      </c>
      <c r="J98" s="237">
        <v>7.1</v>
      </c>
      <c r="K98" s="237"/>
      <c r="L98" s="237"/>
      <c r="M98" s="238"/>
    </row>
    <row r="99" spans="1:13" ht="33.75">
      <c r="A99" s="243" t="s">
        <v>2717</v>
      </c>
      <c r="B99" s="237" t="s">
        <v>2555</v>
      </c>
      <c r="C99" s="237">
        <v>0.4425</v>
      </c>
      <c r="D99" s="237">
        <v>354</v>
      </c>
      <c r="E99" s="237">
        <v>1208</v>
      </c>
      <c r="F99" s="237"/>
      <c r="G99" s="237">
        <v>5.55</v>
      </c>
      <c r="H99" s="237">
        <v>49.223999999999997</v>
      </c>
      <c r="I99" s="237">
        <v>21.734999999999999</v>
      </c>
      <c r="J99" s="237">
        <v>7.1</v>
      </c>
      <c r="K99" s="237"/>
      <c r="L99" s="237"/>
      <c r="M99" s="238"/>
    </row>
    <row r="100" spans="1:13" ht="33.75">
      <c r="A100" s="243" t="s">
        <v>2718</v>
      </c>
      <c r="B100" s="237" t="s">
        <v>2555</v>
      </c>
      <c r="C100" s="237">
        <v>0.4425</v>
      </c>
      <c r="D100" s="237">
        <v>354</v>
      </c>
      <c r="E100" s="237">
        <v>1208</v>
      </c>
      <c r="F100" s="237"/>
      <c r="G100" s="237">
        <v>5.55</v>
      </c>
      <c r="H100" s="237">
        <v>49.223999999999997</v>
      </c>
      <c r="I100" s="237">
        <v>21.734999999999999</v>
      </c>
      <c r="J100" s="237">
        <v>7.1</v>
      </c>
      <c r="K100" s="237"/>
      <c r="L100" s="237"/>
      <c r="M100" s="238"/>
    </row>
    <row r="101" spans="1:13" ht="33.75">
      <c r="A101" s="243" t="s">
        <v>2719</v>
      </c>
      <c r="B101" s="237" t="s">
        <v>2555</v>
      </c>
      <c r="C101" s="237">
        <v>0.4425</v>
      </c>
      <c r="D101" s="237">
        <v>354</v>
      </c>
      <c r="E101" s="237">
        <v>1208</v>
      </c>
      <c r="F101" s="237"/>
      <c r="G101" s="237">
        <v>5.55</v>
      </c>
      <c r="H101" s="237">
        <v>49.223999999999997</v>
      </c>
      <c r="I101" s="237">
        <v>21.734999999999999</v>
      </c>
      <c r="J101" s="237">
        <v>7.1</v>
      </c>
      <c r="K101" s="237"/>
      <c r="L101" s="237"/>
      <c r="M101" s="238"/>
    </row>
    <row r="102" spans="1:13" ht="33.75">
      <c r="A102" s="243" t="s">
        <v>2720</v>
      </c>
      <c r="B102" s="237" t="s">
        <v>2555</v>
      </c>
      <c r="C102" s="237">
        <v>0.4425</v>
      </c>
      <c r="D102" s="237">
        <v>354</v>
      </c>
      <c r="E102" s="237">
        <v>1208</v>
      </c>
      <c r="F102" s="237"/>
      <c r="G102" s="237">
        <v>5.55</v>
      </c>
      <c r="H102" s="237">
        <v>49.223999999999997</v>
      </c>
      <c r="I102" s="237">
        <v>21.734999999999999</v>
      </c>
      <c r="J102" s="237">
        <v>7.1</v>
      </c>
      <c r="K102" s="237"/>
      <c r="L102" s="237"/>
      <c r="M102" s="238"/>
    </row>
    <row r="103" spans="1:13" ht="33.75">
      <c r="A103" s="243" t="s">
        <v>2721</v>
      </c>
      <c r="B103" s="237" t="s">
        <v>2555</v>
      </c>
      <c r="C103" s="237">
        <v>0.4425</v>
      </c>
      <c r="D103" s="237">
        <v>354</v>
      </c>
      <c r="E103" s="237">
        <v>1208</v>
      </c>
      <c r="F103" s="237"/>
      <c r="G103" s="237">
        <v>5.55</v>
      </c>
      <c r="H103" s="237">
        <v>49.223999999999997</v>
      </c>
      <c r="I103" s="237">
        <v>21.734999999999999</v>
      </c>
      <c r="J103" s="237">
        <v>7.1</v>
      </c>
      <c r="K103" s="237"/>
      <c r="L103" s="237"/>
      <c r="M103" s="238"/>
    </row>
    <row r="104" spans="1:13" ht="33.75">
      <c r="A104" s="243" t="s">
        <v>2722</v>
      </c>
      <c r="B104" s="237" t="s">
        <v>2555</v>
      </c>
      <c r="C104" s="237">
        <v>0.4425</v>
      </c>
      <c r="D104" s="237">
        <v>354</v>
      </c>
      <c r="E104" s="237">
        <v>1208</v>
      </c>
      <c r="F104" s="237"/>
      <c r="G104" s="237">
        <v>5.55</v>
      </c>
      <c r="H104" s="237">
        <v>49.223999999999997</v>
      </c>
      <c r="I104" s="237">
        <v>21.734999999999999</v>
      </c>
      <c r="J104" s="237">
        <v>7.1</v>
      </c>
      <c r="K104" s="237"/>
      <c r="L104" s="237"/>
      <c r="M104" s="238"/>
    </row>
    <row r="105" spans="1:13" ht="33.75">
      <c r="A105" s="243" t="s">
        <v>4618</v>
      </c>
      <c r="B105" s="237" t="s">
        <v>2555</v>
      </c>
      <c r="C105" s="237">
        <v>0.4425</v>
      </c>
      <c r="D105" s="237">
        <v>354</v>
      </c>
      <c r="E105" s="237">
        <v>1208</v>
      </c>
      <c r="F105" s="237"/>
      <c r="G105" s="237">
        <v>5.55</v>
      </c>
      <c r="H105" s="237">
        <v>49.223999999999997</v>
      </c>
      <c r="I105" s="237">
        <v>21.734999999999999</v>
      </c>
      <c r="J105" s="237">
        <v>7.1</v>
      </c>
      <c r="K105" s="237"/>
      <c r="L105" s="237"/>
      <c r="M105" s="238"/>
    </row>
    <row r="106" spans="1:13" ht="33.75">
      <c r="A106" s="243" t="s">
        <v>2723</v>
      </c>
      <c r="B106" s="237" t="s">
        <v>2555</v>
      </c>
      <c r="C106" s="237">
        <v>0.4425</v>
      </c>
      <c r="D106" s="237">
        <v>354</v>
      </c>
      <c r="E106" s="237">
        <v>1208</v>
      </c>
      <c r="F106" s="237"/>
      <c r="G106" s="237">
        <v>5.55</v>
      </c>
      <c r="H106" s="237">
        <v>49.223999999999997</v>
      </c>
      <c r="I106" s="237">
        <v>21.734999999999999</v>
      </c>
      <c r="J106" s="237">
        <v>7.1</v>
      </c>
      <c r="K106" s="237"/>
      <c r="L106" s="237"/>
      <c r="M106" s="238"/>
    </row>
    <row r="107" spans="1:13" ht="33.75">
      <c r="A107" s="243" t="s">
        <v>2724</v>
      </c>
      <c r="B107" s="237" t="s">
        <v>2555</v>
      </c>
      <c r="C107" s="237">
        <v>0.4425</v>
      </c>
      <c r="D107" s="237">
        <v>354</v>
      </c>
      <c r="E107" s="237">
        <v>1208</v>
      </c>
      <c r="F107" s="237"/>
      <c r="G107" s="237">
        <v>5.55</v>
      </c>
      <c r="H107" s="237">
        <v>49.223999999999997</v>
      </c>
      <c r="I107" s="237">
        <v>21.734999999999999</v>
      </c>
      <c r="J107" s="237">
        <v>7.1</v>
      </c>
      <c r="K107" s="237"/>
      <c r="L107" s="237"/>
      <c r="M107" s="238"/>
    </row>
    <row r="108" spans="1:13" ht="33.75">
      <c r="A108" s="243" t="s">
        <v>2725</v>
      </c>
      <c r="B108" s="237" t="s">
        <v>2555</v>
      </c>
      <c r="C108" s="237">
        <v>0.4425</v>
      </c>
      <c r="D108" s="237">
        <v>354</v>
      </c>
      <c r="E108" s="237">
        <v>1208</v>
      </c>
      <c r="F108" s="237"/>
      <c r="G108" s="237">
        <v>5.55</v>
      </c>
      <c r="H108" s="237">
        <v>49.223999999999997</v>
      </c>
      <c r="I108" s="237">
        <v>21.734999999999999</v>
      </c>
      <c r="J108" s="237">
        <v>7.1</v>
      </c>
      <c r="K108" s="237"/>
      <c r="L108" s="237"/>
      <c r="M108" s="238"/>
    </row>
    <row r="109" spans="1:13" ht="33.75">
      <c r="A109" s="243" t="s">
        <v>2726</v>
      </c>
      <c r="B109" s="237" t="s">
        <v>2555</v>
      </c>
      <c r="C109" s="237">
        <v>0.4425</v>
      </c>
      <c r="D109" s="237">
        <v>354</v>
      </c>
      <c r="E109" s="237">
        <v>1208</v>
      </c>
      <c r="F109" s="237"/>
      <c r="G109" s="237">
        <v>5.55</v>
      </c>
      <c r="H109" s="237">
        <v>49.223999999999997</v>
      </c>
      <c r="I109" s="237">
        <v>21.734999999999999</v>
      </c>
      <c r="J109" s="237">
        <v>7.1</v>
      </c>
      <c r="K109" s="237"/>
      <c r="L109" s="237"/>
      <c r="M109" s="238"/>
    </row>
    <row r="110" spans="1:13" ht="33.75">
      <c r="A110" s="243" t="s">
        <v>4615</v>
      </c>
      <c r="B110" s="237" t="s">
        <v>2555</v>
      </c>
      <c r="C110" s="237">
        <v>0.4425</v>
      </c>
      <c r="D110" s="237">
        <v>354</v>
      </c>
      <c r="E110" s="237">
        <v>1208</v>
      </c>
      <c r="F110" s="237"/>
      <c r="G110" s="237">
        <v>5.55</v>
      </c>
      <c r="H110" s="237">
        <v>49.223999999999997</v>
      </c>
      <c r="I110" s="237">
        <v>21.734999999999999</v>
      </c>
      <c r="J110" s="237">
        <v>7.1</v>
      </c>
      <c r="K110" s="237"/>
      <c r="L110" s="237"/>
      <c r="M110" s="238"/>
    </row>
    <row r="111" spans="1:13" ht="33.75">
      <c r="A111" s="243" t="s">
        <v>2062</v>
      </c>
      <c r="B111" s="237" t="s">
        <v>2555</v>
      </c>
      <c r="C111" s="237">
        <v>0.4425</v>
      </c>
      <c r="D111" s="237">
        <v>354</v>
      </c>
      <c r="E111" s="237">
        <v>1208</v>
      </c>
      <c r="F111" s="237"/>
      <c r="G111" s="237">
        <v>5.55</v>
      </c>
      <c r="H111" s="237">
        <v>49.223999999999997</v>
      </c>
      <c r="I111" s="237">
        <v>21.734999999999999</v>
      </c>
      <c r="J111" s="237">
        <v>7.1</v>
      </c>
      <c r="K111" s="237"/>
      <c r="L111" s="237"/>
      <c r="M111" s="238"/>
    </row>
    <row r="112" spans="1:13" ht="33.75">
      <c r="A112" s="243" t="s">
        <v>4610</v>
      </c>
      <c r="B112" s="237" t="s">
        <v>2555</v>
      </c>
      <c r="C112" s="237">
        <v>0.4425</v>
      </c>
      <c r="D112" s="237">
        <v>354</v>
      </c>
      <c r="E112" s="237">
        <v>1208</v>
      </c>
      <c r="F112" s="237"/>
      <c r="G112" s="237">
        <v>5.55</v>
      </c>
      <c r="H112" s="237">
        <v>49.223999999999997</v>
      </c>
      <c r="I112" s="237">
        <v>21.734999999999999</v>
      </c>
      <c r="J112" s="237">
        <v>7.1</v>
      </c>
      <c r="K112" s="237"/>
      <c r="L112" s="237"/>
      <c r="M112" s="238"/>
    </row>
    <row r="113" spans="1:13" ht="33.75">
      <c r="A113" s="243" t="s">
        <v>4608</v>
      </c>
      <c r="B113" s="237" t="s">
        <v>2555</v>
      </c>
      <c r="C113" s="237">
        <v>0.4425</v>
      </c>
      <c r="D113" s="237">
        <v>354</v>
      </c>
      <c r="E113" s="237">
        <v>1208</v>
      </c>
      <c r="F113" s="237"/>
      <c r="G113" s="237">
        <v>5.55</v>
      </c>
      <c r="H113" s="237">
        <v>49.223999999999997</v>
      </c>
      <c r="I113" s="237">
        <v>21.734999999999999</v>
      </c>
      <c r="J113" s="237">
        <v>7.1</v>
      </c>
      <c r="K113" s="237"/>
      <c r="L113" s="237"/>
      <c r="M113" s="238"/>
    </row>
    <row r="114" spans="1:13" ht="33.75">
      <c r="A114" s="243" t="s">
        <v>4605</v>
      </c>
      <c r="B114" s="237" t="s">
        <v>2555</v>
      </c>
      <c r="C114" s="237">
        <v>0.4425</v>
      </c>
      <c r="D114" s="237">
        <v>354</v>
      </c>
      <c r="E114" s="237">
        <v>1208</v>
      </c>
      <c r="F114" s="237"/>
      <c r="G114" s="237">
        <v>5.55</v>
      </c>
      <c r="H114" s="237">
        <v>49.223999999999997</v>
      </c>
      <c r="I114" s="237">
        <v>21.734999999999999</v>
      </c>
      <c r="J114" s="237">
        <v>7.1</v>
      </c>
      <c r="K114" s="237"/>
      <c r="L114" s="237"/>
      <c r="M114" s="238"/>
    </row>
    <row r="115" spans="1:13" ht="33.75">
      <c r="A115" s="243" t="s">
        <v>4621</v>
      </c>
      <c r="B115" s="237" t="s">
        <v>2555</v>
      </c>
      <c r="C115" s="237">
        <v>0.4425</v>
      </c>
      <c r="D115" s="237">
        <v>354</v>
      </c>
      <c r="E115" s="237">
        <v>1208</v>
      </c>
      <c r="F115" s="237"/>
      <c r="G115" s="237">
        <v>5.55</v>
      </c>
      <c r="H115" s="237">
        <v>49.223999999999997</v>
      </c>
      <c r="I115" s="237">
        <v>21.734999999999999</v>
      </c>
      <c r="J115" s="237">
        <v>7.1</v>
      </c>
      <c r="K115" s="237"/>
      <c r="L115" s="237"/>
      <c r="M115" s="238"/>
    </row>
    <row r="116" spans="1:13" ht="33.75">
      <c r="A116" s="243" t="s">
        <v>4602</v>
      </c>
      <c r="B116" s="237" t="s">
        <v>2555</v>
      </c>
      <c r="C116" s="237">
        <v>0.4425</v>
      </c>
      <c r="D116" s="237">
        <v>354</v>
      </c>
      <c r="E116" s="237">
        <v>1208</v>
      </c>
      <c r="F116" s="237"/>
      <c r="G116" s="237">
        <v>5.55</v>
      </c>
      <c r="H116" s="237">
        <v>49.223999999999997</v>
      </c>
      <c r="I116" s="237">
        <v>21.734999999999999</v>
      </c>
      <c r="J116" s="237">
        <v>7.1</v>
      </c>
      <c r="K116" s="237"/>
      <c r="L116" s="237"/>
      <c r="M116" s="238"/>
    </row>
    <row r="117" spans="1:13" ht="33.75">
      <c r="A117" s="243" t="s">
        <v>4599</v>
      </c>
      <c r="B117" s="237" t="s">
        <v>2555</v>
      </c>
      <c r="C117" s="237">
        <v>0.4425</v>
      </c>
      <c r="D117" s="237">
        <v>354</v>
      </c>
      <c r="E117" s="237">
        <v>1208</v>
      </c>
      <c r="F117" s="237"/>
      <c r="G117" s="237">
        <v>5.55</v>
      </c>
      <c r="H117" s="237">
        <v>49.223999999999997</v>
      </c>
      <c r="I117" s="237">
        <v>21.734999999999999</v>
      </c>
      <c r="J117" s="237">
        <v>7.1</v>
      </c>
      <c r="K117" s="237"/>
      <c r="L117" s="237"/>
      <c r="M117" s="238"/>
    </row>
    <row r="118" spans="1:13" ht="33.75">
      <c r="A118" s="243" t="s">
        <v>4597</v>
      </c>
      <c r="B118" s="237" t="s">
        <v>2555</v>
      </c>
      <c r="C118" s="237">
        <v>0.4425</v>
      </c>
      <c r="D118" s="237">
        <v>354</v>
      </c>
      <c r="E118" s="237">
        <v>1208</v>
      </c>
      <c r="F118" s="237"/>
      <c r="G118" s="237">
        <v>5.55</v>
      </c>
      <c r="H118" s="237">
        <v>49.223999999999997</v>
      </c>
      <c r="I118" s="237">
        <v>21.734999999999999</v>
      </c>
      <c r="J118" s="237">
        <v>7.1</v>
      </c>
      <c r="K118" s="237"/>
      <c r="L118" s="237"/>
      <c r="M118" s="238"/>
    </row>
    <row r="119" spans="1:13" ht="33.75">
      <c r="A119" s="243" t="s">
        <v>4594</v>
      </c>
      <c r="B119" s="237" t="s">
        <v>2555</v>
      </c>
      <c r="C119" s="237">
        <v>0.4425</v>
      </c>
      <c r="D119" s="237">
        <v>354</v>
      </c>
      <c r="E119" s="237">
        <v>1208</v>
      </c>
      <c r="F119" s="237"/>
      <c r="G119" s="237">
        <v>5.55</v>
      </c>
      <c r="H119" s="237">
        <v>49.223999999999997</v>
      </c>
      <c r="I119" s="237">
        <v>21.734999999999999</v>
      </c>
      <c r="J119" s="237">
        <v>7.1</v>
      </c>
      <c r="K119" s="237"/>
      <c r="L119" s="237"/>
      <c r="M119" s="238"/>
    </row>
    <row r="120" spans="1:13" ht="33.75">
      <c r="A120" s="243" t="s">
        <v>4591</v>
      </c>
      <c r="B120" s="237" t="s">
        <v>2555</v>
      </c>
      <c r="C120" s="237">
        <v>0.4425</v>
      </c>
      <c r="D120" s="237">
        <v>354</v>
      </c>
      <c r="E120" s="237">
        <v>1208</v>
      </c>
      <c r="F120" s="237"/>
      <c r="G120" s="237">
        <v>5.55</v>
      </c>
      <c r="H120" s="237">
        <v>49.223999999999997</v>
      </c>
      <c r="I120" s="237">
        <v>21.734999999999999</v>
      </c>
      <c r="J120" s="237">
        <v>7.1</v>
      </c>
      <c r="K120" s="237"/>
      <c r="L120" s="237"/>
      <c r="M120" s="238"/>
    </row>
    <row r="121" spans="1:13" ht="33.75">
      <c r="A121" s="243" t="s">
        <v>4588</v>
      </c>
      <c r="B121" s="237" t="s">
        <v>2555</v>
      </c>
      <c r="C121" s="237">
        <v>0.4425</v>
      </c>
      <c r="D121" s="237">
        <v>354</v>
      </c>
      <c r="E121" s="237">
        <v>1208</v>
      </c>
      <c r="F121" s="237"/>
      <c r="G121" s="237">
        <v>5.55</v>
      </c>
      <c r="H121" s="237">
        <v>49.223999999999997</v>
      </c>
      <c r="I121" s="237">
        <v>21.734999999999999</v>
      </c>
      <c r="J121" s="237">
        <v>7.1</v>
      </c>
      <c r="K121" s="237"/>
      <c r="L121" s="237"/>
      <c r="M121" s="238"/>
    </row>
    <row r="122" spans="1:13" ht="33.75">
      <c r="A122" s="239" t="s">
        <v>4585</v>
      </c>
      <c r="B122" s="237" t="s">
        <v>2555</v>
      </c>
      <c r="C122" s="237">
        <v>0.4425</v>
      </c>
      <c r="D122" s="237">
        <v>354</v>
      </c>
      <c r="E122" s="237">
        <v>1208</v>
      </c>
      <c r="F122" s="237"/>
      <c r="G122" s="237">
        <v>5.55</v>
      </c>
      <c r="H122" s="237">
        <v>49.223999999999997</v>
      </c>
      <c r="I122" s="237">
        <v>21.734999999999999</v>
      </c>
      <c r="J122" s="237">
        <v>7.1</v>
      </c>
      <c r="K122" s="237"/>
      <c r="L122" s="237"/>
      <c r="M122" s="238"/>
    </row>
    <row r="123" spans="1:13" ht="22.5">
      <c r="A123" s="239" t="s">
        <v>2509</v>
      </c>
      <c r="B123" s="237" t="s">
        <v>8258</v>
      </c>
      <c r="C123" s="237">
        <v>0.79249999999999998</v>
      </c>
      <c r="D123" s="237">
        <v>634</v>
      </c>
      <c r="E123" s="237">
        <v>4306</v>
      </c>
      <c r="F123" s="237"/>
      <c r="G123" s="237">
        <v>5.59</v>
      </c>
      <c r="H123" s="237">
        <v>49.27</v>
      </c>
      <c r="I123" s="237">
        <v>21.84</v>
      </c>
      <c r="J123" s="237">
        <v>7.7</v>
      </c>
      <c r="K123" s="237"/>
      <c r="L123" s="237"/>
      <c r="M123" s="238"/>
    </row>
    <row r="124" spans="1:13" ht="22.5">
      <c r="A124" s="239" t="s">
        <v>2879</v>
      </c>
      <c r="B124" s="237" t="s">
        <v>8259</v>
      </c>
      <c r="C124" s="237">
        <v>1.585</v>
      </c>
      <c r="D124" s="237">
        <v>1268</v>
      </c>
      <c r="E124" s="237">
        <v>4306</v>
      </c>
      <c r="F124" s="237"/>
      <c r="G124" s="237">
        <v>5.59</v>
      </c>
      <c r="H124" s="237">
        <v>49.27</v>
      </c>
      <c r="I124" s="237">
        <v>43.69</v>
      </c>
      <c r="J124" s="237">
        <v>14.2</v>
      </c>
      <c r="K124" s="237"/>
      <c r="L124" s="237"/>
      <c r="M124" s="238"/>
    </row>
    <row r="125" spans="1:13" ht="45">
      <c r="A125" s="239" t="s">
        <v>2100</v>
      </c>
      <c r="B125" s="237" t="s">
        <v>8260</v>
      </c>
      <c r="C125" s="237">
        <v>0.9</v>
      </c>
      <c r="D125" s="242">
        <v>720.00000000000011</v>
      </c>
      <c r="E125" s="237">
        <v>2900.2</v>
      </c>
      <c r="F125" s="237">
        <v>1</v>
      </c>
      <c r="G125" s="237">
        <v>4.3</v>
      </c>
      <c r="H125" s="237">
        <v>73.400000000000006</v>
      </c>
      <c r="I125" s="237">
        <v>42.9</v>
      </c>
      <c r="J125" s="237">
        <v>15.9</v>
      </c>
      <c r="K125" s="237" t="s">
        <v>8250</v>
      </c>
      <c r="L125" s="237" t="s">
        <v>8233</v>
      </c>
      <c r="M125" s="238">
        <v>2</v>
      </c>
    </row>
    <row r="126" spans="1:13" ht="45">
      <c r="A126" s="239" t="s">
        <v>1521</v>
      </c>
      <c r="B126" s="237" t="s">
        <v>8260</v>
      </c>
      <c r="C126" s="237">
        <v>0.66</v>
      </c>
      <c r="D126" s="242">
        <v>528</v>
      </c>
      <c r="E126" s="237">
        <v>2900.2</v>
      </c>
      <c r="F126" s="237">
        <v>1</v>
      </c>
      <c r="G126" s="237">
        <v>4.3</v>
      </c>
      <c r="H126" s="237">
        <v>73.400000000000006</v>
      </c>
      <c r="I126" s="237">
        <v>42.9</v>
      </c>
      <c r="J126" s="237">
        <v>15.9</v>
      </c>
      <c r="K126" s="237" t="s">
        <v>8250</v>
      </c>
      <c r="L126" s="237" t="s">
        <v>8233</v>
      </c>
      <c r="M126" s="238">
        <v>2</v>
      </c>
    </row>
    <row r="127" spans="1:13" ht="45">
      <c r="A127" s="239" t="s">
        <v>1523</v>
      </c>
      <c r="B127" s="237" t="s">
        <v>8260</v>
      </c>
      <c r="C127" s="237">
        <v>0.66</v>
      </c>
      <c r="D127" s="242">
        <v>528</v>
      </c>
      <c r="E127" s="237">
        <v>2900.2</v>
      </c>
      <c r="F127" s="237">
        <v>1</v>
      </c>
      <c r="G127" s="237">
        <v>4.3</v>
      </c>
      <c r="H127" s="237">
        <v>73.400000000000006</v>
      </c>
      <c r="I127" s="237">
        <v>42.9</v>
      </c>
      <c r="J127" s="237">
        <v>15.9</v>
      </c>
      <c r="K127" s="237" t="s">
        <v>8250</v>
      </c>
      <c r="L127" s="237" t="s">
        <v>8233</v>
      </c>
      <c r="M127" s="238">
        <v>2</v>
      </c>
    </row>
    <row r="128" spans="1:13" ht="45">
      <c r="A128" s="239" t="s">
        <v>1525</v>
      </c>
      <c r="B128" s="237" t="s">
        <v>8260</v>
      </c>
      <c r="C128" s="237">
        <v>0.66</v>
      </c>
      <c r="D128" s="242">
        <v>528</v>
      </c>
      <c r="E128" s="237">
        <v>2900.2</v>
      </c>
      <c r="F128" s="237">
        <v>1</v>
      </c>
      <c r="G128" s="237">
        <v>4.3</v>
      </c>
      <c r="H128" s="237">
        <v>73.400000000000006</v>
      </c>
      <c r="I128" s="237">
        <v>42.9</v>
      </c>
      <c r="J128" s="237">
        <v>15.9</v>
      </c>
      <c r="K128" s="237" t="s">
        <v>8250</v>
      </c>
      <c r="L128" s="237" t="s">
        <v>8233</v>
      </c>
      <c r="M128" s="238">
        <v>2</v>
      </c>
    </row>
    <row r="129" spans="1:13" ht="45">
      <c r="A129" s="239" t="s">
        <v>1527</v>
      </c>
      <c r="B129" s="237" t="s">
        <v>8260</v>
      </c>
      <c r="C129" s="237">
        <v>0.66</v>
      </c>
      <c r="D129" s="242">
        <v>528</v>
      </c>
      <c r="E129" s="237">
        <v>2900.2</v>
      </c>
      <c r="F129" s="237">
        <v>1</v>
      </c>
      <c r="G129" s="237">
        <v>4.3</v>
      </c>
      <c r="H129" s="237">
        <v>73.400000000000006</v>
      </c>
      <c r="I129" s="237">
        <v>42.9</v>
      </c>
      <c r="J129" s="237">
        <v>15.9</v>
      </c>
      <c r="K129" s="237" t="s">
        <v>8250</v>
      </c>
      <c r="L129" s="237" t="s">
        <v>8233</v>
      </c>
      <c r="M129" s="238">
        <v>2</v>
      </c>
    </row>
    <row r="130" spans="1:13" ht="45">
      <c r="A130" s="239" t="s">
        <v>1367</v>
      </c>
      <c r="B130" s="237" t="s">
        <v>8260</v>
      </c>
      <c r="C130" s="237">
        <v>0.66</v>
      </c>
      <c r="D130" s="242">
        <v>528</v>
      </c>
      <c r="E130" s="237">
        <v>2900.2</v>
      </c>
      <c r="F130" s="237">
        <v>1</v>
      </c>
      <c r="G130" s="237">
        <v>4.3</v>
      </c>
      <c r="H130" s="237">
        <v>73.400000000000006</v>
      </c>
      <c r="I130" s="237">
        <v>42.9</v>
      </c>
      <c r="J130" s="237">
        <v>15.9</v>
      </c>
      <c r="K130" s="237" t="s">
        <v>8250</v>
      </c>
      <c r="L130" s="237" t="s">
        <v>8233</v>
      </c>
      <c r="M130" s="238">
        <v>2</v>
      </c>
    </row>
    <row r="131" spans="1:13" ht="45">
      <c r="A131" s="239" t="s">
        <v>1530</v>
      </c>
      <c r="B131" s="237" t="s">
        <v>8260</v>
      </c>
      <c r="C131" s="237">
        <v>0.66</v>
      </c>
      <c r="D131" s="242">
        <v>528</v>
      </c>
      <c r="E131" s="237">
        <v>2900.2</v>
      </c>
      <c r="F131" s="237">
        <v>1</v>
      </c>
      <c r="G131" s="237">
        <v>4.3</v>
      </c>
      <c r="H131" s="237">
        <v>73.400000000000006</v>
      </c>
      <c r="I131" s="237">
        <v>42.9</v>
      </c>
      <c r="J131" s="237">
        <v>15.9</v>
      </c>
      <c r="K131" s="237" t="s">
        <v>8250</v>
      </c>
      <c r="L131" s="237" t="s">
        <v>8233</v>
      </c>
      <c r="M131" s="238">
        <v>2</v>
      </c>
    </row>
    <row r="132" spans="1:13" ht="45">
      <c r="A132" s="239" t="s">
        <v>1532</v>
      </c>
      <c r="B132" s="237" t="s">
        <v>8260</v>
      </c>
      <c r="C132" s="237">
        <v>0.66</v>
      </c>
      <c r="D132" s="242">
        <v>528</v>
      </c>
      <c r="E132" s="237">
        <v>2900.2</v>
      </c>
      <c r="F132" s="237">
        <v>1</v>
      </c>
      <c r="G132" s="237">
        <v>4.3</v>
      </c>
      <c r="H132" s="237">
        <v>73.400000000000006</v>
      </c>
      <c r="I132" s="237">
        <v>42.9</v>
      </c>
      <c r="J132" s="237">
        <v>15.9</v>
      </c>
      <c r="K132" s="237" t="s">
        <v>8250</v>
      </c>
      <c r="L132" s="237" t="s">
        <v>8233</v>
      </c>
      <c r="M132" s="238">
        <v>2</v>
      </c>
    </row>
    <row r="133" spans="1:13" ht="45">
      <c r="A133" s="239" t="s">
        <v>2102</v>
      </c>
      <c r="B133" s="237" t="s">
        <v>8260</v>
      </c>
      <c r="C133" s="237">
        <v>0.66</v>
      </c>
      <c r="D133" s="242">
        <v>528</v>
      </c>
      <c r="E133" s="237">
        <v>2900.2</v>
      </c>
      <c r="F133" s="237">
        <v>1</v>
      </c>
      <c r="G133" s="237">
        <v>4.3</v>
      </c>
      <c r="H133" s="237">
        <v>73.400000000000006</v>
      </c>
      <c r="I133" s="237">
        <v>42.9</v>
      </c>
      <c r="J133" s="237">
        <v>15.9</v>
      </c>
      <c r="K133" s="237" t="s">
        <v>8250</v>
      </c>
      <c r="L133" s="237" t="s">
        <v>8233</v>
      </c>
      <c r="M133" s="238">
        <v>2</v>
      </c>
    </row>
    <row r="134" spans="1:13" ht="45">
      <c r="A134" s="239" t="s">
        <v>1534</v>
      </c>
      <c r="B134" s="237" t="s">
        <v>8260</v>
      </c>
      <c r="C134" s="237">
        <v>0.66</v>
      </c>
      <c r="D134" s="242">
        <v>528</v>
      </c>
      <c r="E134" s="237">
        <v>2900.2</v>
      </c>
      <c r="F134" s="237">
        <v>1</v>
      </c>
      <c r="G134" s="237">
        <v>4.3</v>
      </c>
      <c r="H134" s="237">
        <v>73.400000000000006</v>
      </c>
      <c r="I134" s="237">
        <v>42.9</v>
      </c>
      <c r="J134" s="237">
        <v>15.9</v>
      </c>
      <c r="K134" s="237" t="s">
        <v>8250</v>
      </c>
      <c r="L134" s="237" t="s">
        <v>8233</v>
      </c>
      <c r="M134" s="238">
        <v>2</v>
      </c>
    </row>
    <row r="135" spans="1:13" ht="45">
      <c r="A135" s="239" t="s">
        <v>1536</v>
      </c>
      <c r="B135" s="237" t="s">
        <v>8260</v>
      </c>
      <c r="C135" s="237">
        <v>0.66</v>
      </c>
      <c r="D135" s="242">
        <v>528</v>
      </c>
      <c r="E135" s="237">
        <v>2900.2</v>
      </c>
      <c r="F135" s="237">
        <v>1</v>
      </c>
      <c r="G135" s="237">
        <v>4.3</v>
      </c>
      <c r="H135" s="237">
        <v>73.400000000000006</v>
      </c>
      <c r="I135" s="237">
        <v>42.9</v>
      </c>
      <c r="J135" s="237">
        <v>15.9</v>
      </c>
      <c r="K135" s="237" t="s">
        <v>8250</v>
      </c>
      <c r="L135" s="237" t="s">
        <v>8233</v>
      </c>
      <c r="M135" s="238">
        <v>2</v>
      </c>
    </row>
    <row r="136" spans="1:13" ht="45">
      <c r="A136" s="239" t="s">
        <v>1538</v>
      </c>
      <c r="B136" s="237" t="s">
        <v>8260</v>
      </c>
      <c r="C136" s="237">
        <v>0.66</v>
      </c>
      <c r="D136" s="242">
        <v>528</v>
      </c>
      <c r="E136" s="237">
        <v>2900.2</v>
      </c>
      <c r="F136" s="237">
        <v>1</v>
      </c>
      <c r="G136" s="237">
        <v>4.3</v>
      </c>
      <c r="H136" s="237">
        <v>73.400000000000006</v>
      </c>
      <c r="I136" s="237">
        <v>42.9</v>
      </c>
      <c r="J136" s="237">
        <v>15.9</v>
      </c>
      <c r="K136" s="237" t="s">
        <v>8250</v>
      </c>
      <c r="L136" s="237" t="s">
        <v>8233</v>
      </c>
      <c r="M136" s="238">
        <v>2</v>
      </c>
    </row>
    <row r="137" spans="1:13" ht="45">
      <c r="A137" s="239" t="s">
        <v>1540</v>
      </c>
      <c r="B137" s="237" t="s">
        <v>8260</v>
      </c>
      <c r="C137" s="237">
        <v>0.66</v>
      </c>
      <c r="D137" s="242">
        <v>528</v>
      </c>
      <c r="E137" s="237">
        <v>2900.2</v>
      </c>
      <c r="F137" s="237">
        <v>1</v>
      </c>
      <c r="G137" s="237">
        <v>4.3</v>
      </c>
      <c r="H137" s="237">
        <v>73.400000000000006</v>
      </c>
      <c r="I137" s="237">
        <v>42.9</v>
      </c>
      <c r="J137" s="237">
        <v>15.9</v>
      </c>
      <c r="K137" s="237" t="s">
        <v>8250</v>
      </c>
      <c r="L137" s="237" t="s">
        <v>8233</v>
      </c>
      <c r="M137" s="238">
        <v>2</v>
      </c>
    </row>
    <row r="138" spans="1:13" ht="45">
      <c r="A138" s="239" t="s">
        <v>2583</v>
      </c>
      <c r="B138" s="237" t="s">
        <v>8260</v>
      </c>
      <c r="C138" s="237">
        <v>0.66</v>
      </c>
      <c r="D138" s="242">
        <v>528</v>
      </c>
      <c r="E138" s="237">
        <v>2900.2</v>
      </c>
      <c r="F138" s="237">
        <v>1</v>
      </c>
      <c r="G138" s="237">
        <v>4.3</v>
      </c>
      <c r="H138" s="237">
        <v>73.400000000000006</v>
      </c>
      <c r="I138" s="237">
        <v>42.9</v>
      </c>
      <c r="J138" s="237">
        <v>15.9</v>
      </c>
      <c r="K138" s="237" t="s">
        <v>8250</v>
      </c>
      <c r="L138" s="237" t="s">
        <v>8233</v>
      </c>
      <c r="M138" s="238">
        <v>2</v>
      </c>
    </row>
    <row r="139" spans="1:13" ht="45">
      <c r="A139" s="239" t="s">
        <v>2585</v>
      </c>
      <c r="B139" s="237" t="s">
        <v>8260</v>
      </c>
      <c r="C139" s="237">
        <v>0.66</v>
      </c>
      <c r="D139" s="242">
        <v>528</v>
      </c>
      <c r="E139" s="237">
        <v>2900.2</v>
      </c>
      <c r="F139" s="237">
        <v>1</v>
      </c>
      <c r="G139" s="237">
        <v>4.3</v>
      </c>
      <c r="H139" s="237">
        <v>73.400000000000006</v>
      </c>
      <c r="I139" s="237">
        <v>42.9</v>
      </c>
      <c r="J139" s="237">
        <v>15.9</v>
      </c>
      <c r="K139" s="237" t="s">
        <v>8250</v>
      </c>
      <c r="L139" s="237" t="s">
        <v>8233</v>
      </c>
      <c r="M139" s="238">
        <v>2</v>
      </c>
    </row>
    <row r="140" spans="1:13" ht="45">
      <c r="A140" s="239" t="s">
        <v>1542</v>
      </c>
      <c r="B140" s="237" t="s">
        <v>8260</v>
      </c>
      <c r="C140" s="237">
        <v>0.66</v>
      </c>
      <c r="D140" s="242">
        <v>528</v>
      </c>
      <c r="E140" s="237">
        <v>2900.2</v>
      </c>
      <c r="F140" s="237">
        <v>1</v>
      </c>
      <c r="G140" s="237">
        <v>4.3</v>
      </c>
      <c r="H140" s="237">
        <v>73.400000000000006</v>
      </c>
      <c r="I140" s="237">
        <v>42.9</v>
      </c>
      <c r="J140" s="237">
        <v>15.9</v>
      </c>
      <c r="K140" s="237" t="s">
        <v>8250</v>
      </c>
      <c r="L140" s="237" t="s">
        <v>8233</v>
      </c>
      <c r="M140" s="238">
        <v>2</v>
      </c>
    </row>
    <row r="141" spans="1:13" ht="45">
      <c r="A141" s="239" t="s">
        <v>1368</v>
      </c>
      <c r="B141" s="237" t="s">
        <v>8260</v>
      </c>
      <c r="C141" s="237">
        <v>0.66</v>
      </c>
      <c r="D141" s="242">
        <v>528</v>
      </c>
      <c r="E141" s="237">
        <v>2900.2</v>
      </c>
      <c r="F141" s="237">
        <v>1</v>
      </c>
      <c r="G141" s="237">
        <v>4.3</v>
      </c>
      <c r="H141" s="237">
        <v>73.400000000000006</v>
      </c>
      <c r="I141" s="237">
        <v>42.9</v>
      </c>
      <c r="J141" s="237">
        <v>15.9</v>
      </c>
      <c r="K141" s="237" t="s">
        <v>8250</v>
      </c>
      <c r="L141" s="237" t="s">
        <v>8233</v>
      </c>
      <c r="M141" s="238">
        <v>2</v>
      </c>
    </row>
    <row r="142" spans="1:13" ht="45">
      <c r="A142" s="239" t="s">
        <v>1545</v>
      </c>
      <c r="B142" s="237" t="s">
        <v>8260</v>
      </c>
      <c r="C142" s="237">
        <v>0.66</v>
      </c>
      <c r="D142" s="242">
        <v>528</v>
      </c>
      <c r="E142" s="237">
        <v>2900.2</v>
      </c>
      <c r="F142" s="237">
        <v>1</v>
      </c>
      <c r="G142" s="237">
        <v>4.3</v>
      </c>
      <c r="H142" s="237">
        <v>73.400000000000006</v>
      </c>
      <c r="I142" s="237">
        <v>42.9</v>
      </c>
      <c r="J142" s="237">
        <v>15.9</v>
      </c>
      <c r="K142" s="237" t="s">
        <v>8250</v>
      </c>
      <c r="L142" s="237" t="s">
        <v>8233</v>
      </c>
      <c r="M142" s="238">
        <v>2</v>
      </c>
    </row>
    <row r="143" spans="1:13" ht="45">
      <c r="A143" s="239" t="s">
        <v>1547</v>
      </c>
      <c r="B143" s="237" t="s">
        <v>8260</v>
      </c>
      <c r="C143" s="237">
        <v>0.66</v>
      </c>
      <c r="D143" s="242">
        <v>528</v>
      </c>
      <c r="E143" s="237">
        <v>2900.2</v>
      </c>
      <c r="F143" s="237">
        <v>1</v>
      </c>
      <c r="G143" s="237">
        <v>4.3</v>
      </c>
      <c r="H143" s="237">
        <v>73.400000000000006</v>
      </c>
      <c r="I143" s="237">
        <v>42.9</v>
      </c>
      <c r="J143" s="237">
        <v>15.9</v>
      </c>
      <c r="K143" s="237" t="s">
        <v>8250</v>
      </c>
      <c r="L143" s="237" t="s">
        <v>8233</v>
      </c>
      <c r="M143" s="238">
        <v>2</v>
      </c>
    </row>
    <row r="144" spans="1:13" ht="45">
      <c r="A144" s="239" t="s">
        <v>1549</v>
      </c>
      <c r="B144" s="237" t="s">
        <v>8260</v>
      </c>
      <c r="C144" s="237">
        <v>0.9</v>
      </c>
      <c r="D144" s="242">
        <v>720.00000000000011</v>
      </c>
      <c r="E144" s="237">
        <v>2900.2</v>
      </c>
      <c r="F144" s="237">
        <v>1</v>
      </c>
      <c r="G144" s="237">
        <v>4.3</v>
      </c>
      <c r="H144" s="237">
        <v>73.400000000000006</v>
      </c>
      <c r="I144" s="237">
        <v>42.9</v>
      </c>
      <c r="J144" s="237">
        <v>15.9</v>
      </c>
      <c r="K144" s="237" t="s">
        <v>8250</v>
      </c>
      <c r="L144" s="237" t="s">
        <v>8233</v>
      </c>
      <c r="M144" s="238">
        <v>2</v>
      </c>
    </row>
    <row r="145" spans="1:13" ht="45">
      <c r="A145" s="239" t="s">
        <v>2104</v>
      </c>
      <c r="B145" s="237" t="s">
        <v>8260</v>
      </c>
      <c r="C145" s="237">
        <v>0.9</v>
      </c>
      <c r="D145" s="242">
        <v>720.00000000000011</v>
      </c>
      <c r="E145" s="237">
        <v>2900.2</v>
      </c>
      <c r="F145" s="237">
        <v>1</v>
      </c>
      <c r="G145" s="237">
        <v>4.3</v>
      </c>
      <c r="H145" s="237">
        <v>73.400000000000006</v>
      </c>
      <c r="I145" s="237">
        <v>42.9</v>
      </c>
      <c r="J145" s="237">
        <v>15.9</v>
      </c>
      <c r="K145" s="237" t="s">
        <v>8250</v>
      </c>
      <c r="L145" s="237" t="s">
        <v>8233</v>
      </c>
      <c r="M145" s="238">
        <v>2</v>
      </c>
    </row>
    <row r="146" spans="1:13" ht="33.75">
      <c r="A146" s="239" t="s">
        <v>164</v>
      </c>
      <c r="B146" s="237" t="s">
        <v>8261</v>
      </c>
      <c r="C146" s="237">
        <v>0.1</v>
      </c>
      <c r="D146" s="242">
        <v>80.000000000000014</v>
      </c>
      <c r="E146" s="237">
        <f>0.06615740717*86*60</f>
        <v>341.37222099720003</v>
      </c>
      <c r="F146" s="237">
        <v>4</v>
      </c>
      <c r="G146" s="237">
        <v>17.52</v>
      </c>
      <c r="H146" s="237">
        <v>74</v>
      </c>
      <c r="I146" s="237">
        <v>44.75</v>
      </c>
      <c r="J146" s="237">
        <v>21.3</v>
      </c>
      <c r="K146" s="237" t="s">
        <v>8262</v>
      </c>
      <c r="L146" s="237" t="s">
        <v>8233</v>
      </c>
      <c r="M146" s="238">
        <v>2</v>
      </c>
    </row>
    <row r="147" spans="1:13" ht="45">
      <c r="A147" s="239" t="s">
        <v>2237</v>
      </c>
      <c r="B147" s="237" t="s">
        <v>8263</v>
      </c>
      <c r="C147" s="237">
        <v>0.47499999999999992</v>
      </c>
      <c r="D147" s="237">
        <v>380</v>
      </c>
      <c r="E147" s="237">
        <v>1300</v>
      </c>
      <c r="F147" s="237">
        <v>2</v>
      </c>
      <c r="G147" s="237">
        <v>8.7899999999999991</v>
      </c>
      <c r="H147" s="237">
        <v>63</v>
      </c>
      <c r="I147" s="237">
        <v>48.3</v>
      </c>
      <c r="J147" s="237">
        <v>25.2</v>
      </c>
      <c r="K147" s="237" t="s">
        <v>8264</v>
      </c>
      <c r="L147" s="237" t="s">
        <v>8233</v>
      </c>
      <c r="M147" s="238">
        <v>2</v>
      </c>
    </row>
    <row r="148" spans="1:13" ht="45">
      <c r="A148" s="239" t="s">
        <v>2238</v>
      </c>
      <c r="B148" s="237" t="s">
        <v>8265</v>
      </c>
      <c r="C148" s="237">
        <v>0.21874999999999997</v>
      </c>
      <c r="D148" s="237">
        <v>175</v>
      </c>
      <c r="E148" s="237">
        <v>600</v>
      </c>
      <c r="F148" s="237">
        <v>2</v>
      </c>
      <c r="G148" s="237">
        <v>8.7899999999999991</v>
      </c>
      <c r="H148" s="237">
        <v>63</v>
      </c>
      <c r="I148" s="237">
        <v>48.3</v>
      </c>
      <c r="J148" s="237">
        <v>25.2</v>
      </c>
      <c r="K148" s="237" t="s">
        <v>8264</v>
      </c>
      <c r="L148" s="237" t="s">
        <v>8233</v>
      </c>
      <c r="M148" s="238">
        <v>2</v>
      </c>
    </row>
    <row r="149" spans="1:13" ht="45">
      <c r="A149" s="239" t="s">
        <v>2239</v>
      </c>
      <c r="B149" s="237" t="s">
        <v>8265</v>
      </c>
      <c r="C149" s="237">
        <v>0.51249999999999996</v>
      </c>
      <c r="D149" s="237">
        <v>410</v>
      </c>
      <c r="E149" s="237">
        <v>1400</v>
      </c>
      <c r="F149" s="237">
        <v>2</v>
      </c>
      <c r="G149" s="237">
        <v>8.7899999999999991</v>
      </c>
      <c r="H149" s="237">
        <v>63</v>
      </c>
      <c r="I149" s="237">
        <v>48.3</v>
      </c>
      <c r="J149" s="237">
        <v>25.2</v>
      </c>
      <c r="K149" s="237" t="s">
        <v>8264</v>
      </c>
      <c r="L149" s="237" t="s">
        <v>8233</v>
      </c>
      <c r="M149" s="238">
        <v>2</v>
      </c>
    </row>
    <row r="150" spans="1:13" ht="45">
      <c r="A150" s="239" t="s">
        <v>160</v>
      </c>
      <c r="B150" s="237" t="s">
        <v>8263</v>
      </c>
      <c r="C150" s="237">
        <v>0.53749999999999987</v>
      </c>
      <c r="D150" s="237">
        <v>430</v>
      </c>
      <c r="E150" s="237">
        <v>1460</v>
      </c>
      <c r="F150" s="237">
        <v>2</v>
      </c>
      <c r="G150" s="237">
        <v>8.7899999999999991</v>
      </c>
      <c r="H150" s="237">
        <v>63</v>
      </c>
      <c r="I150" s="237">
        <v>48.3</v>
      </c>
      <c r="J150" s="237">
        <v>25.2</v>
      </c>
      <c r="K150" s="237" t="s">
        <v>8264</v>
      </c>
      <c r="L150" s="237" t="s">
        <v>8233</v>
      </c>
      <c r="M150" s="238">
        <v>2</v>
      </c>
    </row>
    <row r="151" spans="1:13" ht="45">
      <c r="A151" s="239" t="s">
        <v>161</v>
      </c>
      <c r="B151" s="237" t="s">
        <v>8265</v>
      </c>
      <c r="C151" s="237">
        <v>0.26874999999999993</v>
      </c>
      <c r="D151" s="237">
        <v>215</v>
      </c>
      <c r="E151" s="237">
        <v>730</v>
      </c>
      <c r="F151" s="237">
        <v>2</v>
      </c>
      <c r="G151" s="237">
        <v>8.7899999999999991</v>
      </c>
      <c r="H151" s="237">
        <v>63</v>
      </c>
      <c r="I151" s="237">
        <v>48.3</v>
      </c>
      <c r="J151" s="237">
        <v>25.2</v>
      </c>
      <c r="K151" s="237" t="s">
        <v>8264</v>
      </c>
      <c r="L151" s="237" t="s">
        <v>8233</v>
      </c>
      <c r="M151" s="238">
        <v>2</v>
      </c>
    </row>
    <row r="152" spans="1:13" ht="45">
      <c r="A152" s="239" t="s">
        <v>2240</v>
      </c>
      <c r="B152" s="237" t="s">
        <v>8265</v>
      </c>
      <c r="C152" s="237">
        <v>0.47499999999999992</v>
      </c>
      <c r="D152" s="237">
        <v>460</v>
      </c>
      <c r="E152" s="237">
        <v>1560</v>
      </c>
      <c r="F152" s="237">
        <v>2</v>
      </c>
      <c r="G152" s="237">
        <v>8.7899999999999991</v>
      </c>
      <c r="H152" s="237">
        <v>63</v>
      </c>
      <c r="I152" s="237">
        <v>48.3</v>
      </c>
      <c r="J152" s="237">
        <v>25.2</v>
      </c>
      <c r="K152" s="237" t="s">
        <v>8264</v>
      </c>
      <c r="L152" s="237" t="s">
        <v>8233</v>
      </c>
      <c r="M152" s="238">
        <v>2</v>
      </c>
    </row>
    <row r="153" spans="1:13" ht="45">
      <c r="A153" s="239" t="s">
        <v>3010</v>
      </c>
      <c r="B153" s="237" t="s">
        <v>8265</v>
      </c>
      <c r="C153" s="237">
        <v>0.21874999999999997</v>
      </c>
      <c r="D153" s="237">
        <v>541</v>
      </c>
      <c r="E153" s="237">
        <v>1806</v>
      </c>
      <c r="F153" s="237">
        <v>2</v>
      </c>
      <c r="G153" s="237">
        <v>8.7899999999999991</v>
      </c>
      <c r="H153" s="237">
        <v>74.400000000000006</v>
      </c>
      <c r="I153" s="237">
        <v>48.3</v>
      </c>
      <c r="J153" s="237">
        <v>36.700000000000003</v>
      </c>
      <c r="K153" s="237" t="s">
        <v>8264</v>
      </c>
      <c r="L153" s="237" t="s">
        <v>8233</v>
      </c>
      <c r="M153" s="238">
        <v>2</v>
      </c>
    </row>
    <row r="154" spans="1:13" ht="45">
      <c r="A154" s="239" t="s">
        <v>3008</v>
      </c>
      <c r="B154" s="237" t="s">
        <v>8265</v>
      </c>
      <c r="C154" s="237">
        <v>0.51249999999999996</v>
      </c>
      <c r="D154" s="237">
        <v>304</v>
      </c>
      <c r="E154" s="237">
        <v>1037</v>
      </c>
      <c r="F154" s="237">
        <v>2</v>
      </c>
      <c r="G154" s="237">
        <v>8.7899999999999991</v>
      </c>
      <c r="H154" s="237">
        <v>55.6</v>
      </c>
      <c r="I154" s="237">
        <v>48.3</v>
      </c>
      <c r="J154" s="237">
        <v>26.7</v>
      </c>
      <c r="K154" s="237" t="s">
        <v>8264</v>
      </c>
      <c r="L154" s="237" t="s">
        <v>8233</v>
      </c>
      <c r="M154" s="238">
        <v>2</v>
      </c>
    </row>
    <row r="155" spans="1:13" ht="45">
      <c r="A155" s="239" t="s">
        <v>3009</v>
      </c>
      <c r="B155" s="237" t="s">
        <v>8265</v>
      </c>
      <c r="C155" s="237">
        <v>0.53749999999999987</v>
      </c>
      <c r="D155" s="237">
        <v>304</v>
      </c>
      <c r="E155" s="237">
        <v>1037</v>
      </c>
      <c r="F155" s="237">
        <v>2</v>
      </c>
      <c r="G155" s="237">
        <v>8.7899999999999991</v>
      </c>
      <c r="H155" s="237">
        <v>55.6</v>
      </c>
      <c r="I155" s="237">
        <v>48.3</v>
      </c>
      <c r="J155" s="237">
        <v>25</v>
      </c>
      <c r="K155" s="237" t="s">
        <v>8264</v>
      </c>
      <c r="L155" s="237" t="s">
        <v>8233</v>
      </c>
      <c r="M155" s="238">
        <v>2</v>
      </c>
    </row>
    <row r="156" spans="1:13" ht="45">
      <c r="A156" s="239" t="s">
        <v>2441</v>
      </c>
      <c r="B156" s="237" t="s">
        <v>8266</v>
      </c>
      <c r="C156" s="237">
        <v>0.26874999999999993</v>
      </c>
      <c r="D156" s="242">
        <v>812</v>
      </c>
      <c r="E156" s="237">
        <v>3395</v>
      </c>
      <c r="F156" s="237">
        <v>4</v>
      </c>
      <c r="G156" s="237">
        <v>17.3</v>
      </c>
      <c r="H156" s="237">
        <v>61</v>
      </c>
      <c r="I156" s="237">
        <v>44</v>
      </c>
      <c r="J156" s="237">
        <v>48.7</v>
      </c>
      <c r="K156" s="237" t="s">
        <v>8267</v>
      </c>
      <c r="L156" s="237" t="s">
        <v>8233</v>
      </c>
      <c r="M156" s="238">
        <v>2</v>
      </c>
    </row>
    <row r="157" spans="1:13" ht="45">
      <c r="A157" s="239" t="s">
        <v>46</v>
      </c>
      <c r="B157" s="237" t="s">
        <v>8268</v>
      </c>
      <c r="C157" s="237">
        <v>0.57499999999999984</v>
      </c>
      <c r="D157" s="242">
        <v>812</v>
      </c>
      <c r="E157" s="237">
        <v>3395</v>
      </c>
      <c r="F157" s="237">
        <v>4</v>
      </c>
      <c r="G157" s="237">
        <v>17.3</v>
      </c>
      <c r="H157" s="237">
        <v>61</v>
      </c>
      <c r="I157" s="237">
        <v>44</v>
      </c>
      <c r="J157" s="237">
        <v>48.7</v>
      </c>
      <c r="K157" s="237" t="s">
        <v>8267</v>
      </c>
      <c r="L157" s="237" t="s">
        <v>8233</v>
      </c>
      <c r="M157" s="238">
        <v>2</v>
      </c>
    </row>
    <row r="158" spans="1:13" ht="45">
      <c r="A158" s="239" t="s">
        <v>8269</v>
      </c>
      <c r="B158" s="237" t="s">
        <v>8270</v>
      </c>
      <c r="C158" s="237">
        <v>0.45874999999999999</v>
      </c>
      <c r="D158" s="242">
        <v>367</v>
      </c>
      <c r="E158" s="237">
        <f>4547-3395</f>
        <v>1152</v>
      </c>
      <c r="F158" s="237">
        <v>4</v>
      </c>
      <c r="G158" s="237">
        <v>17.3</v>
      </c>
      <c r="H158" s="237">
        <v>61</v>
      </c>
      <c r="I158" s="237">
        <v>44</v>
      </c>
      <c r="J158" s="237">
        <v>48.7</v>
      </c>
      <c r="K158" s="237" t="s">
        <v>8267</v>
      </c>
      <c r="L158" s="237" t="s">
        <v>8233</v>
      </c>
      <c r="M158" s="238">
        <v>2</v>
      </c>
    </row>
    <row r="159" spans="1:13" ht="45">
      <c r="A159" s="239" t="s">
        <v>8271</v>
      </c>
      <c r="B159" s="237" t="s">
        <v>8270</v>
      </c>
      <c r="C159" s="237">
        <v>0.45874999999999999</v>
      </c>
      <c r="D159" s="242">
        <v>367</v>
      </c>
      <c r="E159" s="237">
        <f>4547-3395</f>
        <v>1152</v>
      </c>
      <c r="F159" s="237">
        <v>4</v>
      </c>
      <c r="G159" s="237">
        <v>17.3</v>
      </c>
      <c r="H159" s="237">
        <v>61</v>
      </c>
      <c r="I159" s="237">
        <v>44</v>
      </c>
      <c r="J159" s="237">
        <v>48.7</v>
      </c>
      <c r="K159" s="237" t="s">
        <v>8267</v>
      </c>
      <c r="L159" s="237" t="s">
        <v>8233</v>
      </c>
      <c r="M159" s="238">
        <v>2</v>
      </c>
    </row>
    <row r="160" spans="1:13" ht="22.5">
      <c r="A160" s="239" t="s">
        <v>2449</v>
      </c>
      <c r="B160" s="237" t="s">
        <v>8272</v>
      </c>
      <c r="C160" s="237">
        <v>2.4500000000000002</v>
      </c>
      <c r="D160" s="242">
        <v>2400</v>
      </c>
      <c r="E160" s="237">
        <v>8189</v>
      </c>
      <c r="F160" s="237">
        <v>5</v>
      </c>
      <c r="G160" s="237">
        <v>21.7</v>
      </c>
      <c r="H160" s="237">
        <v>85.8</v>
      </c>
      <c r="I160" s="237">
        <v>44.7</v>
      </c>
      <c r="J160" s="237">
        <v>70.3</v>
      </c>
      <c r="K160" s="237" t="s">
        <v>8273</v>
      </c>
      <c r="L160" s="237" t="s">
        <v>8233</v>
      </c>
      <c r="M160" s="238">
        <v>2</v>
      </c>
    </row>
    <row r="161" spans="1:13" ht="33.75">
      <c r="A161" s="239" t="s">
        <v>1299</v>
      </c>
      <c r="B161" s="237" t="s">
        <v>8274</v>
      </c>
      <c r="C161" s="237">
        <v>0.41249999999999998</v>
      </c>
      <c r="D161" s="237">
        <v>330</v>
      </c>
      <c r="E161" s="237">
        <v>1127</v>
      </c>
      <c r="F161" s="237">
        <v>2</v>
      </c>
      <c r="G161" s="237">
        <v>8.8000000000000007</v>
      </c>
      <c r="H161" s="237">
        <v>48.7</v>
      </c>
      <c r="I161" s="237">
        <v>44.9</v>
      </c>
      <c r="J161" s="237">
        <v>25.9</v>
      </c>
      <c r="K161" s="237" t="s">
        <v>8264</v>
      </c>
      <c r="L161" s="237" t="s">
        <v>8233</v>
      </c>
      <c r="M161" s="238">
        <v>2</v>
      </c>
    </row>
    <row r="162" spans="1:13" ht="33.75">
      <c r="A162" s="239" t="s">
        <v>1211</v>
      </c>
      <c r="B162" s="237" t="s">
        <v>8275</v>
      </c>
      <c r="C162" s="237">
        <v>0.3</v>
      </c>
      <c r="D162" s="237">
        <v>240</v>
      </c>
      <c r="E162" s="237">
        <v>821</v>
      </c>
      <c r="F162" s="237">
        <v>2</v>
      </c>
      <c r="G162" s="237">
        <v>8.8000000000000007</v>
      </c>
      <c r="H162" s="237">
        <v>48.7</v>
      </c>
      <c r="I162" s="237">
        <v>44.9</v>
      </c>
      <c r="J162" s="237">
        <v>25.3</v>
      </c>
      <c r="K162" s="237" t="s">
        <v>8264</v>
      </c>
      <c r="L162" s="237" t="s">
        <v>8233</v>
      </c>
      <c r="M162" s="238">
        <v>2</v>
      </c>
    </row>
    <row r="163" spans="1:13" ht="45">
      <c r="A163" s="239" t="s">
        <v>8276</v>
      </c>
      <c r="B163" s="237" t="s">
        <v>8277</v>
      </c>
      <c r="C163" s="237">
        <v>0.78</v>
      </c>
      <c r="D163" s="242">
        <v>624.00000000000011</v>
      </c>
      <c r="E163" s="237">
        <v>2262</v>
      </c>
      <c r="F163" s="237">
        <v>2</v>
      </c>
      <c r="G163" s="237">
        <v>8.5399999999999991</v>
      </c>
      <c r="H163" s="237">
        <v>69.8</v>
      </c>
      <c r="I163" s="237">
        <v>44.36</v>
      </c>
      <c r="J163" s="237">
        <v>29.6</v>
      </c>
      <c r="K163" s="237" t="s">
        <v>8278</v>
      </c>
      <c r="L163" s="237" t="s">
        <v>8233</v>
      </c>
      <c r="M163" s="238">
        <v>2</v>
      </c>
    </row>
    <row r="164" spans="1:13" ht="45">
      <c r="A164" s="239" t="s">
        <v>8279</v>
      </c>
      <c r="B164" s="237" t="s">
        <v>8277</v>
      </c>
      <c r="C164" s="237">
        <v>0.78</v>
      </c>
      <c r="D164" s="242">
        <v>624.00000000000011</v>
      </c>
      <c r="E164" s="237">
        <v>2262</v>
      </c>
      <c r="F164" s="237">
        <v>2</v>
      </c>
      <c r="G164" s="237">
        <v>8.5399999999999991</v>
      </c>
      <c r="H164" s="237">
        <v>69.8</v>
      </c>
      <c r="I164" s="237">
        <v>44.36</v>
      </c>
      <c r="J164" s="237">
        <v>29.6</v>
      </c>
      <c r="K164" s="237" t="s">
        <v>8278</v>
      </c>
      <c r="L164" s="237" t="s">
        <v>8233</v>
      </c>
      <c r="M164" s="238">
        <v>2</v>
      </c>
    </row>
    <row r="165" spans="1:13" ht="33.75">
      <c r="A165" s="239" t="s">
        <v>8280</v>
      </c>
      <c r="B165" s="237" t="s">
        <v>8281</v>
      </c>
      <c r="C165" s="237"/>
      <c r="D165" s="237"/>
      <c r="E165" s="237"/>
      <c r="F165" s="237"/>
      <c r="G165" s="237">
        <v>24.5</v>
      </c>
      <c r="H165" s="237">
        <v>44.6</v>
      </c>
      <c r="I165" s="237">
        <v>2.9</v>
      </c>
      <c r="J165" s="237">
        <v>5.4</v>
      </c>
      <c r="K165" s="237" t="s">
        <v>8282</v>
      </c>
      <c r="L165" s="237"/>
      <c r="M165" s="238"/>
    </row>
    <row r="166" spans="1:13" ht="33.75">
      <c r="A166" s="239" t="s">
        <v>8283</v>
      </c>
      <c r="B166" s="237" t="s">
        <v>8284</v>
      </c>
      <c r="C166" s="237"/>
      <c r="D166" s="237"/>
      <c r="E166" s="237"/>
      <c r="F166" s="237"/>
      <c r="G166" s="237">
        <v>24.5</v>
      </c>
      <c r="H166" s="237">
        <v>44.6</v>
      </c>
      <c r="I166" s="237">
        <v>2.9</v>
      </c>
      <c r="J166" s="237">
        <v>5.4</v>
      </c>
      <c r="K166" s="237" t="s">
        <v>8282</v>
      </c>
      <c r="L166" s="237"/>
      <c r="M166" s="238"/>
    </row>
    <row r="167" spans="1:13" ht="33.75">
      <c r="A167" s="239" t="s">
        <v>8285</v>
      </c>
      <c r="B167" s="237" t="s">
        <v>8284</v>
      </c>
      <c r="C167" s="237"/>
      <c r="D167" s="237"/>
      <c r="E167" s="237"/>
      <c r="F167" s="237"/>
      <c r="G167" s="237">
        <v>24.5</v>
      </c>
      <c r="H167" s="237">
        <v>44.6</v>
      </c>
      <c r="I167" s="237">
        <v>2.9</v>
      </c>
      <c r="J167" s="237">
        <v>5.4</v>
      </c>
      <c r="K167" s="237" t="s">
        <v>8282</v>
      </c>
      <c r="L167" s="237"/>
      <c r="M167" s="238"/>
    </row>
    <row r="168" spans="1:13" ht="33.75">
      <c r="A168" s="239" t="s">
        <v>8286</v>
      </c>
      <c r="B168" s="237" t="s">
        <v>8287</v>
      </c>
      <c r="C168" s="237">
        <v>9.6</v>
      </c>
      <c r="D168" s="242">
        <v>7680</v>
      </c>
      <c r="E168" s="237">
        <v>32409</v>
      </c>
      <c r="F168" s="237">
        <v>9</v>
      </c>
      <c r="G168" s="237">
        <f>12*2.52</f>
        <v>30.240000000000002</v>
      </c>
      <c r="H168" s="237">
        <f>28*2.52</f>
        <v>70.56</v>
      </c>
      <c r="I168" s="237">
        <f>17.5*2.52</f>
        <v>44.1</v>
      </c>
      <c r="J168" s="237"/>
      <c r="K168" s="237" t="s">
        <v>8282</v>
      </c>
      <c r="L168" s="237" t="s">
        <v>3734</v>
      </c>
      <c r="M168" s="238">
        <v>4</v>
      </c>
    </row>
    <row r="169" spans="1:13" ht="33.75">
      <c r="A169" s="239" t="s">
        <v>1124</v>
      </c>
      <c r="B169" s="237" t="s">
        <v>465</v>
      </c>
      <c r="C169" s="237"/>
      <c r="D169" s="237"/>
      <c r="E169" s="237"/>
      <c r="F169" s="237"/>
      <c r="G169" s="237"/>
      <c r="H169" s="237"/>
      <c r="I169" s="237"/>
      <c r="J169" s="237"/>
      <c r="K169" s="237"/>
      <c r="L169" s="237" t="s">
        <v>8245</v>
      </c>
      <c r="M169" s="238">
        <v>2</v>
      </c>
    </row>
    <row r="170" spans="1:13" ht="45">
      <c r="A170" s="239" t="s">
        <v>76</v>
      </c>
      <c r="B170" s="237" t="s">
        <v>2185</v>
      </c>
      <c r="C170" s="237">
        <v>0.75</v>
      </c>
      <c r="D170" s="237">
        <v>600</v>
      </c>
      <c r="E170" s="237">
        <v>1529</v>
      </c>
      <c r="F170" s="237">
        <v>3</v>
      </c>
      <c r="G170" s="237">
        <v>12.95</v>
      </c>
      <c r="H170" s="237">
        <v>57.1</v>
      </c>
      <c r="I170" s="237">
        <v>48.26</v>
      </c>
      <c r="J170" s="237">
        <v>39.92</v>
      </c>
      <c r="K170" s="237" t="s">
        <v>8288</v>
      </c>
      <c r="L170" s="237" t="s">
        <v>8233</v>
      </c>
      <c r="M170" s="238">
        <v>2</v>
      </c>
    </row>
    <row r="171" spans="1:13" ht="22.5">
      <c r="A171" s="239" t="s">
        <v>78</v>
      </c>
      <c r="B171" s="237" t="s">
        <v>2937</v>
      </c>
      <c r="C171" s="237">
        <v>0.75</v>
      </c>
      <c r="D171" s="237">
        <v>600</v>
      </c>
      <c r="E171" s="237">
        <v>1516</v>
      </c>
      <c r="F171" s="237">
        <v>3</v>
      </c>
      <c r="G171" s="237">
        <v>12.95</v>
      </c>
      <c r="H171" s="237">
        <v>57.1</v>
      </c>
      <c r="I171" s="237">
        <v>48.26</v>
      </c>
      <c r="J171" s="237">
        <v>38.56</v>
      </c>
      <c r="K171" s="237" t="s">
        <v>8288</v>
      </c>
      <c r="L171" s="237" t="s">
        <v>8233</v>
      </c>
      <c r="M171" s="238">
        <v>2</v>
      </c>
    </row>
    <row r="172" spans="1:13" ht="33.75">
      <c r="A172" s="239" t="s">
        <v>464</v>
      </c>
      <c r="B172" s="237" t="s">
        <v>465</v>
      </c>
      <c r="C172" s="237"/>
      <c r="D172" s="237"/>
      <c r="E172" s="237"/>
      <c r="F172" s="237">
        <v>42</v>
      </c>
      <c r="G172" s="237">
        <v>180</v>
      </c>
      <c r="H172" s="237">
        <v>114.7</v>
      </c>
      <c r="I172" s="237">
        <v>64.400000000000006</v>
      </c>
      <c r="J172" s="237">
        <v>244</v>
      </c>
      <c r="K172" s="237" t="s">
        <v>8244</v>
      </c>
      <c r="L172" s="237" t="s">
        <v>8245</v>
      </c>
      <c r="M172" s="238">
        <v>2</v>
      </c>
    </row>
    <row r="173" spans="1:13" ht="33.75">
      <c r="A173" s="239" t="s">
        <v>8289</v>
      </c>
      <c r="B173" s="237" t="s">
        <v>8290</v>
      </c>
      <c r="C173" s="237">
        <v>7.1249999999999994E-2</v>
      </c>
      <c r="D173" s="237">
        <v>57</v>
      </c>
      <c r="E173" s="237">
        <v>277</v>
      </c>
      <c r="F173" s="237">
        <v>1</v>
      </c>
      <c r="G173" s="237">
        <v>4.34</v>
      </c>
      <c r="H173" s="237">
        <v>16.510000000000002</v>
      </c>
      <c r="I173" s="237">
        <v>43.2</v>
      </c>
      <c r="J173" s="237">
        <v>3.6</v>
      </c>
      <c r="K173" s="237" t="s">
        <v>8234</v>
      </c>
      <c r="L173" s="237" t="s">
        <v>8233</v>
      </c>
      <c r="M173" s="238">
        <v>1</v>
      </c>
    </row>
    <row r="174" spans="1:13" ht="45">
      <c r="A174" s="239" t="s">
        <v>4713</v>
      </c>
      <c r="B174" s="237" t="s">
        <v>4714</v>
      </c>
      <c r="C174" s="237">
        <v>2.5000000000000001E-2</v>
      </c>
      <c r="D174" s="237">
        <v>20</v>
      </c>
      <c r="E174" s="237">
        <v>146.44999999999999</v>
      </c>
      <c r="F174" s="237">
        <v>1</v>
      </c>
      <c r="G174" s="237">
        <v>4.3</v>
      </c>
      <c r="H174" s="237">
        <v>73</v>
      </c>
      <c r="I174" s="237">
        <v>48.5</v>
      </c>
      <c r="J174" s="237">
        <v>12.8</v>
      </c>
      <c r="K174" s="237" t="s">
        <v>8234</v>
      </c>
      <c r="L174" s="237" t="s">
        <v>8233</v>
      </c>
      <c r="M174" s="238">
        <v>1</v>
      </c>
    </row>
    <row r="175" spans="1:13" ht="45">
      <c r="A175" s="239" t="s">
        <v>8291</v>
      </c>
      <c r="B175" s="237" t="s">
        <v>8292</v>
      </c>
      <c r="C175" s="237">
        <f>D175/0.8/1000</f>
        <v>0.5625</v>
      </c>
      <c r="D175" s="237">
        <v>450</v>
      </c>
      <c r="E175" s="237">
        <v>1365</v>
      </c>
      <c r="F175" s="237">
        <v>1</v>
      </c>
      <c r="G175" s="237">
        <v>4.3</v>
      </c>
      <c r="H175" s="237">
        <v>71.099999999999994</v>
      </c>
      <c r="I175" s="237">
        <v>44</v>
      </c>
      <c r="J175" s="237">
        <v>15.5</v>
      </c>
      <c r="K175" s="237" t="s">
        <v>8278</v>
      </c>
      <c r="L175" s="237" t="s">
        <v>8233</v>
      </c>
      <c r="M175" s="238">
        <v>2</v>
      </c>
    </row>
    <row r="176" spans="1:13" ht="90">
      <c r="A176" s="239" t="s">
        <v>2742</v>
      </c>
      <c r="B176" s="237" t="s">
        <v>4855</v>
      </c>
      <c r="C176" s="237">
        <v>0.56999999999999995</v>
      </c>
      <c r="D176" s="237">
        <v>455.99999999999994</v>
      </c>
      <c r="E176" s="237">
        <v>2627.35</v>
      </c>
      <c r="F176" s="237">
        <v>1</v>
      </c>
      <c r="G176" s="237">
        <v>4.3</v>
      </c>
      <c r="H176" s="237">
        <v>67.3</v>
      </c>
      <c r="I176" s="237">
        <v>44.7</v>
      </c>
      <c r="J176" s="237">
        <v>15.6</v>
      </c>
      <c r="K176" s="237" t="s">
        <v>8293</v>
      </c>
      <c r="L176" s="237" t="s">
        <v>8233</v>
      </c>
      <c r="M176" s="238">
        <v>2</v>
      </c>
    </row>
    <row r="177" spans="1:13" ht="90">
      <c r="A177" s="239" t="s">
        <v>2743</v>
      </c>
      <c r="B177" s="237" t="s">
        <v>4855</v>
      </c>
      <c r="C177" s="237">
        <v>0.56999999999999995</v>
      </c>
      <c r="D177" s="237">
        <v>455.99999999999994</v>
      </c>
      <c r="E177" s="237">
        <v>2627.35</v>
      </c>
      <c r="F177" s="237">
        <v>1</v>
      </c>
      <c r="G177" s="237">
        <v>4.3</v>
      </c>
      <c r="H177" s="237">
        <v>67.3</v>
      </c>
      <c r="I177" s="237">
        <v>44.7</v>
      </c>
      <c r="J177" s="237">
        <v>15.6</v>
      </c>
      <c r="K177" s="237" t="s">
        <v>8293</v>
      </c>
      <c r="L177" s="237" t="s">
        <v>8233</v>
      </c>
      <c r="M177" s="238">
        <v>2</v>
      </c>
    </row>
    <row r="178" spans="1:13" ht="90">
      <c r="A178" s="239" t="s">
        <v>2744</v>
      </c>
      <c r="B178" s="237" t="s">
        <v>4855</v>
      </c>
      <c r="C178" s="237">
        <v>0.56999999999999995</v>
      </c>
      <c r="D178" s="237">
        <v>455.99999999999994</v>
      </c>
      <c r="E178" s="237">
        <v>2627.35</v>
      </c>
      <c r="F178" s="237">
        <v>1</v>
      </c>
      <c r="G178" s="237">
        <v>4.3</v>
      </c>
      <c r="H178" s="237">
        <v>67.3</v>
      </c>
      <c r="I178" s="237">
        <v>44.7</v>
      </c>
      <c r="J178" s="237">
        <v>15.6</v>
      </c>
      <c r="K178" s="237" t="s">
        <v>8293</v>
      </c>
      <c r="L178" s="237" t="s">
        <v>8233</v>
      </c>
      <c r="M178" s="238">
        <v>2</v>
      </c>
    </row>
    <row r="179" spans="1:13" ht="90">
      <c r="A179" s="239" t="s">
        <v>2745</v>
      </c>
      <c r="B179" s="237" t="s">
        <v>4833</v>
      </c>
      <c r="C179" s="237">
        <v>0.56999999999999995</v>
      </c>
      <c r="D179" s="237">
        <v>455.99999999999994</v>
      </c>
      <c r="E179" s="237">
        <v>2627.35</v>
      </c>
      <c r="F179" s="237">
        <v>1</v>
      </c>
      <c r="G179" s="237">
        <v>4.3</v>
      </c>
      <c r="H179" s="237">
        <v>67.3</v>
      </c>
      <c r="I179" s="237">
        <v>44.7</v>
      </c>
      <c r="J179" s="237">
        <v>15.6</v>
      </c>
      <c r="K179" s="237" t="s">
        <v>8293</v>
      </c>
      <c r="L179" s="237" t="s">
        <v>8233</v>
      </c>
      <c r="M179" s="238">
        <v>2</v>
      </c>
    </row>
    <row r="180" spans="1:13" ht="90">
      <c r="A180" s="239" t="s">
        <v>2746</v>
      </c>
      <c r="B180" s="237" t="s">
        <v>4833</v>
      </c>
      <c r="C180" s="237">
        <v>0.56999999999999995</v>
      </c>
      <c r="D180" s="237">
        <v>455.99999999999994</v>
      </c>
      <c r="E180" s="237">
        <v>2627.35</v>
      </c>
      <c r="F180" s="237">
        <v>1</v>
      </c>
      <c r="G180" s="237">
        <v>4.3</v>
      </c>
      <c r="H180" s="237">
        <v>67.3</v>
      </c>
      <c r="I180" s="237">
        <v>44.7</v>
      </c>
      <c r="J180" s="237">
        <v>15.6</v>
      </c>
      <c r="K180" s="237" t="s">
        <v>8293</v>
      </c>
      <c r="L180" s="237" t="s">
        <v>8233</v>
      </c>
      <c r="M180" s="238">
        <v>2</v>
      </c>
    </row>
    <row r="181" spans="1:13" ht="90">
      <c r="A181" s="239" t="s">
        <v>2740</v>
      </c>
      <c r="B181" s="237" t="s">
        <v>4833</v>
      </c>
      <c r="C181" s="237">
        <v>0.56999999999999995</v>
      </c>
      <c r="D181" s="237">
        <v>455.99999999999994</v>
      </c>
      <c r="E181" s="237">
        <v>2627.35</v>
      </c>
      <c r="F181" s="237">
        <v>1</v>
      </c>
      <c r="G181" s="237">
        <v>4.3</v>
      </c>
      <c r="H181" s="237">
        <v>67.3</v>
      </c>
      <c r="I181" s="237">
        <v>44.7</v>
      </c>
      <c r="J181" s="237">
        <v>15.6</v>
      </c>
      <c r="K181" s="237" t="s">
        <v>8293</v>
      </c>
      <c r="L181" s="237" t="s">
        <v>8233</v>
      </c>
      <c r="M181" s="238">
        <v>2</v>
      </c>
    </row>
    <row r="182" spans="1:13" ht="90">
      <c r="A182" s="239" t="s">
        <v>2747</v>
      </c>
      <c r="B182" s="237" t="s">
        <v>4856</v>
      </c>
      <c r="C182" s="237">
        <v>0.56999999999999995</v>
      </c>
      <c r="D182" s="237">
        <v>455.99999999999994</v>
      </c>
      <c r="E182" s="237">
        <v>2627.35</v>
      </c>
      <c r="F182" s="237">
        <v>1</v>
      </c>
      <c r="G182" s="237">
        <v>4.3</v>
      </c>
      <c r="H182" s="237">
        <v>67.3</v>
      </c>
      <c r="I182" s="237">
        <v>44.7</v>
      </c>
      <c r="J182" s="237">
        <v>15.6</v>
      </c>
      <c r="K182" s="237" t="s">
        <v>8293</v>
      </c>
      <c r="L182" s="237" t="s">
        <v>8233</v>
      </c>
      <c r="M182" s="238">
        <v>2</v>
      </c>
    </row>
    <row r="183" spans="1:13" ht="90">
      <c r="A183" s="239" t="s">
        <v>2748</v>
      </c>
      <c r="B183" s="237" t="s">
        <v>4857</v>
      </c>
      <c r="C183" s="237">
        <v>0.56999999999999995</v>
      </c>
      <c r="D183" s="237">
        <v>455.99999999999994</v>
      </c>
      <c r="E183" s="237">
        <v>2627.35</v>
      </c>
      <c r="F183" s="237">
        <v>1</v>
      </c>
      <c r="G183" s="237">
        <v>4.3</v>
      </c>
      <c r="H183" s="237">
        <v>67.3</v>
      </c>
      <c r="I183" s="237">
        <v>44.7</v>
      </c>
      <c r="J183" s="237">
        <v>15.6</v>
      </c>
      <c r="K183" s="237" t="s">
        <v>8293</v>
      </c>
      <c r="L183" s="237" t="s">
        <v>8233</v>
      </c>
      <c r="M183" s="238">
        <v>2</v>
      </c>
    </row>
    <row r="184" spans="1:13" ht="90">
      <c r="A184" s="239" t="s">
        <v>2749</v>
      </c>
      <c r="B184" s="237" t="s">
        <v>4858</v>
      </c>
      <c r="C184" s="237">
        <v>0.56999999999999995</v>
      </c>
      <c r="D184" s="237">
        <v>455.99999999999994</v>
      </c>
      <c r="E184" s="237">
        <v>2627.35</v>
      </c>
      <c r="F184" s="237">
        <v>1</v>
      </c>
      <c r="G184" s="237">
        <v>4.3</v>
      </c>
      <c r="H184" s="237">
        <v>67.3</v>
      </c>
      <c r="I184" s="237">
        <v>44.7</v>
      </c>
      <c r="J184" s="237">
        <v>15.6</v>
      </c>
      <c r="K184" s="237" t="s">
        <v>8293</v>
      </c>
      <c r="L184" s="237" t="s">
        <v>8233</v>
      </c>
      <c r="M184" s="238">
        <v>2</v>
      </c>
    </row>
    <row r="185" spans="1:13" ht="90">
      <c r="A185" s="239" t="s">
        <v>2750</v>
      </c>
      <c r="B185" s="237" t="s">
        <v>4859</v>
      </c>
      <c r="C185" s="237">
        <v>0.56999999999999995</v>
      </c>
      <c r="D185" s="237">
        <v>455.99999999999994</v>
      </c>
      <c r="E185" s="237">
        <v>2627.35</v>
      </c>
      <c r="F185" s="237">
        <v>1</v>
      </c>
      <c r="G185" s="237">
        <v>4.3</v>
      </c>
      <c r="H185" s="237">
        <v>67.3</v>
      </c>
      <c r="I185" s="237">
        <v>44.7</v>
      </c>
      <c r="J185" s="237">
        <v>15.6</v>
      </c>
      <c r="K185" s="237" t="s">
        <v>8293</v>
      </c>
      <c r="L185" s="237" t="s">
        <v>8233</v>
      </c>
      <c r="M185" s="238">
        <v>2</v>
      </c>
    </row>
    <row r="186" spans="1:13" ht="90">
      <c r="A186" s="239" t="s">
        <v>2753</v>
      </c>
      <c r="B186" s="237" t="s">
        <v>4858</v>
      </c>
      <c r="C186" s="237">
        <v>0.56999999999999995</v>
      </c>
      <c r="D186" s="237">
        <v>455.99999999999994</v>
      </c>
      <c r="E186" s="237">
        <v>2627.35</v>
      </c>
      <c r="F186" s="237">
        <v>1</v>
      </c>
      <c r="G186" s="237">
        <v>4.3</v>
      </c>
      <c r="H186" s="237">
        <v>67.3</v>
      </c>
      <c r="I186" s="237">
        <v>44.7</v>
      </c>
      <c r="J186" s="237">
        <v>15.6</v>
      </c>
      <c r="K186" s="237" t="s">
        <v>8293</v>
      </c>
      <c r="L186" s="237" t="s">
        <v>8233</v>
      </c>
      <c r="M186" s="238">
        <v>2</v>
      </c>
    </row>
    <row r="187" spans="1:13" ht="90">
      <c r="A187" s="239" t="s">
        <v>2754</v>
      </c>
      <c r="B187" s="237" t="s">
        <v>4858</v>
      </c>
      <c r="C187" s="237">
        <v>0.56999999999999995</v>
      </c>
      <c r="D187" s="237">
        <v>455.99999999999994</v>
      </c>
      <c r="E187" s="237">
        <v>2627.35</v>
      </c>
      <c r="F187" s="237">
        <v>1</v>
      </c>
      <c r="G187" s="237">
        <v>4.3</v>
      </c>
      <c r="H187" s="237">
        <v>67.3</v>
      </c>
      <c r="I187" s="237">
        <v>44.7</v>
      </c>
      <c r="J187" s="237">
        <v>15.6</v>
      </c>
      <c r="K187" s="237" t="s">
        <v>8293</v>
      </c>
      <c r="L187" s="237" t="s">
        <v>8233</v>
      </c>
      <c r="M187" s="238">
        <v>2</v>
      </c>
    </row>
    <row r="188" spans="1:13" ht="90">
      <c r="A188" s="239" t="s">
        <v>2755</v>
      </c>
      <c r="B188" s="237" t="s">
        <v>4859</v>
      </c>
      <c r="C188" s="237">
        <v>0.56999999999999995</v>
      </c>
      <c r="D188" s="237">
        <v>455.99999999999994</v>
      </c>
      <c r="E188" s="237">
        <v>2627.35</v>
      </c>
      <c r="F188" s="237">
        <v>1</v>
      </c>
      <c r="G188" s="237">
        <v>4.3</v>
      </c>
      <c r="H188" s="237">
        <v>67.3</v>
      </c>
      <c r="I188" s="237">
        <v>44.7</v>
      </c>
      <c r="J188" s="237">
        <v>15.6</v>
      </c>
      <c r="K188" s="237" t="s">
        <v>8293</v>
      </c>
      <c r="L188" s="237" t="s">
        <v>8233</v>
      </c>
      <c r="M188" s="238">
        <v>2</v>
      </c>
    </row>
    <row r="189" spans="1:13" ht="90">
      <c r="A189" s="239" t="s">
        <v>2756</v>
      </c>
      <c r="B189" s="237" t="s">
        <v>4859</v>
      </c>
      <c r="C189" s="237">
        <v>0.56999999999999995</v>
      </c>
      <c r="D189" s="237">
        <v>455.99999999999994</v>
      </c>
      <c r="E189" s="237">
        <v>2627.35</v>
      </c>
      <c r="F189" s="237">
        <v>1</v>
      </c>
      <c r="G189" s="237">
        <v>4.3</v>
      </c>
      <c r="H189" s="237">
        <v>67.3</v>
      </c>
      <c r="I189" s="237">
        <v>44.7</v>
      </c>
      <c r="J189" s="237">
        <v>15.6</v>
      </c>
      <c r="K189" s="237" t="s">
        <v>8293</v>
      </c>
      <c r="L189" s="237" t="s">
        <v>8233</v>
      </c>
      <c r="M189" s="238">
        <v>2</v>
      </c>
    </row>
    <row r="190" spans="1:13" ht="90">
      <c r="A190" s="239" t="s">
        <v>2751</v>
      </c>
      <c r="B190" s="237" t="s">
        <v>4860</v>
      </c>
      <c r="C190" s="237">
        <v>0.56999999999999995</v>
      </c>
      <c r="D190" s="237">
        <v>455.99999999999994</v>
      </c>
      <c r="E190" s="237">
        <v>2627.35</v>
      </c>
      <c r="F190" s="237">
        <v>1</v>
      </c>
      <c r="G190" s="237">
        <v>4.3</v>
      </c>
      <c r="H190" s="237">
        <v>67.3</v>
      </c>
      <c r="I190" s="237">
        <v>44.7</v>
      </c>
      <c r="J190" s="237">
        <v>15.6</v>
      </c>
      <c r="K190" s="237" t="s">
        <v>8293</v>
      </c>
      <c r="L190" s="237" t="s">
        <v>8233</v>
      </c>
      <c r="M190" s="238">
        <v>2</v>
      </c>
    </row>
    <row r="191" spans="1:13" ht="90">
      <c r="A191" s="239" t="s">
        <v>2752</v>
      </c>
      <c r="B191" s="237" t="s">
        <v>4861</v>
      </c>
      <c r="C191" s="237">
        <v>0.77</v>
      </c>
      <c r="D191" s="237">
        <v>616</v>
      </c>
      <c r="E191" s="237">
        <v>2627.35</v>
      </c>
      <c r="F191" s="237">
        <v>1</v>
      </c>
      <c r="G191" s="237">
        <v>4.3</v>
      </c>
      <c r="H191" s="237">
        <v>67.3</v>
      </c>
      <c r="I191" s="237">
        <v>44.7</v>
      </c>
      <c r="J191" s="237">
        <v>15.6</v>
      </c>
      <c r="K191" s="237" t="s">
        <v>8294</v>
      </c>
      <c r="L191" s="237" t="s">
        <v>8233</v>
      </c>
      <c r="M191" s="238">
        <v>2</v>
      </c>
    </row>
    <row r="192" spans="1:13" ht="90">
      <c r="A192" s="239" t="s">
        <v>2757</v>
      </c>
      <c r="B192" s="237" t="s">
        <v>4879</v>
      </c>
      <c r="C192" s="237">
        <v>0.66</v>
      </c>
      <c r="D192" s="237">
        <f t="shared" ref="D192:D235" si="0">C192*800</f>
        <v>528</v>
      </c>
      <c r="E192" s="237">
        <v>3381.03</v>
      </c>
      <c r="F192" s="237">
        <v>2</v>
      </c>
      <c r="G192" s="237">
        <v>8.65</v>
      </c>
      <c r="H192" s="237">
        <v>74.8</v>
      </c>
      <c r="I192" s="237">
        <v>44.7</v>
      </c>
      <c r="J192" s="237">
        <v>28.2</v>
      </c>
      <c r="K192" s="237" t="s">
        <v>8295</v>
      </c>
      <c r="L192" s="237" t="s">
        <v>8233</v>
      </c>
      <c r="M192" s="238">
        <v>2</v>
      </c>
    </row>
    <row r="193" spans="1:13" ht="90">
      <c r="A193" s="239" t="s">
        <v>2758</v>
      </c>
      <c r="B193" s="237" t="s">
        <v>4879</v>
      </c>
      <c r="C193" s="237">
        <v>0.66</v>
      </c>
      <c r="D193" s="237">
        <f t="shared" si="0"/>
        <v>528</v>
      </c>
      <c r="E193" s="237">
        <v>3381.03</v>
      </c>
      <c r="F193" s="237">
        <v>2</v>
      </c>
      <c r="G193" s="237">
        <v>8.65</v>
      </c>
      <c r="H193" s="237">
        <v>74.8</v>
      </c>
      <c r="I193" s="237">
        <v>44.7</v>
      </c>
      <c r="J193" s="237">
        <v>28.2</v>
      </c>
      <c r="K193" s="237" t="s">
        <v>8295</v>
      </c>
      <c r="L193" s="237" t="s">
        <v>8233</v>
      </c>
      <c r="M193" s="238">
        <v>2</v>
      </c>
    </row>
    <row r="194" spans="1:13" ht="90">
      <c r="A194" s="239" t="s">
        <v>2759</v>
      </c>
      <c r="B194" s="237" t="s">
        <v>4880</v>
      </c>
      <c r="C194" s="237">
        <v>0.66</v>
      </c>
      <c r="D194" s="237">
        <f t="shared" si="0"/>
        <v>528</v>
      </c>
      <c r="E194" s="237">
        <v>3381.03</v>
      </c>
      <c r="F194" s="237">
        <v>2</v>
      </c>
      <c r="G194" s="237">
        <v>8.65</v>
      </c>
      <c r="H194" s="237">
        <v>74.8</v>
      </c>
      <c r="I194" s="237">
        <v>44.7</v>
      </c>
      <c r="J194" s="237">
        <v>28.2</v>
      </c>
      <c r="K194" s="237" t="s">
        <v>8295</v>
      </c>
      <c r="L194" s="237" t="s">
        <v>8233</v>
      </c>
      <c r="M194" s="238">
        <v>2</v>
      </c>
    </row>
    <row r="195" spans="1:13" ht="90">
      <c r="A195" s="239" t="s">
        <v>2760</v>
      </c>
      <c r="B195" s="237" t="s">
        <v>4880</v>
      </c>
      <c r="C195" s="237">
        <v>0.85</v>
      </c>
      <c r="D195" s="237">
        <f t="shared" si="0"/>
        <v>680</v>
      </c>
      <c r="E195" s="237">
        <v>3381.03</v>
      </c>
      <c r="F195" s="237">
        <v>2</v>
      </c>
      <c r="G195" s="237">
        <v>8.65</v>
      </c>
      <c r="H195" s="237">
        <v>74.8</v>
      </c>
      <c r="I195" s="237">
        <v>44.7</v>
      </c>
      <c r="J195" s="237">
        <v>28.2</v>
      </c>
      <c r="K195" s="237" t="s">
        <v>8296</v>
      </c>
      <c r="L195" s="237" t="s">
        <v>8233</v>
      </c>
      <c r="M195" s="238">
        <v>2</v>
      </c>
    </row>
    <row r="196" spans="1:13" ht="90">
      <c r="A196" s="239" t="s">
        <v>2741</v>
      </c>
      <c r="B196" s="237" t="s">
        <v>4835</v>
      </c>
      <c r="C196" s="237">
        <v>0.66</v>
      </c>
      <c r="D196" s="237">
        <f t="shared" si="0"/>
        <v>528</v>
      </c>
      <c r="E196" s="237">
        <v>3381.03</v>
      </c>
      <c r="F196" s="237">
        <v>2</v>
      </c>
      <c r="G196" s="237">
        <v>8.65</v>
      </c>
      <c r="H196" s="237">
        <v>74.8</v>
      </c>
      <c r="I196" s="237">
        <v>44.7</v>
      </c>
      <c r="J196" s="237">
        <v>28.2</v>
      </c>
      <c r="K196" s="237" t="s">
        <v>8297</v>
      </c>
      <c r="L196" s="237" t="s">
        <v>8233</v>
      </c>
      <c r="M196" s="238">
        <v>2</v>
      </c>
    </row>
    <row r="197" spans="1:13" ht="90">
      <c r="A197" s="239" t="s">
        <v>2633</v>
      </c>
      <c r="B197" s="237" t="s">
        <v>4878</v>
      </c>
      <c r="C197" s="237">
        <v>0.66</v>
      </c>
      <c r="D197" s="237">
        <f t="shared" si="0"/>
        <v>528</v>
      </c>
      <c r="E197" s="237">
        <v>3381.03</v>
      </c>
      <c r="F197" s="237">
        <v>2</v>
      </c>
      <c r="G197" s="237">
        <v>8.65</v>
      </c>
      <c r="H197" s="237">
        <v>74.8</v>
      </c>
      <c r="I197" s="237">
        <v>44.7</v>
      </c>
      <c r="J197" s="237">
        <v>28.2</v>
      </c>
      <c r="K197" s="237" t="s">
        <v>8297</v>
      </c>
      <c r="L197" s="237" t="s">
        <v>8233</v>
      </c>
      <c r="M197" s="238">
        <v>2</v>
      </c>
    </row>
    <row r="198" spans="1:13" ht="90">
      <c r="A198" s="239" t="s">
        <v>2634</v>
      </c>
      <c r="B198" s="237" t="s">
        <v>4878</v>
      </c>
      <c r="C198" s="237">
        <v>0.85</v>
      </c>
      <c r="D198" s="237">
        <f t="shared" si="0"/>
        <v>680</v>
      </c>
      <c r="E198" s="237">
        <v>3381.03</v>
      </c>
      <c r="F198" s="237">
        <v>2</v>
      </c>
      <c r="G198" s="237">
        <v>8.65</v>
      </c>
      <c r="H198" s="237">
        <v>74.8</v>
      </c>
      <c r="I198" s="237">
        <v>44.7</v>
      </c>
      <c r="J198" s="237">
        <v>28.2</v>
      </c>
      <c r="K198" s="237" t="s">
        <v>8296</v>
      </c>
      <c r="L198" s="237" t="s">
        <v>8233</v>
      </c>
      <c r="M198" s="238">
        <v>2</v>
      </c>
    </row>
    <row r="199" spans="1:13" ht="90">
      <c r="A199" s="239" t="s">
        <v>2761</v>
      </c>
      <c r="B199" s="237" t="s">
        <v>4881</v>
      </c>
      <c r="C199" s="237">
        <v>0.85</v>
      </c>
      <c r="D199" s="237">
        <f t="shared" si="0"/>
        <v>680</v>
      </c>
      <c r="E199" s="237">
        <v>3381.03</v>
      </c>
      <c r="F199" s="237">
        <v>2</v>
      </c>
      <c r="G199" s="237">
        <v>8.65</v>
      </c>
      <c r="H199" s="237">
        <v>74.8</v>
      </c>
      <c r="I199" s="237">
        <v>44.7</v>
      </c>
      <c r="J199" s="237">
        <v>28.2</v>
      </c>
      <c r="K199" s="237" t="s">
        <v>8296</v>
      </c>
      <c r="L199" s="237" t="s">
        <v>8233</v>
      </c>
      <c r="M199" s="238">
        <v>2</v>
      </c>
    </row>
    <row r="200" spans="1:13" ht="90">
      <c r="A200" s="239" t="s">
        <v>2762</v>
      </c>
      <c r="B200" s="237" t="s">
        <v>4882</v>
      </c>
      <c r="C200" s="237">
        <v>0.66</v>
      </c>
      <c r="D200" s="237">
        <f t="shared" si="0"/>
        <v>528</v>
      </c>
      <c r="E200" s="237">
        <v>3381.03</v>
      </c>
      <c r="F200" s="237">
        <v>2</v>
      </c>
      <c r="G200" s="237">
        <v>8.65</v>
      </c>
      <c r="H200" s="237">
        <v>74.8</v>
      </c>
      <c r="I200" s="237">
        <v>44.7</v>
      </c>
      <c r="J200" s="237">
        <v>28.2</v>
      </c>
      <c r="K200" s="237" t="s">
        <v>8297</v>
      </c>
      <c r="L200" s="237" t="s">
        <v>8233</v>
      </c>
      <c r="M200" s="238">
        <v>2</v>
      </c>
    </row>
    <row r="201" spans="1:13" ht="90">
      <c r="A201" s="239" t="s">
        <v>2763</v>
      </c>
      <c r="B201" s="237" t="s">
        <v>4883</v>
      </c>
      <c r="C201" s="237">
        <v>0.66</v>
      </c>
      <c r="D201" s="237">
        <f t="shared" si="0"/>
        <v>528</v>
      </c>
      <c r="E201" s="237">
        <v>3381.03</v>
      </c>
      <c r="F201" s="237">
        <v>2</v>
      </c>
      <c r="G201" s="237">
        <v>8.65</v>
      </c>
      <c r="H201" s="237">
        <v>74.8</v>
      </c>
      <c r="I201" s="237">
        <v>44.7</v>
      </c>
      <c r="J201" s="237">
        <v>28.2</v>
      </c>
      <c r="K201" s="237" t="s">
        <v>8297</v>
      </c>
      <c r="L201" s="237" t="s">
        <v>8233</v>
      </c>
      <c r="M201" s="238">
        <v>2</v>
      </c>
    </row>
    <row r="202" spans="1:13" ht="90">
      <c r="A202" s="239" t="s">
        <v>2764</v>
      </c>
      <c r="B202" s="237" t="s">
        <v>4884</v>
      </c>
      <c r="C202" s="237">
        <v>0.85</v>
      </c>
      <c r="D202" s="237">
        <f t="shared" si="0"/>
        <v>680</v>
      </c>
      <c r="E202" s="237">
        <v>3381.03</v>
      </c>
      <c r="F202" s="237">
        <v>2</v>
      </c>
      <c r="G202" s="237">
        <v>8.65</v>
      </c>
      <c r="H202" s="237">
        <v>74.8</v>
      </c>
      <c r="I202" s="237">
        <v>44.7</v>
      </c>
      <c r="J202" s="237">
        <v>28.2</v>
      </c>
      <c r="K202" s="237" t="s">
        <v>8296</v>
      </c>
      <c r="L202" s="237" t="s">
        <v>8233</v>
      </c>
      <c r="M202" s="238">
        <v>2</v>
      </c>
    </row>
    <row r="203" spans="1:13" ht="90">
      <c r="A203" s="239" t="s">
        <v>4885</v>
      </c>
      <c r="B203" s="237" t="s">
        <v>4883</v>
      </c>
      <c r="C203" s="237">
        <v>0.85</v>
      </c>
      <c r="D203" s="237">
        <f t="shared" si="0"/>
        <v>680</v>
      </c>
      <c r="E203" s="237">
        <v>3381.03</v>
      </c>
      <c r="F203" s="237">
        <v>2</v>
      </c>
      <c r="G203" s="237">
        <v>8.65</v>
      </c>
      <c r="H203" s="237">
        <v>74.8</v>
      </c>
      <c r="I203" s="237">
        <v>44.7</v>
      </c>
      <c r="J203" s="237">
        <v>28.2</v>
      </c>
      <c r="K203" s="237" t="s">
        <v>8296</v>
      </c>
      <c r="L203" s="237" t="s">
        <v>8233</v>
      </c>
      <c r="M203" s="238">
        <v>2</v>
      </c>
    </row>
    <row r="204" spans="1:13" ht="90">
      <c r="A204" s="239" t="s">
        <v>4886</v>
      </c>
      <c r="B204" s="237" t="s">
        <v>4883</v>
      </c>
      <c r="C204" s="237">
        <v>0.66</v>
      </c>
      <c r="D204" s="237">
        <f t="shared" si="0"/>
        <v>528</v>
      </c>
      <c r="E204" s="237">
        <v>3381.03</v>
      </c>
      <c r="F204" s="237">
        <v>2</v>
      </c>
      <c r="G204" s="237">
        <v>8.65</v>
      </c>
      <c r="H204" s="237">
        <v>74.8</v>
      </c>
      <c r="I204" s="237">
        <v>44.7</v>
      </c>
      <c r="J204" s="237">
        <v>28.2</v>
      </c>
      <c r="K204" s="237" t="s">
        <v>8297</v>
      </c>
      <c r="L204" s="237" t="s">
        <v>8233</v>
      </c>
      <c r="M204" s="238">
        <v>2</v>
      </c>
    </row>
    <row r="205" spans="1:13" ht="90">
      <c r="A205" s="239" t="s">
        <v>2765</v>
      </c>
      <c r="B205" s="237" t="s">
        <v>4884</v>
      </c>
      <c r="C205" s="237">
        <v>0.66</v>
      </c>
      <c r="D205" s="237">
        <f t="shared" si="0"/>
        <v>528</v>
      </c>
      <c r="E205" s="237">
        <v>3381.03</v>
      </c>
      <c r="F205" s="237">
        <v>2</v>
      </c>
      <c r="G205" s="237">
        <v>8.65</v>
      </c>
      <c r="H205" s="237">
        <v>74.8</v>
      </c>
      <c r="I205" s="237">
        <v>44.7</v>
      </c>
      <c r="J205" s="237">
        <v>28.2</v>
      </c>
      <c r="K205" s="237" t="s">
        <v>8297</v>
      </c>
      <c r="L205" s="237" t="s">
        <v>8233</v>
      </c>
      <c r="M205" s="238">
        <v>2</v>
      </c>
    </row>
    <row r="206" spans="1:13" ht="90">
      <c r="A206" s="239" t="s">
        <v>2766</v>
      </c>
      <c r="B206" s="237" t="s">
        <v>4884</v>
      </c>
      <c r="C206" s="237">
        <v>0.66</v>
      </c>
      <c r="D206" s="237">
        <f t="shared" si="0"/>
        <v>528</v>
      </c>
      <c r="E206" s="237">
        <v>3381.03</v>
      </c>
      <c r="F206" s="237">
        <v>2</v>
      </c>
      <c r="G206" s="237">
        <v>8.65</v>
      </c>
      <c r="H206" s="237">
        <v>74.8</v>
      </c>
      <c r="I206" s="237">
        <v>44.7</v>
      </c>
      <c r="J206" s="237">
        <v>28.2</v>
      </c>
      <c r="K206" s="237" t="s">
        <v>8297</v>
      </c>
      <c r="L206" s="237" t="s">
        <v>8233</v>
      </c>
      <c r="M206" s="238">
        <v>2</v>
      </c>
    </row>
    <row r="207" spans="1:13" ht="90">
      <c r="A207" s="239" t="s">
        <v>2767</v>
      </c>
      <c r="B207" s="237" t="s">
        <v>4887</v>
      </c>
      <c r="C207" s="237">
        <v>0.66</v>
      </c>
      <c r="D207" s="237">
        <f t="shared" si="0"/>
        <v>528</v>
      </c>
      <c r="E207" s="237">
        <v>3381.03</v>
      </c>
      <c r="F207" s="237">
        <v>2</v>
      </c>
      <c r="G207" s="237">
        <v>8.65</v>
      </c>
      <c r="H207" s="237">
        <v>74.8</v>
      </c>
      <c r="I207" s="237">
        <v>44.7</v>
      </c>
      <c r="J207" s="237">
        <v>28.2</v>
      </c>
      <c r="K207" s="237" t="s">
        <v>8297</v>
      </c>
      <c r="L207" s="237" t="s">
        <v>8233</v>
      </c>
      <c r="M207" s="238">
        <v>2</v>
      </c>
    </row>
    <row r="208" spans="1:13" ht="90">
      <c r="A208" s="239" t="s">
        <v>2768</v>
      </c>
      <c r="B208" s="237" t="s">
        <v>4888</v>
      </c>
      <c r="C208" s="237">
        <v>0.85</v>
      </c>
      <c r="D208" s="237">
        <f t="shared" si="0"/>
        <v>680</v>
      </c>
      <c r="E208" s="237">
        <v>3381.03</v>
      </c>
      <c r="F208" s="237">
        <v>2</v>
      </c>
      <c r="G208" s="237">
        <v>8.65</v>
      </c>
      <c r="H208" s="237">
        <v>74.8</v>
      </c>
      <c r="I208" s="237">
        <v>44.7</v>
      </c>
      <c r="J208" s="237">
        <v>28.2</v>
      </c>
      <c r="K208" s="237" t="s">
        <v>8296</v>
      </c>
      <c r="L208" s="237" t="s">
        <v>8233</v>
      </c>
      <c r="M208" s="238">
        <v>2</v>
      </c>
    </row>
    <row r="209" spans="1:13" ht="90">
      <c r="A209" s="239" t="s">
        <v>2635</v>
      </c>
      <c r="B209" s="237" t="s">
        <v>4900</v>
      </c>
      <c r="C209" s="237">
        <v>1.2010000000000001</v>
      </c>
      <c r="D209" s="237">
        <f t="shared" si="0"/>
        <v>960.80000000000007</v>
      </c>
      <c r="E209" s="237">
        <v>4053</v>
      </c>
      <c r="F209" s="237">
        <v>2</v>
      </c>
      <c r="G209" s="237">
        <v>8.65</v>
      </c>
      <c r="H209" s="237">
        <v>74.599999999999994</v>
      </c>
      <c r="I209" s="237">
        <v>44.5</v>
      </c>
      <c r="J209" s="237">
        <v>30</v>
      </c>
      <c r="K209" s="237" t="s">
        <v>8298</v>
      </c>
      <c r="L209" s="237" t="s">
        <v>8233</v>
      </c>
      <c r="M209" s="238">
        <v>2</v>
      </c>
    </row>
    <row r="210" spans="1:13" ht="90">
      <c r="A210" s="239" t="s">
        <v>2636</v>
      </c>
      <c r="B210" s="237" t="s">
        <v>4901</v>
      </c>
      <c r="C210" s="237">
        <v>1.2010000000000001</v>
      </c>
      <c r="D210" s="237">
        <f t="shared" si="0"/>
        <v>960.80000000000007</v>
      </c>
      <c r="E210" s="237">
        <v>4053</v>
      </c>
      <c r="F210" s="237">
        <v>2</v>
      </c>
      <c r="G210" s="237">
        <v>8.65</v>
      </c>
      <c r="H210" s="237">
        <v>74.599999999999994</v>
      </c>
      <c r="I210" s="237">
        <v>44.5</v>
      </c>
      <c r="J210" s="237">
        <v>30</v>
      </c>
      <c r="K210" s="237" t="s">
        <v>8298</v>
      </c>
      <c r="L210" s="237" t="s">
        <v>8233</v>
      </c>
      <c r="M210" s="238">
        <v>2</v>
      </c>
    </row>
    <row r="211" spans="1:13" ht="90">
      <c r="A211" s="239" t="s">
        <v>2637</v>
      </c>
      <c r="B211" s="237" t="s">
        <v>4902</v>
      </c>
      <c r="C211" s="237">
        <v>1.2010000000000001</v>
      </c>
      <c r="D211" s="237">
        <f t="shared" si="0"/>
        <v>960.80000000000007</v>
      </c>
      <c r="E211" s="237">
        <v>4053</v>
      </c>
      <c r="F211" s="237">
        <v>2</v>
      </c>
      <c r="G211" s="237">
        <v>8.65</v>
      </c>
      <c r="H211" s="237">
        <v>74.599999999999994</v>
      </c>
      <c r="I211" s="237">
        <v>44.5</v>
      </c>
      <c r="J211" s="237">
        <v>30</v>
      </c>
      <c r="K211" s="237" t="s">
        <v>8298</v>
      </c>
      <c r="L211" s="237" t="s">
        <v>8233</v>
      </c>
      <c r="M211" s="238">
        <v>2</v>
      </c>
    </row>
    <row r="212" spans="1:13" ht="90">
      <c r="A212" s="239" t="s">
        <v>2638</v>
      </c>
      <c r="B212" s="237" t="s">
        <v>4903</v>
      </c>
      <c r="C212" s="237">
        <v>0.73099999999999998</v>
      </c>
      <c r="D212" s="237">
        <f t="shared" si="0"/>
        <v>584.79999999999995</v>
      </c>
      <c r="E212" s="237">
        <v>4053</v>
      </c>
      <c r="F212" s="237">
        <v>2</v>
      </c>
      <c r="G212" s="237">
        <v>8.65</v>
      </c>
      <c r="H212" s="237">
        <v>74.599999999999994</v>
      </c>
      <c r="I212" s="237">
        <v>44.5</v>
      </c>
      <c r="J212" s="237">
        <v>30</v>
      </c>
      <c r="K212" s="237" t="s">
        <v>8299</v>
      </c>
      <c r="L212" s="237" t="s">
        <v>8233</v>
      </c>
      <c r="M212" s="238">
        <v>2</v>
      </c>
    </row>
    <row r="213" spans="1:13" ht="90">
      <c r="A213" s="239" t="s">
        <v>2639</v>
      </c>
      <c r="B213" s="237" t="s">
        <v>4904</v>
      </c>
      <c r="C213" s="237">
        <v>1.2010000000000001</v>
      </c>
      <c r="D213" s="237">
        <f t="shared" si="0"/>
        <v>960.80000000000007</v>
      </c>
      <c r="E213" s="237">
        <v>4053</v>
      </c>
      <c r="F213" s="237">
        <v>2</v>
      </c>
      <c r="G213" s="237">
        <v>8.65</v>
      </c>
      <c r="H213" s="237">
        <v>74.599999999999994</v>
      </c>
      <c r="I213" s="237">
        <v>44.5</v>
      </c>
      <c r="J213" s="237">
        <v>30</v>
      </c>
      <c r="K213" s="237" t="s">
        <v>8298</v>
      </c>
      <c r="L213" s="237" t="s">
        <v>8233</v>
      </c>
      <c r="M213" s="238">
        <v>2</v>
      </c>
    </row>
    <row r="214" spans="1:13" ht="90">
      <c r="A214" s="239" t="s">
        <v>2778</v>
      </c>
      <c r="B214" s="237" t="s">
        <v>4911</v>
      </c>
      <c r="C214" s="237">
        <v>0.73099999999999998</v>
      </c>
      <c r="D214" s="237">
        <f t="shared" si="0"/>
        <v>584.79999999999995</v>
      </c>
      <c r="E214" s="237">
        <v>4053</v>
      </c>
      <c r="F214" s="237">
        <v>2</v>
      </c>
      <c r="G214" s="237">
        <v>8.65</v>
      </c>
      <c r="H214" s="237">
        <v>74.599999999999994</v>
      </c>
      <c r="I214" s="237">
        <v>44.5</v>
      </c>
      <c r="J214" s="237">
        <v>30</v>
      </c>
      <c r="K214" s="237" t="s">
        <v>8299</v>
      </c>
      <c r="L214" s="237" t="s">
        <v>8233</v>
      </c>
      <c r="M214" s="238">
        <v>2</v>
      </c>
    </row>
    <row r="215" spans="1:13" ht="90">
      <c r="A215" s="239" t="s">
        <v>2779</v>
      </c>
      <c r="B215" s="237" t="s">
        <v>4782</v>
      </c>
      <c r="C215" s="237">
        <v>0.73099999999999998</v>
      </c>
      <c r="D215" s="237">
        <f t="shared" si="0"/>
        <v>584.79999999999995</v>
      </c>
      <c r="E215" s="237">
        <v>4053</v>
      </c>
      <c r="F215" s="237">
        <v>2</v>
      </c>
      <c r="G215" s="237">
        <v>8.65</v>
      </c>
      <c r="H215" s="237">
        <v>74.599999999999994</v>
      </c>
      <c r="I215" s="237">
        <v>44.5</v>
      </c>
      <c r="J215" s="237">
        <v>30</v>
      </c>
      <c r="K215" s="237" t="s">
        <v>8299</v>
      </c>
      <c r="L215" s="237" t="s">
        <v>8233</v>
      </c>
      <c r="M215" s="238">
        <v>2</v>
      </c>
    </row>
    <row r="216" spans="1:13" ht="90">
      <c r="A216" s="239" t="s">
        <v>2614</v>
      </c>
      <c r="B216" s="237" t="s">
        <v>4862</v>
      </c>
      <c r="C216" s="237">
        <v>0.99299999999999999</v>
      </c>
      <c r="D216" s="237">
        <f t="shared" si="0"/>
        <v>794.4</v>
      </c>
      <c r="E216" s="237">
        <v>3378</v>
      </c>
      <c r="F216" s="237">
        <v>1</v>
      </c>
      <c r="G216" s="237">
        <v>4.3</v>
      </c>
      <c r="H216" s="237">
        <v>74.599999999999994</v>
      </c>
      <c r="I216" s="237">
        <v>44.5</v>
      </c>
      <c r="J216" s="237">
        <v>30</v>
      </c>
      <c r="K216" s="237" t="s">
        <v>8300</v>
      </c>
      <c r="L216" s="237" t="s">
        <v>8233</v>
      </c>
      <c r="M216" s="238">
        <v>2</v>
      </c>
    </row>
    <row r="217" spans="1:13" ht="90">
      <c r="A217" s="239" t="s">
        <v>2615</v>
      </c>
      <c r="B217" s="237" t="s">
        <v>4863</v>
      </c>
      <c r="C217" s="237">
        <v>0.99299999999999999</v>
      </c>
      <c r="D217" s="237">
        <f t="shared" si="0"/>
        <v>794.4</v>
      </c>
      <c r="E217" s="237">
        <v>3378</v>
      </c>
      <c r="F217" s="237">
        <v>1</v>
      </c>
      <c r="G217" s="237">
        <v>4.3</v>
      </c>
      <c r="H217" s="237">
        <v>74.599999999999994</v>
      </c>
      <c r="I217" s="237">
        <v>44.5</v>
      </c>
      <c r="J217" s="237">
        <v>30</v>
      </c>
      <c r="K217" s="237" t="s">
        <v>8300</v>
      </c>
      <c r="L217" s="237" t="s">
        <v>8233</v>
      </c>
      <c r="M217" s="238">
        <v>2</v>
      </c>
    </row>
    <row r="218" spans="1:13" ht="90">
      <c r="A218" s="239" t="s">
        <v>2616</v>
      </c>
      <c r="B218" s="237" t="s">
        <v>4864</v>
      </c>
      <c r="C218" s="237">
        <v>0.99299999999999999</v>
      </c>
      <c r="D218" s="237">
        <f t="shared" si="0"/>
        <v>794.4</v>
      </c>
      <c r="E218" s="237">
        <v>3378</v>
      </c>
      <c r="F218" s="237">
        <v>1</v>
      </c>
      <c r="G218" s="237">
        <v>4.3</v>
      </c>
      <c r="H218" s="237">
        <v>74.599999999999994</v>
      </c>
      <c r="I218" s="237">
        <v>44.5</v>
      </c>
      <c r="J218" s="237">
        <v>30</v>
      </c>
      <c r="K218" s="237" t="s">
        <v>8300</v>
      </c>
      <c r="L218" s="237" t="s">
        <v>8233</v>
      </c>
      <c r="M218" s="238">
        <v>2</v>
      </c>
    </row>
    <row r="219" spans="1:13" ht="90">
      <c r="A219" s="239" t="s">
        <v>2617</v>
      </c>
      <c r="B219" s="237" t="s">
        <v>4865</v>
      </c>
      <c r="C219" s="237">
        <v>0.73099999999999998</v>
      </c>
      <c r="D219" s="237">
        <f t="shared" si="0"/>
        <v>584.79999999999995</v>
      </c>
      <c r="E219" s="237">
        <v>3378</v>
      </c>
      <c r="F219" s="237">
        <v>1</v>
      </c>
      <c r="G219" s="237">
        <v>4.3</v>
      </c>
      <c r="H219" s="237">
        <v>74.599999999999994</v>
      </c>
      <c r="I219" s="237">
        <v>44.5</v>
      </c>
      <c r="J219" s="237">
        <v>30</v>
      </c>
      <c r="K219" s="237" t="s">
        <v>8299</v>
      </c>
      <c r="L219" s="237" t="s">
        <v>8233</v>
      </c>
      <c r="M219" s="238">
        <v>2</v>
      </c>
    </row>
    <row r="220" spans="1:13" ht="90">
      <c r="A220" s="239" t="s">
        <v>2618</v>
      </c>
      <c r="B220" s="237" t="s">
        <v>4866</v>
      </c>
      <c r="C220" s="237">
        <v>0.99299999999999999</v>
      </c>
      <c r="D220" s="237">
        <f t="shared" si="0"/>
        <v>794.4</v>
      </c>
      <c r="E220" s="237">
        <v>3378</v>
      </c>
      <c r="F220" s="237">
        <v>1</v>
      </c>
      <c r="G220" s="237">
        <v>4.3</v>
      </c>
      <c r="H220" s="237">
        <v>74.599999999999994</v>
      </c>
      <c r="I220" s="237">
        <v>44.5</v>
      </c>
      <c r="J220" s="237">
        <v>30</v>
      </c>
      <c r="K220" s="237" t="s">
        <v>8300</v>
      </c>
      <c r="L220" s="237" t="s">
        <v>8233</v>
      </c>
      <c r="M220" s="238">
        <v>2</v>
      </c>
    </row>
    <row r="221" spans="1:13" ht="90">
      <c r="A221" s="239" t="s">
        <v>2619</v>
      </c>
      <c r="B221" s="237" t="s">
        <v>4867</v>
      </c>
      <c r="C221" s="237">
        <v>0.99299999999999999</v>
      </c>
      <c r="D221" s="237">
        <f t="shared" si="0"/>
        <v>794.4</v>
      </c>
      <c r="E221" s="237">
        <v>3378</v>
      </c>
      <c r="F221" s="237">
        <v>1</v>
      </c>
      <c r="G221" s="237">
        <v>4.3</v>
      </c>
      <c r="H221" s="237">
        <v>74.599999999999994</v>
      </c>
      <c r="I221" s="237">
        <v>44.5</v>
      </c>
      <c r="J221" s="237">
        <v>30</v>
      </c>
      <c r="K221" s="237" t="s">
        <v>8300</v>
      </c>
      <c r="L221" s="237" t="s">
        <v>8233</v>
      </c>
      <c r="M221" s="238">
        <v>2</v>
      </c>
    </row>
    <row r="222" spans="1:13" ht="90">
      <c r="A222" s="239" t="s">
        <v>2620</v>
      </c>
      <c r="B222" s="237" t="s">
        <v>4868</v>
      </c>
      <c r="C222" s="237">
        <v>0.73099999999999998</v>
      </c>
      <c r="D222" s="237">
        <f t="shared" si="0"/>
        <v>584.79999999999995</v>
      </c>
      <c r="E222" s="237">
        <v>3378</v>
      </c>
      <c r="F222" s="237">
        <v>1</v>
      </c>
      <c r="G222" s="237">
        <v>4.3</v>
      </c>
      <c r="H222" s="237">
        <v>74.599999999999994</v>
      </c>
      <c r="I222" s="237">
        <v>44.5</v>
      </c>
      <c r="J222" s="237">
        <v>30</v>
      </c>
      <c r="K222" s="237" t="s">
        <v>8299</v>
      </c>
      <c r="L222" s="237" t="s">
        <v>8233</v>
      </c>
      <c r="M222" s="238">
        <v>2</v>
      </c>
    </row>
    <row r="223" spans="1:13" ht="90">
      <c r="A223" s="239" t="s">
        <v>2621</v>
      </c>
      <c r="B223" s="237" t="s">
        <v>4869</v>
      </c>
      <c r="C223" s="237">
        <v>0.73099999999999998</v>
      </c>
      <c r="D223" s="237">
        <f t="shared" si="0"/>
        <v>584.79999999999995</v>
      </c>
      <c r="E223" s="237">
        <v>3378</v>
      </c>
      <c r="F223" s="237">
        <v>1</v>
      </c>
      <c r="G223" s="237">
        <v>4.3</v>
      </c>
      <c r="H223" s="237">
        <v>74.599999999999994</v>
      </c>
      <c r="I223" s="237">
        <v>44.5</v>
      </c>
      <c r="J223" s="237">
        <v>30</v>
      </c>
      <c r="K223" s="237" t="s">
        <v>8299</v>
      </c>
      <c r="L223" s="237" t="s">
        <v>8233</v>
      </c>
      <c r="M223" s="238">
        <v>2</v>
      </c>
    </row>
    <row r="224" spans="1:13" ht="90">
      <c r="A224" s="239" t="s">
        <v>2622</v>
      </c>
      <c r="B224" s="237" t="s">
        <v>4870</v>
      </c>
      <c r="C224" s="237">
        <v>0.73099999999999998</v>
      </c>
      <c r="D224" s="237">
        <f t="shared" si="0"/>
        <v>584.79999999999995</v>
      </c>
      <c r="E224" s="237">
        <v>3378</v>
      </c>
      <c r="F224" s="237">
        <v>1</v>
      </c>
      <c r="G224" s="237">
        <v>4.3</v>
      </c>
      <c r="H224" s="237">
        <v>74.599999999999994</v>
      </c>
      <c r="I224" s="237">
        <v>44.5</v>
      </c>
      <c r="J224" s="237">
        <v>30</v>
      </c>
      <c r="K224" s="237" t="s">
        <v>8299</v>
      </c>
      <c r="L224" s="237" t="s">
        <v>8233</v>
      </c>
      <c r="M224" s="238">
        <v>2</v>
      </c>
    </row>
    <row r="225" spans="1:13" ht="90">
      <c r="A225" s="239" t="s">
        <v>2623</v>
      </c>
      <c r="B225" s="237" t="s">
        <v>4870</v>
      </c>
      <c r="C225" s="237">
        <v>0.73099999999999998</v>
      </c>
      <c r="D225" s="237">
        <f t="shared" si="0"/>
        <v>584.79999999999995</v>
      </c>
      <c r="E225" s="237">
        <v>3378</v>
      </c>
      <c r="F225" s="237">
        <v>1</v>
      </c>
      <c r="G225" s="237">
        <v>4.3</v>
      </c>
      <c r="H225" s="237">
        <v>74.599999999999994</v>
      </c>
      <c r="I225" s="237">
        <v>44.5</v>
      </c>
      <c r="J225" s="237">
        <v>30</v>
      </c>
      <c r="K225" s="237" t="s">
        <v>8299</v>
      </c>
      <c r="L225" s="237" t="s">
        <v>8233</v>
      </c>
      <c r="M225" s="238">
        <v>2</v>
      </c>
    </row>
    <row r="226" spans="1:13" ht="90">
      <c r="A226" s="239" t="s">
        <v>2624</v>
      </c>
      <c r="B226" s="237" t="s">
        <v>4871</v>
      </c>
      <c r="C226" s="237">
        <v>0.73099999999999998</v>
      </c>
      <c r="D226" s="237">
        <f t="shared" si="0"/>
        <v>584.79999999999995</v>
      </c>
      <c r="E226" s="237">
        <v>3378</v>
      </c>
      <c r="F226" s="237">
        <v>1</v>
      </c>
      <c r="G226" s="237">
        <v>4.3</v>
      </c>
      <c r="H226" s="237">
        <v>74.599999999999994</v>
      </c>
      <c r="I226" s="237">
        <v>44.5</v>
      </c>
      <c r="J226" s="237">
        <v>30</v>
      </c>
      <c r="K226" s="237" t="s">
        <v>8299</v>
      </c>
      <c r="L226" s="237" t="s">
        <v>8233</v>
      </c>
      <c r="M226" s="238">
        <v>2</v>
      </c>
    </row>
    <row r="227" spans="1:13" ht="90">
      <c r="A227" s="239" t="s">
        <v>2665</v>
      </c>
      <c r="B227" s="237" t="s">
        <v>4937</v>
      </c>
      <c r="C227" s="237">
        <v>0.73099999999999998</v>
      </c>
      <c r="D227" s="237">
        <f t="shared" si="0"/>
        <v>584.79999999999995</v>
      </c>
      <c r="E227" s="237">
        <v>3378</v>
      </c>
      <c r="F227" s="237">
        <v>1</v>
      </c>
      <c r="G227" s="237">
        <v>4.3</v>
      </c>
      <c r="H227" s="237">
        <v>74.599999999999994</v>
      </c>
      <c r="I227" s="237">
        <v>44.5</v>
      </c>
      <c r="J227" s="237">
        <v>30</v>
      </c>
      <c r="K227" s="237" t="s">
        <v>8299</v>
      </c>
      <c r="L227" s="237" t="s">
        <v>8233</v>
      </c>
      <c r="M227" s="238">
        <v>2</v>
      </c>
    </row>
    <row r="228" spans="1:13" ht="90">
      <c r="A228" s="239" t="s">
        <v>2625</v>
      </c>
      <c r="B228" s="237" t="s">
        <v>4872</v>
      </c>
      <c r="C228" s="237">
        <v>0.73099999999999998</v>
      </c>
      <c r="D228" s="237">
        <f t="shared" si="0"/>
        <v>584.79999999999995</v>
      </c>
      <c r="E228" s="237">
        <v>3378</v>
      </c>
      <c r="F228" s="237">
        <v>1</v>
      </c>
      <c r="G228" s="237">
        <v>4.3</v>
      </c>
      <c r="H228" s="237">
        <v>74.599999999999994</v>
      </c>
      <c r="I228" s="237">
        <v>44.5</v>
      </c>
      <c r="J228" s="237">
        <v>30</v>
      </c>
      <c r="K228" s="237" t="s">
        <v>8299</v>
      </c>
      <c r="L228" s="237" t="s">
        <v>8233</v>
      </c>
      <c r="M228" s="238">
        <v>2</v>
      </c>
    </row>
    <row r="229" spans="1:13" ht="90">
      <c r="A229" s="239" t="s">
        <v>2626</v>
      </c>
      <c r="B229" s="237" t="s">
        <v>4834</v>
      </c>
      <c r="C229" s="237">
        <v>0.73099999999999998</v>
      </c>
      <c r="D229" s="237">
        <f t="shared" si="0"/>
        <v>584.79999999999995</v>
      </c>
      <c r="E229" s="237">
        <v>3378</v>
      </c>
      <c r="F229" s="237">
        <v>1</v>
      </c>
      <c r="G229" s="237">
        <v>4.3</v>
      </c>
      <c r="H229" s="237">
        <v>74.599999999999994</v>
      </c>
      <c r="I229" s="237">
        <v>44.5</v>
      </c>
      <c r="J229" s="237">
        <v>30</v>
      </c>
      <c r="K229" s="237" t="s">
        <v>8299</v>
      </c>
      <c r="L229" s="237" t="s">
        <v>8233</v>
      </c>
      <c r="M229" s="238">
        <v>2</v>
      </c>
    </row>
    <row r="230" spans="1:13" ht="90">
      <c r="A230" s="239" t="s">
        <v>2627</v>
      </c>
      <c r="B230" s="237" t="s">
        <v>4834</v>
      </c>
      <c r="C230" s="237">
        <v>0.73099999999999998</v>
      </c>
      <c r="D230" s="237">
        <f t="shared" si="0"/>
        <v>584.79999999999995</v>
      </c>
      <c r="E230" s="237">
        <v>3378</v>
      </c>
      <c r="F230" s="237">
        <v>1</v>
      </c>
      <c r="G230" s="237">
        <v>4.3</v>
      </c>
      <c r="H230" s="237">
        <v>74.599999999999994</v>
      </c>
      <c r="I230" s="237">
        <v>44.5</v>
      </c>
      <c r="J230" s="237">
        <v>30</v>
      </c>
      <c r="K230" s="237" t="s">
        <v>8299</v>
      </c>
      <c r="L230" s="237" t="s">
        <v>8233</v>
      </c>
      <c r="M230" s="238">
        <v>2</v>
      </c>
    </row>
    <row r="231" spans="1:13" ht="90">
      <c r="A231" s="239" t="s">
        <v>2628</v>
      </c>
      <c r="B231" s="237" t="s">
        <v>4873</v>
      </c>
      <c r="C231" s="237">
        <v>0.73099999999999998</v>
      </c>
      <c r="D231" s="237">
        <f t="shared" si="0"/>
        <v>584.79999999999995</v>
      </c>
      <c r="E231" s="237">
        <v>3378</v>
      </c>
      <c r="F231" s="237">
        <v>1</v>
      </c>
      <c r="G231" s="237">
        <v>4.3</v>
      </c>
      <c r="H231" s="237">
        <v>74.599999999999994</v>
      </c>
      <c r="I231" s="237">
        <v>44.5</v>
      </c>
      <c r="J231" s="237">
        <v>30</v>
      </c>
      <c r="K231" s="237" t="s">
        <v>8299</v>
      </c>
      <c r="L231" s="237" t="s">
        <v>8233</v>
      </c>
      <c r="M231" s="238">
        <v>2</v>
      </c>
    </row>
    <row r="232" spans="1:13" ht="90">
      <c r="A232" s="239" t="s">
        <v>2629</v>
      </c>
      <c r="B232" s="237" t="s">
        <v>4874</v>
      </c>
      <c r="C232" s="237">
        <v>0.73099999999999998</v>
      </c>
      <c r="D232" s="237">
        <f t="shared" si="0"/>
        <v>584.79999999999995</v>
      </c>
      <c r="E232" s="237">
        <v>3378</v>
      </c>
      <c r="F232" s="237">
        <v>1</v>
      </c>
      <c r="G232" s="237">
        <v>4.3</v>
      </c>
      <c r="H232" s="237">
        <v>74.599999999999994</v>
      </c>
      <c r="I232" s="237">
        <v>44.5</v>
      </c>
      <c r="J232" s="237">
        <v>30</v>
      </c>
      <c r="K232" s="237" t="s">
        <v>8299</v>
      </c>
      <c r="L232" s="237" t="s">
        <v>8233</v>
      </c>
      <c r="M232" s="238">
        <v>2</v>
      </c>
    </row>
    <row r="233" spans="1:13" ht="90">
      <c r="A233" s="239" t="s">
        <v>2630</v>
      </c>
      <c r="B233" s="237" t="s">
        <v>4875</v>
      </c>
      <c r="C233" s="237">
        <v>0.73099999999999998</v>
      </c>
      <c r="D233" s="237">
        <f t="shared" si="0"/>
        <v>584.79999999999995</v>
      </c>
      <c r="E233" s="237">
        <v>3378</v>
      </c>
      <c r="F233" s="237">
        <v>1</v>
      </c>
      <c r="G233" s="237">
        <v>4.3</v>
      </c>
      <c r="H233" s="237">
        <v>74.599999999999994</v>
      </c>
      <c r="I233" s="237">
        <v>44.5</v>
      </c>
      <c r="J233" s="237">
        <v>30</v>
      </c>
      <c r="K233" s="237" t="s">
        <v>8299</v>
      </c>
      <c r="L233" s="237" t="s">
        <v>8233</v>
      </c>
      <c r="M233" s="238">
        <v>2</v>
      </c>
    </row>
    <row r="234" spans="1:13" ht="90">
      <c r="A234" s="239" t="s">
        <v>2631</v>
      </c>
      <c r="B234" s="237" t="s">
        <v>4876</v>
      </c>
      <c r="C234" s="237">
        <v>0.99299999999999999</v>
      </c>
      <c r="D234" s="237">
        <f t="shared" si="0"/>
        <v>794.4</v>
      </c>
      <c r="E234" s="237">
        <v>3378</v>
      </c>
      <c r="F234" s="237">
        <v>1</v>
      </c>
      <c r="G234" s="237">
        <v>4.3</v>
      </c>
      <c r="H234" s="237">
        <v>74.599999999999994</v>
      </c>
      <c r="I234" s="237">
        <v>44.5</v>
      </c>
      <c r="J234" s="237">
        <v>30</v>
      </c>
      <c r="K234" s="237" t="s">
        <v>8300</v>
      </c>
      <c r="L234" s="237" t="s">
        <v>8233</v>
      </c>
      <c r="M234" s="238">
        <v>2</v>
      </c>
    </row>
    <row r="235" spans="1:13" ht="90">
      <c r="A235" s="239" t="s">
        <v>2632</v>
      </c>
      <c r="B235" s="237" t="s">
        <v>4877</v>
      </c>
      <c r="C235" s="237">
        <v>0.99299999999999999</v>
      </c>
      <c r="D235" s="237">
        <f t="shared" si="0"/>
        <v>794.4</v>
      </c>
      <c r="E235" s="237">
        <v>3378</v>
      </c>
      <c r="F235" s="237">
        <v>1</v>
      </c>
      <c r="G235" s="237">
        <v>4.3</v>
      </c>
      <c r="H235" s="237">
        <v>74.599999999999994</v>
      </c>
      <c r="I235" s="237">
        <v>44.5</v>
      </c>
      <c r="J235" s="237">
        <v>30</v>
      </c>
      <c r="K235" s="237" t="s">
        <v>8300</v>
      </c>
      <c r="L235" s="237" t="s">
        <v>8233</v>
      </c>
      <c r="M235" s="238">
        <v>2</v>
      </c>
    </row>
    <row r="236" spans="1:13" ht="90">
      <c r="A236" s="239" t="s">
        <v>2689</v>
      </c>
      <c r="B236" s="237" t="s">
        <v>4971</v>
      </c>
      <c r="C236" s="237">
        <v>0.4425</v>
      </c>
      <c r="D236" s="237">
        <v>354</v>
      </c>
      <c r="E236" s="237">
        <v>2752</v>
      </c>
      <c r="F236" s="237"/>
      <c r="G236" s="237">
        <v>5.55</v>
      </c>
      <c r="H236" s="237">
        <v>49.223999999999997</v>
      </c>
      <c r="I236" s="237">
        <v>21.734999999999999</v>
      </c>
      <c r="J236" s="237">
        <v>7.1</v>
      </c>
      <c r="K236" s="237" t="s">
        <v>8299</v>
      </c>
      <c r="L236" s="237"/>
      <c r="M236" s="238"/>
    </row>
    <row r="237" spans="1:13" ht="67.5">
      <c r="A237" s="239" t="s">
        <v>2690</v>
      </c>
      <c r="B237" s="237" t="s">
        <v>4972</v>
      </c>
      <c r="C237" s="237">
        <v>0.4425</v>
      </c>
      <c r="D237" s="237">
        <v>354</v>
      </c>
      <c r="E237" s="237">
        <v>2752</v>
      </c>
      <c r="F237" s="237"/>
      <c r="G237" s="237">
        <v>5.55</v>
      </c>
      <c r="H237" s="237">
        <v>49.223999999999997</v>
      </c>
      <c r="I237" s="237">
        <v>21.734999999999999</v>
      </c>
      <c r="J237" s="237">
        <v>7.1</v>
      </c>
      <c r="K237" s="237"/>
      <c r="L237" s="237"/>
      <c r="M237" s="238"/>
    </row>
    <row r="238" spans="1:13" ht="67.5">
      <c r="A238" s="239" t="s">
        <v>2691</v>
      </c>
      <c r="B238" s="237" t="s">
        <v>4973</v>
      </c>
      <c r="C238" s="237">
        <v>0.4425</v>
      </c>
      <c r="D238" s="237">
        <v>354</v>
      </c>
      <c r="E238" s="237">
        <v>2752</v>
      </c>
      <c r="F238" s="237"/>
      <c r="G238" s="237">
        <v>5.55</v>
      </c>
      <c r="H238" s="237">
        <v>49.223999999999997</v>
      </c>
      <c r="I238" s="237">
        <v>21.734999999999999</v>
      </c>
      <c r="J238" s="237">
        <v>7.1</v>
      </c>
      <c r="K238" s="237"/>
      <c r="L238" s="237"/>
      <c r="M238" s="238"/>
    </row>
    <row r="239" spans="1:13" ht="67.5">
      <c r="A239" s="239" t="s">
        <v>2692</v>
      </c>
      <c r="B239" s="237" t="s">
        <v>4974</v>
      </c>
      <c r="C239" s="237">
        <v>0.4425</v>
      </c>
      <c r="D239" s="237">
        <v>354</v>
      </c>
      <c r="E239" s="237">
        <v>2752</v>
      </c>
      <c r="F239" s="237"/>
      <c r="G239" s="237">
        <v>5.55</v>
      </c>
      <c r="H239" s="237">
        <v>49.223999999999997</v>
      </c>
      <c r="I239" s="237">
        <v>21.734999999999999</v>
      </c>
      <c r="J239" s="237">
        <v>7.1</v>
      </c>
      <c r="K239" s="237"/>
      <c r="L239" s="237"/>
      <c r="M239" s="238"/>
    </row>
    <row r="240" spans="1:13" ht="67.5">
      <c r="A240" s="239" t="s">
        <v>2693</v>
      </c>
      <c r="B240" s="237" t="s">
        <v>4975</v>
      </c>
      <c r="C240" s="237">
        <v>0.4425</v>
      </c>
      <c r="D240" s="237">
        <v>354</v>
      </c>
      <c r="E240" s="237">
        <v>2752</v>
      </c>
      <c r="F240" s="237"/>
      <c r="G240" s="237">
        <v>5.55</v>
      </c>
      <c r="H240" s="237">
        <v>49.223999999999997</v>
      </c>
      <c r="I240" s="237">
        <v>21.734999999999999</v>
      </c>
      <c r="J240" s="237">
        <v>7.1</v>
      </c>
      <c r="K240" s="237"/>
      <c r="L240" s="237"/>
      <c r="M240" s="238"/>
    </row>
    <row r="241" spans="1:13" ht="67.5">
      <c r="A241" s="239" t="s">
        <v>2694</v>
      </c>
      <c r="B241" s="237" t="s">
        <v>4976</v>
      </c>
      <c r="C241" s="237">
        <v>0.4425</v>
      </c>
      <c r="D241" s="237">
        <v>354</v>
      </c>
      <c r="E241" s="237">
        <v>2752</v>
      </c>
      <c r="F241" s="237"/>
      <c r="G241" s="237">
        <v>5.55</v>
      </c>
      <c r="H241" s="237">
        <v>49.223999999999997</v>
      </c>
      <c r="I241" s="237">
        <v>21.734999999999999</v>
      </c>
      <c r="J241" s="237">
        <v>7.1</v>
      </c>
      <c r="K241" s="237"/>
      <c r="L241" s="237"/>
      <c r="M241" s="238"/>
    </row>
    <row r="242" spans="1:13" ht="67.5">
      <c r="A242" s="239" t="s">
        <v>2695</v>
      </c>
      <c r="B242" s="237" t="s">
        <v>4977</v>
      </c>
      <c r="C242" s="237">
        <v>0.4425</v>
      </c>
      <c r="D242" s="237">
        <v>354</v>
      </c>
      <c r="E242" s="237">
        <v>2752</v>
      </c>
      <c r="F242" s="237"/>
      <c r="G242" s="237">
        <v>5.55</v>
      </c>
      <c r="H242" s="237">
        <v>49.223999999999997</v>
      </c>
      <c r="I242" s="237">
        <v>21.734999999999999</v>
      </c>
      <c r="J242" s="237">
        <v>7.1</v>
      </c>
      <c r="K242" s="237"/>
      <c r="L242" s="237"/>
      <c r="M242" s="238"/>
    </row>
    <row r="243" spans="1:13" ht="67.5">
      <c r="A243" s="239" t="s">
        <v>2696</v>
      </c>
      <c r="B243" s="237" t="s">
        <v>4977</v>
      </c>
      <c r="C243" s="237">
        <v>0.4425</v>
      </c>
      <c r="D243" s="237">
        <v>354</v>
      </c>
      <c r="E243" s="237">
        <v>2752</v>
      </c>
      <c r="F243" s="237"/>
      <c r="G243" s="237">
        <v>5.55</v>
      </c>
      <c r="H243" s="237">
        <v>49.223999999999997</v>
      </c>
      <c r="I243" s="237">
        <v>21.734999999999999</v>
      </c>
      <c r="J243" s="237">
        <v>7.1</v>
      </c>
      <c r="K243" s="237"/>
      <c r="L243" s="237"/>
      <c r="M243" s="238"/>
    </row>
    <row r="244" spans="1:13" ht="67.5">
      <c r="A244" s="239" t="s">
        <v>2697</v>
      </c>
      <c r="B244" s="237" t="s">
        <v>4978</v>
      </c>
      <c r="C244" s="237">
        <v>0.4425</v>
      </c>
      <c r="D244" s="237">
        <v>354</v>
      </c>
      <c r="E244" s="237">
        <v>2752</v>
      </c>
      <c r="F244" s="237"/>
      <c r="G244" s="237">
        <v>5.55</v>
      </c>
      <c r="H244" s="237">
        <v>49.223999999999997</v>
      </c>
      <c r="I244" s="237">
        <v>21.734999999999999</v>
      </c>
      <c r="J244" s="237">
        <v>7.1</v>
      </c>
      <c r="K244" s="237"/>
      <c r="L244" s="237"/>
      <c r="M244" s="238"/>
    </row>
    <row r="245" spans="1:13" ht="67.5">
      <c r="A245" s="239" t="s">
        <v>2698</v>
      </c>
      <c r="B245" s="237" t="s">
        <v>4979</v>
      </c>
      <c r="C245" s="237">
        <v>0.4425</v>
      </c>
      <c r="D245" s="237">
        <v>354</v>
      </c>
      <c r="E245" s="237">
        <v>2752</v>
      </c>
      <c r="F245" s="237"/>
      <c r="G245" s="237">
        <v>5.55</v>
      </c>
      <c r="H245" s="237">
        <v>49.223999999999997</v>
      </c>
      <c r="I245" s="237">
        <v>21.734999999999999</v>
      </c>
      <c r="J245" s="237">
        <v>7.1</v>
      </c>
      <c r="K245" s="237"/>
      <c r="L245" s="237"/>
      <c r="M245" s="238"/>
    </row>
    <row r="246" spans="1:13" ht="67.5">
      <c r="A246" s="239" t="s">
        <v>2699</v>
      </c>
      <c r="B246" s="237" t="s">
        <v>4980</v>
      </c>
      <c r="C246" s="237">
        <v>0.4425</v>
      </c>
      <c r="D246" s="237">
        <v>354</v>
      </c>
      <c r="E246" s="237">
        <v>2752</v>
      </c>
      <c r="F246" s="237"/>
      <c r="G246" s="237">
        <v>5.55</v>
      </c>
      <c r="H246" s="237">
        <v>49.223999999999997</v>
      </c>
      <c r="I246" s="237">
        <v>21.734999999999999</v>
      </c>
      <c r="J246" s="237">
        <v>7.1</v>
      </c>
      <c r="K246" s="237"/>
      <c r="L246" s="237"/>
      <c r="M246" s="238"/>
    </row>
    <row r="247" spans="1:13" ht="78.75">
      <c r="A247" s="239" t="s">
        <v>4942</v>
      </c>
      <c r="B247" s="237" t="s">
        <v>4943</v>
      </c>
      <c r="C247" s="237"/>
      <c r="D247" s="237"/>
      <c r="E247" s="237"/>
      <c r="F247" s="237"/>
      <c r="G247" s="237">
        <v>24.5</v>
      </c>
      <c r="H247" s="237">
        <v>44.6</v>
      </c>
      <c r="I247" s="237">
        <v>2.9</v>
      </c>
      <c r="J247" s="237">
        <v>5.4</v>
      </c>
      <c r="K247" s="237"/>
      <c r="L247" s="237"/>
      <c r="M247" s="238"/>
    </row>
    <row r="248" spans="1:13" ht="33.75">
      <c r="A248" s="239" t="s">
        <v>2668</v>
      </c>
      <c r="B248" s="237" t="s">
        <v>4944</v>
      </c>
      <c r="C248" s="237"/>
      <c r="D248" s="237"/>
      <c r="E248" s="237"/>
      <c r="F248" s="237"/>
      <c r="G248" s="237">
        <v>24.5</v>
      </c>
      <c r="H248" s="237">
        <v>44.6</v>
      </c>
      <c r="I248" s="237">
        <v>2.9</v>
      </c>
      <c r="J248" s="237">
        <v>5.4</v>
      </c>
      <c r="K248" s="237"/>
      <c r="L248" s="237"/>
      <c r="M248" s="238"/>
    </row>
    <row r="249" spans="1:13" ht="33.75">
      <c r="A249" s="239" t="s">
        <v>2669</v>
      </c>
      <c r="B249" s="237" t="s">
        <v>4945</v>
      </c>
      <c r="C249" s="237"/>
      <c r="D249" s="237"/>
      <c r="E249" s="237"/>
      <c r="F249" s="237"/>
      <c r="G249" s="237">
        <v>24.5</v>
      </c>
      <c r="H249" s="237">
        <v>44.6</v>
      </c>
      <c r="I249" s="237">
        <v>2.9</v>
      </c>
      <c r="J249" s="237">
        <v>5.4</v>
      </c>
      <c r="K249" s="237"/>
      <c r="L249" s="237"/>
      <c r="M249" s="238"/>
    </row>
    <row r="250" spans="1:13" ht="33.75">
      <c r="A250" s="239" t="s">
        <v>2670</v>
      </c>
      <c r="B250" s="237" t="s">
        <v>4946</v>
      </c>
      <c r="C250" s="237"/>
      <c r="D250" s="237"/>
      <c r="E250" s="237"/>
      <c r="F250" s="237"/>
      <c r="G250" s="237">
        <v>24.5</v>
      </c>
      <c r="H250" s="237">
        <v>44.6</v>
      </c>
      <c r="I250" s="237">
        <v>2.9</v>
      </c>
      <c r="J250" s="237">
        <v>5.4</v>
      </c>
      <c r="K250" s="237"/>
      <c r="L250" s="237"/>
      <c r="M250" s="238"/>
    </row>
    <row r="251" spans="1:13" ht="33.75">
      <c r="A251" s="239" t="s">
        <v>2671</v>
      </c>
      <c r="B251" s="237" t="s">
        <v>4947</v>
      </c>
      <c r="C251" s="237"/>
      <c r="D251" s="237"/>
      <c r="E251" s="237"/>
      <c r="F251" s="237"/>
      <c r="G251" s="237">
        <v>24.5</v>
      </c>
      <c r="H251" s="237">
        <v>44.6</v>
      </c>
      <c r="I251" s="237">
        <v>2.9</v>
      </c>
      <c r="J251" s="237">
        <v>5.4</v>
      </c>
      <c r="K251" s="237"/>
      <c r="L251" s="237"/>
      <c r="M251" s="238"/>
    </row>
    <row r="252" spans="1:13" ht="33.75">
      <c r="A252" s="239" t="s">
        <v>2672</v>
      </c>
      <c r="B252" s="237" t="s">
        <v>4948</v>
      </c>
      <c r="C252" s="237"/>
      <c r="D252" s="237"/>
      <c r="E252" s="237"/>
      <c r="F252" s="237"/>
      <c r="G252" s="237">
        <v>24.5</v>
      </c>
      <c r="H252" s="237">
        <v>44.6</v>
      </c>
      <c r="I252" s="237">
        <v>2.9</v>
      </c>
      <c r="J252" s="237">
        <v>5.4</v>
      </c>
      <c r="K252" s="237"/>
      <c r="L252" s="237"/>
      <c r="M252" s="238"/>
    </row>
    <row r="253" spans="1:13" ht="33.75">
      <c r="A253" s="239" t="s">
        <v>2673</v>
      </c>
      <c r="B253" s="237" t="s">
        <v>4949</v>
      </c>
      <c r="C253" s="237"/>
      <c r="D253" s="237"/>
      <c r="E253" s="237"/>
      <c r="F253" s="237"/>
      <c r="G253" s="237">
        <v>24.5</v>
      </c>
      <c r="H253" s="237">
        <v>44.6</v>
      </c>
      <c r="I253" s="237">
        <v>2.9</v>
      </c>
      <c r="J253" s="237">
        <v>5.4</v>
      </c>
      <c r="K253" s="237"/>
      <c r="L253" s="237"/>
      <c r="M253" s="238"/>
    </row>
    <row r="254" spans="1:13" ht="33.75">
      <c r="A254" s="239" t="s">
        <v>2674</v>
      </c>
      <c r="B254" s="237" t="s">
        <v>4950</v>
      </c>
      <c r="C254" s="237"/>
      <c r="D254" s="237"/>
      <c r="E254" s="237"/>
      <c r="F254" s="237"/>
      <c r="G254" s="237">
        <v>24.5</v>
      </c>
      <c r="H254" s="237">
        <v>44.6</v>
      </c>
      <c r="I254" s="237">
        <v>2.9</v>
      </c>
      <c r="J254" s="237">
        <v>5.4</v>
      </c>
      <c r="K254" s="237"/>
      <c r="L254" s="237"/>
      <c r="M254" s="238"/>
    </row>
    <row r="255" spans="1:13" ht="33.75">
      <c r="A255" s="239" t="s">
        <v>2675</v>
      </c>
      <c r="B255" s="237" t="s">
        <v>4951</v>
      </c>
      <c r="C255" s="237"/>
      <c r="D255" s="237"/>
      <c r="E255" s="237"/>
      <c r="F255" s="237"/>
      <c r="G255" s="237">
        <v>24.5</v>
      </c>
      <c r="H255" s="237">
        <v>44.6</v>
      </c>
      <c r="I255" s="237">
        <v>2.9</v>
      </c>
      <c r="J255" s="237">
        <v>5.4</v>
      </c>
      <c r="K255" s="237"/>
      <c r="L255" s="237"/>
      <c r="M255" s="238"/>
    </row>
    <row r="256" spans="1:13" ht="33.75">
      <c r="A256" s="239" t="s">
        <v>2676</v>
      </c>
      <c r="B256" s="237" t="s">
        <v>4952</v>
      </c>
      <c r="C256" s="237"/>
      <c r="D256" s="237"/>
      <c r="E256" s="237"/>
      <c r="F256" s="237"/>
      <c r="G256" s="237">
        <v>24.5</v>
      </c>
      <c r="H256" s="237">
        <v>44.6</v>
      </c>
      <c r="I256" s="237">
        <v>2.9</v>
      </c>
      <c r="J256" s="237">
        <v>5.4</v>
      </c>
      <c r="K256" s="237"/>
      <c r="L256" s="237"/>
      <c r="M256" s="238"/>
    </row>
    <row r="257" spans="1:13" ht="33.75">
      <c r="A257" s="239" t="s">
        <v>2677</v>
      </c>
      <c r="B257" s="237" t="s">
        <v>4953</v>
      </c>
      <c r="C257" s="237"/>
      <c r="D257" s="237"/>
      <c r="E257" s="237"/>
      <c r="F257" s="237"/>
      <c r="G257" s="237">
        <v>24.5</v>
      </c>
      <c r="H257" s="237">
        <v>44.6</v>
      </c>
      <c r="I257" s="237">
        <v>2.9</v>
      </c>
      <c r="J257" s="237">
        <v>5.4</v>
      </c>
      <c r="K257" s="237"/>
      <c r="L257" s="237"/>
      <c r="M257" s="238"/>
    </row>
    <row r="258" spans="1:13" ht="45">
      <c r="A258" s="239" t="s">
        <v>2681</v>
      </c>
      <c r="B258" s="237" t="s">
        <v>4957</v>
      </c>
      <c r="C258" s="237"/>
      <c r="D258" s="237"/>
      <c r="E258" s="237"/>
      <c r="F258" s="237"/>
      <c r="G258" s="237">
        <v>24.5</v>
      </c>
      <c r="H258" s="237">
        <v>44.6</v>
      </c>
      <c r="I258" s="237">
        <v>2.9</v>
      </c>
      <c r="J258" s="237">
        <v>5.4</v>
      </c>
      <c r="K258" s="237"/>
      <c r="L258" s="237"/>
      <c r="M258" s="238"/>
    </row>
    <row r="259" spans="1:13" ht="45">
      <c r="A259" s="239" t="s">
        <v>2682</v>
      </c>
      <c r="B259" s="237" t="s">
        <v>4958</v>
      </c>
      <c r="C259" s="237"/>
      <c r="D259" s="237"/>
      <c r="E259" s="237"/>
      <c r="F259" s="237"/>
      <c r="G259" s="237">
        <v>24.5</v>
      </c>
      <c r="H259" s="237">
        <v>44.6</v>
      </c>
      <c r="I259" s="237">
        <v>2.9</v>
      </c>
      <c r="J259" s="237">
        <v>5.4</v>
      </c>
      <c r="K259" s="237"/>
      <c r="L259" s="237"/>
      <c r="M259" s="238"/>
    </row>
    <row r="260" spans="1:13" ht="45">
      <c r="A260" s="239" t="s">
        <v>2683</v>
      </c>
      <c r="B260" s="237" t="s">
        <v>4959</v>
      </c>
      <c r="C260" s="237"/>
      <c r="D260" s="237"/>
      <c r="E260" s="237"/>
      <c r="F260" s="237"/>
      <c r="G260" s="237">
        <v>24.5</v>
      </c>
      <c r="H260" s="237">
        <v>44.6</v>
      </c>
      <c r="I260" s="237">
        <v>2.9</v>
      </c>
      <c r="J260" s="237">
        <v>5.4</v>
      </c>
      <c r="K260" s="237"/>
      <c r="L260" s="237"/>
      <c r="M260" s="238"/>
    </row>
    <row r="261" spans="1:13" ht="33.75">
      <c r="A261" s="239" t="s">
        <v>2678</v>
      </c>
      <c r="B261" s="237" t="s">
        <v>4954</v>
      </c>
      <c r="C261" s="237"/>
      <c r="D261" s="237"/>
      <c r="E261" s="237"/>
      <c r="F261" s="237"/>
      <c r="G261" s="237">
        <v>24.5</v>
      </c>
      <c r="H261" s="237">
        <v>44.6</v>
      </c>
      <c r="I261" s="237">
        <v>2.9</v>
      </c>
      <c r="J261" s="237">
        <v>5.4</v>
      </c>
      <c r="K261" s="237"/>
      <c r="L261" s="237"/>
      <c r="M261" s="238"/>
    </row>
    <row r="262" spans="1:13" ht="33.75">
      <c r="A262" s="239" t="s">
        <v>2679</v>
      </c>
      <c r="B262" s="237" t="s">
        <v>4955</v>
      </c>
      <c r="C262" s="237"/>
      <c r="D262" s="237"/>
      <c r="E262" s="237"/>
      <c r="F262" s="237"/>
      <c r="G262" s="237">
        <v>24.5</v>
      </c>
      <c r="H262" s="237">
        <v>44.6</v>
      </c>
      <c r="I262" s="237">
        <v>2.9</v>
      </c>
      <c r="J262" s="237">
        <v>5.4</v>
      </c>
      <c r="K262" s="237"/>
      <c r="L262" s="237"/>
      <c r="M262" s="238"/>
    </row>
    <row r="263" spans="1:13" ht="33.75">
      <c r="A263" s="239" t="s">
        <v>2680</v>
      </c>
      <c r="B263" s="237" t="s">
        <v>4956</v>
      </c>
      <c r="C263" s="237"/>
      <c r="D263" s="237"/>
      <c r="E263" s="237"/>
      <c r="F263" s="237"/>
      <c r="G263" s="237">
        <v>24.5</v>
      </c>
      <c r="H263" s="237">
        <v>44.6</v>
      </c>
      <c r="I263" s="237">
        <v>2.9</v>
      </c>
      <c r="J263" s="237">
        <v>5.4</v>
      </c>
      <c r="K263" s="237"/>
      <c r="L263" s="237"/>
      <c r="M263" s="238"/>
    </row>
    <row r="264" spans="1:13" ht="33.75">
      <c r="A264" s="239" t="s">
        <v>480</v>
      </c>
      <c r="B264" s="237" t="s">
        <v>8301</v>
      </c>
      <c r="C264" s="237">
        <v>3.5</v>
      </c>
      <c r="D264" s="237">
        <f>C264*D246/C246</f>
        <v>2800</v>
      </c>
      <c r="E264" s="237">
        <v>11942</v>
      </c>
      <c r="F264" s="237">
        <v>7</v>
      </c>
      <c r="G264" s="237">
        <v>30.6</v>
      </c>
      <c r="H264" s="237">
        <v>73.3</v>
      </c>
      <c r="I264" s="237">
        <v>44.4</v>
      </c>
      <c r="J264" s="237">
        <v>108</v>
      </c>
      <c r="K264" s="237" t="s">
        <v>8302</v>
      </c>
      <c r="L264" s="237"/>
      <c r="M264" s="238"/>
    </row>
    <row r="265" spans="1:13" ht="56.25">
      <c r="A265" s="239" t="s">
        <v>2734</v>
      </c>
      <c r="B265" s="237" t="s">
        <v>8303</v>
      </c>
      <c r="C265" s="237">
        <f>D265*C264/D264</f>
        <v>5.6924999999999996E-2</v>
      </c>
      <c r="D265" s="237">
        <v>45.54</v>
      </c>
      <c r="E265" s="237">
        <v>155.38999999999999</v>
      </c>
      <c r="F265" s="237">
        <v>1</v>
      </c>
      <c r="G265" s="237">
        <v>4.3</v>
      </c>
      <c r="H265" s="237">
        <v>51</v>
      </c>
      <c r="I265" s="237">
        <v>43.4</v>
      </c>
      <c r="J265" s="237">
        <v>12.9</v>
      </c>
      <c r="K265" s="237" t="s">
        <v>8304</v>
      </c>
      <c r="L265" s="237"/>
      <c r="M265" s="238"/>
    </row>
    <row r="266" spans="1:13" ht="33.75">
      <c r="A266" s="239" t="s">
        <v>2578</v>
      </c>
      <c r="B266" s="237" t="s">
        <v>8305</v>
      </c>
      <c r="C266" s="237">
        <v>1.1000000000000001</v>
      </c>
      <c r="D266" s="237">
        <f>C266*D265/C265</f>
        <v>880.00000000000011</v>
      </c>
      <c r="E266" s="237">
        <v>3610</v>
      </c>
      <c r="F266" s="237"/>
      <c r="G266" s="237">
        <v>44</v>
      </c>
      <c r="H266" s="237">
        <v>75</v>
      </c>
      <c r="I266" s="237">
        <v>21.8</v>
      </c>
      <c r="J266" s="237">
        <v>39.799999999999997</v>
      </c>
      <c r="K266" s="237" t="s">
        <v>8306</v>
      </c>
      <c r="L266" s="237" t="s">
        <v>8307</v>
      </c>
      <c r="M266" s="238">
        <v>2</v>
      </c>
    </row>
    <row r="267" spans="1:13" ht="67.5">
      <c r="A267" s="239" t="s">
        <v>2256</v>
      </c>
      <c r="B267" s="237" t="s">
        <v>3855</v>
      </c>
      <c r="C267" s="237">
        <v>0.21</v>
      </c>
      <c r="D267" s="237">
        <v>168</v>
      </c>
      <c r="E267" s="237">
        <f>4*D267</f>
        <v>672</v>
      </c>
      <c r="F267" s="237">
        <v>1</v>
      </c>
      <c r="G267" s="237">
        <v>5.8</v>
      </c>
      <c r="H267" s="237">
        <v>33.200000000000003</v>
      </c>
      <c r="I267" s="237">
        <v>21.3</v>
      </c>
      <c r="J267" s="237">
        <v>4.3</v>
      </c>
      <c r="K267" s="237" t="s">
        <v>8306</v>
      </c>
      <c r="L267" s="237" t="s">
        <v>8233</v>
      </c>
      <c r="M267" s="238">
        <v>1</v>
      </c>
    </row>
    <row r="268" spans="1:13" ht="67.5">
      <c r="A268" s="239" t="s">
        <v>2949</v>
      </c>
      <c r="B268" s="237" t="s">
        <v>3856</v>
      </c>
      <c r="C268" s="237">
        <v>0.21</v>
      </c>
      <c r="D268" s="237">
        <v>168</v>
      </c>
      <c r="E268" s="237">
        <f>4*D268</f>
        <v>672</v>
      </c>
      <c r="F268" s="237">
        <v>1</v>
      </c>
      <c r="G268" s="237">
        <v>5.8</v>
      </c>
      <c r="H268" s="237">
        <v>33.200000000000003</v>
      </c>
      <c r="I268" s="237">
        <v>21.3</v>
      </c>
      <c r="J268" s="237">
        <v>4.3</v>
      </c>
      <c r="K268" s="237" t="s">
        <v>8306</v>
      </c>
      <c r="L268" s="237" t="s">
        <v>8233</v>
      </c>
      <c r="M268" s="238">
        <v>1</v>
      </c>
    </row>
    <row r="269" spans="1:13" ht="33.75">
      <c r="A269" s="239" t="s">
        <v>5119</v>
      </c>
      <c r="B269" s="237" t="s">
        <v>8308</v>
      </c>
      <c r="C269" s="237"/>
      <c r="D269" s="237"/>
      <c r="E269" s="237"/>
      <c r="F269" s="237">
        <v>42</v>
      </c>
      <c r="G269" s="237">
        <v>180</v>
      </c>
      <c r="H269" s="237">
        <v>120</v>
      </c>
      <c r="I269" s="237">
        <v>60.5</v>
      </c>
      <c r="J269" s="237">
        <v>150</v>
      </c>
      <c r="K269" s="237" t="s">
        <v>8244</v>
      </c>
      <c r="L269" s="237" t="s">
        <v>8245</v>
      </c>
      <c r="M269" s="238"/>
    </row>
    <row r="270" spans="1:13" ht="90">
      <c r="A270" s="239" t="s">
        <v>8309</v>
      </c>
      <c r="B270" s="237" t="s">
        <v>5711</v>
      </c>
      <c r="C270" s="237">
        <v>0.73199999999999998</v>
      </c>
      <c r="D270" s="237">
        <f>C270*$D$246/$C$246</f>
        <v>585.59999999999991</v>
      </c>
      <c r="E270" s="237">
        <v>2497.7732997481107</v>
      </c>
      <c r="F270" s="237">
        <v>2</v>
      </c>
      <c r="G270" s="237">
        <v>8.65</v>
      </c>
      <c r="H270" s="237">
        <v>80</v>
      </c>
      <c r="I270" s="237">
        <v>44.56</v>
      </c>
      <c r="J270" s="237">
        <v>34</v>
      </c>
      <c r="K270" s="237" t="s">
        <v>8299</v>
      </c>
      <c r="L270" s="237" t="s">
        <v>8233</v>
      </c>
      <c r="M270" s="238">
        <v>2</v>
      </c>
    </row>
    <row r="271" spans="1:13" ht="90">
      <c r="A271" s="239" t="s">
        <v>8310</v>
      </c>
      <c r="B271" s="237" t="s">
        <v>8311</v>
      </c>
      <c r="C271" s="237">
        <v>0.73199999999999998</v>
      </c>
      <c r="D271" s="237">
        <f t="shared" ref="D271:D312" si="1">C271*$D$246/$C$246</f>
        <v>585.59999999999991</v>
      </c>
      <c r="E271" s="237">
        <v>2497.7732997481107</v>
      </c>
      <c r="F271" s="237">
        <v>2</v>
      </c>
      <c r="G271" s="237">
        <v>8.65</v>
      </c>
      <c r="H271" s="237">
        <v>80</v>
      </c>
      <c r="I271" s="237">
        <v>44.56</v>
      </c>
      <c r="J271" s="237">
        <v>34</v>
      </c>
      <c r="K271" s="237" t="s">
        <v>8299</v>
      </c>
      <c r="L271" s="237" t="s">
        <v>8233</v>
      </c>
      <c r="M271" s="238">
        <v>2</v>
      </c>
    </row>
    <row r="272" spans="1:13" ht="90">
      <c r="A272" s="239" t="s">
        <v>8312</v>
      </c>
      <c r="B272" s="237" t="s">
        <v>8313</v>
      </c>
      <c r="C272" s="237">
        <v>0.73199999999999998</v>
      </c>
      <c r="D272" s="237">
        <f t="shared" si="1"/>
        <v>585.59999999999991</v>
      </c>
      <c r="E272" s="237">
        <v>2497.7732997481107</v>
      </c>
      <c r="F272" s="237">
        <v>2</v>
      </c>
      <c r="G272" s="237">
        <v>8.65</v>
      </c>
      <c r="H272" s="237">
        <v>80</v>
      </c>
      <c r="I272" s="237">
        <v>44.56</v>
      </c>
      <c r="J272" s="237">
        <v>34</v>
      </c>
      <c r="K272" s="237" t="s">
        <v>8299</v>
      </c>
      <c r="L272" s="237" t="s">
        <v>8233</v>
      </c>
      <c r="M272" s="238">
        <v>2</v>
      </c>
    </row>
    <row r="273" spans="1:13" ht="90">
      <c r="A273" s="239" t="s">
        <v>8314</v>
      </c>
      <c r="B273" s="237" t="s">
        <v>8315</v>
      </c>
      <c r="C273" s="237">
        <v>0.73199999999999998</v>
      </c>
      <c r="D273" s="237">
        <f t="shared" si="1"/>
        <v>585.59999999999991</v>
      </c>
      <c r="E273" s="237">
        <v>2497.7732997481107</v>
      </c>
      <c r="F273" s="237">
        <v>2</v>
      </c>
      <c r="G273" s="237">
        <v>8.65</v>
      </c>
      <c r="H273" s="237">
        <v>80</v>
      </c>
      <c r="I273" s="237">
        <v>44.56</v>
      </c>
      <c r="J273" s="237">
        <v>34</v>
      </c>
      <c r="K273" s="237" t="s">
        <v>8299</v>
      </c>
      <c r="L273" s="237" t="s">
        <v>8233</v>
      </c>
      <c r="M273" s="238">
        <v>2</v>
      </c>
    </row>
    <row r="274" spans="1:13" ht="90">
      <c r="A274" s="239" t="s">
        <v>8316</v>
      </c>
      <c r="B274" s="237" t="s">
        <v>8317</v>
      </c>
      <c r="C274" s="237">
        <v>0.73199999999999998</v>
      </c>
      <c r="D274" s="237">
        <f t="shared" si="1"/>
        <v>585.59999999999991</v>
      </c>
      <c r="E274" s="237">
        <v>2497.7732997481107</v>
      </c>
      <c r="F274" s="237">
        <v>2</v>
      </c>
      <c r="G274" s="237">
        <v>8.65</v>
      </c>
      <c r="H274" s="237">
        <v>80</v>
      </c>
      <c r="I274" s="237">
        <v>44.56</v>
      </c>
      <c r="J274" s="237">
        <v>34</v>
      </c>
      <c r="K274" s="237" t="s">
        <v>8299</v>
      </c>
      <c r="L274" s="237" t="s">
        <v>8233</v>
      </c>
      <c r="M274" s="238">
        <v>2</v>
      </c>
    </row>
    <row r="275" spans="1:13" ht="90">
      <c r="A275" s="239" t="s">
        <v>8318</v>
      </c>
      <c r="B275" s="237" t="s">
        <v>8319</v>
      </c>
      <c r="C275" s="237">
        <v>0.73199999999999998</v>
      </c>
      <c r="D275" s="237">
        <f t="shared" si="1"/>
        <v>585.59999999999991</v>
      </c>
      <c r="E275" s="237">
        <v>2497.7732997481107</v>
      </c>
      <c r="F275" s="237">
        <v>2</v>
      </c>
      <c r="G275" s="237">
        <v>8.65</v>
      </c>
      <c r="H275" s="237">
        <v>80</v>
      </c>
      <c r="I275" s="237">
        <v>44.56</v>
      </c>
      <c r="J275" s="237">
        <v>34</v>
      </c>
      <c r="K275" s="237" t="s">
        <v>8299</v>
      </c>
      <c r="L275" s="237" t="s">
        <v>8233</v>
      </c>
      <c r="M275" s="238">
        <v>2</v>
      </c>
    </row>
    <row r="276" spans="1:13" ht="90">
      <c r="A276" s="239" t="s">
        <v>8320</v>
      </c>
      <c r="B276" s="237" t="s">
        <v>8319</v>
      </c>
      <c r="C276" s="237">
        <v>1.0149999999999999</v>
      </c>
      <c r="D276" s="237">
        <f t="shared" si="1"/>
        <v>811.99999999999989</v>
      </c>
      <c r="E276" s="237">
        <v>3463.4424853064647</v>
      </c>
      <c r="F276" s="237">
        <v>2</v>
      </c>
      <c r="G276" s="237">
        <v>8.65</v>
      </c>
      <c r="H276" s="237">
        <v>80</v>
      </c>
      <c r="I276" s="237">
        <v>44.56</v>
      </c>
      <c r="J276" s="237">
        <v>34</v>
      </c>
      <c r="K276" s="237" t="s">
        <v>8299</v>
      </c>
      <c r="L276" s="237" t="s">
        <v>8233</v>
      </c>
      <c r="M276" s="238">
        <v>2</v>
      </c>
    </row>
    <row r="277" spans="1:13" ht="90">
      <c r="A277" s="239" t="s">
        <v>8321</v>
      </c>
      <c r="B277" s="237" t="s">
        <v>8313</v>
      </c>
      <c r="C277" s="237">
        <v>0.73199999999999998</v>
      </c>
      <c r="D277" s="237">
        <f t="shared" si="1"/>
        <v>585.59999999999991</v>
      </c>
      <c r="E277" s="237">
        <v>2497.7732997481107</v>
      </c>
      <c r="F277" s="237">
        <v>2</v>
      </c>
      <c r="G277" s="237">
        <v>8.65</v>
      </c>
      <c r="H277" s="237">
        <v>80</v>
      </c>
      <c r="I277" s="237">
        <v>44.56</v>
      </c>
      <c r="J277" s="237">
        <v>34</v>
      </c>
      <c r="K277" s="237" t="s">
        <v>8299</v>
      </c>
      <c r="L277" s="237" t="s">
        <v>8233</v>
      </c>
      <c r="M277" s="238">
        <v>2</v>
      </c>
    </row>
    <row r="278" spans="1:13" ht="90">
      <c r="A278" s="239" t="s">
        <v>8322</v>
      </c>
      <c r="B278" s="237" t="s">
        <v>8319</v>
      </c>
      <c r="C278" s="237">
        <v>0.73199999999999998</v>
      </c>
      <c r="D278" s="237">
        <f t="shared" si="1"/>
        <v>585.59999999999991</v>
      </c>
      <c r="E278" s="237">
        <v>2497.7732997481107</v>
      </c>
      <c r="F278" s="237">
        <v>2</v>
      </c>
      <c r="G278" s="237">
        <v>8.65</v>
      </c>
      <c r="H278" s="237">
        <v>80</v>
      </c>
      <c r="I278" s="237">
        <v>44.56</v>
      </c>
      <c r="J278" s="237">
        <v>34</v>
      </c>
      <c r="K278" s="237" t="s">
        <v>8299</v>
      </c>
      <c r="L278" s="237" t="s">
        <v>8233</v>
      </c>
      <c r="M278" s="238">
        <v>2</v>
      </c>
    </row>
    <row r="279" spans="1:13" ht="90">
      <c r="A279" s="239" t="s">
        <v>8323</v>
      </c>
      <c r="B279" s="237" t="s">
        <v>8324</v>
      </c>
      <c r="C279" s="237">
        <v>0.73199999999999998</v>
      </c>
      <c r="D279" s="237">
        <f t="shared" si="1"/>
        <v>585.59999999999991</v>
      </c>
      <c r="E279" s="237">
        <v>2497.7732997481107</v>
      </c>
      <c r="F279" s="237">
        <v>2</v>
      </c>
      <c r="G279" s="237">
        <v>8.65</v>
      </c>
      <c r="H279" s="237">
        <v>80</v>
      </c>
      <c r="I279" s="237">
        <v>44.56</v>
      </c>
      <c r="J279" s="237">
        <v>34</v>
      </c>
      <c r="K279" s="237" t="s">
        <v>8299</v>
      </c>
      <c r="L279" s="237" t="s">
        <v>8233</v>
      </c>
      <c r="M279" s="238">
        <v>2</v>
      </c>
    </row>
    <row r="280" spans="1:13" ht="90">
      <c r="A280" s="239" t="s">
        <v>8325</v>
      </c>
      <c r="B280" s="237" t="s">
        <v>8326</v>
      </c>
      <c r="C280" s="237">
        <v>1.0149999999999999</v>
      </c>
      <c r="D280" s="237">
        <f t="shared" si="1"/>
        <v>811.99999999999989</v>
      </c>
      <c r="E280" s="237">
        <v>3463.4424853064647</v>
      </c>
      <c r="F280" s="237">
        <v>2</v>
      </c>
      <c r="G280" s="237">
        <v>8.65</v>
      </c>
      <c r="H280" s="237">
        <v>80</v>
      </c>
      <c r="I280" s="237">
        <v>44.56</v>
      </c>
      <c r="J280" s="237">
        <v>34</v>
      </c>
      <c r="K280" s="237" t="s">
        <v>8299</v>
      </c>
      <c r="L280" s="237" t="s">
        <v>8233</v>
      </c>
      <c r="M280" s="238">
        <v>2</v>
      </c>
    </row>
    <row r="281" spans="1:13" ht="90">
      <c r="A281" s="239" t="s">
        <v>8327</v>
      </c>
      <c r="B281" s="237" t="s">
        <v>8328</v>
      </c>
      <c r="C281" s="237">
        <v>1.0149999999999999</v>
      </c>
      <c r="D281" s="237">
        <f t="shared" si="1"/>
        <v>811.99999999999989</v>
      </c>
      <c r="E281" s="237">
        <v>3463.4424853064647</v>
      </c>
      <c r="F281" s="237">
        <v>2</v>
      </c>
      <c r="G281" s="237">
        <v>8.65</v>
      </c>
      <c r="H281" s="237">
        <v>80</v>
      </c>
      <c r="I281" s="237">
        <v>44.56</v>
      </c>
      <c r="J281" s="237">
        <v>34</v>
      </c>
      <c r="K281" s="237" t="s">
        <v>8299</v>
      </c>
      <c r="L281" s="237" t="s">
        <v>8233</v>
      </c>
      <c r="M281" s="238">
        <v>2</v>
      </c>
    </row>
    <row r="282" spans="1:13" ht="90">
      <c r="A282" s="239" t="s">
        <v>8329</v>
      </c>
      <c r="B282" s="237" t="s">
        <v>8324</v>
      </c>
      <c r="C282" s="237">
        <v>0.73199999999999998</v>
      </c>
      <c r="D282" s="237">
        <f t="shared" si="1"/>
        <v>585.59999999999991</v>
      </c>
      <c r="E282" s="237">
        <v>2497.7732997481107</v>
      </c>
      <c r="F282" s="237">
        <v>2</v>
      </c>
      <c r="G282" s="237">
        <v>8.65</v>
      </c>
      <c r="H282" s="237">
        <v>80</v>
      </c>
      <c r="I282" s="237">
        <v>44.56</v>
      </c>
      <c r="J282" s="237">
        <v>34</v>
      </c>
      <c r="K282" s="237" t="s">
        <v>8299</v>
      </c>
      <c r="L282" s="237" t="s">
        <v>8233</v>
      </c>
      <c r="M282" s="238">
        <v>2</v>
      </c>
    </row>
    <row r="283" spans="1:13" ht="90">
      <c r="A283" s="239" t="s">
        <v>8330</v>
      </c>
      <c r="B283" s="237" t="s">
        <v>8331</v>
      </c>
      <c r="C283" s="237">
        <v>1.0149999999999999</v>
      </c>
      <c r="D283" s="237">
        <f t="shared" si="1"/>
        <v>811.99999999999989</v>
      </c>
      <c r="E283" s="237">
        <v>3463.4424853064647</v>
      </c>
      <c r="F283" s="237">
        <v>2</v>
      </c>
      <c r="G283" s="237">
        <v>8.65</v>
      </c>
      <c r="H283" s="237">
        <v>80</v>
      </c>
      <c r="I283" s="237">
        <v>44.56</v>
      </c>
      <c r="J283" s="237">
        <v>34</v>
      </c>
      <c r="K283" s="237" t="s">
        <v>8299</v>
      </c>
      <c r="L283" s="237" t="s">
        <v>8233</v>
      </c>
      <c r="M283" s="238">
        <v>2</v>
      </c>
    </row>
    <row r="284" spans="1:13" ht="90">
      <c r="A284" s="239" t="s">
        <v>8332</v>
      </c>
      <c r="B284" s="237" t="s">
        <v>8326</v>
      </c>
      <c r="C284" s="237">
        <v>1.0149999999999999</v>
      </c>
      <c r="D284" s="237">
        <f t="shared" si="1"/>
        <v>811.99999999999989</v>
      </c>
      <c r="E284" s="237">
        <v>3463.4424853064647</v>
      </c>
      <c r="F284" s="237">
        <v>2</v>
      </c>
      <c r="G284" s="237">
        <v>8.65</v>
      </c>
      <c r="H284" s="237">
        <v>80</v>
      </c>
      <c r="I284" s="237">
        <v>44.56</v>
      </c>
      <c r="J284" s="237">
        <v>34</v>
      </c>
      <c r="K284" s="237" t="s">
        <v>8299</v>
      </c>
      <c r="L284" s="237" t="s">
        <v>8233</v>
      </c>
      <c r="M284" s="238">
        <v>2</v>
      </c>
    </row>
    <row r="285" spans="1:13" ht="90">
      <c r="A285" s="239" t="s">
        <v>8333</v>
      </c>
      <c r="B285" s="237" t="s">
        <v>8334</v>
      </c>
      <c r="C285" s="237">
        <v>1.194</v>
      </c>
      <c r="D285" s="237">
        <f t="shared" si="1"/>
        <v>955.19999999999993</v>
      </c>
      <c r="E285" s="237">
        <v>4074.2367758186392</v>
      </c>
      <c r="F285" s="237">
        <v>2</v>
      </c>
      <c r="G285" s="237">
        <v>8.65</v>
      </c>
      <c r="H285" s="237">
        <v>80</v>
      </c>
      <c r="I285" s="237">
        <v>44.56</v>
      </c>
      <c r="J285" s="237">
        <v>34</v>
      </c>
      <c r="K285" s="237" t="s">
        <v>8299</v>
      </c>
      <c r="L285" s="237" t="s">
        <v>8233</v>
      </c>
      <c r="M285" s="238">
        <v>2</v>
      </c>
    </row>
    <row r="286" spans="1:13" ht="90">
      <c r="A286" s="239" t="s">
        <v>8335</v>
      </c>
      <c r="B286" s="237" t="s">
        <v>8336</v>
      </c>
      <c r="C286" s="237">
        <v>1.194</v>
      </c>
      <c r="D286" s="237">
        <f t="shared" si="1"/>
        <v>955.19999999999993</v>
      </c>
      <c r="E286" s="237">
        <v>4074.2367758186392</v>
      </c>
      <c r="F286" s="237">
        <v>2</v>
      </c>
      <c r="G286" s="237">
        <v>8.65</v>
      </c>
      <c r="H286" s="237">
        <v>80</v>
      </c>
      <c r="I286" s="237">
        <v>44.56</v>
      </c>
      <c r="J286" s="237">
        <v>34</v>
      </c>
      <c r="K286" s="237" t="s">
        <v>8299</v>
      </c>
      <c r="L286" s="237" t="s">
        <v>8233</v>
      </c>
      <c r="M286" s="238">
        <v>2</v>
      </c>
    </row>
    <row r="287" spans="1:13" ht="90">
      <c r="A287" s="239" t="s">
        <v>8337</v>
      </c>
      <c r="B287" s="237" t="s">
        <v>8338</v>
      </c>
      <c r="C287" s="237">
        <v>1.0149999999999999</v>
      </c>
      <c r="D287" s="237">
        <f t="shared" si="1"/>
        <v>811.99999999999989</v>
      </c>
      <c r="E287" s="237">
        <v>3463.4424853064647</v>
      </c>
      <c r="F287" s="237">
        <v>2</v>
      </c>
      <c r="G287" s="237">
        <v>8.65</v>
      </c>
      <c r="H287" s="237">
        <v>80</v>
      </c>
      <c r="I287" s="237">
        <v>44.56</v>
      </c>
      <c r="J287" s="237">
        <v>34</v>
      </c>
      <c r="K287" s="237" t="s">
        <v>8299</v>
      </c>
      <c r="L287" s="237" t="s">
        <v>8233</v>
      </c>
      <c r="M287" s="238">
        <v>2</v>
      </c>
    </row>
    <row r="288" spans="1:13" ht="90">
      <c r="A288" s="239" t="s">
        <v>8339</v>
      </c>
      <c r="B288" s="237" t="s">
        <v>8340</v>
      </c>
      <c r="C288" s="237">
        <v>0.73199999999999998</v>
      </c>
      <c r="D288" s="237">
        <f t="shared" si="1"/>
        <v>585.59999999999991</v>
      </c>
      <c r="E288" s="237">
        <v>2497.7732997481107</v>
      </c>
      <c r="F288" s="237">
        <v>2</v>
      </c>
      <c r="G288" s="237">
        <v>8.65</v>
      </c>
      <c r="H288" s="237">
        <v>80</v>
      </c>
      <c r="I288" s="237">
        <v>44.56</v>
      </c>
      <c r="J288" s="237">
        <v>34</v>
      </c>
      <c r="K288" s="237" t="s">
        <v>8299</v>
      </c>
      <c r="L288" s="237" t="s">
        <v>8233</v>
      </c>
      <c r="M288" s="238">
        <v>2</v>
      </c>
    </row>
    <row r="289" spans="1:13" ht="90">
      <c r="A289" s="239" t="s">
        <v>8341</v>
      </c>
      <c r="B289" s="237" t="s">
        <v>8328</v>
      </c>
      <c r="C289" s="237">
        <v>1.0149999999999999</v>
      </c>
      <c r="D289" s="237">
        <f t="shared" si="1"/>
        <v>811.99999999999989</v>
      </c>
      <c r="E289" s="237">
        <v>3463.4424853064647</v>
      </c>
      <c r="F289" s="237">
        <v>2</v>
      </c>
      <c r="G289" s="237">
        <v>8.65</v>
      </c>
      <c r="H289" s="237">
        <v>80</v>
      </c>
      <c r="I289" s="237">
        <v>44.56</v>
      </c>
      <c r="J289" s="237">
        <v>34</v>
      </c>
      <c r="K289" s="237" t="s">
        <v>8299</v>
      </c>
      <c r="L289" s="237" t="s">
        <v>8233</v>
      </c>
      <c r="M289" s="238">
        <v>2</v>
      </c>
    </row>
    <row r="290" spans="1:13" ht="90">
      <c r="A290" s="239" t="s">
        <v>5716</v>
      </c>
      <c r="B290" s="237" t="s">
        <v>8311</v>
      </c>
      <c r="C290" s="237">
        <v>0.73199999999999998</v>
      </c>
      <c r="D290" s="237">
        <f t="shared" si="1"/>
        <v>585.59999999999991</v>
      </c>
      <c r="E290" s="237">
        <v>2497.7732997481107</v>
      </c>
      <c r="F290" s="237">
        <v>2</v>
      </c>
      <c r="G290" s="237">
        <v>8.65</v>
      </c>
      <c r="H290" s="237">
        <v>80</v>
      </c>
      <c r="I290" s="237">
        <v>44.56</v>
      </c>
      <c r="J290" s="237">
        <v>34</v>
      </c>
      <c r="K290" s="237" t="s">
        <v>8299</v>
      </c>
      <c r="L290" s="237" t="s">
        <v>8233</v>
      </c>
      <c r="M290" s="238">
        <v>2</v>
      </c>
    </row>
    <row r="291" spans="1:13" ht="90">
      <c r="A291" s="239" t="s">
        <v>5718</v>
      </c>
      <c r="B291" s="237" t="s">
        <v>8313</v>
      </c>
      <c r="C291" s="237">
        <v>0.73199999999999998</v>
      </c>
      <c r="D291" s="237">
        <f t="shared" si="1"/>
        <v>585.59999999999991</v>
      </c>
      <c r="E291" s="237">
        <v>2497.7732997481107</v>
      </c>
      <c r="F291" s="237">
        <v>2</v>
      </c>
      <c r="G291" s="237">
        <v>8.65</v>
      </c>
      <c r="H291" s="237">
        <v>80</v>
      </c>
      <c r="I291" s="237">
        <v>44.56</v>
      </c>
      <c r="J291" s="237">
        <v>34</v>
      </c>
      <c r="K291" s="237" t="s">
        <v>8299</v>
      </c>
      <c r="L291" s="237" t="s">
        <v>8233</v>
      </c>
      <c r="M291" s="238">
        <v>2</v>
      </c>
    </row>
    <row r="292" spans="1:13" ht="90">
      <c r="A292" s="239" t="s">
        <v>5720</v>
      </c>
      <c r="B292" s="237" t="s">
        <v>8315</v>
      </c>
      <c r="C292" s="237">
        <v>0.73199999999999998</v>
      </c>
      <c r="D292" s="237">
        <f t="shared" si="1"/>
        <v>585.59999999999991</v>
      </c>
      <c r="E292" s="237">
        <v>2497.7732997481107</v>
      </c>
      <c r="F292" s="237">
        <v>2</v>
      </c>
      <c r="G292" s="237">
        <v>8.65</v>
      </c>
      <c r="H292" s="237">
        <v>80</v>
      </c>
      <c r="I292" s="237">
        <v>44.56</v>
      </c>
      <c r="J292" s="237">
        <v>34</v>
      </c>
      <c r="K292" s="237" t="s">
        <v>8299</v>
      </c>
      <c r="L292" s="237" t="s">
        <v>8233</v>
      </c>
      <c r="M292" s="238">
        <v>2</v>
      </c>
    </row>
    <row r="293" spans="1:13" ht="90">
      <c r="A293" s="239" t="s">
        <v>5722</v>
      </c>
      <c r="B293" s="237" t="s">
        <v>8317</v>
      </c>
      <c r="C293" s="237">
        <v>0.73199999999999998</v>
      </c>
      <c r="D293" s="237">
        <f t="shared" si="1"/>
        <v>585.59999999999991</v>
      </c>
      <c r="E293" s="237">
        <v>2497.7732997481107</v>
      </c>
      <c r="F293" s="237">
        <v>2</v>
      </c>
      <c r="G293" s="237">
        <v>8.65</v>
      </c>
      <c r="H293" s="237">
        <v>80</v>
      </c>
      <c r="I293" s="237">
        <v>44.56</v>
      </c>
      <c r="J293" s="237">
        <v>34</v>
      </c>
      <c r="K293" s="237" t="s">
        <v>8299</v>
      </c>
      <c r="L293" s="237" t="s">
        <v>8233</v>
      </c>
      <c r="M293" s="238">
        <v>2</v>
      </c>
    </row>
    <row r="294" spans="1:13" ht="90">
      <c r="A294" s="239" t="s">
        <v>5724</v>
      </c>
      <c r="B294" s="237" t="s">
        <v>8319</v>
      </c>
      <c r="C294" s="237">
        <v>0.73199999999999998</v>
      </c>
      <c r="D294" s="237">
        <f t="shared" si="1"/>
        <v>585.59999999999991</v>
      </c>
      <c r="E294" s="237">
        <v>2497.7732997481107</v>
      </c>
      <c r="F294" s="237">
        <v>2</v>
      </c>
      <c r="G294" s="237">
        <v>8.65</v>
      </c>
      <c r="H294" s="237">
        <v>80</v>
      </c>
      <c r="I294" s="237">
        <v>44.56</v>
      </c>
      <c r="J294" s="237">
        <v>34</v>
      </c>
      <c r="K294" s="237" t="s">
        <v>8299</v>
      </c>
      <c r="L294" s="237" t="s">
        <v>8233</v>
      </c>
      <c r="M294" s="238">
        <v>2</v>
      </c>
    </row>
    <row r="295" spans="1:13" ht="90">
      <c r="A295" s="239" t="s">
        <v>5726</v>
      </c>
      <c r="B295" s="237" t="s">
        <v>8319</v>
      </c>
      <c r="C295" s="237">
        <v>1.0149999999999999</v>
      </c>
      <c r="D295" s="237">
        <f t="shared" si="1"/>
        <v>811.99999999999989</v>
      </c>
      <c r="E295" s="237">
        <v>3463.4424853064647</v>
      </c>
      <c r="F295" s="237">
        <v>2</v>
      </c>
      <c r="G295" s="237">
        <v>8.65</v>
      </c>
      <c r="H295" s="237">
        <v>80</v>
      </c>
      <c r="I295" s="237">
        <v>44.56</v>
      </c>
      <c r="J295" s="237">
        <v>34</v>
      </c>
      <c r="K295" s="237" t="s">
        <v>8299</v>
      </c>
      <c r="L295" s="237" t="s">
        <v>8233</v>
      </c>
      <c r="M295" s="238">
        <v>2</v>
      </c>
    </row>
    <row r="296" spans="1:13" ht="90">
      <c r="A296" s="239" t="s">
        <v>5740</v>
      </c>
      <c r="B296" s="237" t="s">
        <v>8313</v>
      </c>
      <c r="C296" s="237">
        <v>0.73199999999999998</v>
      </c>
      <c r="D296" s="237">
        <f t="shared" si="1"/>
        <v>585.59999999999991</v>
      </c>
      <c r="E296" s="237">
        <v>2497.7732997481107</v>
      </c>
      <c r="F296" s="237">
        <v>2</v>
      </c>
      <c r="G296" s="237">
        <v>8.65</v>
      </c>
      <c r="H296" s="237">
        <v>80</v>
      </c>
      <c r="I296" s="237">
        <v>44.56</v>
      </c>
      <c r="J296" s="237">
        <v>34</v>
      </c>
      <c r="K296" s="237" t="s">
        <v>8299</v>
      </c>
      <c r="L296" s="237" t="s">
        <v>8233</v>
      </c>
      <c r="M296" s="238">
        <v>2</v>
      </c>
    </row>
    <row r="297" spans="1:13" ht="90">
      <c r="A297" s="239" t="s">
        <v>5742</v>
      </c>
      <c r="B297" s="237" t="s">
        <v>8319</v>
      </c>
      <c r="C297" s="237">
        <v>0.73199999999999998</v>
      </c>
      <c r="D297" s="237">
        <f t="shared" si="1"/>
        <v>585.59999999999991</v>
      </c>
      <c r="E297" s="237">
        <v>2497.7732997481107</v>
      </c>
      <c r="F297" s="237">
        <v>2</v>
      </c>
      <c r="G297" s="237">
        <v>8.65</v>
      </c>
      <c r="H297" s="237">
        <v>80</v>
      </c>
      <c r="I297" s="237">
        <v>44.56</v>
      </c>
      <c r="J297" s="237">
        <v>34</v>
      </c>
      <c r="K297" s="237" t="s">
        <v>8299</v>
      </c>
      <c r="L297" s="237" t="s">
        <v>8233</v>
      </c>
      <c r="M297" s="238">
        <v>2</v>
      </c>
    </row>
    <row r="298" spans="1:13" ht="90">
      <c r="A298" s="239" t="s">
        <v>5744</v>
      </c>
      <c r="B298" s="237" t="s">
        <v>8324</v>
      </c>
      <c r="C298" s="237">
        <v>0.73199999999999998</v>
      </c>
      <c r="D298" s="237">
        <f t="shared" si="1"/>
        <v>585.59999999999991</v>
      </c>
      <c r="E298" s="237">
        <v>2497.7732997481107</v>
      </c>
      <c r="F298" s="237">
        <v>2</v>
      </c>
      <c r="G298" s="237">
        <v>8.65</v>
      </c>
      <c r="H298" s="237">
        <v>80</v>
      </c>
      <c r="I298" s="237">
        <v>44.56</v>
      </c>
      <c r="J298" s="237">
        <v>34</v>
      </c>
      <c r="K298" s="237" t="s">
        <v>8299</v>
      </c>
      <c r="L298" s="237" t="s">
        <v>8233</v>
      </c>
      <c r="M298" s="238">
        <v>2</v>
      </c>
    </row>
    <row r="299" spans="1:13" ht="90">
      <c r="A299" s="239" t="s">
        <v>5751</v>
      </c>
      <c r="B299" s="237" t="s">
        <v>8326</v>
      </c>
      <c r="C299" s="237">
        <v>1.0149999999999999</v>
      </c>
      <c r="D299" s="237">
        <f t="shared" si="1"/>
        <v>811.99999999999989</v>
      </c>
      <c r="E299" s="237">
        <v>3463.4424853064647</v>
      </c>
      <c r="F299" s="237">
        <v>2</v>
      </c>
      <c r="G299" s="237">
        <v>8.65</v>
      </c>
      <c r="H299" s="237">
        <v>80</v>
      </c>
      <c r="I299" s="237">
        <v>44.56</v>
      </c>
      <c r="J299" s="237">
        <v>34</v>
      </c>
      <c r="K299" s="237" t="s">
        <v>8299</v>
      </c>
      <c r="L299" s="237" t="s">
        <v>8233</v>
      </c>
      <c r="M299" s="238">
        <v>2</v>
      </c>
    </row>
    <row r="300" spans="1:13" ht="90">
      <c r="A300" s="239" t="s">
        <v>5754</v>
      </c>
      <c r="B300" s="237" t="s">
        <v>8328</v>
      </c>
      <c r="C300" s="237">
        <v>1.0149999999999999</v>
      </c>
      <c r="D300" s="237">
        <f t="shared" si="1"/>
        <v>811.99999999999989</v>
      </c>
      <c r="E300" s="237">
        <v>3463.4424853064647</v>
      </c>
      <c r="F300" s="237">
        <v>2</v>
      </c>
      <c r="G300" s="237">
        <v>8.65</v>
      </c>
      <c r="H300" s="237">
        <v>80</v>
      </c>
      <c r="I300" s="237">
        <v>44.56</v>
      </c>
      <c r="J300" s="237">
        <v>34</v>
      </c>
      <c r="K300" s="237" t="s">
        <v>8299</v>
      </c>
      <c r="L300" s="237" t="s">
        <v>8233</v>
      </c>
      <c r="M300" s="238">
        <v>2</v>
      </c>
    </row>
    <row r="301" spans="1:13" ht="90">
      <c r="A301" s="239" t="s">
        <v>5728</v>
      </c>
      <c r="B301" s="237" t="s">
        <v>8324</v>
      </c>
      <c r="C301" s="237">
        <v>0.73199999999999998</v>
      </c>
      <c r="D301" s="237">
        <f t="shared" si="1"/>
        <v>585.59999999999991</v>
      </c>
      <c r="E301" s="237">
        <v>2497.7732997481107</v>
      </c>
      <c r="F301" s="237">
        <v>2</v>
      </c>
      <c r="G301" s="237">
        <v>8.65</v>
      </c>
      <c r="H301" s="237">
        <v>80</v>
      </c>
      <c r="I301" s="237">
        <v>44.56</v>
      </c>
      <c r="J301" s="237">
        <v>34</v>
      </c>
      <c r="K301" s="237" t="s">
        <v>8299</v>
      </c>
      <c r="L301" s="237" t="s">
        <v>8233</v>
      </c>
      <c r="M301" s="238">
        <v>2</v>
      </c>
    </row>
    <row r="302" spans="1:13" ht="90">
      <c r="A302" s="239" t="s">
        <v>5730</v>
      </c>
      <c r="B302" s="237" t="s">
        <v>8331</v>
      </c>
      <c r="C302" s="237">
        <v>1.0149999999999999</v>
      </c>
      <c r="D302" s="237">
        <f t="shared" si="1"/>
        <v>811.99999999999989</v>
      </c>
      <c r="E302" s="237">
        <v>3463.4424853064647</v>
      </c>
      <c r="F302" s="237">
        <v>2</v>
      </c>
      <c r="G302" s="237">
        <v>8.65</v>
      </c>
      <c r="H302" s="237">
        <v>80</v>
      </c>
      <c r="I302" s="237">
        <v>44.56</v>
      </c>
      <c r="J302" s="237">
        <v>34</v>
      </c>
      <c r="K302" s="237" t="s">
        <v>8299</v>
      </c>
      <c r="L302" s="237" t="s">
        <v>8233</v>
      </c>
      <c r="M302" s="238">
        <v>2</v>
      </c>
    </row>
    <row r="303" spans="1:13" ht="90">
      <c r="A303" s="239" t="s">
        <v>5732</v>
      </c>
      <c r="B303" s="237" t="s">
        <v>8326</v>
      </c>
      <c r="C303" s="237">
        <v>1.0149999999999999</v>
      </c>
      <c r="D303" s="237">
        <f t="shared" si="1"/>
        <v>811.99999999999989</v>
      </c>
      <c r="E303" s="237">
        <v>3463.4424853064647</v>
      </c>
      <c r="F303" s="237">
        <v>2</v>
      </c>
      <c r="G303" s="237">
        <v>8.65</v>
      </c>
      <c r="H303" s="237">
        <v>80</v>
      </c>
      <c r="I303" s="237">
        <v>44.56</v>
      </c>
      <c r="J303" s="237">
        <v>34</v>
      </c>
      <c r="K303" s="237" t="s">
        <v>8299</v>
      </c>
      <c r="L303" s="237" t="s">
        <v>8233</v>
      </c>
      <c r="M303" s="238">
        <v>2</v>
      </c>
    </row>
    <row r="304" spans="1:13" ht="90">
      <c r="A304" s="239" t="s">
        <v>5734</v>
      </c>
      <c r="B304" s="237" t="s">
        <v>8334</v>
      </c>
      <c r="C304" s="237">
        <v>1.194</v>
      </c>
      <c r="D304" s="237">
        <f t="shared" si="1"/>
        <v>955.19999999999993</v>
      </c>
      <c r="E304" s="237">
        <v>4074.2367758186392</v>
      </c>
      <c r="F304" s="237">
        <v>2</v>
      </c>
      <c r="G304" s="237">
        <v>8.65</v>
      </c>
      <c r="H304" s="237">
        <v>80</v>
      </c>
      <c r="I304" s="237">
        <v>44.56</v>
      </c>
      <c r="J304" s="237">
        <v>34</v>
      </c>
      <c r="K304" s="237" t="s">
        <v>8299</v>
      </c>
      <c r="L304" s="237" t="s">
        <v>8233</v>
      </c>
      <c r="M304" s="238">
        <v>2</v>
      </c>
    </row>
    <row r="305" spans="1:13" ht="90">
      <c r="A305" s="239" t="s">
        <v>5736</v>
      </c>
      <c r="B305" s="237" t="s">
        <v>8336</v>
      </c>
      <c r="C305" s="237">
        <v>1.194</v>
      </c>
      <c r="D305" s="237">
        <f t="shared" si="1"/>
        <v>955.19999999999993</v>
      </c>
      <c r="E305" s="237">
        <v>4074.2367758186392</v>
      </c>
      <c r="F305" s="237">
        <v>2</v>
      </c>
      <c r="G305" s="237">
        <v>8.65</v>
      </c>
      <c r="H305" s="237">
        <v>80</v>
      </c>
      <c r="I305" s="237">
        <v>44.56</v>
      </c>
      <c r="J305" s="237">
        <v>34</v>
      </c>
      <c r="K305" s="237" t="s">
        <v>8299</v>
      </c>
      <c r="L305" s="237" t="s">
        <v>8233</v>
      </c>
      <c r="M305" s="238">
        <v>2</v>
      </c>
    </row>
    <row r="306" spans="1:13" ht="90">
      <c r="A306" s="239" t="s">
        <v>5738</v>
      </c>
      <c r="B306" s="237" t="s">
        <v>8338</v>
      </c>
      <c r="C306" s="237">
        <v>1.0149999999999999</v>
      </c>
      <c r="D306" s="237">
        <f t="shared" si="1"/>
        <v>811.99999999999989</v>
      </c>
      <c r="E306" s="237">
        <v>3463.4424853064647</v>
      </c>
      <c r="F306" s="237">
        <v>2</v>
      </c>
      <c r="G306" s="237">
        <v>8.65</v>
      </c>
      <c r="H306" s="237">
        <v>80</v>
      </c>
      <c r="I306" s="237">
        <v>44.56</v>
      </c>
      <c r="J306" s="237">
        <v>34</v>
      </c>
      <c r="K306" s="237" t="s">
        <v>8299</v>
      </c>
      <c r="L306" s="237" t="s">
        <v>8233</v>
      </c>
      <c r="M306" s="238">
        <v>2</v>
      </c>
    </row>
    <row r="307" spans="1:13" ht="90">
      <c r="A307" s="239" t="s">
        <v>5712</v>
      </c>
      <c r="B307" s="237" t="s">
        <v>8340</v>
      </c>
      <c r="C307" s="237">
        <v>0.73199999999999998</v>
      </c>
      <c r="D307" s="237">
        <f t="shared" si="1"/>
        <v>585.59999999999991</v>
      </c>
      <c r="E307" s="237">
        <v>2497.7732997481107</v>
      </c>
      <c r="F307" s="237">
        <v>2</v>
      </c>
      <c r="G307" s="237">
        <v>8.65</v>
      </c>
      <c r="H307" s="237">
        <v>80</v>
      </c>
      <c r="I307" s="237">
        <v>44.56</v>
      </c>
      <c r="J307" s="237">
        <v>34</v>
      </c>
      <c r="K307" s="237" t="s">
        <v>8299</v>
      </c>
      <c r="L307" s="237" t="s">
        <v>8233</v>
      </c>
      <c r="M307" s="238">
        <v>2</v>
      </c>
    </row>
    <row r="308" spans="1:13" ht="90">
      <c r="A308" s="239" t="s">
        <v>5714</v>
      </c>
      <c r="B308" s="237" t="s">
        <v>8328</v>
      </c>
      <c r="C308" s="237">
        <v>1.0149999999999999</v>
      </c>
      <c r="D308" s="237">
        <f t="shared" si="1"/>
        <v>811.99999999999989</v>
      </c>
      <c r="E308" s="237">
        <v>3463.4424853064647</v>
      </c>
      <c r="F308" s="237">
        <v>2</v>
      </c>
      <c r="G308" s="237">
        <v>8.65</v>
      </c>
      <c r="H308" s="237">
        <v>80</v>
      </c>
      <c r="I308" s="237">
        <v>44.56</v>
      </c>
      <c r="J308" s="237">
        <v>34</v>
      </c>
      <c r="K308" s="237" t="s">
        <v>8299</v>
      </c>
      <c r="L308" s="237" t="s">
        <v>8233</v>
      </c>
      <c r="M308" s="238">
        <v>2</v>
      </c>
    </row>
    <row r="309" spans="1:13" ht="22.5">
      <c r="A309" s="239" t="s">
        <v>2940</v>
      </c>
      <c r="B309" s="237" t="s">
        <v>8342</v>
      </c>
      <c r="C309" s="237">
        <v>0.378</v>
      </c>
      <c r="D309" s="237">
        <f t="shared" si="1"/>
        <v>302.40000000000003</v>
      </c>
      <c r="E309" s="237">
        <v>1290</v>
      </c>
      <c r="F309" s="237">
        <v>2</v>
      </c>
      <c r="G309" s="237">
        <v>8.6999999999999993</v>
      </c>
      <c r="H309" s="237">
        <v>55.6</v>
      </c>
      <c r="I309" s="237">
        <v>48.3</v>
      </c>
      <c r="J309" s="237">
        <v>28.3</v>
      </c>
      <c r="K309" s="237" t="s">
        <v>8247</v>
      </c>
      <c r="L309" s="237" t="s">
        <v>8233</v>
      </c>
      <c r="M309" s="238">
        <v>2</v>
      </c>
    </row>
    <row r="310" spans="1:13" ht="22.5">
      <c r="A310" s="239" t="s">
        <v>2941</v>
      </c>
      <c r="B310" s="237" t="s">
        <v>8343</v>
      </c>
      <c r="C310" s="237">
        <v>0.3</v>
      </c>
      <c r="D310" s="237">
        <f t="shared" si="1"/>
        <v>240</v>
      </c>
      <c r="E310" s="237">
        <v>1024</v>
      </c>
      <c r="F310" s="237">
        <v>2</v>
      </c>
      <c r="G310" s="237">
        <v>8.6999999999999993</v>
      </c>
      <c r="H310" s="237">
        <v>55.6</v>
      </c>
      <c r="I310" s="237">
        <v>48.3</v>
      </c>
      <c r="J310" s="237">
        <v>26.7</v>
      </c>
      <c r="K310" s="237" t="s">
        <v>8247</v>
      </c>
      <c r="L310" s="237" t="s">
        <v>8233</v>
      </c>
      <c r="M310" s="238">
        <v>2</v>
      </c>
    </row>
    <row r="311" spans="1:13" ht="22.5">
      <c r="A311" s="239" t="s">
        <v>2942</v>
      </c>
      <c r="B311" s="237" t="s">
        <v>8344</v>
      </c>
      <c r="C311" s="237">
        <v>0.42499999999999999</v>
      </c>
      <c r="D311" s="237">
        <f t="shared" si="1"/>
        <v>339.99999999999994</v>
      </c>
      <c r="E311" s="237">
        <v>1451</v>
      </c>
      <c r="F311" s="237">
        <v>2</v>
      </c>
      <c r="G311" s="237">
        <v>8.6999999999999993</v>
      </c>
      <c r="H311" s="237">
        <v>55.6</v>
      </c>
      <c r="I311" s="237">
        <v>48.3</v>
      </c>
      <c r="J311" s="237">
        <v>27.3</v>
      </c>
      <c r="K311" s="237" t="s">
        <v>8247</v>
      </c>
      <c r="L311" s="237" t="s">
        <v>8233</v>
      </c>
      <c r="M311" s="238">
        <v>2</v>
      </c>
    </row>
    <row r="312" spans="1:13" ht="22.5">
      <c r="A312" s="239" t="s">
        <v>2943</v>
      </c>
      <c r="B312" s="237" t="s">
        <v>8345</v>
      </c>
      <c r="C312" s="237">
        <v>0.33800000000000002</v>
      </c>
      <c r="D312" s="237">
        <f t="shared" si="1"/>
        <v>270.39999999999998</v>
      </c>
      <c r="E312" s="237">
        <v>1154</v>
      </c>
      <c r="F312" s="237">
        <v>2</v>
      </c>
      <c r="G312" s="237">
        <v>8.6999999999999993</v>
      </c>
      <c r="H312" s="237">
        <v>55.6</v>
      </c>
      <c r="I312" s="237">
        <v>48.3</v>
      </c>
      <c r="J312" s="237">
        <v>25</v>
      </c>
      <c r="K312" s="237" t="s">
        <v>8247</v>
      </c>
      <c r="L312" s="237" t="s">
        <v>8233</v>
      </c>
      <c r="M312" s="238">
        <v>2</v>
      </c>
    </row>
    <row r="313" spans="1:13" ht="123.75">
      <c r="A313" s="239" t="s">
        <v>5674</v>
      </c>
      <c r="B313" s="237" t="s">
        <v>5675</v>
      </c>
      <c r="C313" s="237">
        <v>0.72399999999999998</v>
      </c>
      <c r="D313" s="237">
        <v>1023</v>
      </c>
      <c r="E313" s="237">
        <v>3490</v>
      </c>
      <c r="F313" s="237">
        <v>1</v>
      </c>
      <c r="G313" s="237">
        <v>4.3</v>
      </c>
      <c r="H313" s="237">
        <v>73.400000000000006</v>
      </c>
      <c r="I313" s="237">
        <v>42.9</v>
      </c>
      <c r="J313" s="237">
        <v>19.3</v>
      </c>
      <c r="K313" s="237" t="s">
        <v>8295</v>
      </c>
      <c r="L313" s="237" t="s">
        <v>8233</v>
      </c>
      <c r="M313" s="238">
        <v>2</v>
      </c>
    </row>
    <row r="314" spans="1:13" ht="123.75">
      <c r="A314" s="239" t="s">
        <v>5647</v>
      </c>
      <c r="B314" s="237" t="s">
        <v>5648</v>
      </c>
      <c r="C314" s="237">
        <v>0.5</v>
      </c>
      <c r="D314" s="237">
        <v>504</v>
      </c>
      <c r="E314" s="237">
        <v>1720</v>
      </c>
      <c r="F314" s="237">
        <v>1</v>
      </c>
      <c r="G314" s="237">
        <v>4.3</v>
      </c>
      <c r="H314" s="237">
        <v>57.6</v>
      </c>
      <c r="I314" s="237">
        <v>43.4</v>
      </c>
      <c r="J314" s="237">
        <v>12.3</v>
      </c>
      <c r="K314" s="237" t="s">
        <v>8346</v>
      </c>
      <c r="L314" s="237" t="s">
        <v>8233</v>
      </c>
      <c r="M314" s="238">
        <v>2</v>
      </c>
    </row>
    <row r="315" spans="1:13" ht="45">
      <c r="A315" s="239" t="s">
        <v>7726</v>
      </c>
      <c r="B315" s="237" t="s">
        <v>7727</v>
      </c>
      <c r="C315" s="237">
        <v>0.21</v>
      </c>
      <c r="D315" s="237"/>
      <c r="E315" s="237"/>
      <c r="F315" s="237">
        <v>1</v>
      </c>
      <c r="G315" s="237">
        <v>10.9</v>
      </c>
      <c r="H315" s="237">
        <v>33.200000000000003</v>
      </c>
      <c r="I315" s="237">
        <v>21.3</v>
      </c>
      <c r="J315" s="237">
        <v>6.3</v>
      </c>
      <c r="K315" s="237" t="s">
        <v>8347</v>
      </c>
      <c r="L315" s="237" t="s">
        <v>8233</v>
      </c>
      <c r="M315" s="238">
        <v>1</v>
      </c>
    </row>
    <row r="316" spans="1:13" ht="56.25">
      <c r="A316" s="239" t="s">
        <v>8194</v>
      </c>
      <c r="B316" s="237" t="s">
        <v>8454</v>
      </c>
      <c r="C316" s="285">
        <f>D316*C313/D313</f>
        <v>0.63695014662756599</v>
      </c>
      <c r="D316" s="237">
        <v>900</v>
      </c>
      <c r="E316" s="237">
        <v>1719</v>
      </c>
      <c r="F316" s="237">
        <v>2</v>
      </c>
      <c r="G316" s="237">
        <v>8.6</v>
      </c>
      <c r="H316" s="237">
        <v>74.599999999999994</v>
      </c>
      <c r="I316" s="237">
        <v>44.5</v>
      </c>
      <c r="J316" s="237">
        <v>22</v>
      </c>
      <c r="K316" s="237" t="s">
        <v>8455</v>
      </c>
      <c r="L316" s="237" t="s">
        <v>8233</v>
      </c>
      <c r="M316" s="238">
        <v>2</v>
      </c>
    </row>
    <row r="317" spans="1:13" ht="56.25">
      <c r="A317" s="239" t="s">
        <v>8195</v>
      </c>
      <c r="B317" s="237" t="s">
        <v>8456</v>
      </c>
      <c r="C317" s="285">
        <f>D317*C316/D316</f>
        <v>0.56617790811339197</v>
      </c>
      <c r="D317" s="237">
        <v>800</v>
      </c>
      <c r="E317" s="237">
        <v>1528</v>
      </c>
      <c r="F317" s="237">
        <v>2</v>
      </c>
      <c r="G317" s="237">
        <v>8.6</v>
      </c>
      <c r="H317" s="237">
        <v>76.099999999999994</v>
      </c>
      <c r="I317" s="237">
        <v>44.5</v>
      </c>
      <c r="J317" s="237">
        <v>34</v>
      </c>
      <c r="K317" s="237" t="s">
        <v>8457</v>
      </c>
      <c r="L317" s="237" t="s">
        <v>8233</v>
      </c>
      <c r="M317" s="238">
        <v>2</v>
      </c>
    </row>
    <row r="318" spans="1:13" ht="67.5">
      <c r="A318" s="239" t="s">
        <v>7718</v>
      </c>
      <c r="B318" s="237" t="s">
        <v>1218</v>
      </c>
      <c r="C318" s="285">
        <f>D318*C317/D317</f>
        <v>0.16985337243401757</v>
      </c>
      <c r="D318" s="307">
        <v>240</v>
      </c>
      <c r="E318" s="307">
        <v>821</v>
      </c>
      <c r="F318" s="307">
        <v>2</v>
      </c>
      <c r="G318" s="307">
        <v>8.6999999999999993</v>
      </c>
      <c r="H318" s="307">
        <v>55.6</v>
      </c>
      <c r="I318" s="307">
        <v>48.3</v>
      </c>
      <c r="J318" s="307">
        <v>25</v>
      </c>
      <c r="K318" s="237" t="s">
        <v>8457</v>
      </c>
      <c r="L318" s="307" t="s">
        <v>8233</v>
      </c>
      <c r="M318" s="308">
        <v>2</v>
      </c>
    </row>
    <row r="319" spans="1:13" ht="33.75">
      <c r="A319" s="239" t="s">
        <v>10948</v>
      </c>
      <c r="B319" s="237" t="s">
        <v>13960</v>
      </c>
      <c r="C319" s="285">
        <f>D319*C318/D318</f>
        <v>0.92003910068426187</v>
      </c>
      <c r="D319" s="307">
        <v>1300</v>
      </c>
      <c r="E319" s="307">
        <v>2133</v>
      </c>
      <c r="F319" s="307">
        <v>2</v>
      </c>
      <c r="G319" s="307">
        <v>8.6199999999999992</v>
      </c>
      <c r="H319" s="307">
        <v>76.099999999999994</v>
      </c>
      <c r="I319" s="307">
        <v>44.5</v>
      </c>
      <c r="J319" s="307">
        <v>17.690000000000001</v>
      </c>
      <c r="K319" s="237" t="s">
        <v>13961</v>
      </c>
      <c r="L319" s="307" t="s">
        <v>8233</v>
      </c>
      <c r="M319" s="308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19"/>
  <sheetViews>
    <sheetView workbookViewId="0"/>
  </sheetViews>
  <sheetFormatPr baseColWidth="10" defaultRowHeight="15"/>
  <sheetData>
    <row r="3" spans="1:14" ht="45">
      <c r="A3" s="230" t="s">
        <v>0</v>
      </c>
      <c r="B3" s="230" t="s">
        <v>8220</v>
      </c>
      <c r="C3" s="230" t="s">
        <v>2287</v>
      </c>
      <c r="D3" s="230" t="s">
        <v>8221</v>
      </c>
      <c r="E3" s="230" t="s">
        <v>8222</v>
      </c>
      <c r="F3" s="230" t="s">
        <v>8223</v>
      </c>
      <c r="G3" s="230" t="s">
        <v>8224</v>
      </c>
      <c r="H3" s="230" t="s">
        <v>8225</v>
      </c>
      <c r="I3" s="230" t="s">
        <v>8226</v>
      </c>
      <c r="J3" s="230" t="s">
        <v>8227</v>
      </c>
      <c r="K3" s="230" t="s">
        <v>8228</v>
      </c>
      <c r="L3" s="230" t="s">
        <v>8229</v>
      </c>
      <c r="M3" s="230" t="s">
        <v>8230</v>
      </c>
      <c r="N3" s="230" t="s">
        <v>8231</v>
      </c>
    </row>
    <row r="4" spans="1:14">
      <c r="A4" s="231"/>
      <c r="B4" s="232"/>
      <c r="C4" s="232"/>
      <c r="D4" s="232"/>
      <c r="E4" s="232"/>
      <c r="F4" s="232"/>
      <c r="G4" s="232"/>
      <c r="H4" s="232"/>
      <c r="I4" s="232"/>
      <c r="J4" s="232"/>
      <c r="K4" s="232"/>
      <c r="L4" s="233"/>
      <c r="M4" s="232"/>
      <c r="N4" s="234"/>
    </row>
    <row r="5" spans="1:14">
      <c r="A5" s="239"/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40"/>
      <c r="M5" s="237"/>
      <c r="N5" s="238"/>
    </row>
    <row r="6" spans="1:14">
      <c r="A6" s="239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8"/>
    </row>
    <row r="7" spans="1:14">
      <c r="A7" s="239"/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8"/>
    </row>
    <row r="8" spans="1:14">
      <c r="A8" s="239"/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8"/>
    </row>
    <row r="9" spans="1:14">
      <c r="A9" s="239"/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8"/>
    </row>
    <row r="10" spans="1:14">
      <c r="A10" s="239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8"/>
    </row>
    <row r="11" spans="1:14">
      <c r="A11" s="239"/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237"/>
      <c r="M11" s="237"/>
      <c r="N11" s="238"/>
    </row>
    <row r="12" spans="1:14">
      <c r="A12" s="239"/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8"/>
    </row>
    <row r="13" spans="1:14">
      <c r="A13" s="239"/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8"/>
    </row>
    <row r="14" spans="1:14">
      <c r="A14" s="239"/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8"/>
    </row>
    <row r="15" spans="1:14">
      <c r="A15" s="239"/>
      <c r="B15" s="237"/>
      <c r="C15" s="237"/>
      <c r="D15" s="241"/>
      <c r="E15" s="242"/>
      <c r="F15" s="242"/>
      <c r="G15" s="237"/>
      <c r="H15" s="237"/>
      <c r="I15" s="237"/>
      <c r="J15" s="237"/>
      <c r="K15" s="237"/>
      <c r="L15" s="237"/>
      <c r="M15" s="237"/>
      <c r="N15" s="238"/>
    </row>
    <row r="16" spans="1:14">
      <c r="A16" s="239"/>
      <c r="B16" s="237"/>
      <c r="C16" s="237"/>
      <c r="D16" s="241"/>
      <c r="E16" s="242"/>
      <c r="F16" s="242"/>
      <c r="G16" s="237"/>
      <c r="H16" s="237"/>
      <c r="I16" s="237"/>
      <c r="J16" s="237"/>
      <c r="K16" s="237"/>
      <c r="L16" s="237"/>
      <c r="M16" s="237"/>
      <c r="N16" s="238"/>
    </row>
    <row r="17" spans="1:14">
      <c r="A17" s="239"/>
      <c r="B17" s="237"/>
      <c r="C17" s="237"/>
      <c r="D17" s="237"/>
      <c r="E17" s="242"/>
      <c r="F17" s="237"/>
      <c r="G17" s="237"/>
      <c r="H17" s="237"/>
      <c r="I17" s="237"/>
      <c r="J17" s="237"/>
      <c r="K17" s="237"/>
      <c r="L17" s="237"/>
      <c r="M17" s="237"/>
      <c r="N17" s="238"/>
    </row>
    <row r="18" spans="1:14">
      <c r="A18" s="244"/>
      <c r="B18" s="245"/>
      <c r="C18" s="245"/>
      <c r="D18" s="245"/>
      <c r="E18" s="245"/>
      <c r="F18" s="245"/>
      <c r="G18" s="245"/>
      <c r="H18" s="245"/>
      <c r="I18" s="245"/>
      <c r="J18" s="245"/>
      <c r="K18" s="245"/>
      <c r="L18" s="245"/>
      <c r="M18" s="245"/>
      <c r="N18" s="169"/>
    </row>
    <row r="19" spans="1:14">
      <c r="A19" s="367" t="s">
        <v>12</v>
      </c>
      <c r="B19" s="368"/>
      <c r="C19" s="246"/>
      <c r="D19" s="247" t="str">
        <f>IF(SUM(D4:D18)&gt;0,SUM(D4:D18),"")</f>
        <v/>
      </c>
      <c r="E19" s="247" t="str">
        <f>IF(SUM(E4:E18)&gt;0,SUM(E4:E18),"")</f>
        <v/>
      </c>
      <c r="F19" s="247" t="str">
        <f>IF(SUM(F4:F18)&gt;0,SUM(F4:F18),"")</f>
        <v/>
      </c>
      <c r="G19" s="247"/>
      <c r="H19" s="247"/>
      <c r="I19" s="247"/>
      <c r="J19" s="247"/>
      <c r="K19" s="247"/>
      <c r="L19" s="247"/>
      <c r="M19" s="247"/>
      <c r="N19" s="248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76"/>
  <sheetViews>
    <sheetView workbookViewId="0"/>
  </sheetViews>
  <sheetFormatPr baseColWidth="10" defaultRowHeight="15"/>
  <sheetData>
    <row r="3" spans="1:11" ht="84">
      <c r="A3" s="175"/>
      <c r="B3" s="175"/>
      <c r="C3" s="175"/>
      <c r="D3" s="175"/>
      <c r="E3" s="175"/>
      <c r="F3" s="176"/>
      <c r="G3" s="366" t="s">
        <v>2031</v>
      </c>
      <c r="H3" s="366"/>
      <c r="I3" s="366"/>
      <c r="J3" s="366"/>
      <c r="K3" s="366"/>
    </row>
    <row r="4" spans="1:11" ht="72">
      <c r="A4" s="118" t="s">
        <v>26</v>
      </c>
      <c r="B4" s="118" t="s">
        <v>27</v>
      </c>
      <c r="C4" s="118" t="s">
        <v>23</v>
      </c>
      <c r="D4" s="118" t="s">
        <v>2458</v>
      </c>
      <c r="E4" s="118" t="s">
        <v>2357</v>
      </c>
      <c r="F4" s="118" t="s">
        <v>2360</v>
      </c>
      <c r="G4" s="118" t="s">
        <v>2463</v>
      </c>
      <c r="H4" s="118" t="s">
        <v>2472</v>
      </c>
      <c r="I4" s="118" t="s">
        <v>2464</v>
      </c>
      <c r="J4" s="118" t="s">
        <v>2184</v>
      </c>
      <c r="K4" s="118" t="s">
        <v>2181</v>
      </c>
    </row>
    <row r="5" spans="1:11">
      <c r="A5">
        <v>2077</v>
      </c>
      <c r="B5" t="s">
        <v>2470</v>
      </c>
      <c r="C5" t="s">
        <v>2889</v>
      </c>
      <c r="D5" t="s">
        <v>2890</v>
      </c>
      <c r="E5" t="s">
        <v>2461</v>
      </c>
      <c r="F5" s="17">
        <v>0.75</v>
      </c>
      <c r="G5" t="s">
        <v>2891</v>
      </c>
      <c r="H5" t="s">
        <v>158</v>
      </c>
      <c r="I5" t="s">
        <v>158</v>
      </c>
      <c r="J5" t="s">
        <v>158</v>
      </c>
      <c r="K5" s="176" t="s">
        <v>2232</v>
      </c>
    </row>
    <row r="6" spans="1:11">
      <c r="A6">
        <v>2077</v>
      </c>
      <c r="B6" t="s">
        <v>2576</v>
      </c>
      <c r="C6" t="s">
        <v>2892</v>
      </c>
      <c r="D6" t="s">
        <v>2890</v>
      </c>
      <c r="E6" t="s">
        <v>2461</v>
      </c>
      <c r="F6" s="17">
        <v>0.75</v>
      </c>
      <c r="G6" t="s">
        <v>2891</v>
      </c>
      <c r="H6" t="s">
        <v>158</v>
      </c>
      <c r="I6" t="s">
        <v>158</v>
      </c>
      <c r="J6" t="s">
        <v>158</v>
      </c>
      <c r="K6" s="176" t="s">
        <v>2232</v>
      </c>
    </row>
    <row r="7" spans="1:11">
      <c r="A7">
        <v>2077</v>
      </c>
      <c r="B7" t="s">
        <v>2471</v>
      </c>
      <c r="C7" t="s">
        <v>2893</v>
      </c>
      <c r="D7" t="s">
        <v>2890</v>
      </c>
      <c r="E7" t="s">
        <v>2461</v>
      </c>
      <c r="F7" s="17">
        <v>0.75</v>
      </c>
      <c r="G7" t="s">
        <v>2891</v>
      </c>
      <c r="H7" t="s">
        <v>158</v>
      </c>
      <c r="I7" t="s">
        <v>158</v>
      </c>
      <c r="J7" t="s">
        <v>158</v>
      </c>
      <c r="K7" s="176" t="s">
        <v>2232</v>
      </c>
    </row>
    <row r="8" spans="1:11">
      <c r="A8">
        <v>2077</v>
      </c>
      <c r="B8" t="s">
        <v>2202</v>
      </c>
      <c r="C8" t="s">
        <v>2894</v>
      </c>
      <c r="D8" t="s">
        <v>2890</v>
      </c>
      <c r="E8" t="s">
        <v>2461</v>
      </c>
      <c r="F8" s="17">
        <v>0.75</v>
      </c>
      <c r="G8" t="s">
        <v>2891</v>
      </c>
      <c r="H8" t="s">
        <v>158</v>
      </c>
      <c r="I8" t="s">
        <v>158</v>
      </c>
      <c r="J8" t="s">
        <v>158</v>
      </c>
      <c r="K8" s="176" t="s">
        <v>2232</v>
      </c>
    </row>
    <row r="9" spans="1:11">
      <c r="A9">
        <v>2498</v>
      </c>
      <c r="B9" t="s">
        <v>3158</v>
      </c>
      <c r="C9" t="s">
        <v>3156</v>
      </c>
      <c r="D9" t="s">
        <v>2895</v>
      </c>
      <c r="E9" t="s">
        <v>2461</v>
      </c>
      <c r="F9" s="17">
        <v>0.6</v>
      </c>
      <c r="G9" t="s">
        <v>2891</v>
      </c>
      <c r="H9" t="s">
        <v>158</v>
      </c>
      <c r="I9" t="s">
        <v>158</v>
      </c>
      <c r="J9" t="s">
        <v>158</v>
      </c>
      <c r="K9" s="176" t="s">
        <v>2232</v>
      </c>
    </row>
    <row r="10" spans="1:11">
      <c r="A10">
        <v>2498</v>
      </c>
      <c r="B10" t="s">
        <v>2525</v>
      </c>
      <c r="C10" t="s">
        <v>2523</v>
      </c>
      <c r="D10" t="s">
        <v>2895</v>
      </c>
      <c r="E10" t="s">
        <v>2461</v>
      </c>
      <c r="F10" s="17">
        <v>0.6</v>
      </c>
      <c r="G10" t="s">
        <v>2891</v>
      </c>
      <c r="H10" t="s">
        <v>158</v>
      </c>
      <c r="I10" t="s">
        <v>158</v>
      </c>
      <c r="J10" t="s">
        <v>158</v>
      </c>
      <c r="K10" s="176" t="s">
        <v>2232</v>
      </c>
    </row>
    <row r="11" spans="1:11">
      <c r="A11">
        <v>2498</v>
      </c>
      <c r="B11" t="s">
        <v>2526</v>
      </c>
      <c r="C11" t="s">
        <v>2524</v>
      </c>
      <c r="D11" t="s">
        <v>2896</v>
      </c>
      <c r="E11" t="s">
        <v>2461</v>
      </c>
      <c r="F11" s="17">
        <v>0.6</v>
      </c>
      <c r="G11" t="s">
        <v>2891</v>
      </c>
      <c r="H11" t="s">
        <v>158</v>
      </c>
      <c r="I11" t="s">
        <v>158</v>
      </c>
      <c r="J11" t="s">
        <v>158</v>
      </c>
      <c r="K11" s="176" t="s">
        <v>2232</v>
      </c>
    </row>
    <row r="12" spans="1:11">
      <c r="A12">
        <v>2498</v>
      </c>
      <c r="B12" t="s">
        <v>2897</v>
      </c>
      <c r="C12" t="s">
        <v>2898</v>
      </c>
      <c r="D12" t="s">
        <v>2899</v>
      </c>
      <c r="E12" t="s">
        <v>2461</v>
      </c>
      <c r="F12" s="17">
        <v>0.6</v>
      </c>
      <c r="G12" t="s">
        <v>2891</v>
      </c>
      <c r="H12" t="s">
        <v>158</v>
      </c>
      <c r="I12" t="s">
        <v>158</v>
      </c>
      <c r="J12" t="s">
        <v>158</v>
      </c>
      <c r="K12" s="176" t="s">
        <v>2232</v>
      </c>
    </row>
    <row r="13" spans="1:11">
      <c r="A13">
        <v>3576</v>
      </c>
      <c r="B13" t="s">
        <v>2213</v>
      </c>
      <c r="C13" t="s">
        <v>2253</v>
      </c>
      <c r="D13" t="s">
        <v>2214</v>
      </c>
      <c r="E13" t="s">
        <v>2461</v>
      </c>
      <c r="F13" s="17">
        <v>0.6</v>
      </c>
      <c r="G13" t="s">
        <v>2891</v>
      </c>
      <c r="H13" t="s">
        <v>158</v>
      </c>
      <c r="I13" t="s">
        <v>158</v>
      </c>
      <c r="J13" t="s">
        <v>158</v>
      </c>
      <c r="K13" s="176" t="s">
        <v>2232</v>
      </c>
    </row>
    <row r="14" spans="1:11">
      <c r="A14">
        <v>3576</v>
      </c>
      <c r="B14" t="s">
        <v>2215</v>
      </c>
      <c r="C14" t="s">
        <v>2254</v>
      </c>
      <c r="D14" t="s">
        <v>2214</v>
      </c>
      <c r="E14" t="s">
        <v>2461</v>
      </c>
      <c r="F14" s="17">
        <v>0.6</v>
      </c>
      <c r="G14" t="s">
        <v>2891</v>
      </c>
      <c r="H14" t="s">
        <v>158</v>
      </c>
      <c r="I14" t="s">
        <v>158</v>
      </c>
      <c r="J14" t="s">
        <v>158</v>
      </c>
      <c r="K14" s="176" t="s">
        <v>2232</v>
      </c>
    </row>
    <row r="15" spans="1:11">
      <c r="A15">
        <v>3959</v>
      </c>
      <c r="B15" t="s">
        <v>2900</v>
      </c>
      <c r="C15" t="s">
        <v>2901</v>
      </c>
      <c r="D15" t="s">
        <v>2902</v>
      </c>
      <c r="E15" t="s">
        <v>2461</v>
      </c>
      <c r="F15" s="17">
        <v>0.75</v>
      </c>
      <c r="G15" t="s">
        <v>2891</v>
      </c>
      <c r="H15" t="s">
        <v>158</v>
      </c>
      <c r="I15" t="s">
        <v>158</v>
      </c>
      <c r="J15" t="s">
        <v>158</v>
      </c>
      <c r="K15" s="176" t="s">
        <v>2232</v>
      </c>
    </row>
    <row r="16" spans="1:11">
      <c r="A16">
        <v>3959</v>
      </c>
      <c r="B16" t="s">
        <v>2903</v>
      </c>
      <c r="C16" t="s">
        <v>2038</v>
      </c>
      <c r="D16" t="s">
        <v>2904</v>
      </c>
      <c r="E16" t="s">
        <v>2461</v>
      </c>
      <c r="F16" s="17">
        <v>0.75</v>
      </c>
      <c r="G16" t="s">
        <v>2891</v>
      </c>
      <c r="H16" t="s">
        <v>158</v>
      </c>
      <c r="I16" t="s">
        <v>158</v>
      </c>
      <c r="J16" t="s">
        <v>158</v>
      </c>
      <c r="K16" s="176" t="s">
        <v>2232</v>
      </c>
    </row>
    <row r="17" spans="1:11">
      <c r="A17">
        <v>9830</v>
      </c>
      <c r="B17" t="s">
        <v>2905</v>
      </c>
      <c r="C17" t="s">
        <v>2906</v>
      </c>
      <c r="D17" t="s">
        <v>2907</v>
      </c>
      <c r="E17" t="s">
        <v>2461</v>
      </c>
      <c r="F17" s="17">
        <v>0.45</v>
      </c>
      <c r="G17" t="s">
        <v>2908</v>
      </c>
      <c r="H17" t="s">
        <v>158</v>
      </c>
      <c r="I17" t="s">
        <v>158</v>
      </c>
      <c r="J17" t="s">
        <v>158</v>
      </c>
      <c r="K17" s="176" t="s">
        <v>2232</v>
      </c>
    </row>
    <row r="18" spans="1:11">
      <c r="A18">
        <v>9830</v>
      </c>
      <c r="B18" t="s">
        <v>2909</v>
      </c>
      <c r="C18" t="s">
        <v>2910</v>
      </c>
      <c r="D18" t="s">
        <v>2911</v>
      </c>
      <c r="E18" t="s">
        <v>2461</v>
      </c>
      <c r="F18" s="17">
        <v>0.45</v>
      </c>
      <c r="G18" t="s">
        <v>2908</v>
      </c>
      <c r="H18" t="s">
        <v>158</v>
      </c>
      <c r="I18" t="s">
        <v>158</v>
      </c>
      <c r="J18" t="s">
        <v>158</v>
      </c>
      <c r="K18" s="176" t="s">
        <v>2232</v>
      </c>
    </row>
    <row r="19" spans="1:11">
      <c r="A19">
        <v>9830</v>
      </c>
      <c r="B19" t="s">
        <v>2912</v>
      </c>
      <c r="C19" t="s">
        <v>2913</v>
      </c>
      <c r="D19" t="s">
        <v>2914</v>
      </c>
      <c r="E19" t="s">
        <v>2461</v>
      </c>
      <c r="F19" s="17">
        <v>0.45</v>
      </c>
      <c r="G19" t="s">
        <v>2915</v>
      </c>
      <c r="H19" t="s">
        <v>158</v>
      </c>
      <c r="I19" t="s">
        <v>158</v>
      </c>
      <c r="J19" t="s">
        <v>158</v>
      </c>
      <c r="K19" s="176" t="s">
        <v>2232</v>
      </c>
    </row>
    <row r="20" spans="1:11">
      <c r="A20">
        <v>9830</v>
      </c>
      <c r="B20" t="s">
        <v>2916</v>
      </c>
      <c r="C20" t="s">
        <v>2917</v>
      </c>
      <c r="D20" t="s">
        <v>2918</v>
      </c>
      <c r="E20" t="s">
        <v>2461</v>
      </c>
      <c r="F20" s="17">
        <v>0.45</v>
      </c>
      <c r="G20" t="s">
        <v>2915</v>
      </c>
      <c r="H20" t="s">
        <v>158</v>
      </c>
      <c r="I20" t="s">
        <v>158</v>
      </c>
      <c r="J20" t="s">
        <v>158</v>
      </c>
      <c r="K20" s="176" t="s">
        <v>2232</v>
      </c>
    </row>
    <row r="21" spans="1:11">
      <c r="A21">
        <v>1818</v>
      </c>
      <c r="B21" t="s">
        <v>2919</v>
      </c>
      <c r="C21" t="s">
        <v>2920</v>
      </c>
      <c r="D21" t="s">
        <v>2921</v>
      </c>
      <c r="E21" t="s">
        <v>2474</v>
      </c>
      <c r="F21" s="17">
        <v>0.5</v>
      </c>
      <c r="G21" t="s">
        <v>158</v>
      </c>
      <c r="H21" t="s">
        <v>2891</v>
      </c>
      <c r="I21" t="s">
        <v>158</v>
      </c>
      <c r="J21" t="s">
        <v>158</v>
      </c>
      <c r="K21" s="176" t="s">
        <v>2223</v>
      </c>
    </row>
    <row r="22" spans="1:11">
      <c r="A22">
        <v>1818</v>
      </c>
      <c r="B22" t="s">
        <v>2922</v>
      </c>
      <c r="C22" t="s">
        <v>2923</v>
      </c>
      <c r="D22" t="s">
        <v>2924</v>
      </c>
      <c r="E22" t="s">
        <v>2474</v>
      </c>
      <c r="F22" s="17">
        <v>0.5</v>
      </c>
      <c r="G22" t="s">
        <v>158</v>
      </c>
      <c r="H22" t="s">
        <v>2891</v>
      </c>
      <c r="I22" t="s">
        <v>158</v>
      </c>
      <c r="J22" t="s">
        <v>158</v>
      </c>
      <c r="K22" s="176" t="s">
        <v>2223</v>
      </c>
    </row>
    <row r="23" spans="1:11">
      <c r="A23">
        <v>1818</v>
      </c>
      <c r="B23" t="s">
        <v>81</v>
      </c>
      <c r="C23" t="s">
        <v>80</v>
      </c>
      <c r="D23" t="s">
        <v>2186</v>
      </c>
      <c r="E23" t="s">
        <v>2474</v>
      </c>
      <c r="F23" s="17">
        <v>0.6</v>
      </c>
      <c r="G23" t="s">
        <v>158</v>
      </c>
      <c r="H23" t="s">
        <v>2891</v>
      </c>
      <c r="I23" t="s">
        <v>158</v>
      </c>
      <c r="J23" t="s">
        <v>158</v>
      </c>
      <c r="K23" s="176" t="s">
        <v>2223</v>
      </c>
    </row>
    <row r="24" spans="1:11">
      <c r="A24">
        <v>2498</v>
      </c>
      <c r="B24" t="s">
        <v>2202</v>
      </c>
      <c r="C24" t="s">
        <v>2245</v>
      </c>
      <c r="D24" t="s">
        <v>2200</v>
      </c>
      <c r="E24" t="s">
        <v>2474</v>
      </c>
      <c r="F24" s="17">
        <v>0.7</v>
      </c>
      <c r="G24" t="s">
        <v>158</v>
      </c>
      <c r="H24" t="s">
        <v>2925</v>
      </c>
      <c r="I24" t="s">
        <v>158</v>
      </c>
      <c r="J24" t="s">
        <v>158</v>
      </c>
      <c r="K24" s="176" t="s">
        <v>2223</v>
      </c>
    </row>
    <row r="25" spans="1:11">
      <c r="A25">
        <v>2498</v>
      </c>
      <c r="B25" t="s">
        <v>2193</v>
      </c>
      <c r="C25" t="s">
        <v>162</v>
      </c>
      <c r="D25" t="s">
        <v>2194</v>
      </c>
      <c r="E25" t="s">
        <v>2474</v>
      </c>
      <c r="F25" s="17">
        <v>0.7</v>
      </c>
      <c r="G25" t="s">
        <v>158</v>
      </c>
      <c r="H25" t="s">
        <v>2925</v>
      </c>
      <c r="I25" t="s">
        <v>158</v>
      </c>
      <c r="J25" t="s">
        <v>158</v>
      </c>
      <c r="K25" s="176" t="s">
        <v>2223</v>
      </c>
    </row>
    <row r="26" spans="1:11">
      <c r="A26">
        <v>2498</v>
      </c>
      <c r="B26" t="s">
        <v>2195</v>
      </c>
      <c r="C26" t="s">
        <v>2241</v>
      </c>
      <c r="D26" t="s">
        <v>163</v>
      </c>
      <c r="E26" t="s">
        <v>2474</v>
      </c>
      <c r="F26" s="17">
        <v>0.7</v>
      </c>
      <c r="G26" t="s">
        <v>158</v>
      </c>
      <c r="H26" t="s">
        <v>2925</v>
      </c>
      <c r="I26" t="s">
        <v>158</v>
      </c>
      <c r="J26" t="s">
        <v>158</v>
      </c>
      <c r="K26" s="176" t="s">
        <v>2223</v>
      </c>
    </row>
    <row r="27" spans="1:11">
      <c r="A27">
        <v>2498</v>
      </c>
      <c r="B27" t="s">
        <v>89</v>
      </c>
      <c r="C27" t="s">
        <v>88</v>
      </c>
      <c r="D27" t="s">
        <v>2196</v>
      </c>
      <c r="E27" t="s">
        <v>2474</v>
      </c>
      <c r="F27" s="17">
        <v>0.7</v>
      </c>
      <c r="G27" t="s">
        <v>158</v>
      </c>
      <c r="H27" t="s">
        <v>2925</v>
      </c>
      <c r="I27" t="s">
        <v>158</v>
      </c>
      <c r="J27" t="s">
        <v>158</v>
      </c>
      <c r="K27" s="176" t="s">
        <v>2223</v>
      </c>
    </row>
    <row r="28" spans="1:11">
      <c r="A28">
        <v>2498</v>
      </c>
      <c r="B28" t="s">
        <v>2201</v>
      </c>
      <c r="C28" t="s">
        <v>2244</v>
      </c>
      <c r="D28" t="s">
        <v>2200</v>
      </c>
      <c r="E28" t="s">
        <v>2474</v>
      </c>
      <c r="F28" s="17">
        <v>0.7</v>
      </c>
      <c r="G28" t="s">
        <v>158</v>
      </c>
      <c r="H28" t="s">
        <v>2925</v>
      </c>
      <c r="I28" t="s">
        <v>158</v>
      </c>
      <c r="J28" t="s">
        <v>158</v>
      </c>
      <c r="K28" s="176" t="s">
        <v>2223</v>
      </c>
    </row>
    <row r="29" spans="1:11">
      <c r="A29">
        <v>2498</v>
      </c>
      <c r="B29" t="s">
        <v>2197</v>
      </c>
      <c r="C29" t="s">
        <v>2242</v>
      </c>
      <c r="D29" t="s">
        <v>2198</v>
      </c>
      <c r="E29" t="s">
        <v>2474</v>
      </c>
      <c r="F29" s="17">
        <v>0.7</v>
      </c>
      <c r="G29" t="s">
        <v>158</v>
      </c>
      <c r="H29" t="s">
        <v>2925</v>
      </c>
      <c r="I29" t="s">
        <v>158</v>
      </c>
      <c r="J29" t="s">
        <v>158</v>
      </c>
      <c r="K29" s="176" t="s">
        <v>2223</v>
      </c>
    </row>
    <row r="30" spans="1:11">
      <c r="A30">
        <v>2498</v>
      </c>
      <c r="B30" t="s">
        <v>2199</v>
      </c>
      <c r="C30" t="s">
        <v>2243</v>
      </c>
      <c r="D30" t="s">
        <v>2200</v>
      </c>
      <c r="E30" t="s">
        <v>2474</v>
      </c>
      <c r="F30" s="17">
        <v>0.7</v>
      </c>
      <c r="G30" t="s">
        <v>158</v>
      </c>
      <c r="H30" t="s">
        <v>2925</v>
      </c>
      <c r="I30" t="s">
        <v>158</v>
      </c>
      <c r="J30" t="s">
        <v>158</v>
      </c>
      <c r="K30" s="176" t="s">
        <v>2223</v>
      </c>
    </row>
    <row r="31" spans="1:11">
      <c r="A31">
        <v>2810</v>
      </c>
      <c r="B31" s="16" t="s">
        <v>2926</v>
      </c>
      <c r="C31" t="s">
        <v>2927</v>
      </c>
      <c r="D31" t="s">
        <v>93</v>
      </c>
      <c r="E31" t="s">
        <v>2474</v>
      </c>
      <c r="F31" s="17">
        <v>0.6</v>
      </c>
      <c r="G31" t="s">
        <v>158</v>
      </c>
      <c r="H31" t="s">
        <v>2891</v>
      </c>
      <c r="I31" t="s">
        <v>158</v>
      </c>
      <c r="J31" t="s">
        <v>158</v>
      </c>
      <c r="K31" s="176" t="s">
        <v>2223</v>
      </c>
    </row>
    <row r="32" spans="1:11">
      <c r="A32">
        <v>3572</v>
      </c>
      <c r="B32" t="s">
        <v>2209</v>
      </c>
      <c r="C32" t="s">
        <v>2250</v>
      </c>
      <c r="D32" t="s">
        <v>2928</v>
      </c>
      <c r="E32" t="s">
        <v>2474</v>
      </c>
      <c r="F32" s="17">
        <v>0.6</v>
      </c>
      <c r="G32" t="s">
        <v>158</v>
      </c>
      <c r="H32" t="s">
        <v>2891</v>
      </c>
      <c r="I32" t="s">
        <v>158</v>
      </c>
      <c r="J32" t="s">
        <v>158</v>
      </c>
      <c r="K32" s="176" t="s">
        <v>2223</v>
      </c>
    </row>
    <row r="33" spans="1:11">
      <c r="A33">
        <v>3572</v>
      </c>
      <c r="B33" t="s">
        <v>2210</v>
      </c>
      <c r="C33" t="s">
        <v>2251</v>
      </c>
      <c r="D33" t="s">
        <v>2928</v>
      </c>
      <c r="E33" t="s">
        <v>2474</v>
      </c>
      <c r="F33" s="17">
        <v>0.6</v>
      </c>
      <c r="G33" t="s">
        <v>158</v>
      </c>
      <c r="H33" t="s">
        <v>2891</v>
      </c>
      <c r="I33" t="s">
        <v>158</v>
      </c>
      <c r="J33" t="s">
        <v>158</v>
      </c>
      <c r="K33" s="176" t="s">
        <v>2223</v>
      </c>
    </row>
    <row r="34" spans="1:11">
      <c r="A34">
        <v>3584</v>
      </c>
      <c r="B34" t="s">
        <v>2222</v>
      </c>
      <c r="C34" t="s">
        <v>2260</v>
      </c>
      <c r="D34" t="s">
        <v>2929</v>
      </c>
      <c r="E34" t="s">
        <v>2474</v>
      </c>
      <c r="F34" s="17">
        <v>0.75</v>
      </c>
      <c r="G34" t="s">
        <v>158</v>
      </c>
      <c r="H34" t="s">
        <v>2891</v>
      </c>
      <c r="I34" t="s">
        <v>158</v>
      </c>
      <c r="J34" t="s">
        <v>158</v>
      </c>
      <c r="K34" s="176" t="s">
        <v>2223</v>
      </c>
    </row>
    <row r="35" spans="1:11">
      <c r="A35">
        <v>3584</v>
      </c>
      <c r="B35" t="s">
        <v>2224</v>
      </c>
      <c r="C35" t="s">
        <v>2261</v>
      </c>
      <c r="D35" t="s">
        <v>2929</v>
      </c>
      <c r="E35" t="s">
        <v>2474</v>
      </c>
      <c r="F35" s="17">
        <v>0.75</v>
      </c>
      <c r="G35" t="s">
        <v>158</v>
      </c>
      <c r="H35" t="s">
        <v>2891</v>
      </c>
      <c r="I35" t="s">
        <v>158</v>
      </c>
      <c r="J35" t="s">
        <v>158</v>
      </c>
      <c r="K35" s="176" t="s">
        <v>2223</v>
      </c>
    </row>
    <row r="36" spans="1:11">
      <c r="A36">
        <v>3584</v>
      </c>
      <c r="B36" t="s">
        <v>2225</v>
      </c>
      <c r="C36" t="s">
        <v>2262</v>
      </c>
      <c r="D36" t="s">
        <v>2929</v>
      </c>
      <c r="E36" t="s">
        <v>2474</v>
      </c>
      <c r="F36" s="17">
        <v>0.75</v>
      </c>
      <c r="G36" t="s">
        <v>158</v>
      </c>
      <c r="H36" t="s">
        <v>2891</v>
      </c>
      <c r="I36" t="s">
        <v>158</v>
      </c>
      <c r="J36" t="s">
        <v>158</v>
      </c>
      <c r="K36" s="176" t="s">
        <v>2223</v>
      </c>
    </row>
    <row r="37" spans="1:11">
      <c r="A37">
        <v>3584</v>
      </c>
      <c r="B37" t="s">
        <v>2228</v>
      </c>
      <c r="C37" t="s">
        <v>2265</v>
      </c>
      <c r="D37" t="s">
        <v>2929</v>
      </c>
      <c r="E37" t="s">
        <v>2474</v>
      </c>
      <c r="F37" s="17">
        <v>0.75</v>
      </c>
      <c r="G37" t="s">
        <v>158</v>
      </c>
      <c r="H37" t="s">
        <v>2891</v>
      </c>
      <c r="I37" t="s">
        <v>158</v>
      </c>
      <c r="J37" t="s">
        <v>158</v>
      </c>
      <c r="K37" s="176" t="s">
        <v>2223</v>
      </c>
    </row>
    <row r="38" spans="1:11">
      <c r="A38">
        <v>3584</v>
      </c>
      <c r="B38" t="s">
        <v>2226</v>
      </c>
      <c r="C38" t="s">
        <v>2263</v>
      </c>
      <c r="D38" t="s">
        <v>2929</v>
      </c>
      <c r="E38" t="s">
        <v>2474</v>
      </c>
      <c r="F38" s="17">
        <v>0.75</v>
      </c>
      <c r="G38" t="s">
        <v>158</v>
      </c>
      <c r="H38" t="s">
        <v>2891</v>
      </c>
      <c r="I38" t="s">
        <v>158</v>
      </c>
      <c r="J38" t="s">
        <v>158</v>
      </c>
      <c r="K38" s="176" t="s">
        <v>2223</v>
      </c>
    </row>
    <row r="39" spans="1:11">
      <c r="A39">
        <v>3584</v>
      </c>
      <c r="B39" t="s">
        <v>2227</v>
      </c>
      <c r="C39" t="s">
        <v>2264</v>
      </c>
      <c r="D39" t="s">
        <v>2929</v>
      </c>
      <c r="E39" t="s">
        <v>2474</v>
      </c>
      <c r="F39" s="17">
        <v>0.75</v>
      </c>
      <c r="G39" t="s">
        <v>158</v>
      </c>
      <c r="H39" t="s">
        <v>2891</v>
      </c>
      <c r="I39" t="s">
        <v>158</v>
      </c>
      <c r="J39" t="s">
        <v>158</v>
      </c>
      <c r="K39" s="176" t="s">
        <v>2223</v>
      </c>
    </row>
    <row r="40" spans="1:11">
      <c r="A40">
        <v>3584</v>
      </c>
      <c r="B40" t="s">
        <v>2229</v>
      </c>
      <c r="C40" t="s">
        <v>2266</v>
      </c>
      <c r="D40" t="s">
        <v>2929</v>
      </c>
      <c r="E40" t="s">
        <v>2474</v>
      </c>
      <c r="F40" s="17">
        <v>0.75</v>
      </c>
      <c r="G40" t="s">
        <v>158</v>
      </c>
      <c r="H40" t="s">
        <v>2891</v>
      </c>
      <c r="I40" t="s">
        <v>158</v>
      </c>
      <c r="J40" t="s">
        <v>158</v>
      </c>
      <c r="K40" s="176" t="s">
        <v>2223</v>
      </c>
    </row>
    <row r="41" spans="1:11">
      <c r="A41">
        <v>3584</v>
      </c>
      <c r="B41" t="s">
        <v>2230</v>
      </c>
      <c r="C41" t="s">
        <v>2267</v>
      </c>
      <c r="D41" t="s">
        <v>2929</v>
      </c>
      <c r="E41" t="s">
        <v>2474</v>
      </c>
      <c r="F41" s="17">
        <v>0.75</v>
      </c>
      <c r="G41" t="s">
        <v>158</v>
      </c>
      <c r="H41" t="s">
        <v>2891</v>
      </c>
      <c r="I41" t="s">
        <v>158</v>
      </c>
      <c r="J41" t="s">
        <v>158</v>
      </c>
      <c r="K41" s="176" t="s">
        <v>2223</v>
      </c>
    </row>
    <row r="42" spans="1:11">
      <c r="A42">
        <v>3584</v>
      </c>
      <c r="B42" t="s">
        <v>2231</v>
      </c>
      <c r="C42" t="s">
        <v>2268</v>
      </c>
      <c r="D42" t="s">
        <v>2929</v>
      </c>
      <c r="E42" t="s">
        <v>2474</v>
      </c>
      <c r="F42" s="17">
        <v>0.75</v>
      </c>
      <c r="G42" t="s">
        <v>158</v>
      </c>
      <c r="H42" t="s">
        <v>2891</v>
      </c>
      <c r="I42" t="s">
        <v>158</v>
      </c>
      <c r="J42" t="s">
        <v>158</v>
      </c>
      <c r="K42" s="176" t="s">
        <v>2223</v>
      </c>
    </row>
    <row r="43" spans="1:11">
      <c r="A43">
        <v>3588</v>
      </c>
      <c r="B43" t="s">
        <v>2233</v>
      </c>
      <c r="C43" t="s">
        <v>2269</v>
      </c>
      <c r="D43" t="s">
        <v>2930</v>
      </c>
      <c r="E43" t="s">
        <v>2474</v>
      </c>
      <c r="F43" s="17">
        <v>0.75</v>
      </c>
      <c r="G43" t="s">
        <v>158</v>
      </c>
      <c r="H43" t="s">
        <v>2891</v>
      </c>
      <c r="I43" t="s">
        <v>158</v>
      </c>
      <c r="J43" t="s">
        <v>158</v>
      </c>
      <c r="K43" s="176" t="s">
        <v>2223</v>
      </c>
    </row>
    <row r="44" spans="1:11">
      <c r="A44">
        <v>3588</v>
      </c>
      <c r="B44" t="s">
        <v>2234</v>
      </c>
      <c r="C44" t="s">
        <v>2270</v>
      </c>
      <c r="D44" t="s">
        <v>2930</v>
      </c>
      <c r="E44" t="s">
        <v>2474</v>
      </c>
      <c r="F44" s="17">
        <v>0.75</v>
      </c>
      <c r="G44" t="s">
        <v>158</v>
      </c>
      <c r="H44" t="s">
        <v>2891</v>
      </c>
      <c r="I44" t="s">
        <v>158</v>
      </c>
      <c r="J44" t="s">
        <v>158</v>
      </c>
      <c r="K44" s="176" t="s">
        <v>2223</v>
      </c>
    </row>
    <row r="45" spans="1:11">
      <c r="A45">
        <v>3588</v>
      </c>
      <c r="B45" t="s">
        <v>2931</v>
      </c>
      <c r="C45" t="s">
        <v>2932</v>
      </c>
      <c r="D45" t="s">
        <v>2933</v>
      </c>
      <c r="E45" t="s">
        <v>2474</v>
      </c>
      <c r="F45" s="17">
        <v>0.75</v>
      </c>
      <c r="G45" t="s">
        <v>158</v>
      </c>
      <c r="H45" t="s">
        <v>2891</v>
      </c>
      <c r="I45" t="s">
        <v>158</v>
      </c>
      <c r="J45" t="s">
        <v>158</v>
      </c>
      <c r="K45" s="176" t="s">
        <v>2223</v>
      </c>
    </row>
    <row r="46" spans="1:11">
      <c r="A46">
        <v>3958</v>
      </c>
      <c r="B46" t="s">
        <v>73</v>
      </c>
      <c r="C46" t="s">
        <v>2271</v>
      </c>
      <c r="D46" t="s">
        <v>2235</v>
      </c>
      <c r="E46" t="s">
        <v>2474</v>
      </c>
      <c r="F46" s="17">
        <v>0.65</v>
      </c>
      <c r="G46" t="s">
        <v>158</v>
      </c>
      <c r="H46" t="s">
        <v>2891</v>
      </c>
      <c r="I46" t="s">
        <v>158</v>
      </c>
      <c r="J46" t="s">
        <v>158</v>
      </c>
      <c r="K46" s="176" t="s">
        <v>2223</v>
      </c>
    </row>
    <row r="47" spans="1:11">
      <c r="A47">
        <v>3958</v>
      </c>
      <c r="B47" t="s">
        <v>2934</v>
      </c>
      <c r="C47" t="s">
        <v>2935</v>
      </c>
      <c r="D47" t="s">
        <v>2936</v>
      </c>
      <c r="E47" t="s">
        <v>2474</v>
      </c>
      <c r="F47" s="17">
        <v>0.65</v>
      </c>
      <c r="G47" t="s">
        <v>158</v>
      </c>
      <c r="H47" t="s">
        <v>2891</v>
      </c>
      <c r="I47" t="s">
        <v>158</v>
      </c>
      <c r="J47" t="s">
        <v>158</v>
      </c>
      <c r="K47" s="176" t="s">
        <v>2223</v>
      </c>
    </row>
    <row r="48" spans="1:11">
      <c r="A48">
        <v>1814</v>
      </c>
      <c r="B48" t="s">
        <v>77</v>
      </c>
      <c r="C48" t="s">
        <v>76</v>
      </c>
      <c r="D48" t="s">
        <v>2185</v>
      </c>
      <c r="E48" t="s">
        <v>2469</v>
      </c>
      <c r="F48" s="17">
        <v>0.6</v>
      </c>
      <c r="G48" t="s">
        <v>158</v>
      </c>
      <c r="H48" t="s">
        <v>158</v>
      </c>
      <c r="I48" t="s">
        <v>2915</v>
      </c>
      <c r="J48" t="s">
        <v>158</v>
      </c>
      <c r="K48" s="176" t="s">
        <v>2207</v>
      </c>
    </row>
    <row r="49" spans="1:11">
      <c r="A49">
        <v>1814</v>
      </c>
      <c r="B49" t="s">
        <v>79</v>
      </c>
      <c r="C49" t="s">
        <v>78</v>
      </c>
      <c r="D49" t="s">
        <v>2937</v>
      </c>
      <c r="E49" t="s">
        <v>2469</v>
      </c>
      <c r="F49" s="17">
        <v>0.6</v>
      </c>
      <c r="G49" t="s">
        <v>158</v>
      </c>
      <c r="H49" t="s">
        <v>158</v>
      </c>
      <c r="I49" t="s">
        <v>2915</v>
      </c>
      <c r="J49" t="s">
        <v>158</v>
      </c>
      <c r="K49" s="176" t="s">
        <v>2207</v>
      </c>
    </row>
    <row r="50" spans="1:11">
      <c r="A50">
        <v>2073</v>
      </c>
      <c r="B50" s="16" t="s">
        <v>2938</v>
      </c>
      <c r="C50" t="s">
        <v>2236</v>
      </c>
      <c r="D50" t="s">
        <v>2187</v>
      </c>
      <c r="E50" t="s">
        <v>2469</v>
      </c>
      <c r="F50" s="17">
        <v>0.7</v>
      </c>
      <c r="G50" t="s">
        <v>158</v>
      </c>
      <c r="H50" t="s">
        <v>158</v>
      </c>
      <c r="I50" t="s">
        <v>2915</v>
      </c>
      <c r="J50" t="s">
        <v>158</v>
      </c>
      <c r="K50" s="176" t="s">
        <v>2207</v>
      </c>
    </row>
    <row r="51" spans="1:11">
      <c r="A51">
        <v>2076</v>
      </c>
      <c r="B51" s="16" t="s">
        <v>2939</v>
      </c>
      <c r="C51" t="s">
        <v>2237</v>
      </c>
      <c r="D51" t="s">
        <v>84</v>
      </c>
      <c r="E51" t="s">
        <v>2469</v>
      </c>
      <c r="F51" s="17">
        <v>0.7</v>
      </c>
      <c r="G51" t="s">
        <v>158</v>
      </c>
      <c r="H51" t="s">
        <v>158</v>
      </c>
      <c r="I51" t="s">
        <v>2915</v>
      </c>
      <c r="J51" t="s">
        <v>158</v>
      </c>
      <c r="K51" s="176" t="s">
        <v>2207</v>
      </c>
    </row>
    <row r="52" spans="1:11">
      <c r="A52">
        <v>2076</v>
      </c>
      <c r="B52" s="16" t="s">
        <v>2188</v>
      </c>
      <c r="C52" t="s">
        <v>160</v>
      </c>
      <c r="D52" t="s">
        <v>84</v>
      </c>
      <c r="E52" t="s">
        <v>2469</v>
      </c>
      <c r="F52" s="17">
        <v>0.7</v>
      </c>
      <c r="G52" t="s">
        <v>158</v>
      </c>
      <c r="H52" t="s">
        <v>158</v>
      </c>
      <c r="I52" t="s">
        <v>2915</v>
      </c>
      <c r="J52" t="s">
        <v>158</v>
      </c>
      <c r="K52" s="176" t="s">
        <v>2207</v>
      </c>
    </row>
    <row r="53" spans="1:11">
      <c r="A53">
        <v>2076</v>
      </c>
      <c r="B53" s="16" t="s">
        <v>2189</v>
      </c>
      <c r="C53" t="s">
        <v>2238</v>
      </c>
      <c r="D53" t="s">
        <v>84</v>
      </c>
      <c r="E53" t="s">
        <v>2469</v>
      </c>
      <c r="F53" s="17">
        <v>0.7</v>
      </c>
      <c r="G53" t="s">
        <v>158</v>
      </c>
      <c r="H53" t="s">
        <v>158</v>
      </c>
      <c r="I53" t="s">
        <v>2915</v>
      </c>
      <c r="J53" t="s">
        <v>158</v>
      </c>
      <c r="K53" s="176" t="s">
        <v>2207</v>
      </c>
    </row>
    <row r="54" spans="1:11">
      <c r="A54">
        <v>2076</v>
      </c>
      <c r="B54" s="16" t="s">
        <v>2190</v>
      </c>
      <c r="C54" t="s">
        <v>161</v>
      </c>
      <c r="D54" t="s">
        <v>84</v>
      </c>
      <c r="E54" t="s">
        <v>2469</v>
      </c>
      <c r="F54" s="17">
        <v>0.7</v>
      </c>
      <c r="G54" t="s">
        <v>158</v>
      </c>
      <c r="H54" t="s">
        <v>158</v>
      </c>
      <c r="I54" t="s">
        <v>2915</v>
      </c>
      <c r="J54" t="s">
        <v>158</v>
      </c>
      <c r="K54" s="176" t="s">
        <v>2207</v>
      </c>
    </row>
    <row r="55" spans="1:11">
      <c r="A55">
        <v>2076</v>
      </c>
      <c r="B55" s="16" t="s">
        <v>2191</v>
      </c>
      <c r="C55" t="s">
        <v>2239</v>
      </c>
      <c r="D55" t="s">
        <v>84</v>
      </c>
      <c r="E55" t="s">
        <v>2469</v>
      </c>
      <c r="F55" s="17">
        <v>0.7</v>
      </c>
      <c r="G55" t="s">
        <v>158</v>
      </c>
      <c r="H55" t="s">
        <v>158</v>
      </c>
      <c r="I55" t="s">
        <v>2915</v>
      </c>
      <c r="J55" t="s">
        <v>158</v>
      </c>
      <c r="K55" s="176" t="s">
        <v>2207</v>
      </c>
    </row>
    <row r="56" spans="1:11">
      <c r="A56">
        <v>2076</v>
      </c>
      <c r="B56" s="16" t="s">
        <v>2192</v>
      </c>
      <c r="C56" t="s">
        <v>2240</v>
      </c>
      <c r="D56" t="s">
        <v>84</v>
      </c>
      <c r="E56" t="s">
        <v>2469</v>
      </c>
      <c r="F56" s="17">
        <v>0.7</v>
      </c>
      <c r="G56" t="s">
        <v>158</v>
      </c>
      <c r="H56" t="s">
        <v>158</v>
      </c>
      <c r="I56" t="s">
        <v>2915</v>
      </c>
      <c r="J56" t="s">
        <v>158</v>
      </c>
      <c r="K56" s="176" t="s">
        <v>2207</v>
      </c>
    </row>
    <row r="57" spans="1:11">
      <c r="A57">
        <v>2076</v>
      </c>
      <c r="B57" s="16" t="s">
        <v>3083</v>
      </c>
      <c r="C57" t="s">
        <v>3010</v>
      </c>
      <c r="D57" t="s">
        <v>84</v>
      </c>
      <c r="E57" t="s">
        <v>2469</v>
      </c>
      <c r="F57" s="17">
        <v>0.7</v>
      </c>
      <c r="G57" t="s">
        <v>158</v>
      </c>
      <c r="H57" t="s">
        <v>158</v>
      </c>
      <c r="I57" t="s">
        <v>2915</v>
      </c>
      <c r="J57" t="s">
        <v>158</v>
      </c>
      <c r="K57" s="176" t="s">
        <v>2207</v>
      </c>
    </row>
    <row r="58" spans="1:11">
      <c r="A58">
        <v>2076</v>
      </c>
      <c r="B58" s="16" t="s">
        <v>3082</v>
      </c>
      <c r="C58" t="s">
        <v>3008</v>
      </c>
      <c r="D58" t="s">
        <v>84</v>
      </c>
      <c r="E58" t="s">
        <v>2469</v>
      </c>
      <c r="F58" s="17">
        <v>0.7</v>
      </c>
      <c r="G58" t="s">
        <v>158</v>
      </c>
      <c r="H58" t="s">
        <v>158</v>
      </c>
      <c r="I58" t="s">
        <v>2915</v>
      </c>
      <c r="J58" t="s">
        <v>158</v>
      </c>
      <c r="K58" s="176" t="s">
        <v>2207</v>
      </c>
    </row>
    <row r="59" spans="1:11">
      <c r="A59">
        <v>2076</v>
      </c>
      <c r="B59" s="16" t="s">
        <v>3031</v>
      </c>
      <c r="C59" t="s">
        <v>3009</v>
      </c>
      <c r="D59" t="s">
        <v>84</v>
      </c>
      <c r="E59" t="s">
        <v>2469</v>
      </c>
      <c r="F59" s="17">
        <v>0.7</v>
      </c>
      <c r="G59" t="s">
        <v>158</v>
      </c>
      <c r="H59" t="s">
        <v>158</v>
      </c>
      <c r="I59" t="s">
        <v>2915</v>
      </c>
      <c r="J59" t="s">
        <v>158</v>
      </c>
      <c r="K59" s="176" t="s">
        <v>2207</v>
      </c>
    </row>
    <row r="60" spans="1:11">
      <c r="A60">
        <v>2857</v>
      </c>
      <c r="B60" s="16" t="s">
        <v>2205</v>
      </c>
      <c r="C60" t="s">
        <v>2248</v>
      </c>
      <c r="D60" t="s">
        <v>2206</v>
      </c>
      <c r="E60" t="s">
        <v>2469</v>
      </c>
      <c r="F60" s="17">
        <v>0.65</v>
      </c>
      <c r="G60" t="s">
        <v>158</v>
      </c>
      <c r="H60" t="s">
        <v>158</v>
      </c>
      <c r="I60" t="s">
        <v>2915</v>
      </c>
      <c r="J60" t="s">
        <v>158</v>
      </c>
      <c r="K60" s="176" t="s">
        <v>2207</v>
      </c>
    </row>
    <row r="61" spans="1:11">
      <c r="A61">
        <v>2857</v>
      </c>
      <c r="B61" s="16" t="s">
        <v>2944</v>
      </c>
      <c r="C61" t="s">
        <v>2945</v>
      </c>
      <c r="D61" t="s">
        <v>2206</v>
      </c>
      <c r="E61" t="s">
        <v>2469</v>
      </c>
      <c r="F61" s="17">
        <v>0.65</v>
      </c>
      <c r="G61" t="s">
        <v>158</v>
      </c>
      <c r="H61" t="s">
        <v>158</v>
      </c>
      <c r="I61" t="s">
        <v>2915</v>
      </c>
      <c r="J61" t="s">
        <v>158</v>
      </c>
      <c r="K61" s="176" t="s">
        <v>2207</v>
      </c>
    </row>
    <row r="62" spans="1:11">
      <c r="A62">
        <v>2863</v>
      </c>
      <c r="B62" s="16" t="s">
        <v>2208</v>
      </c>
      <c r="C62" t="s">
        <v>2249</v>
      </c>
      <c r="D62" t="s">
        <v>2946</v>
      </c>
      <c r="E62" t="s">
        <v>2469</v>
      </c>
      <c r="F62" s="17">
        <v>0.5</v>
      </c>
      <c r="G62" t="s">
        <v>158</v>
      </c>
      <c r="H62" t="s">
        <v>158</v>
      </c>
      <c r="I62" t="s">
        <v>2915</v>
      </c>
      <c r="J62" t="s">
        <v>158</v>
      </c>
      <c r="K62" s="176" t="s">
        <v>2207</v>
      </c>
    </row>
    <row r="63" spans="1:11">
      <c r="A63">
        <v>3573</v>
      </c>
      <c r="B63" t="s">
        <v>2211</v>
      </c>
      <c r="C63" t="s">
        <v>2252</v>
      </c>
      <c r="D63" t="s">
        <v>2947</v>
      </c>
      <c r="E63" t="s">
        <v>2469</v>
      </c>
      <c r="F63" s="17">
        <v>0.65</v>
      </c>
      <c r="G63" t="s">
        <v>158</v>
      </c>
      <c r="H63" t="s">
        <v>158</v>
      </c>
      <c r="I63" t="s">
        <v>2915</v>
      </c>
      <c r="J63" t="s">
        <v>158</v>
      </c>
      <c r="K63" s="176" t="s">
        <v>2207</v>
      </c>
    </row>
    <row r="64" spans="1:11">
      <c r="A64">
        <v>3573</v>
      </c>
      <c r="B64" t="s">
        <v>2212</v>
      </c>
      <c r="C64" t="s">
        <v>164</v>
      </c>
      <c r="D64" t="s">
        <v>2947</v>
      </c>
      <c r="E64" t="s">
        <v>2469</v>
      </c>
      <c r="F64" s="17">
        <v>0.65</v>
      </c>
      <c r="G64" t="s">
        <v>158</v>
      </c>
      <c r="H64" t="s">
        <v>158</v>
      </c>
      <c r="I64" t="s">
        <v>2915</v>
      </c>
      <c r="J64" t="s">
        <v>158</v>
      </c>
      <c r="K64" s="176" t="s">
        <v>2207</v>
      </c>
    </row>
    <row r="65" spans="1:11">
      <c r="A65">
        <v>3580</v>
      </c>
      <c r="B65" t="s">
        <v>2217</v>
      </c>
      <c r="C65" t="s">
        <v>2255</v>
      </c>
      <c r="D65" t="s">
        <v>2216</v>
      </c>
      <c r="E65" t="s">
        <v>2469</v>
      </c>
      <c r="F65" s="17">
        <v>0.6</v>
      </c>
      <c r="G65" t="s">
        <v>158</v>
      </c>
      <c r="H65" t="s">
        <v>158</v>
      </c>
      <c r="I65" t="s">
        <v>2915</v>
      </c>
      <c r="J65" t="s">
        <v>158</v>
      </c>
      <c r="K65" s="176" t="s">
        <v>2207</v>
      </c>
    </row>
    <row r="66" spans="1:11">
      <c r="A66">
        <v>3580</v>
      </c>
      <c r="B66" t="s">
        <v>2219</v>
      </c>
      <c r="C66" t="s">
        <v>2257</v>
      </c>
      <c r="D66" t="s">
        <v>2216</v>
      </c>
      <c r="E66" t="s">
        <v>2469</v>
      </c>
      <c r="F66" s="17">
        <v>0.6</v>
      </c>
      <c r="G66" t="s">
        <v>158</v>
      </c>
      <c r="H66" t="s">
        <v>158</v>
      </c>
      <c r="I66" t="s">
        <v>2915</v>
      </c>
      <c r="J66" t="s">
        <v>158</v>
      </c>
      <c r="K66" s="176" t="s">
        <v>2207</v>
      </c>
    </row>
    <row r="67" spans="1:11">
      <c r="A67">
        <v>3580</v>
      </c>
      <c r="B67" t="s">
        <v>2218</v>
      </c>
      <c r="C67" t="s">
        <v>2256</v>
      </c>
      <c r="D67" t="s">
        <v>2216</v>
      </c>
      <c r="E67" t="s">
        <v>2469</v>
      </c>
      <c r="F67" s="17">
        <v>0.6</v>
      </c>
      <c r="G67" t="s">
        <v>158</v>
      </c>
      <c r="H67" t="s">
        <v>158</v>
      </c>
      <c r="I67" t="s">
        <v>2915</v>
      </c>
      <c r="J67" t="s">
        <v>158</v>
      </c>
      <c r="K67" s="176" t="s">
        <v>2207</v>
      </c>
    </row>
    <row r="68" spans="1:11">
      <c r="A68">
        <v>3580</v>
      </c>
      <c r="B68" t="s">
        <v>2948</v>
      </c>
      <c r="C68" t="s">
        <v>2949</v>
      </c>
      <c r="D68" t="s">
        <v>2216</v>
      </c>
      <c r="E68" t="s">
        <v>2469</v>
      </c>
      <c r="F68" s="17">
        <v>0.6</v>
      </c>
      <c r="G68" t="s">
        <v>158</v>
      </c>
      <c r="H68" t="s">
        <v>158</v>
      </c>
      <c r="I68" t="s">
        <v>2915</v>
      </c>
      <c r="J68" t="s">
        <v>158</v>
      </c>
      <c r="K68" s="176" t="s">
        <v>2207</v>
      </c>
    </row>
    <row r="69" spans="1:11">
      <c r="A69">
        <v>3580</v>
      </c>
      <c r="B69" t="s">
        <v>2220</v>
      </c>
      <c r="C69" t="s">
        <v>2258</v>
      </c>
      <c r="D69" t="s">
        <v>2216</v>
      </c>
      <c r="E69" t="s">
        <v>2469</v>
      </c>
      <c r="F69" s="17">
        <v>0.6</v>
      </c>
      <c r="G69" t="s">
        <v>158</v>
      </c>
      <c r="H69" t="s">
        <v>158</v>
      </c>
      <c r="I69" t="s">
        <v>2915</v>
      </c>
      <c r="J69" t="s">
        <v>158</v>
      </c>
      <c r="K69" s="176" t="s">
        <v>2207</v>
      </c>
    </row>
    <row r="70" spans="1:11">
      <c r="A70">
        <v>3580</v>
      </c>
      <c r="B70" t="s">
        <v>2221</v>
      </c>
      <c r="C70" t="s">
        <v>2259</v>
      </c>
      <c r="D70" t="s">
        <v>2216</v>
      </c>
      <c r="E70" t="s">
        <v>2469</v>
      </c>
      <c r="F70" s="17">
        <v>0.6</v>
      </c>
      <c r="G70" t="s">
        <v>158</v>
      </c>
      <c r="H70" t="s">
        <v>158</v>
      </c>
      <c r="I70" t="s">
        <v>2915</v>
      </c>
      <c r="J70" t="s">
        <v>158</v>
      </c>
      <c r="K70" s="176" t="s">
        <v>2207</v>
      </c>
    </row>
    <row r="71" spans="1:11">
      <c r="A71">
        <v>3580</v>
      </c>
      <c r="B71" t="s">
        <v>2950</v>
      </c>
      <c r="C71" t="s">
        <v>2951</v>
      </c>
      <c r="D71" t="s">
        <v>2216</v>
      </c>
      <c r="E71" t="s">
        <v>2469</v>
      </c>
      <c r="F71" s="17">
        <v>0.6</v>
      </c>
      <c r="G71" t="s">
        <v>158</v>
      </c>
      <c r="H71" t="s">
        <v>158</v>
      </c>
      <c r="I71" t="s">
        <v>2915</v>
      </c>
      <c r="J71" t="s">
        <v>158</v>
      </c>
      <c r="K71" s="176" t="s">
        <v>2207</v>
      </c>
    </row>
    <row r="72" spans="1:11">
      <c r="A72">
        <v>4939</v>
      </c>
      <c r="B72" t="s">
        <v>2952</v>
      </c>
      <c r="C72" t="s">
        <v>2953</v>
      </c>
      <c r="D72" t="s">
        <v>2954</v>
      </c>
      <c r="E72" t="s">
        <v>2469</v>
      </c>
      <c r="F72" s="17">
        <v>0.5</v>
      </c>
      <c r="G72" t="s">
        <v>158</v>
      </c>
      <c r="H72" t="s">
        <v>158</v>
      </c>
      <c r="I72" t="s">
        <v>2915</v>
      </c>
      <c r="J72" t="s">
        <v>158</v>
      </c>
      <c r="K72" s="176" t="s">
        <v>2207</v>
      </c>
    </row>
    <row r="73" spans="1:11">
      <c r="A73">
        <v>4939</v>
      </c>
      <c r="B73" t="s">
        <v>2955</v>
      </c>
      <c r="C73" t="s">
        <v>2956</v>
      </c>
      <c r="D73" t="s">
        <v>2957</v>
      </c>
      <c r="E73" t="s">
        <v>2469</v>
      </c>
      <c r="F73" s="17">
        <v>0.5</v>
      </c>
      <c r="G73" t="s">
        <v>158</v>
      </c>
      <c r="H73" t="s">
        <v>158</v>
      </c>
      <c r="I73" t="s">
        <v>2915</v>
      </c>
      <c r="J73" t="s">
        <v>158</v>
      </c>
      <c r="K73" s="176" t="s">
        <v>2207</v>
      </c>
    </row>
    <row r="74" spans="1:11">
      <c r="A74">
        <v>2812</v>
      </c>
      <c r="B74" s="16" t="s">
        <v>2958</v>
      </c>
      <c r="C74" t="s">
        <v>2246</v>
      </c>
      <c r="D74" t="s">
        <v>93</v>
      </c>
      <c r="E74" t="s">
        <v>2473</v>
      </c>
      <c r="F74" s="17">
        <v>0.6</v>
      </c>
      <c r="G74" t="s">
        <v>158</v>
      </c>
      <c r="H74" t="s">
        <v>158</v>
      </c>
      <c r="I74" t="s">
        <v>158</v>
      </c>
      <c r="J74" t="s">
        <v>2959</v>
      </c>
      <c r="K74" s="176" t="s">
        <v>2203</v>
      </c>
    </row>
    <row r="75" spans="1:11">
      <c r="A75">
        <v>2812</v>
      </c>
      <c r="B75" s="16" t="s">
        <v>2926</v>
      </c>
      <c r="C75" t="s">
        <v>2960</v>
      </c>
      <c r="D75" t="s">
        <v>93</v>
      </c>
      <c r="E75" t="s">
        <v>2473</v>
      </c>
      <c r="F75" s="17">
        <v>0.6</v>
      </c>
      <c r="G75" t="s">
        <v>158</v>
      </c>
      <c r="H75" t="s">
        <v>158</v>
      </c>
      <c r="I75" t="s">
        <v>158</v>
      </c>
      <c r="J75" t="s">
        <v>2959</v>
      </c>
      <c r="K75" s="176" t="s">
        <v>2203</v>
      </c>
    </row>
    <row r="76" spans="1:11">
      <c r="A76">
        <v>2812</v>
      </c>
      <c r="B76" t="s">
        <v>2204</v>
      </c>
      <c r="C76" t="s">
        <v>2247</v>
      </c>
      <c r="D76" t="s">
        <v>93</v>
      </c>
      <c r="E76" t="s">
        <v>2473</v>
      </c>
      <c r="F76" s="17">
        <v>0.6</v>
      </c>
      <c r="G76" t="s">
        <v>158</v>
      </c>
      <c r="H76" t="s">
        <v>158</v>
      </c>
      <c r="I76" t="s">
        <v>158</v>
      </c>
      <c r="J76" t="s">
        <v>2959</v>
      </c>
      <c r="K76" s="176" t="s">
        <v>2203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/>
  </sheetViews>
  <sheetFormatPr baseColWidth="10" defaultRowHeight="15"/>
  <sheetData>
    <row r="1" spans="1:4" ht="15.75">
      <c r="A1" s="132" t="s">
        <v>2182</v>
      </c>
      <c r="B1" s="25"/>
      <c r="C1" s="25"/>
      <c r="D1" s="133"/>
    </row>
    <row r="2" spans="1:4" ht="15.75">
      <c r="A2" s="21" t="s">
        <v>3152</v>
      </c>
      <c r="B2" s="25"/>
      <c r="C2" s="22"/>
      <c r="D2" s="134" t="s">
        <v>179</v>
      </c>
    </row>
    <row r="3" spans="1:4" ht="18.75">
      <c r="A3" s="24"/>
      <c r="B3" s="25"/>
      <c r="C3" s="25"/>
      <c r="D3" s="133"/>
    </row>
    <row r="4" spans="1:4" ht="15.75">
      <c r="A4" s="132" t="s">
        <v>2272</v>
      </c>
      <c r="B4" s="25"/>
      <c r="C4" s="25"/>
      <c r="D4" s="136"/>
    </row>
    <row r="5" spans="1:4">
      <c r="A5" s="137"/>
      <c r="B5" s="137"/>
      <c r="C5" s="137"/>
      <c r="D5" s="136"/>
    </row>
    <row r="6" spans="1:4">
      <c r="A6" s="137"/>
      <c r="B6" s="137"/>
      <c r="C6" s="137"/>
      <c r="D6" s="136"/>
    </row>
    <row r="7" spans="1:4">
      <c r="A7" s="138" t="s">
        <v>183</v>
      </c>
      <c r="B7" s="138" t="s">
        <v>2273</v>
      </c>
      <c r="C7" s="138" t="s">
        <v>2358</v>
      </c>
      <c r="D7" s="30" t="s">
        <v>2274</v>
      </c>
    </row>
    <row r="8" spans="1:4" ht="84">
      <c r="A8" s="31" t="s">
        <v>2275</v>
      </c>
      <c r="B8" s="32" t="s">
        <v>3153</v>
      </c>
      <c r="C8" s="32" t="s">
        <v>2841</v>
      </c>
      <c r="D8" s="33">
        <v>433.38</v>
      </c>
    </row>
    <row r="9" spans="1:4" ht="84">
      <c r="A9" s="31" t="s">
        <v>2276</v>
      </c>
      <c r="B9" s="32" t="s">
        <v>3153</v>
      </c>
      <c r="C9" s="32" t="s">
        <v>2842</v>
      </c>
      <c r="D9" s="33">
        <v>240.45</v>
      </c>
    </row>
    <row r="10" spans="1:4" ht="96">
      <c r="A10" s="31" t="s">
        <v>2277</v>
      </c>
      <c r="B10" s="32" t="s">
        <v>3154</v>
      </c>
      <c r="C10" s="32" t="s">
        <v>2843</v>
      </c>
      <c r="D10" s="33">
        <v>936</v>
      </c>
    </row>
    <row r="11" spans="1:4" ht="84">
      <c r="A11" s="31" t="s">
        <v>2278</v>
      </c>
      <c r="B11" s="32" t="s">
        <v>3153</v>
      </c>
      <c r="C11" s="32" t="s">
        <v>2577</v>
      </c>
      <c r="D11" s="33">
        <v>424.92</v>
      </c>
    </row>
    <row r="12" spans="1:4" ht="180">
      <c r="A12" s="31" t="s">
        <v>2279</v>
      </c>
      <c r="B12" s="32" t="s">
        <v>3153</v>
      </c>
      <c r="C12" s="32" t="s">
        <v>2844</v>
      </c>
      <c r="D12" s="33">
        <v>250.68</v>
      </c>
    </row>
    <row r="13" spans="1:4" ht="132">
      <c r="A13" s="31" t="s">
        <v>2475</v>
      </c>
      <c r="B13" s="32" t="s">
        <v>3153</v>
      </c>
      <c r="C13" s="32" t="s">
        <v>3126</v>
      </c>
      <c r="D13" s="33">
        <v>350</v>
      </c>
    </row>
    <row r="14" spans="1:4" ht="96">
      <c r="A14" s="31" t="s">
        <v>8403</v>
      </c>
      <c r="B14" s="32" t="s">
        <v>3153</v>
      </c>
      <c r="C14" s="32" t="s">
        <v>8404</v>
      </c>
      <c r="D14" s="33">
        <v>826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/>
  </sheetViews>
  <sheetFormatPr baseColWidth="10" defaultRowHeight="15"/>
  <sheetData>
    <row r="1" spans="1:12" ht="25.5">
      <c r="A1" s="160" t="s">
        <v>2361</v>
      </c>
      <c r="B1" s="160" t="s">
        <v>2362</v>
      </c>
      <c r="C1" s="160"/>
      <c r="D1" s="160"/>
      <c r="E1" s="160"/>
      <c r="F1" s="160"/>
      <c r="G1" s="160"/>
      <c r="H1" s="160"/>
      <c r="I1" s="23" t="s">
        <v>178</v>
      </c>
      <c r="J1" s="23" t="s">
        <v>178</v>
      </c>
      <c r="K1" s="23" t="s">
        <v>178</v>
      </c>
      <c r="L1" s="23" t="s">
        <v>178</v>
      </c>
    </row>
    <row r="2" spans="1:12" ht="15.75">
      <c r="A2" s="160"/>
      <c r="B2" s="160"/>
      <c r="C2" s="160"/>
      <c r="D2" s="160"/>
      <c r="E2" s="160"/>
      <c r="F2" s="160"/>
      <c r="G2" s="160"/>
      <c r="H2" s="160"/>
      <c r="I2" s="26">
        <v>0.1</v>
      </c>
      <c r="J2" s="26">
        <v>0.15</v>
      </c>
      <c r="K2" s="26">
        <v>0.18</v>
      </c>
      <c r="L2" s="27">
        <v>0.22</v>
      </c>
    </row>
    <row r="3" spans="1:12" ht="25.5">
      <c r="A3" s="160" t="s">
        <v>2363</v>
      </c>
      <c r="B3" s="160"/>
      <c r="C3" s="160"/>
      <c r="D3" s="161" t="s">
        <v>2364</v>
      </c>
      <c r="E3" s="160"/>
      <c r="F3" s="160"/>
      <c r="G3" s="160"/>
      <c r="H3" s="160"/>
      <c r="I3" s="23" t="s">
        <v>178</v>
      </c>
      <c r="J3" s="23" t="s">
        <v>178</v>
      </c>
      <c r="K3" s="23" t="s">
        <v>178</v>
      </c>
      <c r="L3" s="23" t="s">
        <v>178</v>
      </c>
    </row>
    <row r="4" spans="1:12" ht="24">
      <c r="A4" s="160" t="s">
        <v>2365</v>
      </c>
      <c r="B4" s="160"/>
      <c r="C4" s="160"/>
      <c r="D4" s="161" t="s">
        <v>2366</v>
      </c>
      <c r="E4" s="160" t="s">
        <v>2367</v>
      </c>
      <c r="F4" s="160"/>
      <c r="G4" s="160"/>
      <c r="H4" s="160"/>
      <c r="I4" s="28" t="s">
        <v>2183</v>
      </c>
      <c r="J4" s="28" t="s">
        <v>180</v>
      </c>
      <c r="K4" s="28" t="s">
        <v>181</v>
      </c>
      <c r="L4" s="29" t="s">
        <v>182</v>
      </c>
    </row>
    <row r="5" spans="1:12" ht="42.75">
      <c r="A5" s="162" t="s">
        <v>2368</v>
      </c>
      <c r="B5" s="162" t="s">
        <v>2369</v>
      </c>
      <c r="C5" s="162" t="s">
        <v>2370</v>
      </c>
      <c r="D5" s="162" t="s">
        <v>2371</v>
      </c>
      <c r="E5" s="162" t="s">
        <v>2372</v>
      </c>
      <c r="F5" s="162" t="s">
        <v>2373</v>
      </c>
      <c r="G5" s="162" t="s">
        <v>2497</v>
      </c>
      <c r="H5" s="162" t="s">
        <v>2374</v>
      </c>
      <c r="I5" s="30" t="s">
        <v>184</v>
      </c>
      <c r="J5" s="30" t="s">
        <v>184</v>
      </c>
      <c r="K5" s="30" t="s">
        <v>184</v>
      </c>
      <c r="L5" s="30" t="s">
        <v>184</v>
      </c>
    </row>
    <row r="6" spans="1:12" ht="42.75">
      <c r="A6" s="162">
        <v>0</v>
      </c>
      <c r="B6" s="162" t="s">
        <v>1419</v>
      </c>
      <c r="C6" s="162" t="s">
        <v>2375</v>
      </c>
      <c r="D6" s="162" t="s">
        <v>2376</v>
      </c>
      <c r="E6" s="162">
        <v>7895</v>
      </c>
      <c r="F6" s="162" t="s">
        <v>2377</v>
      </c>
      <c r="G6" s="166" t="s">
        <v>2498</v>
      </c>
      <c r="H6" s="163">
        <v>497.11535566393286</v>
      </c>
      <c r="I6" s="163">
        <v>447.40382009753961</v>
      </c>
      <c r="J6" s="163">
        <v>422.5480523143429</v>
      </c>
      <c r="K6" s="163">
        <v>407.63459164442492</v>
      </c>
      <c r="L6" s="163">
        <v>387.74997741786763</v>
      </c>
    </row>
    <row r="7" spans="1:12" ht="42.75">
      <c r="A7" s="162">
        <v>0</v>
      </c>
      <c r="B7" s="162" t="s">
        <v>1419</v>
      </c>
      <c r="C7" s="162" t="s">
        <v>2375</v>
      </c>
      <c r="D7" s="162" t="s">
        <v>2376</v>
      </c>
      <c r="E7" s="162">
        <v>7895</v>
      </c>
      <c r="F7" s="162" t="s">
        <v>2510</v>
      </c>
      <c r="G7" s="166" t="s">
        <v>2509</v>
      </c>
      <c r="H7" s="163">
        <v>497.11535566393286</v>
      </c>
      <c r="I7" s="163">
        <v>447.40382009753961</v>
      </c>
      <c r="J7" s="163">
        <v>422.5480523143429</v>
      </c>
      <c r="K7" s="163">
        <v>407.63459164442492</v>
      </c>
      <c r="L7" s="163">
        <v>387.74997741786763</v>
      </c>
    </row>
    <row r="8" spans="1:12" ht="42.75">
      <c r="A8" s="162">
        <v>0</v>
      </c>
      <c r="B8" s="162" t="s">
        <v>1419</v>
      </c>
      <c r="C8" s="162" t="s">
        <v>2375</v>
      </c>
      <c r="D8" s="164" t="s">
        <v>2378</v>
      </c>
      <c r="E8" s="162">
        <v>7895</v>
      </c>
      <c r="F8" s="162" t="s">
        <v>2379</v>
      </c>
      <c r="G8" s="166" t="s">
        <v>2499</v>
      </c>
      <c r="H8" s="163">
        <v>497.11535566393286</v>
      </c>
      <c r="I8" s="163">
        <v>447.40382009753961</v>
      </c>
      <c r="J8" s="163">
        <v>422.5480523143429</v>
      </c>
      <c r="K8" s="163">
        <v>407.63459164442492</v>
      </c>
      <c r="L8" s="163">
        <v>387.74997741786763</v>
      </c>
    </row>
    <row r="9" spans="1:12" ht="42.75">
      <c r="A9" s="162">
        <v>0</v>
      </c>
      <c r="B9" s="162" t="s">
        <v>2380</v>
      </c>
      <c r="C9" s="162" t="s">
        <v>2381</v>
      </c>
      <c r="D9" s="164" t="s">
        <v>2382</v>
      </c>
      <c r="E9" s="162">
        <v>7863</v>
      </c>
      <c r="F9" s="162" t="s">
        <v>2503</v>
      </c>
      <c r="G9" s="166" t="s">
        <v>2508</v>
      </c>
      <c r="H9" s="163">
        <v>497.11535566393286</v>
      </c>
      <c r="I9" s="163">
        <v>447.40382009753961</v>
      </c>
      <c r="J9" s="163">
        <v>422.5480523143429</v>
      </c>
      <c r="K9" s="163">
        <v>407.63459164442492</v>
      </c>
      <c r="L9" s="163">
        <v>387.74997741786763</v>
      </c>
    </row>
    <row r="10" spans="1:12" ht="42.75">
      <c r="A10" s="162">
        <v>0</v>
      </c>
      <c r="B10" s="162" t="s">
        <v>2380</v>
      </c>
      <c r="C10" s="162" t="s">
        <v>2381</v>
      </c>
      <c r="D10" s="164" t="s">
        <v>2382</v>
      </c>
      <c r="E10" s="162">
        <v>8737</v>
      </c>
      <c r="F10" s="162"/>
      <c r="G10" s="162"/>
      <c r="H10" s="163">
        <v>497.11535566393286</v>
      </c>
      <c r="I10" s="163">
        <v>447.40382009753961</v>
      </c>
      <c r="J10" s="163">
        <v>422.5480523143429</v>
      </c>
      <c r="K10" s="163">
        <v>407.63459164442492</v>
      </c>
      <c r="L10" s="163">
        <v>387.74997741786763</v>
      </c>
    </row>
    <row r="11" spans="1:12" ht="57">
      <c r="A11" s="162">
        <v>0</v>
      </c>
      <c r="B11" s="162" t="s">
        <v>2383</v>
      </c>
      <c r="C11" s="162" t="s">
        <v>2384</v>
      </c>
      <c r="D11" s="164" t="s">
        <v>2385</v>
      </c>
      <c r="E11" s="162">
        <v>7893</v>
      </c>
      <c r="F11" s="162" t="s">
        <v>2504</v>
      </c>
      <c r="G11" s="166" t="s">
        <v>2505</v>
      </c>
      <c r="H11" s="163">
        <v>497.11535566393286</v>
      </c>
      <c r="I11" s="163">
        <v>447.40382009753961</v>
      </c>
      <c r="J11" s="163">
        <v>422.5480523143429</v>
      </c>
      <c r="K11" s="163">
        <v>407.63459164442492</v>
      </c>
      <c r="L11" s="163">
        <v>387.74997741786763</v>
      </c>
    </row>
    <row r="12" spans="1:12" ht="57">
      <c r="A12" s="162">
        <v>0</v>
      </c>
      <c r="B12" s="162" t="s">
        <v>2383</v>
      </c>
      <c r="C12" s="162" t="s">
        <v>2384</v>
      </c>
      <c r="D12" s="164" t="s">
        <v>2385</v>
      </c>
      <c r="E12" s="162">
        <v>8721</v>
      </c>
      <c r="F12" s="162"/>
      <c r="G12" s="162"/>
      <c r="H12" s="163">
        <v>497.11535566393286</v>
      </c>
      <c r="I12" s="163">
        <v>447.40382009753961</v>
      </c>
      <c r="J12" s="163">
        <v>422.5480523143429</v>
      </c>
      <c r="K12" s="163">
        <v>407.63459164442492</v>
      </c>
      <c r="L12" s="163">
        <v>387.74997741786763</v>
      </c>
    </row>
    <row r="13" spans="1:12" ht="42.75">
      <c r="A13" s="162">
        <v>0</v>
      </c>
      <c r="B13" s="162" t="s">
        <v>2386</v>
      </c>
      <c r="C13" s="162" t="s">
        <v>2387</v>
      </c>
      <c r="D13" s="164" t="s">
        <v>2388</v>
      </c>
      <c r="E13" s="162">
        <v>7955</v>
      </c>
      <c r="F13" s="162" t="s">
        <v>2501</v>
      </c>
      <c r="G13" s="166" t="s">
        <v>2502</v>
      </c>
      <c r="H13" s="163">
        <v>928.84678624344986</v>
      </c>
      <c r="I13" s="163">
        <v>835.96210761910493</v>
      </c>
      <c r="J13" s="163">
        <v>789.51976830693241</v>
      </c>
      <c r="K13" s="163">
        <v>761.6543647196288</v>
      </c>
      <c r="L13" s="163">
        <v>724.50049326989097</v>
      </c>
    </row>
    <row r="14" spans="1:12" ht="42.75">
      <c r="A14" s="162">
        <v>0</v>
      </c>
      <c r="B14" s="162" t="s">
        <v>2386</v>
      </c>
      <c r="C14" s="162" t="s">
        <v>2387</v>
      </c>
      <c r="D14" s="164" t="s">
        <v>2388</v>
      </c>
      <c r="E14" s="162">
        <v>8731</v>
      </c>
      <c r="F14" s="162"/>
      <c r="G14" s="162"/>
      <c r="H14" s="163">
        <v>928.84678624344986</v>
      </c>
      <c r="I14" s="163">
        <v>835.96210761910493</v>
      </c>
      <c r="J14" s="163">
        <v>789.51976830693241</v>
      </c>
      <c r="K14" s="163">
        <v>761.6543647196288</v>
      </c>
      <c r="L14" s="163">
        <v>724.50049326989097</v>
      </c>
    </row>
    <row r="15" spans="1:12" ht="42.75">
      <c r="A15" s="162">
        <v>0</v>
      </c>
      <c r="B15" s="162" t="s">
        <v>75</v>
      </c>
      <c r="C15" s="162" t="s">
        <v>2389</v>
      </c>
      <c r="D15" s="164" t="s">
        <v>2390</v>
      </c>
      <c r="E15" s="162">
        <v>2076</v>
      </c>
      <c r="F15" s="162">
        <v>124</v>
      </c>
      <c r="G15" s="166" t="s">
        <v>160</v>
      </c>
      <c r="H15" s="163">
        <v>6190.8236470295806</v>
      </c>
      <c r="I15" s="163">
        <v>5571.7412823266222</v>
      </c>
      <c r="J15" s="163">
        <v>5262.2000999751435</v>
      </c>
      <c r="K15" s="163">
        <v>5076.4753905642556</v>
      </c>
      <c r="L15" s="163">
        <v>4828.8424446830732</v>
      </c>
    </row>
    <row r="16" spans="1:12" ht="42.75">
      <c r="A16" s="162">
        <v>0</v>
      </c>
      <c r="B16" s="162" t="s">
        <v>63</v>
      </c>
      <c r="C16" s="162" t="s">
        <v>63</v>
      </c>
      <c r="D16" s="164" t="s">
        <v>2391</v>
      </c>
      <c r="E16" s="162">
        <v>7953</v>
      </c>
      <c r="F16" s="162" t="s">
        <v>2392</v>
      </c>
      <c r="G16" s="166" t="s">
        <v>2500</v>
      </c>
      <c r="H16" s="163">
        <v>1039.976884437003</v>
      </c>
      <c r="I16" s="163">
        <v>935.97919599330271</v>
      </c>
      <c r="J16" s="163">
        <v>883.98035177145255</v>
      </c>
      <c r="K16" s="163">
        <v>852.78104523834247</v>
      </c>
      <c r="L16" s="163">
        <v>811.18196986086241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D985"/>
  <sheetViews>
    <sheetView workbookViewId="0"/>
  </sheetViews>
  <sheetFormatPr baseColWidth="10" defaultRowHeight="15"/>
  <sheetData>
    <row r="5" spans="2:4" ht="15.75">
      <c r="B5" s="157" t="s">
        <v>2332</v>
      </c>
    </row>
    <row r="6" spans="2:4" ht="15.75">
      <c r="B6" s="116" t="s">
        <v>249</v>
      </c>
      <c r="C6" s="115" t="s">
        <v>300</v>
      </c>
      <c r="D6" s="116" t="s">
        <v>2332</v>
      </c>
    </row>
    <row r="7" spans="2:4" ht="15.75">
      <c r="B7" s="116" t="s">
        <v>303</v>
      </c>
      <c r="C7" s="115" t="s">
        <v>285</v>
      </c>
      <c r="D7" s="116" t="s">
        <v>2332</v>
      </c>
    </row>
    <row r="8" spans="2:4" ht="15.75">
      <c r="B8" s="116" t="s">
        <v>289</v>
      </c>
      <c r="C8" s="115" t="s">
        <v>288</v>
      </c>
      <c r="D8" s="116" t="s">
        <v>2332</v>
      </c>
    </row>
    <row r="9" spans="2:4" ht="15.75">
      <c r="B9" s="116" t="s">
        <v>1372</v>
      </c>
      <c r="C9" s="115" t="s">
        <v>1373</v>
      </c>
      <c r="D9" s="116" t="s">
        <v>2332</v>
      </c>
    </row>
    <row r="10" spans="2:4" ht="15.75">
      <c r="B10" s="116" t="s">
        <v>1680</v>
      </c>
      <c r="C10" s="115" t="s">
        <v>1681</v>
      </c>
      <c r="D10" s="116" t="s">
        <v>2332</v>
      </c>
    </row>
    <row r="11" spans="2:4" ht="15.75">
      <c r="B11" s="116" t="s">
        <v>1374</v>
      </c>
      <c r="C11" s="115" t="s">
        <v>1375</v>
      </c>
      <c r="D11" s="116" t="s">
        <v>2332</v>
      </c>
    </row>
    <row r="12" spans="2:4" ht="15.75">
      <c r="B12" s="116" t="s">
        <v>1378</v>
      </c>
      <c r="C12" s="115" t="s">
        <v>1373</v>
      </c>
      <c r="D12" s="116" t="s">
        <v>2332</v>
      </c>
    </row>
    <row r="13" spans="2:4" ht="15.75">
      <c r="B13" s="116" t="s">
        <v>1694</v>
      </c>
      <c r="C13" s="115" t="s">
        <v>1681</v>
      </c>
      <c r="D13" s="116" t="s">
        <v>2332</v>
      </c>
    </row>
    <row r="14" spans="2:4" ht="15.75">
      <c r="B14" s="116" t="s">
        <v>1379</v>
      </c>
      <c r="C14" s="115" t="s">
        <v>1375</v>
      </c>
      <c r="D14" s="116" t="s">
        <v>2332</v>
      </c>
    </row>
    <row r="15" spans="2:4" ht="15.75">
      <c r="B15" s="116" t="s">
        <v>1380</v>
      </c>
      <c r="C15" s="115" t="s">
        <v>1377</v>
      </c>
      <c r="D15" s="116" t="s">
        <v>2332</v>
      </c>
    </row>
    <row r="16" spans="2:4" ht="15.75">
      <c r="B16" s="116" t="s">
        <v>468</v>
      </c>
      <c r="C16" s="115" t="s">
        <v>469</v>
      </c>
      <c r="D16" s="116" t="s">
        <v>2332</v>
      </c>
    </row>
    <row r="17" spans="2:4" ht="15.75">
      <c r="B17" s="116" t="s">
        <v>305</v>
      </c>
      <c r="C17" s="115" t="s">
        <v>306</v>
      </c>
      <c r="D17" s="116" t="s">
        <v>2332</v>
      </c>
    </row>
    <row r="18" spans="2:4" ht="15.75">
      <c r="B18" s="116" t="s">
        <v>301</v>
      </c>
      <c r="C18" s="115" t="s">
        <v>302</v>
      </c>
      <c r="D18" s="116" t="s">
        <v>2332</v>
      </c>
    </row>
    <row r="19" spans="2:4" ht="15.75">
      <c r="B19" s="116" t="s">
        <v>1381</v>
      </c>
      <c r="C19" s="115" t="s">
        <v>1382</v>
      </c>
      <c r="D19" s="116" t="s">
        <v>2332</v>
      </c>
    </row>
    <row r="20" spans="2:4" ht="15.75">
      <c r="B20" s="116" t="s">
        <v>1383</v>
      </c>
      <c r="C20" s="115" t="s">
        <v>1384</v>
      </c>
      <c r="D20" s="116" t="s">
        <v>2332</v>
      </c>
    </row>
    <row r="21" spans="2:4" ht="15.75">
      <c r="B21" s="116" t="s">
        <v>1701</v>
      </c>
      <c r="C21" s="115" t="s">
        <v>1702</v>
      </c>
      <c r="D21" s="116" t="s">
        <v>2332</v>
      </c>
    </row>
    <row r="22" spans="2:4" ht="15.75">
      <c r="B22" s="116" t="s">
        <v>1385</v>
      </c>
      <c r="C22" s="115" t="s">
        <v>1386</v>
      </c>
      <c r="D22" s="116" t="s">
        <v>2332</v>
      </c>
    </row>
    <row r="23" spans="2:4" ht="15.75">
      <c r="B23" s="116" t="s">
        <v>1721</v>
      </c>
      <c r="C23" s="115" t="s">
        <v>1722</v>
      </c>
      <c r="D23" s="116" t="s">
        <v>2332</v>
      </c>
    </row>
    <row r="24" spans="2:4" ht="15.75">
      <c r="B24" s="116" t="s">
        <v>1387</v>
      </c>
      <c r="C24" s="115" t="s">
        <v>1388</v>
      </c>
      <c r="D24" s="116" t="s">
        <v>2332</v>
      </c>
    </row>
    <row r="25" spans="2:4" ht="15.75">
      <c r="B25" s="116" t="s">
        <v>1822</v>
      </c>
      <c r="C25" s="115" t="s">
        <v>1823</v>
      </c>
      <c r="D25" s="116" t="s">
        <v>2332</v>
      </c>
    </row>
    <row r="26" spans="2:4" ht="15.75">
      <c r="B26" s="116" t="s">
        <v>1845</v>
      </c>
      <c r="C26" s="115" t="s">
        <v>1846</v>
      </c>
      <c r="D26" s="116" t="s">
        <v>2332</v>
      </c>
    </row>
    <row r="27" spans="2:4" ht="15.75">
      <c r="B27" s="109" t="s">
        <v>701</v>
      </c>
      <c r="C27" s="124" t="s">
        <v>702</v>
      </c>
      <c r="D27" s="116" t="s">
        <v>2332</v>
      </c>
    </row>
    <row r="28" spans="2:4" ht="15.75">
      <c r="B28" s="109" t="s">
        <v>704</v>
      </c>
      <c r="C28" s="124" t="s">
        <v>705</v>
      </c>
      <c r="D28" s="116" t="s">
        <v>2332</v>
      </c>
    </row>
    <row r="29" spans="2:4" ht="15.75">
      <c r="B29" s="110" t="s">
        <v>706</v>
      </c>
      <c r="C29" s="110" t="s">
        <v>707</v>
      </c>
      <c r="D29" s="116" t="s">
        <v>2332</v>
      </c>
    </row>
    <row r="30" spans="2:4" ht="15.75">
      <c r="B30" s="110" t="s">
        <v>708</v>
      </c>
      <c r="C30" s="112" t="s">
        <v>709</v>
      </c>
      <c r="D30" s="116" t="s">
        <v>2332</v>
      </c>
    </row>
    <row r="31" spans="2:4" ht="15.75">
      <c r="B31" s="110" t="s">
        <v>710</v>
      </c>
      <c r="C31" s="112" t="s">
        <v>711</v>
      </c>
      <c r="D31" s="116" t="s">
        <v>2332</v>
      </c>
    </row>
    <row r="32" spans="2:4" ht="15.75">
      <c r="B32" s="110" t="s">
        <v>712</v>
      </c>
      <c r="C32" s="112" t="s">
        <v>713</v>
      </c>
      <c r="D32" s="116" t="s">
        <v>2332</v>
      </c>
    </row>
    <row r="33" spans="2:4" ht="15.75">
      <c r="B33" s="110" t="s">
        <v>715</v>
      </c>
      <c r="C33" s="112" t="s">
        <v>714</v>
      </c>
      <c r="D33" s="116" t="s">
        <v>2332</v>
      </c>
    </row>
    <row r="34" spans="2:4" ht="15.75">
      <c r="B34" s="110" t="s">
        <v>716</v>
      </c>
      <c r="C34" s="112" t="s">
        <v>717</v>
      </c>
      <c r="D34" s="116" t="s">
        <v>2332</v>
      </c>
    </row>
    <row r="35" spans="2:4" ht="15.75">
      <c r="B35" s="110" t="s">
        <v>718</v>
      </c>
      <c r="C35" s="112" t="s">
        <v>717</v>
      </c>
      <c r="D35" s="116" t="s">
        <v>2332</v>
      </c>
    </row>
    <row r="36" spans="2:4" ht="15.75">
      <c r="B36" s="110" t="s">
        <v>719</v>
      </c>
      <c r="C36" s="112" t="s">
        <v>720</v>
      </c>
      <c r="D36" s="116" t="s">
        <v>2332</v>
      </c>
    </row>
    <row r="37" spans="2:4" ht="15.75">
      <c r="B37" s="110" t="s">
        <v>721</v>
      </c>
      <c r="C37" s="112" t="s">
        <v>722</v>
      </c>
      <c r="D37" s="116" t="s">
        <v>2332</v>
      </c>
    </row>
    <row r="38" spans="2:4" ht="15.75">
      <c r="B38" s="110" t="s">
        <v>287</v>
      </c>
      <c r="C38" s="112" t="s">
        <v>288</v>
      </c>
      <c r="D38" s="116" t="s">
        <v>2332</v>
      </c>
    </row>
    <row r="39" spans="2:4" ht="15.75">
      <c r="B39" s="110" t="s">
        <v>725</v>
      </c>
      <c r="C39" s="112" t="s">
        <v>285</v>
      </c>
      <c r="D39" s="116" t="s">
        <v>2332</v>
      </c>
    </row>
    <row r="40" spans="2:4" ht="15.75">
      <c r="B40" s="110" t="s">
        <v>726</v>
      </c>
      <c r="C40" s="112" t="s">
        <v>727</v>
      </c>
      <c r="D40" s="116" t="s">
        <v>2332</v>
      </c>
    </row>
    <row r="41" spans="2:4" ht="15.75">
      <c r="B41" s="110" t="s">
        <v>731</v>
      </c>
      <c r="C41" s="112" t="s">
        <v>717</v>
      </c>
      <c r="D41" s="116" t="s">
        <v>2332</v>
      </c>
    </row>
    <row r="42" spans="2:4" ht="15.75">
      <c r="B42" s="110" t="s">
        <v>732</v>
      </c>
      <c r="C42" s="112" t="s">
        <v>720</v>
      </c>
      <c r="D42" s="116" t="s">
        <v>2332</v>
      </c>
    </row>
    <row r="43" spans="2:4" ht="15.75">
      <c r="B43" s="110" t="s">
        <v>733</v>
      </c>
      <c r="C43" s="112" t="s">
        <v>722</v>
      </c>
      <c r="D43" s="116" t="s">
        <v>2332</v>
      </c>
    </row>
    <row r="44" spans="2:4" ht="15.75">
      <c r="B44" s="110" t="s">
        <v>291</v>
      </c>
      <c r="C44" s="112" t="s">
        <v>288</v>
      </c>
      <c r="D44" s="116" t="s">
        <v>2332</v>
      </c>
    </row>
    <row r="45" spans="2:4" ht="15.75">
      <c r="B45" s="110" t="s">
        <v>734</v>
      </c>
      <c r="C45" s="112" t="s">
        <v>724</v>
      </c>
      <c r="D45" s="116" t="s">
        <v>2332</v>
      </c>
    </row>
    <row r="46" spans="2:4" ht="15.75">
      <c r="B46" s="110" t="s">
        <v>920</v>
      </c>
      <c r="C46" s="112" t="s">
        <v>285</v>
      </c>
      <c r="D46" s="116" t="s">
        <v>2332</v>
      </c>
    </row>
    <row r="47" spans="2:4" ht="15.75">
      <c r="B47" s="110" t="s">
        <v>735</v>
      </c>
      <c r="C47" s="112" t="s">
        <v>727</v>
      </c>
      <c r="D47" s="116" t="s">
        <v>2332</v>
      </c>
    </row>
    <row r="48" spans="2:4" ht="15.75">
      <c r="B48" s="110" t="s">
        <v>736</v>
      </c>
      <c r="C48" s="112" t="s">
        <v>728</v>
      </c>
      <c r="D48" s="116" t="s">
        <v>2332</v>
      </c>
    </row>
    <row r="49" spans="2:4" ht="15.75">
      <c r="B49" s="110" t="s">
        <v>737</v>
      </c>
      <c r="C49" s="112" t="s">
        <v>729</v>
      </c>
      <c r="D49" s="116" t="s">
        <v>2332</v>
      </c>
    </row>
    <row r="50" spans="2:4" ht="15.75">
      <c r="B50" s="110" t="s">
        <v>738</v>
      </c>
      <c r="C50" s="112" t="s">
        <v>739</v>
      </c>
      <c r="D50" s="116" t="s">
        <v>2332</v>
      </c>
    </row>
    <row r="51" spans="2:4" ht="15.75">
      <c r="B51" s="110" t="s">
        <v>740</v>
      </c>
      <c r="C51" s="112" t="s">
        <v>722</v>
      </c>
      <c r="D51" s="116" t="s">
        <v>2332</v>
      </c>
    </row>
    <row r="52" spans="2:4" ht="15.75">
      <c r="B52" s="110" t="s">
        <v>741</v>
      </c>
      <c r="C52" s="112" t="s">
        <v>742</v>
      </c>
      <c r="D52" s="116" t="s">
        <v>2332</v>
      </c>
    </row>
    <row r="53" spans="2:4" ht="15.75">
      <c r="B53" s="110" t="s">
        <v>743</v>
      </c>
      <c r="C53" s="112" t="s">
        <v>727</v>
      </c>
      <c r="D53" s="116" t="s">
        <v>2332</v>
      </c>
    </row>
    <row r="54" spans="2:4" ht="15.75">
      <c r="B54" s="110" t="s">
        <v>744</v>
      </c>
      <c r="C54" s="112" t="s">
        <v>728</v>
      </c>
      <c r="D54" s="116" t="s">
        <v>2332</v>
      </c>
    </row>
    <row r="55" spans="2:4" ht="15.75">
      <c r="B55" s="110" t="s">
        <v>921</v>
      </c>
      <c r="C55" s="112" t="s">
        <v>288</v>
      </c>
      <c r="D55" s="116" t="s">
        <v>2332</v>
      </c>
    </row>
    <row r="56" spans="2:4" ht="15.75">
      <c r="B56" s="110" t="s">
        <v>745</v>
      </c>
      <c r="C56" s="112" t="s">
        <v>724</v>
      </c>
      <c r="D56" s="116" t="s">
        <v>2332</v>
      </c>
    </row>
    <row r="57" spans="2:4" ht="15.75">
      <c r="B57" s="110" t="s">
        <v>290</v>
      </c>
      <c r="C57" s="112" t="s">
        <v>285</v>
      </c>
      <c r="D57" s="116" t="s">
        <v>2332</v>
      </c>
    </row>
    <row r="58" spans="2:4" ht="15.75">
      <c r="B58" s="110" t="s">
        <v>746</v>
      </c>
      <c r="C58" s="112" t="s">
        <v>727</v>
      </c>
      <c r="D58" s="116" t="s">
        <v>2332</v>
      </c>
    </row>
    <row r="59" spans="2:4" ht="15.75">
      <c r="B59" s="110" t="s">
        <v>747</v>
      </c>
      <c r="C59" s="112" t="s">
        <v>728</v>
      </c>
      <c r="D59" s="116" t="s">
        <v>2332</v>
      </c>
    </row>
    <row r="60" spans="2:4" ht="15.75">
      <c r="B60" s="110" t="s">
        <v>748</v>
      </c>
      <c r="C60" s="112" t="s">
        <v>727</v>
      </c>
      <c r="D60" s="116" t="s">
        <v>2332</v>
      </c>
    </row>
    <row r="61" spans="2:4" ht="15.75">
      <c r="B61" s="110" t="s">
        <v>749</v>
      </c>
      <c r="C61" s="112" t="s">
        <v>285</v>
      </c>
      <c r="D61" s="116" t="s">
        <v>2332</v>
      </c>
    </row>
    <row r="62" spans="2:4" ht="15.75">
      <c r="B62" s="110" t="s">
        <v>750</v>
      </c>
      <c r="C62" s="112" t="s">
        <v>723</v>
      </c>
      <c r="D62" s="116" t="s">
        <v>2332</v>
      </c>
    </row>
    <row r="63" spans="2:4" ht="15.75">
      <c r="B63" s="110" t="s">
        <v>751</v>
      </c>
      <c r="C63" s="112" t="s">
        <v>288</v>
      </c>
      <c r="D63" s="116" t="s">
        <v>2332</v>
      </c>
    </row>
    <row r="64" spans="2:4" ht="15.75">
      <c r="B64" s="110" t="s">
        <v>752</v>
      </c>
      <c r="C64" s="112" t="s">
        <v>722</v>
      </c>
      <c r="D64" s="116" t="s">
        <v>2332</v>
      </c>
    </row>
    <row r="65" spans="2:4" ht="15.75">
      <c r="B65" s="110" t="s">
        <v>284</v>
      </c>
      <c r="C65" s="112" t="s">
        <v>285</v>
      </c>
      <c r="D65" s="116" t="s">
        <v>2332</v>
      </c>
    </row>
    <row r="66" spans="2:4" ht="15.75">
      <c r="B66" s="110" t="s">
        <v>753</v>
      </c>
      <c r="C66" s="112" t="s">
        <v>722</v>
      </c>
      <c r="D66" s="116" t="s">
        <v>2332</v>
      </c>
    </row>
    <row r="67" spans="2:4" ht="15.75">
      <c r="B67" s="110" t="s">
        <v>754</v>
      </c>
      <c r="C67" s="112" t="s">
        <v>720</v>
      </c>
      <c r="D67" s="116" t="s">
        <v>2332</v>
      </c>
    </row>
    <row r="68" spans="2:4" ht="15.75">
      <c r="B68" s="110" t="s">
        <v>755</v>
      </c>
      <c r="C68" s="112" t="s">
        <v>717</v>
      </c>
      <c r="D68" s="116" t="s">
        <v>2332</v>
      </c>
    </row>
    <row r="69" spans="2:4" ht="15.75">
      <c r="B69" s="110" t="s">
        <v>756</v>
      </c>
      <c r="C69" s="112" t="s">
        <v>757</v>
      </c>
      <c r="D69" s="116" t="s">
        <v>2332</v>
      </c>
    </row>
    <row r="70" spans="2:4" ht="15.75">
      <c r="B70" s="110" t="s">
        <v>758</v>
      </c>
      <c r="C70" s="112" t="s">
        <v>302</v>
      </c>
      <c r="D70" s="116" t="s">
        <v>2332</v>
      </c>
    </row>
    <row r="71" spans="2:4" ht="15.75">
      <c r="B71" s="110" t="s">
        <v>759</v>
      </c>
      <c r="C71" s="112" t="s">
        <v>302</v>
      </c>
      <c r="D71" s="116" t="s">
        <v>2332</v>
      </c>
    </row>
    <row r="72" spans="2:4" ht="15.75">
      <c r="B72" s="110" t="s">
        <v>760</v>
      </c>
      <c r="C72" s="112" t="s">
        <v>761</v>
      </c>
      <c r="D72" s="116" t="s">
        <v>2332</v>
      </c>
    </row>
    <row r="73" spans="2:4" ht="15.75">
      <c r="B73" s="110" t="s">
        <v>762</v>
      </c>
      <c r="C73" s="112" t="s">
        <v>717</v>
      </c>
      <c r="D73" s="116" t="s">
        <v>2332</v>
      </c>
    </row>
    <row r="74" spans="2:4" ht="15.75">
      <c r="B74" s="110" t="s">
        <v>763</v>
      </c>
      <c r="C74" s="112" t="s">
        <v>729</v>
      </c>
      <c r="D74" s="116" t="s">
        <v>2332</v>
      </c>
    </row>
    <row r="75" spans="2:4" ht="15.75">
      <c r="B75" s="110" t="s">
        <v>466</v>
      </c>
      <c r="C75" s="112" t="s">
        <v>467</v>
      </c>
      <c r="D75" s="116" t="s">
        <v>2332</v>
      </c>
    </row>
    <row r="76" spans="2:4" ht="15.75">
      <c r="B76" s="110" t="s">
        <v>764</v>
      </c>
      <c r="C76" s="112" t="s">
        <v>765</v>
      </c>
      <c r="D76" s="116" t="s">
        <v>2332</v>
      </c>
    </row>
    <row r="77" spans="2:4" ht="15.75">
      <c r="B77" s="110" t="s">
        <v>766</v>
      </c>
      <c r="C77" s="112" t="s">
        <v>767</v>
      </c>
      <c r="D77" s="116" t="s">
        <v>2332</v>
      </c>
    </row>
    <row r="78" spans="2:4" ht="15.75">
      <c r="B78" s="110" t="s">
        <v>768</v>
      </c>
      <c r="C78" s="112" t="s">
        <v>769</v>
      </c>
      <c r="D78" s="116" t="s">
        <v>2332</v>
      </c>
    </row>
    <row r="79" spans="2:4" ht="15.75">
      <c r="B79" s="110" t="s">
        <v>770</v>
      </c>
      <c r="C79" s="112" t="s">
        <v>771</v>
      </c>
      <c r="D79" s="116" t="s">
        <v>2332</v>
      </c>
    </row>
    <row r="80" spans="2:4" ht="15.75">
      <c r="B80" s="110" t="s">
        <v>772</v>
      </c>
      <c r="C80" s="112" t="s">
        <v>773</v>
      </c>
      <c r="D80" s="116" t="s">
        <v>2332</v>
      </c>
    </row>
    <row r="81" spans="2:4" ht="15.75">
      <c r="B81" s="110" t="s">
        <v>774</v>
      </c>
      <c r="C81" s="112" t="s">
        <v>775</v>
      </c>
      <c r="D81" s="116" t="s">
        <v>2332</v>
      </c>
    </row>
    <row r="82" spans="2:4" ht="15.75">
      <c r="B82" s="110" t="s">
        <v>776</v>
      </c>
      <c r="C82" s="112" t="s">
        <v>777</v>
      </c>
      <c r="D82" s="116" t="s">
        <v>2332</v>
      </c>
    </row>
    <row r="83" spans="2:4" ht="15.75">
      <c r="B83" s="110" t="s">
        <v>778</v>
      </c>
      <c r="C83" s="112" t="s">
        <v>779</v>
      </c>
      <c r="D83" s="116" t="s">
        <v>2332</v>
      </c>
    </row>
    <row r="84" spans="2:4" ht="15.75">
      <c r="B84" s="110" t="s">
        <v>780</v>
      </c>
      <c r="C84" s="112" t="s">
        <v>781</v>
      </c>
      <c r="D84" s="116" t="s">
        <v>2332</v>
      </c>
    </row>
    <row r="85" spans="2:4" ht="15.75">
      <c r="B85" s="110" t="s">
        <v>782</v>
      </c>
      <c r="C85" s="110" t="s">
        <v>730</v>
      </c>
      <c r="D85" s="116" t="s">
        <v>2332</v>
      </c>
    </row>
    <row r="86" spans="2:4" ht="15.75">
      <c r="B86" s="110" t="s">
        <v>783</v>
      </c>
      <c r="C86" s="110" t="s">
        <v>784</v>
      </c>
      <c r="D86" s="116" t="s">
        <v>2332</v>
      </c>
    </row>
    <row r="87" spans="2:4" ht="15.75">
      <c r="B87" s="110" t="s">
        <v>785</v>
      </c>
      <c r="C87" s="110" t="s">
        <v>786</v>
      </c>
      <c r="D87" s="116" t="s">
        <v>2332</v>
      </c>
    </row>
    <row r="88" spans="2:4" ht="15.75">
      <c r="B88" s="110" t="s">
        <v>922</v>
      </c>
      <c r="C88" s="110" t="s">
        <v>923</v>
      </c>
      <c r="D88" s="116" t="s">
        <v>2332</v>
      </c>
    </row>
    <row r="89" spans="2:4" ht="15.75">
      <c r="B89" s="110" t="s">
        <v>787</v>
      </c>
      <c r="C89" s="110" t="s">
        <v>788</v>
      </c>
      <c r="D89" s="116" t="s">
        <v>2332</v>
      </c>
    </row>
    <row r="90" spans="2:4" ht="15.75">
      <c r="B90" s="110" t="s">
        <v>789</v>
      </c>
      <c r="C90" s="110" t="s">
        <v>790</v>
      </c>
      <c r="D90" s="116" t="s">
        <v>2332</v>
      </c>
    </row>
    <row r="91" spans="2:4" ht="15.75">
      <c r="B91" s="110" t="s">
        <v>791</v>
      </c>
      <c r="C91" s="110" t="s">
        <v>792</v>
      </c>
      <c r="D91" s="116" t="s">
        <v>2332</v>
      </c>
    </row>
    <row r="92" spans="2:4" ht="15.75">
      <c r="B92" s="110" t="s">
        <v>793</v>
      </c>
      <c r="C92" s="110" t="s">
        <v>794</v>
      </c>
      <c r="D92" s="116" t="s">
        <v>2332</v>
      </c>
    </row>
    <row r="93" spans="2:4" ht="15.75">
      <c r="B93" s="110" t="s">
        <v>795</v>
      </c>
      <c r="C93" s="110" t="s">
        <v>796</v>
      </c>
      <c r="D93" s="116" t="s">
        <v>2332</v>
      </c>
    </row>
    <row r="94" spans="2:4" ht="15.75">
      <c r="B94" s="110" t="s">
        <v>797</v>
      </c>
      <c r="C94" s="110" t="s">
        <v>798</v>
      </c>
      <c r="D94" s="116" t="s">
        <v>2332</v>
      </c>
    </row>
    <row r="95" spans="2:4" ht="15.75">
      <c r="B95" s="110" t="s">
        <v>799</v>
      </c>
      <c r="C95" s="110" t="s">
        <v>800</v>
      </c>
      <c r="D95" s="116" t="s">
        <v>2332</v>
      </c>
    </row>
    <row r="96" spans="2:4" ht="15.75">
      <c r="B96" s="110" t="s">
        <v>801</v>
      </c>
      <c r="C96" s="110" t="s">
        <v>802</v>
      </c>
      <c r="D96" s="116" t="s">
        <v>2332</v>
      </c>
    </row>
    <row r="97" spans="2:4" ht="15.75">
      <c r="B97" s="110" t="s">
        <v>803</v>
      </c>
      <c r="C97" s="110" t="s">
        <v>293</v>
      </c>
      <c r="D97" s="116" t="s">
        <v>2332</v>
      </c>
    </row>
    <row r="98" spans="2:4" ht="15.75">
      <c r="B98" s="110" t="s">
        <v>804</v>
      </c>
      <c r="C98" s="110" t="s">
        <v>805</v>
      </c>
      <c r="D98" s="116" t="s">
        <v>2332</v>
      </c>
    </row>
    <row r="99" spans="2:4" ht="15.75">
      <c r="B99" s="110" t="s">
        <v>806</v>
      </c>
      <c r="C99" s="110" t="s">
        <v>807</v>
      </c>
      <c r="D99" s="116" t="s">
        <v>2332</v>
      </c>
    </row>
    <row r="100" spans="2:4" ht="15.75">
      <c r="B100" s="110" t="s">
        <v>808</v>
      </c>
      <c r="C100" s="110" t="s">
        <v>809</v>
      </c>
      <c r="D100" s="116" t="s">
        <v>2332</v>
      </c>
    </row>
    <row r="101" spans="2:4" ht="15.75">
      <c r="B101" s="110" t="s">
        <v>810</v>
      </c>
      <c r="C101" s="110" t="s">
        <v>297</v>
      </c>
      <c r="D101" s="116" t="s">
        <v>2332</v>
      </c>
    </row>
    <row r="102" spans="2:4" ht="15.75">
      <c r="B102" s="110" t="s">
        <v>811</v>
      </c>
      <c r="C102" s="110" t="s">
        <v>796</v>
      </c>
      <c r="D102" s="116" t="s">
        <v>2332</v>
      </c>
    </row>
    <row r="103" spans="2:4" ht="15.75">
      <c r="B103" s="110" t="s">
        <v>812</v>
      </c>
      <c r="C103" s="110" t="s">
        <v>798</v>
      </c>
      <c r="D103" s="116" t="s">
        <v>2332</v>
      </c>
    </row>
    <row r="104" spans="2:4" ht="15.75">
      <c r="B104" s="110" t="s">
        <v>813</v>
      </c>
      <c r="C104" s="110" t="s">
        <v>800</v>
      </c>
      <c r="D104" s="116" t="s">
        <v>2332</v>
      </c>
    </row>
    <row r="105" spans="2:4" ht="15.75">
      <c r="B105" s="110" t="s">
        <v>814</v>
      </c>
      <c r="C105" s="110" t="s">
        <v>802</v>
      </c>
      <c r="D105" s="116" t="s">
        <v>2332</v>
      </c>
    </row>
    <row r="106" spans="2:4" ht="15.75">
      <c r="B106" s="110" t="s">
        <v>292</v>
      </c>
      <c r="C106" s="110" t="s">
        <v>293</v>
      </c>
      <c r="D106" s="116" t="s">
        <v>2332</v>
      </c>
    </row>
    <row r="107" spans="2:4" ht="15.75">
      <c r="B107" s="110" t="s">
        <v>815</v>
      </c>
      <c r="C107" s="110" t="s">
        <v>805</v>
      </c>
      <c r="D107" s="116" t="s">
        <v>2332</v>
      </c>
    </row>
    <row r="108" spans="2:4" ht="15.75">
      <c r="B108" s="110" t="s">
        <v>816</v>
      </c>
      <c r="C108" s="110" t="s">
        <v>807</v>
      </c>
      <c r="D108" s="116" t="s">
        <v>2332</v>
      </c>
    </row>
    <row r="109" spans="2:4" ht="15.75">
      <c r="B109" s="110" t="s">
        <v>817</v>
      </c>
      <c r="C109" s="110" t="s">
        <v>809</v>
      </c>
      <c r="D109" s="116" t="s">
        <v>2332</v>
      </c>
    </row>
    <row r="110" spans="2:4" ht="15.75">
      <c r="B110" s="110" t="s">
        <v>296</v>
      </c>
      <c r="C110" s="110" t="s">
        <v>297</v>
      </c>
      <c r="D110" s="116" t="s">
        <v>2332</v>
      </c>
    </row>
    <row r="111" spans="2:4" ht="15.75">
      <c r="B111" s="110" t="s">
        <v>818</v>
      </c>
      <c r="C111" s="110" t="s">
        <v>819</v>
      </c>
      <c r="D111" s="116" t="s">
        <v>2332</v>
      </c>
    </row>
    <row r="112" spans="2:4" ht="15.75">
      <c r="B112" s="110" t="s">
        <v>924</v>
      </c>
      <c r="C112" s="110" t="s">
        <v>925</v>
      </c>
      <c r="D112" s="116" t="s">
        <v>2332</v>
      </c>
    </row>
    <row r="113" spans="2:4" ht="15.75">
      <c r="B113" s="110" t="s">
        <v>820</v>
      </c>
      <c r="C113" s="110" t="s">
        <v>821</v>
      </c>
      <c r="D113" s="116" t="s">
        <v>2332</v>
      </c>
    </row>
    <row r="114" spans="2:4" ht="15.75">
      <c r="B114" s="110" t="s">
        <v>822</v>
      </c>
      <c r="C114" s="110" t="s">
        <v>823</v>
      </c>
      <c r="D114" s="116" t="s">
        <v>2332</v>
      </c>
    </row>
    <row r="115" spans="2:4" ht="15.75">
      <c r="B115" s="110" t="s">
        <v>824</v>
      </c>
      <c r="C115" s="110" t="s">
        <v>825</v>
      </c>
      <c r="D115" s="116" t="s">
        <v>2332</v>
      </c>
    </row>
    <row r="116" spans="2:4" ht="15.75">
      <c r="B116" s="110" t="s">
        <v>294</v>
      </c>
      <c r="C116" s="110" t="s">
        <v>295</v>
      </c>
      <c r="D116" s="116" t="s">
        <v>2332</v>
      </c>
    </row>
    <row r="117" spans="2:4" ht="15.75">
      <c r="B117" s="110" t="s">
        <v>826</v>
      </c>
      <c r="C117" s="110" t="s">
        <v>827</v>
      </c>
      <c r="D117" s="116" t="s">
        <v>2332</v>
      </c>
    </row>
    <row r="118" spans="2:4" ht="15.75">
      <c r="B118" s="110" t="s">
        <v>828</v>
      </c>
      <c r="C118" s="110" t="s">
        <v>829</v>
      </c>
      <c r="D118" s="116" t="s">
        <v>2332</v>
      </c>
    </row>
    <row r="119" spans="2:4" ht="15.75">
      <c r="B119" s="110" t="s">
        <v>830</v>
      </c>
      <c r="C119" s="110" t="s">
        <v>831</v>
      </c>
      <c r="D119" s="116" t="s">
        <v>2332</v>
      </c>
    </row>
    <row r="120" spans="2:4" ht="15.75">
      <c r="B120" s="110" t="s">
        <v>298</v>
      </c>
      <c r="C120" s="110" t="s">
        <v>299</v>
      </c>
      <c r="D120" s="116" t="s">
        <v>2332</v>
      </c>
    </row>
    <row r="121" spans="2:4" ht="15.75">
      <c r="B121" s="110" t="s">
        <v>832</v>
      </c>
      <c r="C121" s="110" t="s">
        <v>796</v>
      </c>
      <c r="D121" s="116" t="s">
        <v>2332</v>
      </c>
    </row>
    <row r="122" spans="2:4" ht="15.75">
      <c r="B122" s="110" t="s">
        <v>833</v>
      </c>
      <c r="C122" s="110" t="s">
        <v>798</v>
      </c>
      <c r="D122" s="116" t="s">
        <v>2332</v>
      </c>
    </row>
    <row r="123" spans="2:4" ht="15.75">
      <c r="B123" s="110" t="s">
        <v>834</v>
      </c>
      <c r="C123" s="110" t="s">
        <v>800</v>
      </c>
      <c r="D123" s="116" t="s">
        <v>2332</v>
      </c>
    </row>
    <row r="124" spans="2:4" ht="15.75">
      <c r="B124" s="110" t="s">
        <v>835</v>
      </c>
      <c r="C124" s="110" t="s">
        <v>288</v>
      </c>
      <c r="D124" s="116" t="s">
        <v>2332</v>
      </c>
    </row>
    <row r="125" spans="2:4" ht="15.75">
      <c r="B125" s="110" t="s">
        <v>926</v>
      </c>
      <c r="C125" s="110" t="s">
        <v>302</v>
      </c>
      <c r="D125" s="116" t="s">
        <v>2332</v>
      </c>
    </row>
    <row r="126" spans="2:4" ht="15.75">
      <c r="B126" s="110" t="s">
        <v>836</v>
      </c>
      <c r="C126" s="110" t="s">
        <v>293</v>
      </c>
      <c r="D126" s="116" t="s">
        <v>2332</v>
      </c>
    </row>
    <row r="127" spans="2:4" ht="15.75">
      <c r="B127" s="110" t="s">
        <v>837</v>
      </c>
      <c r="C127" s="110" t="s">
        <v>285</v>
      </c>
      <c r="D127" s="116" t="s">
        <v>2332</v>
      </c>
    </row>
    <row r="128" spans="2:4" ht="15.75">
      <c r="B128" s="110" t="s">
        <v>838</v>
      </c>
      <c r="C128" s="110" t="s">
        <v>727</v>
      </c>
      <c r="D128" s="116" t="s">
        <v>2332</v>
      </c>
    </row>
    <row r="129" spans="2:4" ht="15.75">
      <c r="B129" s="110" t="s">
        <v>839</v>
      </c>
      <c r="C129" s="110" t="s">
        <v>807</v>
      </c>
      <c r="D129" s="116" t="s">
        <v>2332</v>
      </c>
    </row>
    <row r="130" spans="2:4" ht="15.75">
      <c r="B130" s="110" t="s">
        <v>840</v>
      </c>
      <c r="C130" s="110" t="s">
        <v>805</v>
      </c>
      <c r="D130" s="116" t="s">
        <v>2332</v>
      </c>
    </row>
    <row r="131" spans="2:4" ht="15.75">
      <c r="B131" s="110" t="s">
        <v>841</v>
      </c>
      <c r="C131" s="110" t="s">
        <v>717</v>
      </c>
      <c r="D131" s="116" t="s">
        <v>2332</v>
      </c>
    </row>
    <row r="132" spans="2:4" ht="15.75">
      <c r="B132" s="110" t="s">
        <v>842</v>
      </c>
      <c r="C132" s="110" t="s">
        <v>796</v>
      </c>
      <c r="D132" s="116" t="s">
        <v>2332</v>
      </c>
    </row>
    <row r="133" spans="2:4" ht="15.75">
      <c r="B133" s="110" t="s">
        <v>843</v>
      </c>
      <c r="C133" s="110" t="s">
        <v>798</v>
      </c>
      <c r="D133" s="116" t="s">
        <v>2332</v>
      </c>
    </row>
    <row r="134" spans="2:4" ht="15.75">
      <c r="B134" s="110" t="s">
        <v>844</v>
      </c>
      <c r="C134" s="110" t="s">
        <v>800</v>
      </c>
      <c r="D134" s="116" t="s">
        <v>2332</v>
      </c>
    </row>
    <row r="135" spans="2:4" ht="15.75">
      <c r="B135" s="110" t="s">
        <v>845</v>
      </c>
      <c r="C135" s="110" t="s">
        <v>846</v>
      </c>
      <c r="D135" s="116" t="s">
        <v>2332</v>
      </c>
    </row>
    <row r="136" spans="2:4" ht="15.75">
      <c r="B136" s="110" t="s">
        <v>847</v>
      </c>
      <c r="C136" s="110" t="s">
        <v>293</v>
      </c>
      <c r="D136" s="116" t="s">
        <v>2332</v>
      </c>
    </row>
    <row r="137" spans="2:4" ht="15.75">
      <c r="B137" s="110" t="s">
        <v>848</v>
      </c>
      <c r="C137" s="110" t="s">
        <v>805</v>
      </c>
      <c r="D137" s="116" t="s">
        <v>2332</v>
      </c>
    </row>
    <row r="138" spans="2:4" ht="15.75">
      <c r="B138" s="110" t="s">
        <v>849</v>
      </c>
      <c r="C138" s="110" t="s">
        <v>807</v>
      </c>
      <c r="D138" s="116" t="s">
        <v>2332</v>
      </c>
    </row>
    <row r="139" spans="2:4" ht="15.75">
      <c r="B139" s="110" t="s">
        <v>850</v>
      </c>
      <c r="C139" s="110" t="s">
        <v>809</v>
      </c>
      <c r="D139" s="116" t="s">
        <v>2332</v>
      </c>
    </row>
    <row r="140" spans="2:4" ht="15.75">
      <c r="B140" s="110" t="s">
        <v>304</v>
      </c>
      <c r="C140" s="110" t="s">
        <v>297</v>
      </c>
      <c r="D140" s="116" t="s">
        <v>2332</v>
      </c>
    </row>
    <row r="141" spans="2:4" ht="15.75">
      <c r="B141" s="110" t="s">
        <v>851</v>
      </c>
      <c r="C141" s="110" t="s">
        <v>852</v>
      </c>
      <c r="D141" s="116" t="s">
        <v>2332</v>
      </c>
    </row>
    <row r="142" spans="2:4" ht="15.75">
      <c r="B142" s="110" t="s">
        <v>853</v>
      </c>
      <c r="C142" s="110" t="s">
        <v>854</v>
      </c>
      <c r="D142" s="116" t="s">
        <v>2332</v>
      </c>
    </row>
    <row r="143" spans="2:4" ht="15.75">
      <c r="B143" s="110" t="s">
        <v>855</v>
      </c>
      <c r="C143" s="110" t="s">
        <v>856</v>
      </c>
      <c r="D143" s="116" t="s">
        <v>2332</v>
      </c>
    </row>
    <row r="144" spans="2:4" ht="15.75">
      <c r="B144" s="110" t="s">
        <v>857</v>
      </c>
      <c r="C144" s="110" t="s">
        <v>858</v>
      </c>
      <c r="D144" s="116" t="s">
        <v>2332</v>
      </c>
    </row>
    <row r="145" spans="2:4" ht="15.75">
      <c r="B145" s="110" t="s">
        <v>859</v>
      </c>
      <c r="C145" s="110" t="s">
        <v>860</v>
      </c>
      <c r="D145" s="116" t="s">
        <v>2332</v>
      </c>
    </row>
    <row r="146" spans="2:4" ht="15.75">
      <c r="B146" s="110" t="s">
        <v>861</v>
      </c>
      <c r="C146" s="110" t="s">
        <v>862</v>
      </c>
      <c r="D146" s="116" t="s">
        <v>2332</v>
      </c>
    </row>
    <row r="147" spans="2:4" ht="15.75">
      <c r="B147" s="110" t="s">
        <v>863</v>
      </c>
      <c r="C147" s="110" t="s">
        <v>864</v>
      </c>
      <c r="D147" s="116" t="s">
        <v>2332</v>
      </c>
    </row>
    <row r="148" spans="2:4" ht="15.75">
      <c r="B148" s="110" t="s">
        <v>865</v>
      </c>
      <c r="C148" s="110" t="s">
        <v>866</v>
      </c>
      <c r="D148" s="116" t="s">
        <v>2332</v>
      </c>
    </row>
    <row r="149" spans="2:4" ht="15.75">
      <c r="B149" s="110" t="s">
        <v>867</v>
      </c>
      <c r="C149" s="110" t="s">
        <v>868</v>
      </c>
      <c r="D149" s="116" t="s">
        <v>2332</v>
      </c>
    </row>
    <row r="150" spans="2:4" ht="15.75">
      <c r="B150" s="110" t="s">
        <v>869</v>
      </c>
      <c r="C150" s="110" t="s">
        <v>870</v>
      </c>
      <c r="D150" s="116" t="s">
        <v>2332</v>
      </c>
    </row>
    <row r="151" spans="2:4" ht="15.75">
      <c r="B151" s="110" t="s">
        <v>871</v>
      </c>
      <c r="C151" s="110" t="s">
        <v>872</v>
      </c>
      <c r="D151" s="116" t="s">
        <v>2332</v>
      </c>
    </row>
    <row r="152" spans="2:4" ht="15.75">
      <c r="B152" s="110" t="s">
        <v>873</v>
      </c>
      <c r="C152" s="110" t="s">
        <v>874</v>
      </c>
      <c r="D152" s="116" t="s">
        <v>2332</v>
      </c>
    </row>
    <row r="153" spans="2:4" ht="15.75">
      <c r="B153" s="110" t="s">
        <v>875</v>
      </c>
      <c r="C153" s="110" t="s">
        <v>876</v>
      </c>
      <c r="D153" s="116" t="s">
        <v>2332</v>
      </c>
    </row>
    <row r="154" spans="2:4" ht="15.75">
      <c r="B154" s="110" t="s">
        <v>877</v>
      </c>
      <c r="C154" s="110" t="s">
        <v>878</v>
      </c>
      <c r="D154" s="116" t="s">
        <v>2332</v>
      </c>
    </row>
    <row r="155" spans="2:4" ht="15.75">
      <c r="B155" s="110" t="s">
        <v>879</v>
      </c>
      <c r="C155" s="110" t="s">
        <v>880</v>
      </c>
      <c r="D155" s="116" t="s">
        <v>2332</v>
      </c>
    </row>
    <row r="156" spans="2:4" ht="15.75">
      <c r="B156" s="110" t="s">
        <v>881</v>
      </c>
      <c r="C156" s="110" t="s">
        <v>882</v>
      </c>
      <c r="D156" s="116" t="s">
        <v>2332</v>
      </c>
    </row>
    <row r="157" spans="2:4" ht="15.75">
      <c r="B157" s="110" t="s">
        <v>883</v>
      </c>
      <c r="C157" s="110" t="s">
        <v>884</v>
      </c>
      <c r="D157" s="116" t="s">
        <v>2332</v>
      </c>
    </row>
    <row r="158" spans="2:4" ht="15.75">
      <c r="B158" s="110" t="s">
        <v>885</v>
      </c>
      <c r="C158" s="110" t="s">
        <v>886</v>
      </c>
      <c r="D158" s="116" t="s">
        <v>2332</v>
      </c>
    </row>
    <row r="159" spans="2:4" ht="15.75">
      <c r="B159" s="110" t="s">
        <v>887</v>
      </c>
      <c r="C159" s="110" t="s">
        <v>888</v>
      </c>
      <c r="D159" s="116" t="s">
        <v>2332</v>
      </c>
    </row>
    <row r="160" spans="2:4" ht="15.75">
      <c r="B160" s="110" t="s">
        <v>889</v>
      </c>
      <c r="C160" s="110" t="s">
        <v>890</v>
      </c>
      <c r="D160" s="116" t="s">
        <v>2332</v>
      </c>
    </row>
    <row r="161" spans="2:4" ht="15.75">
      <c r="B161" s="110" t="s">
        <v>891</v>
      </c>
      <c r="C161" s="110" t="s">
        <v>892</v>
      </c>
      <c r="D161" s="116" t="s">
        <v>2332</v>
      </c>
    </row>
    <row r="162" spans="2:4" ht="15.75">
      <c r="B162" s="110" t="s">
        <v>893</v>
      </c>
      <c r="C162" s="110" t="s">
        <v>894</v>
      </c>
      <c r="D162" s="116" t="s">
        <v>2332</v>
      </c>
    </row>
    <row r="163" spans="2:4" ht="15.75">
      <c r="B163" s="110" t="s">
        <v>895</v>
      </c>
      <c r="C163" s="110" t="s">
        <v>896</v>
      </c>
      <c r="D163" s="116" t="s">
        <v>2332</v>
      </c>
    </row>
    <row r="164" spans="2:4" ht="15.75">
      <c r="B164" s="110" t="s">
        <v>897</v>
      </c>
      <c r="C164" s="110" t="s">
        <v>898</v>
      </c>
      <c r="D164" s="116" t="s">
        <v>2332</v>
      </c>
    </row>
    <row r="165" spans="2:4" ht="15.75">
      <c r="B165" s="110" t="s">
        <v>899</v>
      </c>
      <c r="C165" s="110" t="s">
        <v>900</v>
      </c>
      <c r="D165" s="116" t="s">
        <v>2332</v>
      </c>
    </row>
    <row r="166" spans="2:4" ht="15.75">
      <c r="B166" s="110" t="s">
        <v>901</v>
      </c>
      <c r="C166" s="110" t="s">
        <v>902</v>
      </c>
      <c r="D166" s="116" t="s">
        <v>2332</v>
      </c>
    </row>
    <row r="167" spans="2:4" ht="15.75">
      <c r="B167" s="110" t="s">
        <v>903</v>
      </c>
      <c r="C167" s="110" t="s">
        <v>904</v>
      </c>
      <c r="D167" s="116" t="s">
        <v>2332</v>
      </c>
    </row>
    <row r="168" spans="2:4" ht="15.75">
      <c r="B168" s="110" t="s">
        <v>905</v>
      </c>
      <c r="C168" s="110" t="s">
        <v>906</v>
      </c>
      <c r="D168" s="116" t="s">
        <v>2332</v>
      </c>
    </row>
    <row r="169" spans="2:4" ht="15.75">
      <c r="B169" s="110" t="s">
        <v>907</v>
      </c>
      <c r="C169" s="110" t="s">
        <v>908</v>
      </c>
      <c r="D169" s="116" t="s">
        <v>2332</v>
      </c>
    </row>
    <row r="170" spans="2:4" ht="15.75">
      <c r="B170" s="110" t="s">
        <v>909</v>
      </c>
      <c r="C170" s="110" t="s">
        <v>852</v>
      </c>
      <c r="D170" s="116" t="s">
        <v>2332</v>
      </c>
    </row>
    <row r="171" spans="2:4" ht="15.75">
      <c r="B171" s="110" t="s">
        <v>910</v>
      </c>
      <c r="C171" s="110" t="s">
        <v>854</v>
      </c>
      <c r="D171" s="116" t="s">
        <v>2332</v>
      </c>
    </row>
    <row r="172" spans="2:4" ht="15.75">
      <c r="B172" s="110" t="s">
        <v>911</v>
      </c>
      <c r="C172" s="110" t="s">
        <v>856</v>
      </c>
      <c r="D172" s="116" t="s">
        <v>2332</v>
      </c>
    </row>
    <row r="173" spans="2:4" ht="15.75">
      <c r="B173" s="110" t="s">
        <v>912</v>
      </c>
      <c r="C173" s="110" t="s">
        <v>890</v>
      </c>
      <c r="D173" s="116" t="s">
        <v>2332</v>
      </c>
    </row>
    <row r="174" spans="2:4" ht="15.75">
      <c r="B174" s="110" t="s">
        <v>913</v>
      </c>
      <c r="C174" s="110" t="s">
        <v>858</v>
      </c>
      <c r="D174" s="116" t="s">
        <v>2332</v>
      </c>
    </row>
    <row r="175" spans="2:4" ht="15.75">
      <c r="B175" s="110" t="s">
        <v>914</v>
      </c>
      <c r="C175" s="110" t="s">
        <v>915</v>
      </c>
      <c r="D175" s="116" t="s">
        <v>2332</v>
      </c>
    </row>
    <row r="176" spans="2:4" ht="15.75">
      <c r="B176" s="110" t="s">
        <v>916</v>
      </c>
      <c r="C176" s="110" t="s">
        <v>866</v>
      </c>
      <c r="D176" s="116" t="s">
        <v>2332</v>
      </c>
    </row>
    <row r="177" spans="2:4" ht="15.75">
      <c r="B177" s="110" t="s">
        <v>917</v>
      </c>
      <c r="C177" s="110" t="s">
        <v>918</v>
      </c>
      <c r="D177" s="116" t="s">
        <v>2332</v>
      </c>
    </row>
    <row r="178" spans="2:4" ht="15.75">
      <c r="B178" s="110" t="s">
        <v>919</v>
      </c>
      <c r="C178" s="110" t="s">
        <v>860</v>
      </c>
      <c r="D178" s="116" t="s">
        <v>2332</v>
      </c>
    </row>
    <row r="179" spans="2:4" ht="15.75">
      <c r="B179" s="109" t="s">
        <v>1658</v>
      </c>
      <c r="C179" s="109" t="s">
        <v>1659</v>
      </c>
      <c r="D179" s="116" t="s">
        <v>2332</v>
      </c>
    </row>
    <row r="180" spans="2:4" ht="15.75">
      <c r="B180" s="109" t="s">
        <v>1660</v>
      </c>
      <c r="C180" s="109" t="s">
        <v>1661</v>
      </c>
      <c r="D180" s="116" t="s">
        <v>2332</v>
      </c>
    </row>
    <row r="181" spans="2:4" ht="15.75">
      <c r="B181" s="109" t="s">
        <v>1662</v>
      </c>
      <c r="C181" s="109" t="s">
        <v>1663</v>
      </c>
      <c r="D181" s="116" t="s">
        <v>2332</v>
      </c>
    </row>
    <row r="182" spans="2:4" ht="15.75">
      <c r="B182" s="109" t="s">
        <v>1664</v>
      </c>
      <c r="C182" s="109" t="s">
        <v>1665</v>
      </c>
      <c r="D182" s="116" t="s">
        <v>2332</v>
      </c>
    </row>
    <row r="183" spans="2:4" ht="15.75">
      <c r="B183" s="109" t="s">
        <v>1666</v>
      </c>
      <c r="C183" s="109" t="s">
        <v>1667</v>
      </c>
      <c r="D183" s="116" t="s">
        <v>2332</v>
      </c>
    </row>
    <row r="184" spans="2:4" ht="15.75">
      <c r="B184" s="109" t="s">
        <v>1668</v>
      </c>
      <c r="C184" s="109" t="s">
        <v>1669</v>
      </c>
      <c r="D184" s="116" t="s">
        <v>2332</v>
      </c>
    </row>
    <row r="185" spans="2:4" ht="15.75">
      <c r="B185" s="109" t="s">
        <v>1670</v>
      </c>
      <c r="C185" s="109" t="s">
        <v>1671</v>
      </c>
      <c r="D185" s="116" t="s">
        <v>2332</v>
      </c>
    </row>
    <row r="186" spans="2:4" ht="15.75">
      <c r="B186" s="109" t="s">
        <v>1672</v>
      </c>
      <c r="C186" s="109" t="s">
        <v>1673</v>
      </c>
      <c r="D186" s="116" t="s">
        <v>2332</v>
      </c>
    </row>
    <row r="187" spans="2:4" ht="15.75">
      <c r="B187" s="109" t="s">
        <v>1674</v>
      </c>
      <c r="C187" s="109" t="s">
        <v>1675</v>
      </c>
      <c r="D187" s="116" t="s">
        <v>2332</v>
      </c>
    </row>
    <row r="188" spans="2:4" ht="15.75">
      <c r="B188" s="109" t="s">
        <v>1676</v>
      </c>
      <c r="C188" s="109" t="s">
        <v>1677</v>
      </c>
      <c r="D188" s="116" t="s">
        <v>2332</v>
      </c>
    </row>
    <row r="189" spans="2:4" ht="15.75">
      <c r="B189" s="109" t="s">
        <v>1678</v>
      </c>
      <c r="C189" s="109" t="s">
        <v>1679</v>
      </c>
      <c r="D189" s="116" t="s">
        <v>2332</v>
      </c>
    </row>
    <row r="190" spans="2:4" ht="15.75">
      <c r="B190" s="109" t="s">
        <v>1682</v>
      </c>
      <c r="C190" s="109" t="s">
        <v>1683</v>
      </c>
      <c r="D190" s="116" t="s">
        <v>2332</v>
      </c>
    </row>
    <row r="191" spans="2:4" ht="15.75">
      <c r="B191" s="109" t="s">
        <v>1684</v>
      </c>
      <c r="C191" s="109" t="s">
        <v>1685</v>
      </c>
      <c r="D191" s="116" t="s">
        <v>2332</v>
      </c>
    </row>
    <row r="192" spans="2:4" ht="15.75">
      <c r="B192" s="109" t="s">
        <v>1376</v>
      </c>
      <c r="C192" s="109" t="s">
        <v>1686</v>
      </c>
      <c r="D192" s="116" t="s">
        <v>2332</v>
      </c>
    </row>
    <row r="193" spans="2:4" ht="15.75">
      <c r="B193" s="109" t="s">
        <v>1687</v>
      </c>
      <c r="C193" s="109" t="s">
        <v>1688</v>
      </c>
      <c r="D193" s="116" t="s">
        <v>2332</v>
      </c>
    </row>
    <row r="194" spans="2:4" ht="15.75">
      <c r="B194" s="109" t="s">
        <v>1689</v>
      </c>
      <c r="C194" s="109" t="s">
        <v>1690</v>
      </c>
      <c r="D194" s="116" t="s">
        <v>2332</v>
      </c>
    </row>
    <row r="195" spans="2:4" ht="15.75">
      <c r="B195" s="109" t="s">
        <v>1691</v>
      </c>
      <c r="C195" s="109" t="s">
        <v>1677</v>
      </c>
      <c r="D195" s="116" t="s">
        <v>2332</v>
      </c>
    </row>
    <row r="196" spans="2:4" ht="15.75">
      <c r="B196" s="109" t="s">
        <v>1692</v>
      </c>
      <c r="C196" s="109" t="s">
        <v>1693</v>
      </c>
      <c r="D196" s="116" t="s">
        <v>2332</v>
      </c>
    </row>
    <row r="197" spans="2:4" ht="15.75">
      <c r="B197" s="109" t="s">
        <v>1695</v>
      </c>
      <c r="C197" s="109" t="s">
        <v>1683</v>
      </c>
      <c r="D197" s="116" t="s">
        <v>2332</v>
      </c>
    </row>
    <row r="198" spans="2:4" ht="15.75">
      <c r="B198" s="109" t="s">
        <v>1696</v>
      </c>
      <c r="C198" s="109" t="s">
        <v>1685</v>
      </c>
      <c r="D198" s="116" t="s">
        <v>2332</v>
      </c>
    </row>
    <row r="199" spans="2:4" ht="15.75">
      <c r="B199" s="109" t="s">
        <v>1697</v>
      </c>
      <c r="C199" s="109" t="s">
        <v>1688</v>
      </c>
      <c r="D199" s="116" t="s">
        <v>2332</v>
      </c>
    </row>
    <row r="200" spans="2:4" ht="15.75">
      <c r="B200" s="109" t="s">
        <v>1698</v>
      </c>
      <c r="C200" s="109" t="s">
        <v>1690</v>
      </c>
      <c r="D200" s="116" t="s">
        <v>2332</v>
      </c>
    </row>
    <row r="201" spans="2:4" ht="15.75">
      <c r="B201" s="109" t="s">
        <v>1699</v>
      </c>
      <c r="C201" s="109" t="s">
        <v>1700</v>
      </c>
      <c r="D201" s="116" t="s">
        <v>2332</v>
      </c>
    </row>
    <row r="202" spans="2:4" ht="15.75">
      <c r="B202" s="109" t="s">
        <v>1703</v>
      </c>
      <c r="C202" s="109" t="s">
        <v>1704</v>
      </c>
      <c r="D202" s="116" t="s">
        <v>2332</v>
      </c>
    </row>
    <row r="203" spans="2:4" ht="15.75">
      <c r="B203" s="109" t="s">
        <v>1705</v>
      </c>
      <c r="C203" s="109" t="s">
        <v>1706</v>
      </c>
      <c r="D203" s="116" t="s">
        <v>2332</v>
      </c>
    </row>
    <row r="204" spans="2:4" ht="15.75">
      <c r="B204" s="109" t="s">
        <v>1707</v>
      </c>
      <c r="C204" s="109" t="s">
        <v>1708</v>
      </c>
      <c r="D204" s="116" t="s">
        <v>2332</v>
      </c>
    </row>
    <row r="205" spans="2:4" ht="15.75">
      <c r="B205" s="109" t="s">
        <v>1709</v>
      </c>
      <c r="C205" s="109" t="s">
        <v>1710</v>
      </c>
      <c r="D205" s="116" t="s">
        <v>2332</v>
      </c>
    </row>
    <row r="206" spans="2:4" ht="15.75">
      <c r="B206" s="109" t="s">
        <v>1711</v>
      </c>
      <c r="C206" s="109" t="s">
        <v>1712</v>
      </c>
      <c r="D206" s="116" t="s">
        <v>2332</v>
      </c>
    </row>
    <row r="207" spans="2:4" ht="15.75">
      <c r="B207" s="109" t="s">
        <v>1713</v>
      </c>
      <c r="C207" s="109" t="s">
        <v>1714</v>
      </c>
      <c r="D207" s="116" t="s">
        <v>2332</v>
      </c>
    </row>
    <row r="208" spans="2:4" ht="15.75">
      <c r="B208" s="109" t="s">
        <v>1715</v>
      </c>
      <c r="C208" s="109" t="s">
        <v>1716</v>
      </c>
      <c r="D208" s="116" t="s">
        <v>2332</v>
      </c>
    </row>
    <row r="209" spans="2:4" ht="15.75">
      <c r="B209" s="109" t="s">
        <v>1717</v>
      </c>
      <c r="C209" s="109" t="s">
        <v>1718</v>
      </c>
      <c r="D209" s="116" t="s">
        <v>2332</v>
      </c>
    </row>
    <row r="210" spans="2:4" ht="15.75">
      <c r="B210" s="109" t="s">
        <v>1719</v>
      </c>
      <c r="C210" s="109" t="s">
        <v>1720</v>
      </c>
      <c r="D210" s="116" t="s">
        <v>2332</v>
      </c>
    </row>
    <row r="211" spans="2:4" ht="15.75">
      <c r="B211" s="109" t="s">
        <v>1723</v>
      </c>
      <c r="C211" s="109" t="s">
        <v>1724</v>
      </c>
      <c r="D211" s="116" t="s">
        <v>2332</v>
      </c>
    </row>
    <row r="212" spans="2:4" ht="15.75">
      <c r="B212" s="109" t="s">
        <v>1725</v>
      </c>
      <c r="C212" s="109" t="s">
        <v>1726</v>
      </c>
      <c r="D212" s="116" t="s">
        <v>2332</v>
      </c>
    </row>
    <row r="213" spans="2:4" ht="15.75">
      <c r="B213" s="109" t="s">
        <v>1727</v>
      </c>
      <c r="C213" s="109" t="s">
        <v>1728</v>
      </c>
      <c r="D213" s="116" t="s">
        <v>2332</v>
      </c>
    </row>
    <row r="214" spans="2:4" ht="15.75">
      <c r="B214" s="109" t="s">
        <v>1729</v>
      </c>
      <c r="C214" s="109" t="s">
        <v>1730</v>
      </c>
      <c r="D214" s="116" t="s">
        <v>2332</v>
      </c>
    </row>
    <row r="215" spans="2:4" ht="15.75">
      <c r="B215" s="109" t="s">
        <v>1731</v>
      </c>
      <c r="C215" s="109" t="s">
        <v>1732</v>
      </c>
      <c r="D215" s="116" t="s">
        <v>2332</v>
      </c>
    </row>
    <row r="216" spans="2:4" ht="15.75">
      <c r="B216" s="109" t="s">
        <v>1733</v>
      </c>
      <c r="C216" s="109" t="s">
        <v>1734</v>
      </c>
      <c r="D216" s="116" t="s">
        <v>2332</v>
      </c>
    </row>
    <row r="217" spans="2:4" ht="15.75">
      <c r="B217" s="109" t="s">
        <v>1735</v>
      </c>
      <c r="C217" s="109" t="s">
        <v>1736</v>
      </c>
      <c r="D217" s="116" t="s">
        <v>2332</v>
      </c>
    </row>
    <row r="218" spans="2:4" ht="15.75">
      <c r="B218" s="109" t="s">
        <v>1737</v>
      </c>
      <c r="C218" s="109" t="s">
        <v>1738</v>
      </c>
      <c r="D218" s="116" t="s">
        <v>2332</v>
      </c>
    </row>
    <row r="219" spans="2:4" ht="15.75">
      <c r="B219" s="109" t="s">
        <v>1739</v>
      </c>
      <c r="C219" s="109" t="s">
        <v>1740</v>
      </c>
      <c r="D219" s="116" t="s">
        <v>2332</v>
      </c>
    </row>
    <row r="220" spans="2:4" ht="15.75">
      <c r="B220" s="109" t="s">
        <v>1741</v>
      </c>
      <c r="C220" s="109" t="s">
        <v>1742</v>
      </c>
      <c r="D220" s="116" t="s">
        <v>2332</v>
      </c>
    </row>
    <row r="221" spans="2:4" ht="15.75">
      <c r="B221" s="109" t="s">
        <v>1743</v>
      </c>
      <c r="C221" s="109" t="s">
        <v>1744</v>
      </c>
      <c r="D221" s="116" t="s">
        <v>2332</v>
      </c>
    </row>
    <row r="222" spans="2:4" ht="15.75">
      <c r="B222" s="109" t="s">
        <v>1745</v>
      </c>
      <c r="C222" s="109" t="s">
        <v>1746</v>
      </c>
      <c r="D222" s="116" t="s">
        <v>2332</v>
      </c>
    </row>
    <row r="223" spans="2:4" ht="15.75">
      <c r="B223" s="109" t="s">
        <v>1747</v>
      </c>
      <c r="C223" s="109" t="s">
        <v>1748</v>
      </c>
      <c r="D223" s="116" t="s">
        <v>2332</v>
      </c>
    </row>
    <row r="224" spans="2:4" ht="15.75">
      <c r="B224" s="109" t="s">
        <v>1749</v>
      </c>
      <c r="C224" s="109" t="s">
        <v>1750</v>
      </c>
      <c r="D224" s="116" t="s">
        <v>2332</v>
      </c>
    </row>
    <row r="225" spans="2:4" ht="15.75">
      <c r="B225" s="109" t="s">
        <v>1751</v>
      </c>
      <c r="C225" s="109" t="s">
        <v>1752</v>
      </c>
      <c r="D225" s="116" t="s">
        <v>2332</v>
      </c>
    </row>
    <row r="226" spans="2:4" ht="15.75">
      <c r="B226" s="109" t="s">
        <v>1753</v>
      </c>
      <c r="C226" s="109" t="s">
        <v>1734</v>
      </c>
      <c r="D226" s="116" t="s">
        <v>2332</v>
      </c>
    </row>
    <row r="227" spans="2:4" ht="15.75">
      <c r="B227" s="109" t="s">
        <v>1754</v>
      </c>
      <c r="C227" s="109" t="s">
        <v>1736</v>
      </c>
      <c r="D227" s="116" t="s">
        <v>2332</v>
      </c>
    </row>
    <row r="228" spans="2:4" ht="15.75">
      <c r="B228" s="109" t="s">
        <v>1755</v>
      </c>
      <c r="C228" s="109" t="s">
        <v>1738</v>
      </c>
      <c r="D228" s="116" t="s">
        <v>2332</v>
      </c>
    </row>
    <row r="229" spans="2:4" ht="15.75">
      <c r="B229" s="109" t="s">
        <v>1756</v>
      </c>
      <c r="C229" s="109" t="s">
        <v>1740</v>
      </c>
      <c r="D229" s="116" t="s">
        <v>2332</v>
      </c>
    </row>
    <row r="230" spans="2:4" ht="15.75">
      <c r="B230" s="109" t="s">
        <v>1757</v>
      </c>
      <c r="C230" s="109" t="s">
        <v>1742</v>
      </c>
      <c r="D230" s="116" t="s">
        <v>2332</v>
      </c>
    </row>
    <row r="231" spans="2:4" ht="15.75">
      <c r="B231" s="109" t="s">
        <v>1758</v>
      </c>
      <c r="C231" s="109" t="s">
        <v>1744</v>
      </c>
      <c r="D231" s="116" t="s">
        <v>2332</v>
      </c>
    </row>
    <row r="232" spans="2:4" ht="15.75">
      <c r="B232" s="109" t="s">
        <v>1759</v>
      </c>
      <c r="C232" s="109" t="s">
        <v>1760</v>
      </c>
      <c r="D232" s="116" t="s">
        <v>2332</v>
      </c>
    </row>
    <row r="233" spans="2:4" ht="15.75">
      <c r="B233" s="109" t="s">
        <v>1761</v>
      </c>
      <c r="C233" s="109" t="s">
        <v>1762</v>
      </c>
      <c r="D233" s="116" t="s">
        <v>2332</v>
      </c>
    </row>
    <row r="234" spans="2:4" ht="15.75">
      <c r="B234" s="109" t="s">
        <v>1763</v>
      </c>
      <c r="C234" s="109" t="s">
        <v>1764</v>
      </c>
      <c r="D234" s="116" t="s">
        <v>2332</v>
      </c>
    </row>
    <row r="235" spans="2:4" ht="15.75">
      <c r="B235" s="109" t="s">
        <v>1765</v>
      </c>
      <c r="C235" s="109" t="s">
        <v>1766</v>
      </c>
      <c r="D235" s="116" t="s">
        <v>2332</v>
      </c>
    </row>
    <row r="236" spans="2:4" ht="15.75">
      <c r="B236" s="109" t="s">
        <v>1767</v>
      </c>
      <c r="C236" s="109" t="s">
        <v>1768</v>
      </c>
      <c r="D236" s="116" t="s">
        <v>2332</v>
      </c>
    </row>
    <row r="237" spans="2:4" ht="15.75">
      <c r="B237" s="109" t="s">
        <v>1769</v>
      </c>
      <c r="C237" s="109" t="s">
        <v>1770</v>
      </c>
      <c r="D237" s="116" t="s">
        <v>2332</v>
      </c>
    </row>
    <row r="238" spans="2:4" ht="15.75">
      <c r="B238" s="109" t="s">
        <v>1771</v>
      </c>
      <c r="C238" s="109" t="s">
        <v>1772</v>
      </c>
      <c r="D238" s="116" t="s">
        <v>2332</v>
      </c>
    </row>
    <row r="239" spans="2:4" ht="15.75">
      <c r="B239" s="109" t="s">
        <v>1773</v>
      </c>
      <c r="C239" s="109" t="s">
        <v>1774</v>
      </c>
      <c r="D239" s="116" t="s">
        <v>2332</v>
      </c>
    </row>
    <row r="240" spans="2:4" ht="15.75">
      <c r="B240" s="109" t="s">
        <v>1775</v>
      </c>
      <c r="C240" s="109" t="s">
        <v>1776</v>
      </c>
      <c r="D240" s="116" t="s">
        <v>2332</v>
      </c>
    </row>
    <row r="241" spans="2:4" ht="15.75">
      <c r="B241" s="109" t="s">
        <v>1777</v>
      </c>
      <c r="C241" s="109" t="s">
        <v>1778</v>
      </c>
      <c r="D241" s="116" t="s">
        <v>2332</v>
      </c>
    </row>
    <row r="242" spans="2:4" ht="15.75">
      <c r="B242" s="109" t="s">
        <v>1779</v>
      </c>
      <c r="C242" s="109" t="s">
        <v>1780</v>
      </c>
      <c r="D242" s="116" t="s">
        <v>2332</v>
      </c>
    </row>
    <row r="243" spans="2:4" ht="15.75">
      <c r="B243" s="109" t="s">
        <v>1781</v>
      </c>
      <c r="C243" s="109" t="s">
        <v>1782</v>
      </c>
      <c r="D243" s="116" t="s">
        <v>2332</v>
      </c>
    </row>
    <row r="244" spans="2:4" ht="15.75">
      <c r="B244" s="109" t="s">
        <v>1783</v>
      </c>
      <c r="C244" s="109" t="s">
        <v>1784</v>
      </c>
      <c r="D244" s="116" t="s">
        <v>2332</v>
      </c>
    </row>
    <row r="245" spans="2:4" ht="15.75">
      <c r="B245" s="109" t="s">
        <v>1785</v>
      </c>
      <c r="C245" s="109" t="s">
        <v>1786</v>
      </c>
      <c r="D245" s="116" t="s">
        <v>2332</v>
      </c>
    </row>
    <row r="246" spans="2:4" ht="15.75">
      <c r="B246" s="109" t="s">
        <v>1787</v>
      </c>
      <c r="C246" s="109" t="s">
        <v>1788</v>
      </c>
      <c r="D246" s="116" t="s">
        <v>2332</v>
      </c>
    </row>
    <row r="247" spans="2:4" ht="15.75">
      <c r="B247" s="109" t="s">
        <v>1789</v>
      </c>
      <c r="C247" s="109" t="s">
        <v>1790</v>
      </c>
      <c r="D247" s="116" t="s">
        <v>2332</v>
      </c>
    </row>
    <row r="248" spans="2:4" ht="15.75">
      <c r="B248" s="109" t="s">
        <v>1791</v>
      </c>
      <c r="C248" s="109" t="s">
        <v>1792</v>
      </c>
      <c r="D248" s="116" t="s">
        <v>2332</v>
      </c>
    </row>
    <row r="249" spans="2:4" ht="15.75">
      <c r="B249" s="109" t="s">
        <v>1793</v>
      </c>
      <c r="C249" s="109" t="s">
        <v>1794</v>
      </c>
      <c r="D249" s="116" t="s">
        <v>2332</v>
      </c>
    </row>
    <row r="250" spans="2:4" ht="15.75">
      <c r="B250" s="109" t="s">
        <v>1795</v>
      </c>
      <c r="C250" s="109" t="s">
        <v>1796</v>
      </c>
      <c r="D250" s="116" t="s">
        <v>2332</v>
      </c>
    </row>
    <row r="251" spans="2:4" ht="15.75">
      <c r="B251" s="109" t="s">
        <v>1797</v>
      </c>
      <c r="C251" s="109" t="s">
        <v>1798</v>
      </c>
      <c r="D251" s="116" t="s">
        <v>2332</v>
      </c>
    </row>
    <row r="252" spans="2:4" ht="15.75">
      <c r="B252" s="109" t="s">
        <v>1799</v>
      </c>
      <c r="C252" s="109" t="s">
        <v>1800</v>
      </c>
      <c r="D252" s="116" t="s">
        <v>2332</v>
      </c>
    </row>
    <row r="253" spans="2:4" ht="15.75">
      <c r="B253" s="109" t="s">
        <v>1801</v>
      </c>
      <c r="C253" s="109" t="s">
        <v>1802</v>
      </c>
      <c r="D253" s="116" t="s">
        <v>2332</v>
      </c>
    </row>
    <row r="254" spans="2:4" ht="15.75">
      <c r="B254" s="109" t="s">
        <v>1803</v>
      </c>
      <c r="C254" s="109" t="s">
        <v>1804</v>
      </c>
      <c r="D254" s="116" t="s">
        <v>2332</v>
      </c>
    </row>
    <row r="255" spans="2:4" ht="15.75">
      <c r="B255" s="109" t="s">
        <v>1805</v>
      </c>
      <c r="C255" s="109" t="s">
        <v>1806</v>
      </c>
      <c r="D255" s="116" t="s">
        <v>2332</v>
      </c>
    </row>
    <row r="256" spans="2:4" ht="15.75">
      <c r="B256" s="109" t="s">
        <v>1807</v>
      </c>
      <c r="C256" s="109" t="s">
        <v>1790</v>
      </c>
      <c r="D256" s="116" t="s">
        <v>2332</v>
      </c>
    </row>
    <row r="257" spans="2:4" ht="15.75">
      <c r="B257" s="109" t="s">
        <v>1808</v>
      </c>
      <c r="C257" s="109" t="s">
        <v>1792</v>
      </c>
      <c r="D257" s="116" t="s">
        <v>2332</v>
      </c>
    </row>
    <row r="258" spans="2:4" ht="15.75">
      <c r="B258" s="109" t="s">
        <v>1809</v>
      </c>
      <c r="C258" s="109" t="s">
        <v>1794</v>
      </c>
      <c r="D258" s="116" t="s">
        <v>2332</v>
      </c>
    </row>
    <row r="259" spans="2:4" ht="15.75">
      <c r="B259" s="109" t="s">
        <v>1810</v>
      </c>
      <c r="C259" s="109" t="s">
        <v>1811</v>
      </c>
      <c r="D259" s="116" t="s">
        <v>2332</v>
      </c>
    </row>
    <row r="260" spans="2:4" ht="15.75">
      <c r="B260" s="109" t="s">
        <v>1812</v>
      </c>
      <c r="C260" s="109" t="s">
        <v>1798</v>
      </c>
      <c r="D260" s="116" t="s">
        <v>2332</v>
      </c>
    </row>
    <row r="261" spans="2:4" ht="15.75">
      <c r="B261" s="109" t="s">
        <v>1813</v>
      </c>
      <c r="C261" s="109" t="s">
        <v>1800</v>
      </c>
      <c r="D261" s="116" t="s">
        <v>2332</v>
      </c>
    </row>
    <row r="262" spans="2:4" ht="15.75">
      <c r="B262" s="109" t="s">
        <v>1814</v>
      </c>
      <c r="C262" s="109" t="s">
        <v>1802</v>
      </c>
      <c r="D262" s="116" t="s">
        <v>2332</v>
      </c>
    </row>
    <row r="263" spans="2:4" ht="15.75">
      <c r="B263" s="109" t="s">
        <v>1815</v>
      </c>
      <c r="C263" s="109" t="s">
        <v>1804</v>
      </c>
      <c r="D263" s="116" t="s">
        <v>2332</v>
      </c>
    </row>
    <row r="264" spans="2:4" ht="15.75">
      <c r="B264" s="109" t="s">
        <v>1816</v>
      </c>
      <c r="C264" s="109" t="s">
        <v>1806</v>
      </c>
      <c r="D264" s="116" t="s">
        <v>2332</v>
      </c>
    </row>
    <row r="265" spans="2:4" ht="15.75">
      <c r="B265" s="109" t="s">
        <v>1817</v>
      </c>
      <c r="C265" s="109" t="s">
        <v>1790</v>
      </c>
      <c r="D265" s="116" t="s">
        <v>2332</v>
      </c>
    </row>
    <row r="266" spans="2:4" ht="15.75">
      <c r="B266" s="109" t="s">
        <v>1818</v>
      </c>
      <c r="C266" s="109" t="s">
        <v>1792</v>
      </c>
      <c r="D266" s="116" t="s">
        <v>2332</v>
      </c>
    </row>
    <row r="267" spans="2:4" ht="15.75">
      <c r="B267" s="109" t="s">
        <v>1819</v>
      </c>
      <c r="C267" s="109" t="s">
        <v>1794</v>
      </c>
      <c r="D267" s="116" t="s">
        <v>2332</v>
      </c>
    </row>
    <row r="268" spans="2:4" ht="15.75">
      <c r="B268" s="109" t="s">
        <v>1820</v>
      </c>
      <c r="C268" s="109" t="s">
        <v>1811</v>
      </c>
      <c r="D268" s="116" t="s">
        <v>2332</v>
      </c>
    </row>
    <row r="269" spans="2:4" ht="15.75">
      <c r="B269" s="109" t="s">
        <v>1821</v>
      </c>
      <c r="C269" s="109" t="s">
        <v>1798</v>
      </c>
      <c r="D269" s="116" t="s">
        <v>2332</v>
      </c>
    </row>
    <row r="270" spans="2:4" ht="15.75">
      <c r="B270" s="109" t="s">
        <v>1824</v>
      </c>
      <c r="C270" s="109" t="s">
        <v>1802</v>
      </c>
      <c r="D270" s="116" t="s">
        <v>2332</v>
      </c>
    </row>
    <row r="271" spans="2:4" ht="15.75">
      <c r="B271" s="109" t="s">
        <v>1825</v>
      </c>
      <c r="C271" s="109" t="s">
        <v>1826</v>
      </c>
      <c r="D271" s="116" t="s">
        <v>2332</v>
      </c>
    </row>
    <row r="272" spans="2:4" ht="15.75">
      <c r="B272" s="109" t="s">
        <v>1827</v>
      </c>
      <c r="C272" s="109" t="s">
        <v>1828</v>
      </c>
      <c r="D272" s="116" t="s">
        <v>2332</v>
      </c>
    </row>
    <row r="273" spans="2:4" ht="15.75">
      <c r="B273" s="109" t="s">
        <v>1829</v>
      </c>
      <c r="C273" s="109" t="s">
        <v>1830</v>
      </c>
      <c r="D273" s="116" t="s">
        <v>2332</v>
      </c>
    </row>
    <row r="274" spans="2:4" ht="15.75">
      <c r="B274" s="109" t="s">
        <v>1831</v>
      </c>
      <c r="C274" s="109" t="s">
        <v>1832</v>
      </c>
      <c r="D274" s="116" t="s">
        <v>2332</v>
      </c>
    </row>
    <row r="275" spans="2:4" ht="15.75">
      <c r="B275" s="109" t="s">
        <v>1833</v>
      </c>
      <c r="C275" s="109" t="s">
        <v>1834</v>
      </c>
      <c r="D275" s="116" t="s">
        <v>2332</v>
      </c>
    </row>
    <row r="276" spans="2:4" ht="15.75">
      <c r="B276" s="109" t="s">
        <v>1835</v>
      </c>
      <c r="C276" s="109" t="s">
        <v>1836</v>
      </c>
      <c r="D276" s="116" t="s">
        <v>2332</v>
      </c>
    </row>
    <row r="277" spans="2:4" ht="15.75">
      <c r="B277" s="109" t="s">
        <v>1837</v>
      </c>
      <c r="C277" s="109" t="s">
        <v>1838</v>
      </c>
      <c r="D277" s="116" t="s">
        <v>2332</v>
      </c>
    </row>
    <row r="278" spans="2:4" ht="15.75">
      <c r="B278" s="109" t="s">
        <v>1839</v>
      </c>
      <c r="C278" s="109" t="s">
        <v>1840</v>
      </c>
      <c r="D278" s="116" t="s">
        <v>2332</v>
      </c>
    </row>
    <row r="279" spans="2:4" ht="15.75">
      <c r="B279" s="109" t="s">
        <v>1841</v>
      </c>
      <c r="C279" s="109" t="s">
        <v>1842</v>
      </c>
      <c r="D279" s="116" t="s">
        <v>2332</v>
      </c>
    </row>
    <row r="280" spans="2:4" ht="15.75">
      <c r="B280" s="109" t="s">
        <v>1843</v>
      </c>
      <c r="C280" s="109" t="s">
        <v>1844</v>
      </c>
      <c r="D280" s="116" t="s">
        <v>2332</v>
      </c>
    </row>
    <row r="281" spans="2:4" ht="15.75">
      <c r="B281" s="109" t="s">
        <v>1847</v>
      </c>
      <c r="C281" s="109" t="s">
        <v>1848</v>
      </c>
      <c r="D281" s="116" t="s">
        <v>2332</v>
      </c>
    </row>
    <row r="282" spans="2:4" ht="15.75">
      <c r="B282" s="109" t="s">
        <v>1849</v>
      </c>
      <c r="C282" s="109" t="s">
        <v>1850</v>
      </c>
      <c r="D282" s="116" t="s">
        <v>2332</v>
      </c>
    </row>
    <row r="283" spans="2:4" ht="15.75">
      <c r="B283" s="109" t="s">
        <v>1851</v>
      </c>
      <c r="C283" s="109" t="s">
        <v>1852</v>
      </c>
      <c r="D283" s="116" t="s">
        <v>2332</v>
      </c>
    </row>
    <row r="284" spans="2:4" ht="15.75">
      <c r="B284" s="109" t="s">
        <v>2112</v>
      </c>
      <c r="C284" s="109" t="s">
        <v>2113</v>
      </c>
      <c r="D284" s="116" t="s">
        <v>2332</v>
      </c>
    </row>
    <row r="285" spans="2:4" ht="15.75">
      <c r="B285" s="108" t="s">
        <v>2114</v>
      </c>
      <c r="C285" s="108" t="s">
        <v>2115</v>
      </c>
      <c r="D285" s="116" t="s">
        <v>2332</v>
      </c>
    </row>
    <row r="286" spans="2:4" ht="15.75">
      <c r="B286" s="108" t="s">
        <v>2116</v>
      </c>
      <c r="C286" s="108" t="s">
        <v>2117</v>
      </c>
      <c r="D286" s="116" t="s">
        <v>2332</v>
      </c>
    </row>
    <row r="287" spans="2:4" ht="15.75">
      <c r="B287" s="108" t="s">
        <v>2118</v>
      </c>
      <c r="C287" s="108" t="s">
        <v>2119</v>
      </c>
      <c r="D287" s="116" t="s">
        <v>2332</v>
      </c>
    </row>
    <row r="288" spans="2:4" ht="15.75">
      <c r="B288" s="108" t="s">
        <v>2120</v>
      </c>
      <c r="C288" s="108" t="s">
        <v>2121</v>
      </c>
      <c r="D288" s="116" t="s">
        <v>2332</v>
      </c>
    </row>
    <row r="289" spans="2:4" ht="15.75">
      <c r="B289" s="108" t="s">
        <v>2122</v>
      </c>
      <c r="C289" s="108" t="s">
        <v>2123</v>
      </c>
      <c r="D289" s="116" t="s">
        <v>2332</v>
      </c>
    </row>
    <row r="290" spans="2:4" ht="15.75">
      <c r="B290" s="108" t="s">
        <v>2124</v>
      </c>
      <c r="C290" s="108" t="s">
        <v>2125</v>
      </c>
      <c r="D290" s="116" t="s">
        <v>2332</v>
      </c>
    </row>
    <row r="291" spans="2:4" ht="15.75">
      <c r="B291" s="108" t="s">
        <v>2126</v>
      </c>
      <c r="C291" s="108" t="s">
        <v>2127</v>
      </c>
      <c r="D291" s="116" t="s">
        <v>2332</v>
      </c>
    </row>
    <row r="292" spans="2:4" ht="15.75">
      <c r="B292" s="108" t="s">
        <v>2128</v>
      </c>
      <c r="C292" s="108" t="s">
        <v>2129</v>
      </c>
      <c r="D292" s="116" t="s">
        <v>2332</v>
      </c>
    </row>
    <row r="293" spans="2:4" ht="15.75">
      <c r="B293" s="108" t="s">
        <v>2130</v>
      </c>
      <c r="C293" s="108" t="s">
        <v>2131</v>
      </c>
      <c r="D293" s="116" t="s">
        <v>2332</v>
      </c>
    </row>
    <row r="294" spans="2:4" ht="15.75">
      <c r="B294" s="108" t="s">
        <v>2132</v>
      </c>
      <c r="C294" s="108" t="s">
        <v>2133</v>
      </c>
      <c r="D294" s="116" t="s">
        <v>2332</v>
      </c>
    </row>
    <row r="295" spans="2:4" ht="15.75">
      <c r="B295" s="108" t="s">
        <v>2134</v>
      </c>
      <c r="C295" s="108" t="s">
        <v>2135</v>
      </c>
      <c r="D295" s="116" t="s">
        <v>2332</v>
      </c>
    </row>
    <row r="296" spans="2:4" ht="15.75">
      <c r="B296" s="108" t="s">
        <v>2136</v>
      </c>
      <c r="C296" s="108" t="s">
        <v>2137</v>
      </c>
      <c r="D296" s="116" t="s">
        <v>2332</v>
      </c>
    </row>
    <row r="297" spans="2:4" ht="15.75">
      <c r="B297" s="108" t="s">
        <v>2138</v>
      </c>
      <c r="C297" s="108" t="s">
        <v>2139</v>
      </c>
      <c r="D297" s="116" t="s">
        <v>2332</v>
      </c>
    </row>
    <row r="298" spans="2:4" ht="15.75">
      <c r="B298" s="108" t="s">
        <v>2140</v>
      </c>
      <c r="C298" s="108" t="s">
        <v>2141</v>
      </c>
      <c r="D298" s="116" t="s">
        <v>2332</v>
      </c>
    </row>
    <row r="299" spans="2:4" ht="15.75">
      <c r="B299" s="108" t="s">
        <v>2142</v>
      </c>
      <c r="C299" s="108" t="s">
        <v>2143</v>
      </c>
      <c r="D299" s="116" t="s">
        <v>2332</v>
      </c>
    </row>
    <row r="300" spans="2:4" ht="15.75">
      <c r="B300" s="108" t="s">
        <v>2144</v>
      </c>
      <c r="C300" s="108" t="s">
        <v>1834</v>
      </c>
      <c r="D300" s="116" t="s">
        <v>2332</v>
      </c>
    </row>
    <row r="301" spans="2:4" ht="15.75">
      <c r="B301" s="108" t="s">
        <v>2145</v>
      </c>
      <c r="C301" s="108" t="s">
        <v>2146</v>
      </c>
      <c r="D301" s="116" t="s">
        <v>2332</v>
      </c>
    </row>
    <row r="302" spans="2:4" ht="15.75">
      <c r="B302" s="108" t="s">
        <v>2147</v>
      </c>
      <c r="C302" s="108" t="s">
        <v>1830</v>
      </c>
      <c r="D302" s="116" t="s">
        <v>2332</v>
      </c>
    </row>
    <row r="305" spans="2:4" ht="15.75">
      <c r="B305" s="156" t="s">
        <v>2333</v>
      </c>
    </row>
    <row r="306" spans="2:4" ht="15.75">
      <c r="B306" s="117" t="s">
        <v>1856</v>
      </c>
      <c r="C306" s="115" t="s">
        <v>1857</v>
      </c>
      <c r="D306" s="116" t="s">
        <v>2333</v>
      </c>
    </row>
    <row r="307" spans="2:4" ht="15.75">
      <c r="B307" s="117" t="s">
        <v>1858</v>
      </c>
      <c r="C307" s="115" t="s">
        <v>1859</v>
      </c>
      <c r="D307" s="116" t="s">
        <v>2333</v>
      </c>
    </row>
    <row r="308" spans="2:4" ht="15.75">
      <c r="B308" s="116" t="s">
        <v>396</v>
      </c>
      <c r="C308" s="115" t="s">
        <v>397</v>
      </c>
      <c r="D308" s="116" t="s">
        <v>2333</v>
      </c>
    </row>
    <row r="309" spans="2:4" ht="15.75">
      <c r="B309" s="116" t="s">
        <v>378</v>
      </c>
      <c r="C309" s="115" t="s">
        <v>379</v>
      </c>
      <c r="D309" s="116" t="s">
        <v>2333</v>
      </c>
    </row>
    <row r="310" spans="2:4" ht="15.75">
      <c r="B310" s="116" t="s">
        <v>943</v>
      </c>
      <c r="C310" s="115" t="s">
        <v>944</v>
      </c>
      <c r="D310" s="116" t="s">
        <v>2333</v>
      </c>
    </row>
    <row r="311" spans="2:4" ht="15.75">
      <c r="B311" s="116" t="s">
        <v>370</v>
      </c>
      <c r="C311" s="115" t="s">
        <v>371</v>
      </c>
      <c r="D311" s="116" t="s">
        <v>2333</v>
      </c>
    </row>
    <row r="312" spans="2:4" ht="15.75">
      <c r="B312" s="116" t="s">
        <v>955</v>
      </c>
      <c r="C312" s="115" t="s">
        <v>956</v>
      </c>
      <c r="D312" s="116" t="s">
        <v>2333</v>
      </c>
    </row>
    <row r="313" spans="2:4" ht="15.75">
      <c r="B313" s="116" t="s">
        <v>402</v>
      </c>
      <c r="C313" s="115" t="s">
        <v>403</v>
      </c>
      <c r="D313" s="116" t="s">
        <v>2333</v>
      </c>
    </row>
    <row r="314" spans="2:4" ht="15.75">
      <c r="B314" s="116" t="s">
        <v>394</v>
      </c>
      <c r="C314" s="115" t="s">
        <v>395</v>
      </c>
      <c r="D314" s="116" t="s">
        <v>2333</v>
      </c>
    </row>
    <row r="315" spans="2:4" ht="15.75">
      <c r="B315" s="116" t="s">
        <v>398</v>
      </c>
      <c r="C315" s="115" t="s">
        <v>399</v>
      </c>
      <c r="D315" s="116" t="s">
        <v>2333</v>
      </c>
    </row>
    <row r="316" spans="2:4" ht="15.75">
      <c r="B316" s="116" t="s">
        <v>400</v>
      </c>
      <c r="C316" s="115" t="s">
        <v>401</v>
      </c>
      <c r="D316" s="116" t="s">
        <v>2333</v>
      </c>
    </row>
    <row r="317" spans="2:4" ht="15.75">
      <c r="B317" s="117" t="s">
        <v>406</v>
      </c>
      <c r="C317" s="115" t="s">
        <v>407</v>
      </c>
      <c r="D317" s="116" t="s">
        <v>2333</v>
      </c>
    </row>
    <row r="318" spans="2:4" ht="15.75">
      <c r="B318" s="116" t="s">
        <v>953</v>
      </c>
      <c r="C318" s="115" t="s">
        <v>954</v>
      </c>
      <c r="D318" s="116" t="s">
        <v>2333</v>
      </c>
    </row>
    <row r="319" spans="2:4" ht="15.75">
      <c r="B319" s="117" t="s">
        <v>1407</v>
      </c>
      <c r="C319" s="115" t="s">
        <v>1408</v>
      </c>
      <c r="D319" s="116" t="s">
        <v>2333</v>
      </c>
    </row>
    <row r="320" spans="2:4" ht="15.75">
      <c r="B320" s="117" t="s">
        <v>1409</v>
      </c>
      <c r="C320" s="115" t="s">
        <v>1410</v>
      </c>
      <c r="D320" s="116" t="s">
        <v>2333</v>
      </c>
    </row>
    <row r="321" spans="2:4" ht="15.75">
      <c r="B321" s="109" t="s">
        <v>928</v>
      </c>
      <c r="C321" s="124" t="s">
        <v>2345</v>
      </c>
      <c r="D321" s="116" t="s">
        <v>2333</v>
      </c>
    </row>
    <row r="322" spans="2:4" ht="15.75">
      <c r="B322" s="109" t="s">
        <v>929</v>
      </c>
      <c r="C322" s="124" t="s">
        <v>2346</v>
      </c>
      <c r="D322" s="116" t="s">
        <v>2333</v>
      </c>
    </row>
    <row r="323" spans="2:4" ht="15.75">
      <c r="B323" s="109" t="s">
        <v>930</v>
      </c>
      <c r="C323" s="109" t="s">
        <v>931</v>
      </c>
      <c r="D323" s="116" t="s">
        <v>2333</v>
      </c>
    </row>
    <row r="324" spans="2:4" ht="15.75">
      <c r="B324" s="109" t="s">
        <v>374</v>
      </c>
      <c r="C324" s="112" t="s">
        <v>375</v>
      </c>
      <c r="D324" s="116" t="s">
        <v>2333</v>
      </c>
    </row>
    <row r="325" spans="2:4" ht="15.75">
      <c r="B325" s="109" t="s">
        <v>376</v>
      </c>
      <c r="C325" s="112" t="s">
        <v>377</v>
      </c>
      <c r="D325" s="116" t="s">
        <v>2333</v>
      </c>
    </row>
    <row r="326" spans="2:4" ht="15.75">
      <c r="B326" s="109" t="s">
        <v>388</v>
      </c>
      <c r="C326" s="112" t="s">
        <v>389</v>
      </c>
      <c r="D326" s="116" t="s">
        <v>2333</v>
      </c>
    </row>
    <row r="327" spans="2:4" ht="15.75">
      <c r="B327" s="109" t="s">
        <v>390</v>
      </c>
      <c r="C327" s="112" t="s">
        <v>391</v>
      </c>
      <c r="D327" s="116" t="s">
        <v>2333</v>
      </c>
    </row>
    <row r="328" spans="2:4" ht="15.75">
      <c r="B328" s="109" t="s">
        <v>932</v>
      </c>
      <c r="C328" s="112" t="s">
        <v>933</v>
      </c>
      <c r="D328" s="116" t="s">
        <v>2333</v>
      </c>
    </row>
    <row r="329" spans="2:4" ht="15.75">
      <c r="B329" s="110" t="s">
        <v>380</v>
      </c>
      <c r="C329" s="110" t="s">
        <v>381</v>
      </c>
      <c r="D329" s="116" t="s">
        <v>2333</v>
      </c>
    </row>
    <row r="330" spans="2:4" ht="15.75">
      <c r="B330" s="109" t="s">
        <v>250</v>
      </c>
      <c r="C330" s="112" t="s">
        <v>251</v>
      </c>
      <c r="D330" s="116" t="s">
        <v>2333</v>
      </c>
    </row>
    <row r="331" spans="2:4" ht="15.75">
      <c r="B331" s="109" t="s">
        <v>392</v>
      </c>
      <c r="C331" s="112" t="s">
        <v>393</v>
      </c>
      <c r="D331" s="116" t="s">
        <v>2333</v>
      </c>
    </row>
    <row r="332" spans="2:4" ht="15.75">
      <c r="B332" s="109" t="s">
        <v>257</v>
      </c>
      <c r="C332" s="112" t="s">
        <v>258</v>
      </c>
      <c r="D332" s="116" t="s">
        <v>2333</v>
      </c>
    </row>
    <row r="333" spans="2:4" ht="15.75">
      <c r="B333" s="109" t="s">
        <v>408</v>
      </c>
      <c r="C333" s="112" t="s">
        <v>409</v>
      </c>
      <c r="D333" s="116" t="s">
        <v>2333</v>
      </c>
    </row>
    <row r="334" spans="2:4" ht="15.75">
      <c r="B334" s="109" t="s">
        <v>934</v>
      </c>
      <c r="C334" s="112" t="s">
        <v>935</v>
      </c>
      <c r="D334" s="116" t="s">
        <v>2333</v>
      </c>
    </row>
    <row r="335" spans="2:4" ht="15.75">
      <c r="B335" s="109" t="s">
        <v>382</v>
      </c>
      <c r="C335" s="112" t="s">
        <v>383</v>
      </c>
      <c r="D335" s="116" t="s">
        <v>2333</v>
      </c>
    </row>
    <row r="336" spans="2:4" ht="15.75">
      <c r="B336" s="109" t="s">
        <v>384</v>
      </c>
      <c r="C336" s="112" t="s">
        <v>385</v>
      </c>
      <c r="D336" s="116" t="s">
        <v>2333</v>
      </c>
    </row>
    <row r="337" spans="2:4" ht="15.75">
      <c r="B337" s="109" t="s">
        <v>386</v>
      </c>
      <c r="C337" s="112" t="s">
        <v>387</v>
      </c>
      <c r="D337" s="116" t="s">
        <v>2333</v>
      </c>
    </row>
    <row r="338" spans="2:4" ht="15.75">
      <c r="B338" s="109" t="s">
        <v>404</v>
      </c>
      <c r="C338" s="112" t="s">
        <v>405</v>
      </c>
      <c r="D338" s="116" t="s">
        <v>2333</v>
      </c>
    </row>
    <row r="339" spans="2:4" ht="15.75">
      <c r="B339" s="109" t="s">
        <v>936</v>
      </c>
      <c r="C339" s="112" t="s">
        <v>937</v>
      </c>
      <c r="D339" s="116" t="s">
        <v>2333</v>
      </c>
    </row>
    <row r="340" spans="2:4" ht="15.75">
      <c r="B340" s="109" t="s">
        <v>938</v>
      </c>
      <c r="C340" s="112" t="s">
        <v>699</v>
      </c>
      <c r="D340" s="116" t="s">
        <v>2333</v>
      </c>
    </row>
    <row r="341" spans="2:4" ht="15.75">
      <c r="B341" s="109" t="s">
        <v>939</v>
      </c>
      <c r="C341" s="112" t="s">
        <v>940</v>
      </c>
      <c r="D341" s="116" t="s">
        <v>2333</v>
      </c>
    </row>
    <row r="342" spans="2:4" ht="15.75">
      <c r="B342" s="109" t="s">
        <v>941</v>
      </c>
      <c r="C342" s="112" t="s">
        <v>942</v>
      </c>
      <c r="D342" s="116" t="s">
        <v>2333</v>
      </c>
    </row>
    <row r="343" spans="2:4" ht="15.75">
      <c r="B343" s="109" t="s">
        <v>372</v>
      </c>
      <c r="C343" s="112" t="s">
        <v>373</v>
      </c>
      <c r="D343" s="116" t="s">
        <v>2333</v>
      </c>
    </row>
    <row r="344" spans="2:4" ht="15.75">
      <c r="B344" s="109" t="s">
        <v>945</v>
      </c>
      <c r="C344" s="112" t="s">
        <v>946</v>
      </c>
      <c r="D344" s="116" t="s">
        <v>2333</v>
      </c>
    </row>
    <row r="345" spans="2:4" ht="15.75">
      <c r="B345" s="109" t="s">
        <v>947</v>
      </c>
      <c r="C345" s="112" t="s">
        <v>948</v>
      </c>
      <c r="D345" s="116" t="s">
        <v>2333</v>
      </c>
    </row>
    <row r="346" spans="2:4" ht="15.75">
      <c r="B346" s="109" t="s">
        <v>949</v>
      </c>
      <c r="C346" s="112" t="s">
        <v>950</v>
      </c>
      <c r="D346" s="116" t="s">
        <v>2333</v>
      </c>
    </row>
    <row r="347" spans="2:4" ht="15.75">
      <c r="B347" s="109" t="s">
        <v>951</v>
      </c>
      <c r="C347" s="112" t="s">
        <v>952</v>
      </c>
      <c r="D347" s="116" t="s">
        <v>2333</v>
      </c>
    </row>
    <row r="348" spans="2:4" ht="15.75">
      <c r="B348" s="109" t="s">
        <v>957</v>
      </c>
      <c r="C348" s="112" t="s">
        <v>958</v>
      </c>
      <c r="D348" s="116" t="s">
        <v>2333</v>
      </c>
    </row>
    <row r="349" spans="2:4" ht="15.75">
      <c r="B349" s="109" t="s">
        <v>1404</v>
      </c>
      <c r="C349" s="109" t="s">
        <v>1853</v>
      </c>
      <c r="D349" s="116" t="s">
        <v>2333</v>
      </c>
    </row>
    <row r="350" spans="2:4" ht="15.75">
      <c r="B350" s="109" t="s">
        <v>1405</v>
      </c>
      <c r="C350" s="109" t="s">
        <v>1406</v>
      </c>
      <c r="D350" s="116" t="s">
        <v>2333</v>
      </c>
    </row>
    <row r="351" spans="2:4" ht="15.75">
      <c r="B351" s="109" t="s">
        <v>1411</v>
      </c>
      <c r="C351" s="109" t="s">
        <v>1412</v>
      </c>
      <c r="D351" s="116" t="s">
        <v>2333</v>
      </c>
    </row>
    <row r="352" spans="2:4" ht="15.75">
      <c r="B352" s="109" t="s">
        <v>1413</v>
      </c>
      <c r="C352" s="109" t="s">
        <v>1414</v>
      </c>
      <c r="D352" s="116" t="s">
        <v>2333</v>
      </c>
    </row>
    <row r="353" spans="2:4" ht="15.75">
      <c r="B353" s="109" t="s">
        <v>1415</v>
      </c>
      <c r="C353" s="109" t="s">
        <v>1416</v>
      </c>
      <c r="D353" s="116" t="s">
        <v>2333</v>
      </c>
    </row>
    <row r="354" spans="2:4" ht="15.75">
      <c r="B354" s="109" t="s">
        <v>1417</v>
      </c>
      <c r="C354" s="109" t="s">
        <v>1418</v>
      </c>
      <c r="D354" s="116" t="s">
        <v>2333</v>
      </c>
    </row>
    <row r="355" spans="2:4" ht="15.75">
      <c r="B355" s="109" t="s">
        <v>1854</v>
      </c>
      <c r="C355" s="109" t="s">
        <v>1855</v>
      </c>
      <c r="D355" s="116" t="s">
        <v>2333</v>
      </c>
    </row>
    <row r="356" spans="2:4" ht="15.75">
      <c r="B356" s="109" t="s">
        <v>1860</v>
      </c>
      <c r="C356" s="109" t="s">
        <v>1861</v>
      </c>
      <c r="D356" s="116" t="s">
        <v>2333</v>
      </c>
    </row>
    <row r="357" spans="2:4" ht="15.75">
      <c r="B357" s="109" t="s">
        <v>1862</v>
      </c>
      <c r="C357" s="109" t="s">
        <v>1863</v>
      </c>
      <c r="D357" s="116" t="s">
        <v>2333</v>
      </c>
    </row>
    <row r="358" spans="2:4" ht="15.75">
      <c r="B358" s="109" t="s">
        <v>2148</v>
      </c>
      <c r="C358" s="109" t="s">
        <v>2149</v>
      </c>
      <c r="D358" s="116" t="s">
        <v>2333</v>
      </c>
    </row>
    <row r="359" spans="2:4" ht="15.75">
      <c r="B359" s="109" t="s">
        <v>2150</v>
      </c>
      <c r="C359" s="109" t="s">
        <v>2151</v>
      </c>
      <c r="D359" s="116" t="s">
        <v>2333</v>
      </c>
    </row>
    <row r="360" spans="2:4" ht="15.75">
      <c r="B360" s="109" t="s">
        <v>2152</v>
      </c>
      <c r="C360" s="109" t="s">
        <v>2153</v>
      </c>
      <c r="D360" s="116" t="s">
        <v>2333</v>
      </c>
    </row>
    <row r="361" spans="2:4" ht="15.75">
      <c r="B361" s="109" t="s">
        <v>2154</v>
      </c>
      <c r="C361" s="109" t="s">
        <v>2155</v>
      </c>
      <c r="D361" s="116" t="s">
        <v>2333</v>
      </c>
    </row>
    <row r="362" spans="2:4" ht="15.75">
      <c r="B362" s="109" t="s">
        <v>2156</v>
      </c>
      <c r="C362" s="109" t="s">
        <v>2157</v>
      </c>
      <c r="D362" s="116" t="s">
        <v>2333</v>
      </c>
    </row>
    <row r="365" spans="2:4" ht="15.75">
      <c r="B365" s="156" t="s">
        <v>2335</v>
      </c>
    </row>
    <row r="366" spans="2:4" ht="15.75">
      <c r="B366" s="117" t="s">
        <v>309</v>
      </c>
      <c r="C366" s="115" t="s">
        <v>262</v>
      </c>
      <c r="D366" s="116" t="s">
        <v>2335</v>
      </c>
    </row>
    <row r="367" spans="2:4" ht="15.75">
      <c r="B367" s="117" t="s">
        <v>252</v>
      </c>
      <c r="C367" s="115" t="s">
        <v>253</v>
      </c>
      <c r="D367" s="116" t="s">
        <v>2335</v>
      </c>
    </row>
    <row r="368" spans="2:4" ht="15.75">
      <c r="B368" s="116" t="s">
        <v>259</v>
      </c>
      <c r="C368" s="115" t="s">
        <v>260</v>
      </c>
      <c r="D368" s="116" t="s">
        <v>2335</v>
      </c>
    </row>
    <row r="369" spans="2:4" ht="15.75">
      <c r="B369" s="117" t="s">
        <v>322</v>
      </c>
      <c r="C369" s="115" t="s">
        <v>323</v>
      </c>
      <c r="D369" s="116" t="s">
        <v>2335</v>
      </c>
    </row>
    <row r="370" spans="2:4" ht="15.75">
      <c r="B370" s="116" t="s">
        <v>364</v>
      </c>
      <c r="C370" s="115" t="s">
        <v>365</v>
      </c>
      <c r="D370" s="116" t="s">
        <v>2335</v>
      </c>
    </row>
    <row r="371" spans="2:4" ht="15.75">
      <c r="B371" s="116" t="s">
        <v>338</v>
      </c>
      <c r="C371" s="115" t="s">
        <v>339</v>
      </c>
      <c r="D371" s="116" t="s">
        <v>2335</v>
      </c>
    </row>
    <row r="372" spans="2:4" ht="15.75">
      <c r="B372" s="116" t="s">
        <v>344</v>
      </c>
      <c r="C372" s="115" t="s">
        <v>345</v>
      </c>
      <c r="D372" s="116" t="s">
        <v>2335</v>
      </c>
    </row>
    <row r="373" spans="2:4" ht="15.75">
      <c r="B373" s="116" t="s">
        <v>346</v>
      </c>
      <c r="C373" s="115" t="s">
        <v>347</v>
      </c>
      <c r="D373" s="116" t="s">
        <v>2335</v>
      </c>
    </row>
    <row r="374" spans="2:4" ht="15.75">
      <c r="B374" s="116" t="s">
        <v>316</v>
      </c>
      <c r="C374" s="115" t="s">
        <v>317</v>
      </c>
      <c r="D374" s="116" t="s">
        <v>2335</v>
      </c>
    </row>
    <row r="375" spans="2:4" ht="15.75">
      <c r="B375" s="116" t="s">
        <v>320</v>
      </c>
      <c r="C375" s="115" t="s">
        <v>321</v>
      </c>
      <c r="D375" s="116" t="s">
        <v>2335</v>
      </c>
    </row>
    <row r="376" spans="2:4" ht="15.75">
      <c r="B376" s="116" t="s">
        <v>326</v>
      </c>
      <c r="C376" s="115" t="s">
        <v>327</v>
      </c>
      <c r="D376" s="116" t="s">
        <v>2335</v>
      </c>
    </row>
    <row r="377" spans="2:4" ht="15.75">
      <c r="B377" s="116" t="s">
        <v>324</v>
      </c>
      <c r="C377" s="115" t="s">
        <v>325</v>
      </c>
      <c r="D377" s="116" t="s">
        <v>2335</v>
      </c>
    </row>
    <row r="378" spans="2:4" ht="15.75">
      <c r="B378" s="117" t="s">
        <v>978</v>
      </c>
      <c r="C378" s="115" t="s">
        <v>979</v>
      </c>
      <c r="D378" s="116" t="s">
        <v>2335</v>
      </c>
    </row>
    <row r="379" spans="2:4" ht="15.75">
      <c r="B379" s="117" t="s">
        <v>2044</v>
      </c>
      <c r="C379" s="115" t="s">
        <v>2045</v>
      </c>
      <c r="D379" s="116" t="s">
        <v>2335</v>
      </c>
    </row>
    <row r="380" spans="2:4" ht="15.75">
      <c r="B380" s="117" t="s">
        <v>2046</v>
      </c>
      <c r="C380" s="115" t="s">
        <v>2047</v>
      </c>
      <c r="D380" s="116" t="s">
        <v>2335</v>
      </c>
    </row>
    <row r="381" spans="2:4" ht="15.75">
      <c r="B381" s="117" t="s">
        <v>2048</v>
      </c>
      <c r="C381" s="115" t="s">
        <v>2049</v>
      </c>
      <c r="D381" s="116" t="s">
        <v>2335</v>
      </c>
    </row>
    <row r="382" spans="2:4" ht="15.75">
      <c r="B382" s="116" t="s">
        <v>332</v>
      </c>
      <c r="C382" s="115" t="s">
        <v>333</v>
      </c>
      <c r="D382" s="116" t="s">
        <v>2335</v>
      </c>
    </row>
    <row r="383" spans="2:4" ht="15.75">
      <c r="B383" s="117" t="s">
        <v>334</v>
      </c>
      <c r="C383" s="115" t="s">
        <v>335</v>
      </c>
      <c r="D383" s="116" t="s">
        <v>2335</v>
      </c>
    </row>
    <row r="384" spans="2:4" ht="15.75">
      <c r="B384" s="117" t="s">
        <v>358</v>
      </c>
      <c r="C384" s="115" t="s">
        <v>359</v>
      </c>
      <c r="D384" s="116" t="s">
        <v>2335</v>
      </c>
    </row>
    <row r="385" spans="2:4" ht="15.75">
      <c r="B385" s="116" t="s">
        <v>354</v>
      </c>
      <c r="C385" s="115" t="s">
        <v>355</v>
      </c>
      <c r="D385" s="116" t="s">
        <v>2335</v>
      </c>
    </row>
    <row r="386" spans="2:4" ht="15.75">
      <c r="B386" s="117" t="s">
        <v>356</v>
      </c>
      <c r="C386" s="115" t="s">
        <v>357</v>
      </c>
      <c r="D386" s="116" t="s">
        <v>2335</v>
      </c>
    </row>
    <row r="387" spans="2:4" ht="15.75">
      <c r="B387" s="117" t="s">
        <v>1389</v>
      </c>
      <c r="C387" s="115" t="s">
        <v>355</v>
      </c>
      <c r="D387" s="116" t="s">
        <v>2335</v>
      </c>
    </row>
    <row r="388" spans="2:4" ht="15.75">
      <c r="B388" s="116" t="s">
        <v>1868</v>
      </c>
      <c r="C388" s="115" t="s">
        <v>1869</v>
      </c>
      <c r="D388" s="116" t="s">
        <v>2335</v>
      </c>
    </row>
    <row r="389" spans="2:4" ht="15.75">
      <c r="B389" s="116" t="s">
        <v>1870</v>
      </c>
      <c r="C389" s="115" t="s">
        <v>1871</v>
      </c>
      <c r="D389" s="116" t="s">
        <v>2335</v>
      </c>
    </row>
    <row r="390" spans="2:4" ht="15.75">
      <c r="B390" s="117" t="s">
        <v>1872</v>
      </c>
      <c r="C390" s="115" t="s">
        <v>1873</v>
      </c>
      <c r="D390" s="116" t="s">
        <v>2335</v>
      </c>
    </row>
    <row r="391" spans="2:4" ht="15.75">
      <c r="B391" s="117" t="s">
        <v>1882</v>
      </c>
      <c r="C391" s="115" t="s">
        <v>1883</v>
      </c>
      <c r="D391" s="116" t="s">
        <v>2335</v>
      </c>
    </row>
    <row r="392" spans="2:4" ht="15.75">
      <c r="B392" s="116" t="s">
        <v>1886</v>
      </c>
      <c r="C392" s="115" t="s">
        <v>1887</v>
      </c>
      <c r="D392" s="116" t="s">
        <v>2335</v>
      </c>
    </row>
    <row r="393" spans="2:4" ht="15.75">
      <c r="B393" s="116" t="s">
        <v>1009</v>
      </c>
      <c r="C393" s="115" t="s">
        <v>1010</v>
      </c>
      <c r="D393" s="116" t="s">
        <v>2333</v>
      </c>
    </row>
    <row r="394" spans="2:4" ht="15.75">
      <c r="B394" s="117" t="s">
        <v>1390</v>
      </c>
      <c r="C394" s="115" t="s">
        <v>1391</v>
      </c>
      <c r="D394" s="116" t="s">
        <v>2335</v>
      </c>
    </row>
    <row r="395" spans="2:4" ht="15.75">
      <c r="B395" s="117" t="s">
        <v>1392</v>
      </c>
      <c r="C395" s="115" t="s">
        <v>1393</v>
      </c>
      <c r="D395" s="116" t="s">
        <v>2335</v>
      </c>
    </row>
    <row r="396" spans="2:4" ht="15.75">
      <c r="B396" s="117" t="s">
        <v>1394</v>
      </c>
      <c r="C396" s="115" t="s">
        <v>1395</v>
      </c>
      <c r="D396" s="116" t="s">
        <v>2335</v>
      </c>
    </row>
    <row r="397" spans="2:4" ht="15.75">
      <c r="B397" s="117" t="s">
        <v>1396</v>
      </c>
      <c r="C397" s="115" t="s">
        <v>1397</v>
      </c>
      <c r="D397" s="116" t="s">
        <v>2335</v>
      </c>
    </row>
    <row r="398" spans="2:4" ht="15.75">
      <c r="B398" s="117" t="s">
        <v>1398</v>
      </c>
      <c r="C398" s="115" t="s">
        <v>1399</v>
      </c>
      <c r="D398" s="116" t="s">
        <v>2335</v>
      </c>
    </row>
    <row r="399" spans="2:4" ht="15.75">
      <c r="B399" s="117" t="s">
        <v>1400</v>
      </c>
      <c r="C399" s="115" t="s">
        <v>1401</v>
      </c>
      <c r="D399" s="116" t="s">
        <v>2335</v>
      </c>
    </row>
    <row r="400" spans="2:4" ht="15.75">
      <c r="B400" s="117" t="s">
        <v>1402</v>
      </c>
      <c r="C400" s="115" t="s">
        <v>1403</v>
      </c>
      <c r="D400" s="116" t="s">
        <v>2335</v>
      </c>
    </row>
    <row r="401" spans="2:4" ht="15.75">
      <c r="B401" s="109" t="s">
        <v>310</v>
      </c>
      <c r="C401" s="124" t="s">
        <v>311</v>
      </c>
      <c r="D401" s="116" t="s">
        <v>2335</v>
      </c>
    </row>
    <row r="402" spans="2:4" ht="15.75">
      <c r="B402" s="109" t="s">
        <v>312</v>
      </c>
      <c r="C402" s="124" t="s">
        <v>313</v>
      </c>
      <c r="D402" s="116" t="s">
        <v>2335</v>
      </c>
    </row>
    <row r="403" spans="2:4" ht="15.75">
      <c r="B403" s="109" t="s">
        <v>960</v>
      </c>
      <c r="C403" s="109" t="s">
        <v>961</v>
      </c>
      <c r="D403" s="116" t="s">
        <v>2335</v>
      </c>
    </row>
    <row r="404" spans="2:4" ht="15.75">
      <c r="B404" s="109" t="s">
        <v>962</v>
      </c>
      <c r="C404" s="109" t="s">
        <v>963</v>
      </c>
      <c r="D404" s="116" t="s">
        <v>2335</v>
      </c>
    </row>
    <row r="405" spans="2:4" ht="15.75">
      <c r="B405" s="109" t="s">
        <v>964</v>
      </c>
      <c r="C405" s="109" t="s">
        <v>965</v>
      </c>
      <c r="D405" s="116" t="s">
        <v>2335</v>
      </c>
    </row>
    <row r="406" spans="2:4" ht="15.75">
      <c r="B406" s="109" t="s">
        <v>966</v>
      </c>
      <c r="C406" s="109" t="s">
        <v>967</v>
      </c>
      <c r="D406" s="116" t="s">
        <v>2335</v>
      </c>
    </row>
    <row r="407" spans="2:4" ht="15.75">
      <c r="B407" s="109" t="s">
        <v>968</v>
      </c>
      <c r="C407" s="109" t="s">
        <v>969</v>
      </c>
      <c r="D407" s="116" t="s">
        <v>2335</v>
      </c>
    </row>
    <row r="408" spans="2:4" ht="15.75">
      <c r="B408" s="109" t="s">
        <v>318</v>
      </c>
      <c r="C408" s="109" t="s">
        <v>319</v>
      </c>
      <c r="D408" s="116" t="s">
        <v>2335</v>
      </c>
    </row>
    <row r="409" spans="2:4" ht="15.75">
      <c r="B409" s="109" t="s">
        <v>314</v>
      </c>
      <c r="C409" s="109" t="s">
        <v>315</v>
      </c>
      <c r="D409" s="116" t="s">
        <v>2335</v>
      </c>
    </row>
    <row r="410" spans="2:4" ht="15.75">
      <c r="B410" s="109" t="s">
        <v>362</v>
      </c>
      <c r="C410" s="112" t="s">
        <v>363</v>
      </c>
      <c r="D410" s="116" t="s">
        <v>2335</v>
      </c>
    </row>
    <row r="411" spans="2:4" ht="15.75">
      <c r="B411" s="109" t="s">
        <v>352</v>
      </c>
      <c r="C411" s="112" t="s">
        <v>353</v>
      </c>
      <c r="D411" s="116" t="s">
        <v>2335</v>
      </c>
    </row>
    <row r="412" spans="2:4" ht="15.75">
      <c r="B412" s="109" t="s">
        <v>342</v>
      </c>
      <c r="C412" s="112" t="s">
        <v>343</v>
      </c>
      <c r="D412" s="116" t="s">
        <v>2335</v>
      </c>
    </row>
    <row r="413" spans="2:4" ht="15.75">
      <c r="B413" s="109" t="s">
        <v>970</v>
      </c>
      <c r="C413" s="112" t="s">
        <v>971</v>
      </c>
      <c r="D413" s="116" t="s">
        <v>2335</v>
      </c>
    </row>
    <row r="414" spans="2:4" ht="15.75">
      <c r="B414" s="109" t="s">
        <v>972</v>
      </c>
      <c r="C414" s="112" t="s">
        <v>973</v>
      </c>
      <c r="D414" s="116" t="s">
        <v>2335</v>
      </c>
    </row>
    <row r="415" spans="2:4" ht="15.75">
      <c r="B415" s="109" t="s">
        <v>974</v>
      </c>
      <c r="C415" s="112" t="s">
        <v>975</v>
      </c>
      <c r="D415" s="116" t="s">
        <v>2335</v>
      </c>
    </row>
    <row r="416" spans="2:4" ht="15.75">
      <c r="B416" s="109" t="s">
        <v>976</v>
      </c>
      <c r="C416" s="112" t="s">
        <v>977</v>
      </c>
      <c r="D416" s="116" t="s">
        <v>2335</v>
      </c>
    </row>
    <row r="417" spans="2:4" ht="15.75">
      <c r="B417" s="109" t="s">
        <v>350</v>
      </c>
      <c r="C417" s="112" t="s">
        <v>351</v>
      </c>
      <c r="D417" s="116" t="s">
        <v>2335</v>
      </c>
    </row>
    <row r="418" spans="2:4" ht="15.75">
      <c r="B418" s="109" t="s">
        <v>980</v>
      </c>
      <c r="C418" s="112" t="s">
        <v>981</v>
      </c>
      <c r="D418" s="116" t="s">
        <v>2335</v>
      </c>
    </row>
    <row r="419" spans="2:4" ht="15.75">
      <c r="B419" s="109" t="s">
        <v>982</v>
      </c>
      <c r="C419" s="112" t="s">
        <v>983</v>
      </c>
      <c r="D419" s="116" t="s">
        <v>2335</v>
      </c>
    </row>
    <row r="420" spans="2:4" ht="15.75">
      <c r="B420" s="109" t="s">
        <v>984</v>
      </c>
      <c r="C420" s="112" t="s">
        <v>985</v>
      </c>
      <c r="D420" s="116" t="s">
        <v>2335</v>
      </c>
    </row>
    <row r="421" spans="2:4" ht="15.75">
      <c r="B421" s="109" t="s">
        <v>986</v>
      </c>
      <c r="C421" s="112" t="s">
        <v>987</v>
      </c>
      <c r="D421" s="116" t="s">
        <v>2335</v>
      </c>
    </row>
    <row r="422" spans="2:4" ht="15.75">
      <c r="B422" s="109" t="s">
        <v>348</v>
      </c>
      <c r="C422" s="112" t="s">
        <v>349</v>
      </c>
      <c r="D422" s="116" t="s">
        <v>2335</v>
      </c>
    </row>
    <row r="423" spans="2:4" ht="15.75">
      <c r="B423" s="109" t="s">
        <v>340</v>
      </c>
      <c r="C423" s="112" t="s">
        <v>341</v>
      </c>
      <c r="D423" s="116" t="s">
        <v>2335</v>
      </c>
    </row>
    <row r="424" spans="2:4" ht="15.75">
      <c r="B424" s="109" t="s">
        <v>988</v>
      </c>
      <c r="C424" s="124" t="s">
        <v>989</v>
      </c>
      <c r="D424" s="116" t="s">
        <v>2335</v>
      </c>
    </row>
    <row r="425" spans="2:4" ht="15.75">
      <c r="B425" s="109" t="s">
        <v>990</v>
      </c>
      <c r="C425" s="124" t="s">
        <v>975</v>
      </c>
      <c r="D425" s="116" t="s">
        <v>2335</v>
      </c>
    </row>
    <row r="426" spans="2:4" ht="15.75">
      <c r="B426" s="109" t="s">
        <v>991</v>
      </c>
      <c r="C426" s="124" t="s">
        <v>992</v>
      </c>
      <c r="D426" s="116" t="s">
        <v>2335</v>
      </c>
    </row>
    <row r="427" spans="2:4" ht="15.75">
      <c r="B427" s="109" t="s">
        <v>993</v>
      </c>
      <c r="C427" s="124" t="s">
        <v>994</v>
      </c>
      <c r="D427" s="116" t="s">
        <v>2335</v>
      </c>
    </row>
    <row r="428" spans="2:4" ht="15.75">
      <c r="B428" s="109" t="s">
        <v>995</v>
      </c>
      <c r="C428" s="124" t="s">
        <v>996</v>
      </c>
      <c r="D428" s="116" t="s">
        <v>2335</v>
      </c>
    </row>
    <row r="429" spans="2:4" ht="15.75">
      <c r="B429" s="109" t="s">
        <v>997</v>
      </c>
      <c r="C429" s="124" t="s">
        <v>998</v>
      </c>
      <c r="D429" s="116" t="s">
        <v>2335</v>
      </c>
    </row>
    <row r="430" spans="2:4" ht="15.75">
      <c r="B430" s="109" t="s">
        <v>999</v>
      </c>
      <c r="C430" s="124" t="s">
        <v>1000</v>
      </c>
      <c r="D430" s="116" t="s">
        <v>2335</v>
      </c>
    </row>
    <row r="431" spans="2:4" ht="15.75">
      <c r="B431" s="109" t="s">
        <v>1001</v>
      </c>
      <c r="C431" s="124" t="s">
        <v>1002</v>
      </c>
      <c r="D431" s="116" t="s">
        <v>2335</v>
      </c>
    </row>
    <row r="432" spans="2:4" ht="15.75">
      <c r="B432" s="109" t="s">
        <v>1011</v>
      </c>
      <c r="C432" s="124" t="s">
        <v>1012</v>
      </c>
      <c r="D432" s="116" t="s">
        <v>2335</v>
      </c>
    </row>
    <row r="433" spans="2:4" ht="15.75">
      <c r="B433" s="109" t="s">
        <v>1003</v>
      </c>
      <c r="C433" s="124" t="s">
        <v>1004</v>
      </c>
      <c r="D433" s="116" t="s">
        <v>2335</v>
      </c>
    </row>
    <row r="434" spans="2:4" ht="15.75">
      <c r="B434" s="109" t="s">
        <v>1005</v>
      </c>
      <c r="C434" s="124" t="s">
        <v>1006</v>
      </c>
      <c r="D434" s="116" t="s">
        <v>2335</v>
      </c>
    </row>
    <row r="435" spans="2:4" ht="15.75">
      <c r="B435" s="109" t="s">
        <v>1007</v>
      </c>
      <c r="C435" s="124" t="s">
        <v>1008</v>
      </c>
      <c r="D435" s="116" t="s">
        <v>2335</v>
      </c>
    </row>
    <row r="436" spans="2:4" ht="15.75">
      <c r="B436" s="109" t="s">
        <v>307</v>
      </c>
      <c r="C436" s="124" t="s">
        <v>308</v>
      </c>
      <c r="D436" s="116" t="s">
        <v>2335</v>
      </c>
    </row>
    <row r="437" spans="2:4" ht="15.75">
      <c r="B437" s="109" t="s">
        <v>328</v>
      </c>
      <c r="C437" s="124" t="s">
        <v>329</v>
      </c>
      <c r="D437" s="116" t="s">
        <v>2335</v>
      </c>
    </row>
    <row r="438" spans="2:4" ht="15.75">
      <c r="B438" s="109" t="s">
        <v>1009</v>
      </c>
      <c r="C438" s="124" t="s">
        <v>1010</v>
      </c>
      <c r="D438" s="116" t="s">
        <v>2335</v>
      </c>
    </row>
    <row r="439" spans="2:4" ht="15.75">
      <c r="B439" s="110" t="s">
        <v>330</v>
      </c>
      <c r="C439" s="128" t="s">
        <v>331</v>
      </c>
      <c r="D439" s="116" t="s">
        <v>2335</v>
      </c>
    </row>
    <row r="440" spans="2:4" ht="15.75">
      <c r="B440" s="110" t="s">
        <v>1013</v>
      </c>
      <c r="C440" s="128" t="s">
        <v>1014</v>
      </c>
      <c r="D440" s="116" t="s">
        <v>2335</v>
      </c>
    </row>
    <row r="441" spans="2:4" ht="15.75">
      <c r="B441" s="110" t="s">
        <v>1015</v>
      </c>
      <c r="C441" s="128" t="s">
        <v>1016</v>
      </c>
      <c r="D441" s="116" t="s">
        <v>2335</v>
      </c>
    </row>
    <row r="442" spans="2:4" ht="15.75">
      <c r="B442" s="110" t="s">
        <v>366</v>
      </c>
      <c r="C442" s="128" t="s">
        <v>367</v>
      </c>
      <c r="D442" s="116" t="s">
        <v>2335</v>
      </c>
    </row>
    <row r="443" spans="2:4" ht="15.75">
      <c r="B443" s="110" t="s">
        <v>368</v>
      </c>
      <c r="C443" s="128" t="s">
        <v>369</v>
      </c>
      <c r="D443" s="116" t="s">
        <v>2335</v>
      </c>
    </row>
    <row r="444" spans="2:4" ht="15.75">
      <c r="B444" s="109" t="s">
        <v>1864</v>
      </c>
      <c r="C444" s="109" t="s">
        <v>1865</v>
      </c>
      <c r="D444" s="116" t="s">
        <v>2335</v>
      </c>
    </row>
    <row r="445" spans="2:4" ht="15.75">
      <c r="B445" s="109" t="s">
        <v>1866</v>
      </c>
      <c r="C445" s="109" t="s">
        <v>1867</v>
      </c>
      <c r="D445" s="116" t="s">
        <v>2335</v>
      </c>
    </row>
    <row r="446" spans="2:4" ht="15.75">
      <c r="B446" s="109" t="s">
        <v>1874</v>
      </c>
      <c r="C446" s="109" t="s">
        <v>1875</v>
      </c>
      <c r="D446" s="116" t="s">
        <v>2335</v>
      </c>
    </row>
    <row r="447" spans="2:4" ht="15.75">
      <c r="B447" s="109" t="s">
        <v>1876</v>
      </c>
      <c r="C447" s="109" t="s">
        <v>1877</v>
      </c>
      <c r="D447" s="116" t="s">
        <v>2335</v>
      </c>
    </row>
    <row r="448" spans="2:4" ht="15.75">
      <c r="B448" s="109" t="s">
        <v>1878</v>
      </c>
      <c r="C448" s="109" t="s">
        <v>1879</v>
      </c>
      <c r="D448" s="116" t="s">
        <v>2335</v>
      </c>
    </row>
    <row r="449" spans="2:4" ht="15.75">
      <c r="B449" s="109" t="s">
        <v>1880</v>
      </c>
      <c r="C449" s="109" t="s">
        <v>1881</v>
      </c>
      <c r="D449" s="116" t="s">
        <v>2335</v>
      </c>
    </row>
    <row r="450" spans="2:4" ht="15.75">
      <c r="B450" s="109" t="s">
        <v>1884</v>
      </c>
      <c r="C450" s="109" t="s">
        <v>1885</v>
      </c>
      <c r="D450" s="116" t="s">
        <v>2335</v>
      </c>
    </row>
    <row r="451" spans="2:4" ht="15.75">
      <c r="B451" s="109" t="s">
        <v>1888</v>
      </c>
      <c r="C451" s="109" t="s">
        <v>1889</v>
      </c>
      <c r="D451" s="116" t="s">
        <v>2335</v>
      </c>
    </row>
    <row r="452" spans="2:4" ht="15.75">
      <c r="B452" s="109" t="s">
        <v>1890</v>
      </c>
      <c r="C452" s="109" t="s">
        <v>1891</v>
      </c>
      <c r="D452" s="116" t="s">
        <v>2335</v>
      </c>
    </row>
    <row r="453" spans="2:4" ht="15.75">
      <c r="B453" s="109" t="s">
        <v>1892</v>
      </c>
      <c r="C453" s="109" t="s">
        <v>1893</v>
      </c>
      <c r="D453" s="116" t="s">
        <v>2335</v>
      </c>
    </row>
    <row r="454" spans="2:4" ht="15.75">
      <c r="B454" s="109" t="s">
        <v>1894</v>
      </c>
      <c r="C454" s="109" t="s">
        <v>1895</v>
      </c>
      <c r="D454" s="116" t="s">
        <v>2335</v>
      </c>
    </row>
    <row r="455" spans="2:4" ht="15.75">
      <c r="B455" s="109" t="s">
        <v>1896</v>
      </c>
      <c r="C455" s="109" t="s">
        <v>1897</v>
      </c>
      <c r="D455" s="116" t="s">
        <v>2335</v>
      </c>
    </row>
    <row r="456" spans="2:4" ht="15.75">
      <c r="B456" s="109" t="s">
        <v>2158</v>
      </c>
      <c r="C456" s="109" t="s">
        <v>2159</v>
      </c>
      <c r="D456" s="116" t="s">
        <v>2335</v>
      </c>
    </row>
    <row r="457" spans="2:4" ht="15.75">
      <c r="B457" s="109" t="s">
        <v>2160</v>
      </c>
      <c r="C457" s="109" t="s">
        <v>2161</v>
      </c>
      <c r="D457" s="116" t="s">
        <v>2335</v>
      </c>
    </row>
    <row r="458" spans="2:4" ht="15.75">
      <c r="B458" s="108" t="s">
        <v>2162</v>
      </c>
      <c r="C458" s="108" t="s">
        <v>2163</v>
      </c>
      <c r="D458" s="116" t="s">
        <v>2335</v>
      </c>
    </row>
    <row r="461" spans="2:4" ht="15.75">
      <c r="B461" s="156" t="s">
        <v>2338</v>
      </c>
    </row>
    <row r="462" spans="2:4" ht="15.75">
      <c r="B462" s="116" t="s">
        <v>426</v>
      </c>
      <c r="C462" s="115" t="s">
        <v>427</v>
      </c>
      <c r="D462" s="116" t="s">
        <v>2338</v>
      </c>
    </row>
    <row r="463" spans="2:4" ht="15.75">
      <c r="B463" s="116" t="s">
        <v>1428</v>
      </c>
      <c r="C463" s="115" t="s">
        <v>1429</v>
      </c>
      <c r="D463" s="116" t="s">
        <v>2338</v>
      </c>
    </row>
    <row r="464" spans="2:4" ht="15.75">
      <c r="B464" s="116" t="s">
        <v>1430</v>
      </c>
      <c r="C464" s="115" t="s">
        <v>1431</v>
      </c>
      <c r="D464" s="116" t="s">
        <v>2338</v>
      </c>
    </row>
    <row r="465" spans="2:4" ht="15.75">
      <c r="B465" s="116" t="s">
        <v>1432</v>
      </c>
      <c r="C465" s="115" t="s">
        <v>1433</v>
      </c>
      <c r="D465" s="116" t="s">
        <v>2338</v>
      </c>
    </row>
    <row r="466" spans="2:4" ht="15.75">
      <c r="B466" s="116" t="s">
        <v>1434</v>
      </c>
      <c r="C466" s="115" t="s">
        <v>1435</v>
      </c>
      <c r="D466" s="116" t="s">
        <v>2338</v>
      </c>
    </row>
    <row r="467" spans="2:4" ht="15.75">
      <c r="B467" s="116" t="s">
        <v>1436</v>
      </c>
      <c r="C467" s="115" t="s">
        <v>1437</v>
      </c>
      <c r="D467" s="116" t="s">
        <v>2338</v>
      </c>
    </row>
    <row r="468" spans="2:4" ht="15.75">
      <c r="B468" s="109" t="s">
        <v>1450</v>
      </c>
      <c r="C468" s="109" t="s">
        <v>1451</v>
      </c>
      <c r="D468" s="116" t="s">
        <v>2335</v>
      </c>
    </row>
    <row r="469" spans="2:4" ht="15.75">
      <c r="B469" s="116" t="s">
        <v>1438</v>
      </c>
      <c r="C469" s="115" t="s">
        <v>1439</v>
      </c>
      <c r="D469" s="116" t="s">
        <v>2338</v>
      </c>
    </row>
    <row r="470" spans="2:4" ht="15.75">
      <c r="B470" s="116" t="s">
        <v>1440</v>
      </c>
      <c r="C470" s="115" t="s">
        <v>1441</v>
      </c>
      <c r="D470" s="116" t="s">
        <v>2338</v>
      </c>
    </row>
    <row r="471" spans="2:4" ht="15.75">
      <c r="B471" s="116" t="s">
        <v>1442</v>
      </c>
      <c r="C471" s="115" t="s">
        <v>1443</v>
      </c>
      <c r="D471" s="116" t="s">
        <v>2338</v>
      </c>
    </row>
    <row r="472" spans="2:4" ht="15.75">
      <c r="B472" s="116" t="s">
        <v>1444</v>
      </c>
      <c r="C472" s="115" t="s">
        <v>1445</v>
      </c>
      <c r="D472" s="116" t="s">
        <v>2338</v>
      </c>
    </row>
    <row r="473" spans="2:4" ht="15.75">
      <c r="B473" s="116" t="s">
        <v>1446</v>
      </c>
      <c r="C473" s="115" t="s">
        <v>1447</v>
      </c>
      <c r="D473" s="116" t="s">
        <v>2338</v>
      </c>
    </row>
    <row r="474" spans="2:4" ht="15.75">
      <c r="B474" s="116" t="s">
        <v>1448</v>
      </c>
      <c r="C474" s="115" t="s">
        <v>1449</v>
      </c>
      <c r="D474" s="116" t="s">
        <v>2338</v>
      </c>
    </row>
    <row r="475" spans="2:4" ht="15.75">
      <c r="B475" s="116" t="s">
        <v>1450</v>
      </c>
      <c r="C475" s="115" t="s">
        <v>1451</v>
      </c>
      <c r="D475" s="116" t="s">
        <v>2338</v>
      </c>
    </row>
    <row r="476" spans="2:4" ht="15.75">
      <c r="B476" s="116" t="s">
        <v>1452</v>
      </c>
      <c r="C476" s="115" t="s">
        <v>1453</v>
      </c>
      <c r="D476" s="116" t="s">
        <v>2338</v>
      </c>
    </row>
    <row r="477" spans="2:4" ht="15.75">
      <c r="B477" s="116" t="s">
        <v>1032</v>
      </c>
      <c r="C477" s="115" t="s">
        <v>1033</v>
      </c>
      <c r="D477" s="116" t="s">
        <v>2338</v>
      </c>
    </row>
    <row r="478" spans="2:4" ht="15.75">
      <c r="B478" s="110" t="s">
        <v>1032</v>
      </c>
      <c r="C478" s="110" t="s">
        <v>1033</v>
      </c>
      <c r="D478" s="116" t="s">
        <v>2338</v>
      </c>
    </row>
    <row r="479" spans="2:4" ht="15.75">
      <c r="B479" s="110" t="s">
        <v>1034</v>
      </c>
      <c r="C479" s="110" t="s">
        <v>1035</v>
      </c>
      <c r="D479" s="116" t="s">
        <v>2338</v>
      </c>
    </row>
    <row r="480" spans="2:4" ht="15.75">
      <c r="B480" s="110" t="s">
        <v>430</v>
      </c>
      <c r="C480" s="110" t="s">
        <v>431</v>
      </c>
      <c r="D480" s="116" t="s">
        <v>2338</v>
      </c>
    </row>
    <row r="481" spans="2:4" ht="15.75">
      <c r="B481" s="110" t="s">
        <v>428</v>
      </c>
      <c r="C481" s="110" t="s">
        <v>429</v>
      </c>
      <c r="D481" s="116" t="s">
        <v>2338</v>
      </c>
    </row>
    <row r="482" spans="2:4" ht="15.75">
      <c r="B482" s="110" t="s">
        <v>1042</v>
      </c>
      <c r="C482" s="110" t="s">
        <v>1043</v>
      </c>
      <c r="D482" s="116" t="s">
        <v>2338</v>
      </c>
    </row>
    <row r="483" spans="2:4" ht="15.75">
      <c r="B483" s="110" t="s">
        <v>424</v>
      </c>
      <c r="C483" s="110" t="s">
        <v>425</v>
      </c>
      <c r="D483" s="116" t="s">
        <v>2338</v>
      </c>
    </row>
    <row r="484" spans="2:4" ht="15.75">
      <c r="B484" s="110" t="s">
        <v>426</v>
      </c>
      <c r="C484" s="110" t="s">
        <v>427</v>
      </c>
      <c r="D484" s="116" t="s">
        <v>2338</v>
      </c>
    </row>
    <row r="485" spans="2:4" ht="15.75">
      <c r="B485" s="110" t="s">
        <v>436</v>
      </c>
      <c r="C485" s="110" t="s">
        <v>437</v>
      </c>
      <c r="D485" s="116" t="s">
        <v>2338</v>
      </c>
    </row>
    <row r="486" spans="2:4" ht="15.75">
      <c r="B486" s="110" t="s">
        <v>1040</v>
      </c>
      <c r="C486" s="110" t="s">
        <v>1041</v>
      </c>
      <c r="D486" s="116" t="s">
        <v>2338</v>
      </c>
    </row>
    <row r="487" spans="2:4" ht="15.75">
      <c r="B487" s="110" t="s">
        <v>438</v>
      </c>
      <c r="C487" s="110" t="s">
        <v>439</v>
      </c>
      <c r="D487" s="116" t="s">
        <v>2338</v>
      </c>
    </row>
    <row r="488" spans="2:4" ht="15.75">
      <c r="B488" s="110" t="s">
        <v>432</v>
      </c>
      <c r="C488" s="110" t="s">
        <v>433</v>
      </c>
      <c r="D488" s="116" t="s">
        <v>2338</v>
      </c>
    </row>
    <row r="489" spans="2:4" ht="15.75">
      <c r="B489" s="110" t="s">
        <v>448</v>
      </c>
      <c r="C489" s="110" t="s">
        <v>449</v>
      </c>
      <c r="D489" s="116" t="s">
        <v>2338</v>
      </c>
    </row>
    <row r="490" spans="2:4" ht="15.75">
      <c r="B490" s="109" t="s">
        <v>1436</v>
      </c>
      <c r="C490" s="109" t="s">
        <v>1924</v>
      </c>
      <c r="D490" s="116" t="s">
        <v>2338</v>
      </c>
    </row>
    <row r="491" spans="2:4" ht="15.75">
      <c r="B491" s="109" t="s">
        <v>1438</v>
      </c>
      <c r="C491" s="109" t="s">
        <v>1925</v>
      </c>
      <c r="D491" s="116" t="s">
        <v>2338</v>
      </c>
    </row>
    <row r="492" spans="2:4" ht="15.75">
      <c r="B492" s="109" t="s">
        <v>1444</v>
      </c>
      <c r="C492" s="109" t="s">
        <v>1926</v>
      </c>
      <c r="D492" s="116" t="s">
        <v>2338</v>
      </c>
    </row>
    <row r="493" spans="2:4" ht="15.75">
      <c r="B493" s="109" t="s">
        <v>1448</v>
      </c>
      <c r="C493" s="109" t="s">
        <v>1927</v>
      </c>
      <c r="D493" s="116" t="s">
        <v>2338</v>
      </c>
    </row>
    <row r="494" spans="2:4" ht="15.75">
      <c r="B494" s="109" t="s">
        <v>1430</v>
      </c>
      <c r="C494" s="109" t="s">
        <v>1431</v>
      </c>
      <c r="D494" s="116" t="s">
        <v>2338</v>
      </c>
    </row>
    <row r="495" spans="2:4" ht="15.75">
      <c r="B495" s="109" t="s">
        <v>1432</v>
      </c>
      <c r="C495" s="109" t="s">
        <v>1433</v>
      </c>
      <c r="D495" s="116" t="s">
        <v>2338</v>
      </c>
    </row>
    <row r="496" spans="2:4" ht="15.75">
      <c r="B496" s="109" t="s">
        <v>1434</v>
      </c>
      <c r="C496" s="109" t="s">
        <v>1435</v>
      </c>
      <c r="D496" s="116" t="s">
        <v>2338</v>
      </c>
    </row>
    <row r="497" spans="2:4" ht="15.75">
      <c r="B497" s="109" t="s">
        <v>1440</v>
      </c>
      <c r="C497" s="109" t="s">
        <v>1441</v>
      </c>
      <c r="D497" s="116" t="s">
        <v>2338</v>
      </c>
    </row>
    <row r="498" spans="2:4" ht="15.75">
      <c r="B498" s="109" t="s">
        <v>1442</v>
      </c>
      <c r="C498" s="109" t="s">
        <v>1928</v>
      </c>
      <c r="D498" s="116" t="s">
        <v>2338</v>
      </c>
    </row>
    <row r="499" spans="2:4" ht="15.75">
      <c r="B499" s="109" t="s">
        <v>1446</v>
      </c>
      <c r="C499" s="109" t="s">
        <v>1929</v>
      </c>
      <c r="D499" s="116" t="s">
        <v>2338</v>
      </c>
    </row>
    <row r="500" spans="2:4" ht="15.75">
      <c r="B500" s="109" t="s">
        <v>1930</v>
      </c>
      <c r="C500" s="109" t="s">
        <v>1931</v>
      </c>
      <c r="D500" s="116" t="s">
        <v>2338</v>
      </c>
    </row>
    <row r="501" spans="2:4" ht="15.75">
      <c r="B501" s="109" t="s">
        <v>1932</v>
      </c>
      <c r="C501" s="109" t="s">
        <v>1933</v>
      </c>
      <c r="D501" s="116" t="s">
        <v>2338</v>
      </c>
    </row>
    <row r="502" spans="2:4" ht="15.75">
      <c r="B502" s="109" t="s">
        <v>2164</v>
      </c>
      <c r="C502" s="109" t="s">
        <v>2165</v>
      </c>
      <c r="D502" s="116" t="s">
        <v>2338</v>
      </c>
    </row>
    <row r="503" spans="2:4" ht="15.75">
      <c r="B503" s="116" t="s">
        <v>336</v>
      </c>
      <c r="C503" s="115" t="s">
        <v>337</v>
      </c>
      <c r="D503" s="116" t="s">
        <v>2338</v>
      </c>
    </row>
    <row r="504" spans="2:4" ht="15.75">
      <c r="B504" s="108" t="s">
        <v>2166</v>
      </c>
      <c r="C504" s="108" t="s">
        <v>2167</v>
      </c>
      <c r="D504" s="116" t="s">
        <v>2338</v>
      </c>
    </row>
    <row r="505" spans="2:4" ht="15.75">
      <c r="B505" s="116"/>
      <c r="C505" s="115"/>
    </row>
    <row r="507" spans="2:4" ht="15.75">
      <c r="B507" s="156" t="s">
        <v>2340</v>
      </c>
    </row>
    <row r="508" spans="2:4" ht="15.75">
      <c r="B508" s="116" t="s">
        <v>434</v>
      </c>
      <c r="C508" s="115" t="s">
        <v>435</v>
      </c>
      <c r="D508" s="116" t="s">
        <v>2340</v>
      </c>
    </row>
    <row r="509" spans="2:4" ht="15.75">
      <c r="B509" s="110" t="s">
        <v>1428</v>
      </c>
      <c r="C509" s="110" t="s">
        <v>1429</v>
      </c>
      <c r="D509" s="116" t="s">
        <v>2340</v>
      </c>
    </row>
    <row r="512" spans="2:4" ht="15.75">
      <c r="B512" s="156" t="s">
        <v>2337</v>
      </c>
    </row>
    <row r="513" spans="2:4" ht="15.75">
      <c r="B513" s="116" t="s">
        <v>456</v>
      </c>
      <c r="C513" s="115" t="s">
        <v>457</v>
      </c>
      <c r="D513" s="116" t="s">
        <v>2337</v>
      </c>
    </row>
    <row r="514" spans="2:4" ht="15.75">
      <c r="B514" s="116" t="s">
        <v>458</v>
      </c>
      <c r="C514" s="115" t="s">
        <v>459</v>
      </c>
      <c r="D514" s="116" t="s">
        <v>2337</v>
      </c>
    </row>
    <row r="515" spans="2:4" ht="15.75">
      <c r="B515" s="110" t="s">
        <v>460</v>
      </c>
      <c r="C515" s="110" t="s">
        <v>461</v>
      </c>
      <c r="D515" s="116" t="s">
        <v>2337</v>
      </c>
    </row>
    <row r="516" spans="2:4" ht="15.75">
      <c r="B516" s="110" t="s">
        <v>456</v>
      </c>
      <c r="C516" s="110" t="s">
        <v>457</v>
      </c>
      <c r="D516" s="116" t="s">
        <v>2337</v>
      </c>
    </row>
    <row r="517" spans="2:4" ht="15.75">
      <c r="B517" s="110" t="s">
        <v>458</v>
      </c>
      <c r="C517" s="110" t="s">
        <v>459</v>
      </c>
      <c r="D517" s="116" t="s">
        <v>2337</v>
      </c>
    </row>
    <row r="518" spans="2:4" ht="15.75">
      <c r="B518" s="109" t="s">
        <v>1044</v>
      </c>
      <c r="C518" s="124" t="s">
        <v>1045</v>
      </c>
      <c r="D518" s="116" t="s">
        <v>2337</v>
      </c>
    </row>
    <row r="519" spans="2:4" ht="15.75">
      <c r="B519" s="110" t="s">
        <v>1046</v>
      </c>
      <c r="C519" s="110" t="s">
        <v>1047</v>
      </c>
      <c r="D519" s="116" t="s">
        <v>2337</v>
      </c>
    </row>
    <row r="520" spans="2:4" ht="15.75">
      <c r="B520" s="110" t="s">
        <v>1048</v>
      </c>
      <c r="C520" s="110" t="s">
        <v>1049</v>
      </c>
      <c r="D520" s="116" t="s">
        <v>2337</v>
      </c>
    </row>
    <row r="521" spans="2:4" ht="15.75">
      <c r="B521" s="110" t="s">
        <v>1060</v>
      </c>
      <c r="C521" s="110" t="s">
        <v>1061</v>
      </c>
      <c r="D521" s="116" t="s">
        <v>2337</v>
      </c>
    </row>
    <row r="522" spans="2:4" ht="15.75">
      <c r="B522" s="110" t="s">
        <v>1062</v>
      </c>
      <c r="C522" s="110" t="s">
        <v>1063</v>
      </c>
      <c r="D522" s="116" t="s">
        <v>2337</v>
      </c>
    </row>
    <row r="523" spans="2:4" ht="15.75">
      <c r="B523" s="110" t="s">
        <v>1050</v>
      </c>
      <c r="C523" s="110" t="s">
        <v>1051</v>
      </c>
      <c r="D523" s="116" t="s">
        <v>2337</v>
      </c>
    </row>
    <row r="524" spans="2:4" ht="15.75">
      <c r="B524" s="110" t="s">
        <v>1052</v>
      </c>
      <c r="C524" s="110" t="s">
        <v>1053</v>
      </c>
      <c r="D524" s="116" t="s">
        <v>2337</v>
      </c>
    </row>
    <row r="525" spans="2:4" ht="15.75">
      <c r="B525" s="110" t="s">
        <v>1054</v>
      </c>
      <c r="C525" s="112" t="s">
        <v>1055</v>
      </c>
      <c r="D525" s="116" t="s">
        <v>2337</v>
      </c>
    </row>
    <row r="526" spans="2:4" ht="15.75">
      <c r="B526" s="113" t="s">
        <v>1056</v>
      </c>
      <c r="C526" s="110" t="s">
        <v>1057</v>
      </c>
      <c r="D526" s="116" t="s">
        <v>2337</v>
      </c>
    </row>
    <row r="527" spans="2:4" ht="15.75">
      <c r="B527" s="113" t="s">
        <v>1058</v>
      </c>
      <c r="C527" s="110" t="s">
        <v>1059</v>
      </c>
      <c r="D527" s="116" t="s">
        <v>2337</v>
      </c>
    </row>
    <row r="528" spans="2:4" ht="15.75">
      <c r="B528" s="113" t="s">
        <v>1934</v>
      </c>
      <c r="C528" s="110" t="s">
        <v>1935</v>
      </c>
      <c r="D528" s="116" t="s">
        <v>2337</v>
      </c>
    </row>
    <row r="529" spans="2:4" ht="15.75">
      <c r="B529" s="113" t="s">
        <v>1936</v>
      </c>
      <c r="C529" s="110" t="s">
        <v>1937</v>
      </c>
      <c r="D529" s="116" t="s">
        <v>2337</v>
      </c>
    </row>
    <row r="530" spans="2:4" ht="15.75">
      <c r="B530" s="129" t="s">
        <v>1454</v>
      </c>
      <c r="C530" s="109" t="s">
        <v>1455</v>
      </c>
      <c r="D530" s="116" t="s">
        <v>2337</v>
      </c>
    </row>
    <row r="531" spans="2:4" ht="15.75">
      <c r="B531" s="129" t="s">
        <v>1938</v>
      </c>
      <c r="C531" s="109" t="s">
        <v>1939</v>
      </c>
      <c r="D531" s="116" t="s">
        <v>2337</v>
      </c>
    </row>
    <row r="532" spans="2:4" ht="15.75">
      <c r="B532" s="129" t="s">
        <v>1940</v>
      </c>
      <c r="C532" s="109" t="s">
        <v>1941</v>
      </c>
      <c r="D532" s="116" t="s">
        <v>2337</v>
      </c>
    </row>
    <row r="533" spans="2:4" ht="15.75">
      <c r="B533" s="129" t="s">
        <v>1942</v>
      </c>
      <c r="C533" s="109" t="s">
        <v>1943</v>
      </c>
      <c r="D533" s="116" t="s">
        <v>2337</v>
      </c>
    </row>
    <row r="534" spans="2:4" ht="15.75">
      <c r="B534" s="129" t="s">
        <v>1952</v>
      </c>
      <c r="C534" s="109" t="s">
        <v>1953</v>
      </c>
      <c r="D534" s="116" t="s">
        <v>2337</v>
      </c>
    </row>
    <row r="535" spans="2:4" ht="15.75">
      <c r="B535" s="129" t="s">
        <v>1954</v>
      </c>
      <c r="C535" s="109" t="s">
        <v>1955</v>
      </c>
      <c r="D535" s="116" t="s">
        <v>2337</v>
      </c>
    </row>
    <row r="536" spans="2:4" ht="15.75">
      <c r="B536" s="129" t="s">
        <v>1962</v>
      </c>
      <c r="C536" s="109" t="s">
        <v>1963</v>
      </c>
      <c r="D536" s="116" t="s">
        <v>2337</v>
      </c>
    </row>
    <row r="537" spans="2:4" ht="15.75">
      <c r="B537" s="129" t="s">
        <v>2168</v>
      </c>
      <c r="C537" s="109" t="s">
        <v>2169</v>
      </c>
      <c r="D537" s="116" t="s">
        <v>2337</v>
      </c>
    </row>
    <row r="540" spans="2:4" ht="15.75">
      <c r="B540" s="156" t="s">
        <v>2336</v>
      </c>
    </row>
    <row r="541" spans="2:4" ht="15.75">
      <c r="B541" s="116" t="s">
        <v>452</v>
      </c>
      <c r="C541" s="115" t="s">
        <v>453</v>
      </c>
      <c r="D541" s="116" t="s">
        <v>2336</v>
      </c>
    </row>
    <row r="542" spans="2:4" ht="15.75">
      <c r="B542" s="110" t="s">
        <v>1024</v>
      </c>
      <c r="C542" s="110" t="s">
        <v>1025</v>
      </c>
      <c r="D542" s="116" t="s">
        <v>2336</v>
      </c>
    </row>
    <row r="543" spans="2:4" ht="15.75">
      <c r="B543" s="110" t="s">
        <v>1026</v>
      </c>
      <c r="C543" s="110" t="s">
        <v>1027</v>
      </c>
      <c r="D543" s="116" t="s">
        <v>2336</v>
      </c>
    </row>
    <row r="544" spans="2:4" ht="15.75">
      <c r="B544" s="110" t="s">
        <v>1028</v>
      </c>
      <c r="C544" s="110" t="s">
        <v>1029</v>
      </c>
      <c r="D544" s="116" t="s">
        <v>2336</v>
      </c>
    </row>
    <row r="545" spans="2:4" ht="15.75">
      <c r="B545" s="110" t="s">
        <v>1030</v>
      </c>
      <c r="C545" s="110" t="s">
        <v>1031</v>
      </c>
      <c r="D545" s="116" t="s">
        <v>2336</v>
      </c>
    </row>
    <row r="546" spans="2:4" ht="15.75">
      <c r="B546" s="110" t="s">
        <v>446</v>
      </c>
      <c r="C546" s="110" t="s">
        <v>447</v>
      </c>
      <c r="D546" s="116" t="s">
        <v>2336</v>
      </c>
    </row>
    <row r="547" spans="2:4" ht="15.75">
      <c r="B547" s="110" t="s">
        <v>444</v>
      </c>
      <c r="C547" s="110" t="s">
        <v>445</v>
      </c>
      <c r="D547" s="116" t="s">
        <v>2336</v>
      </c>
    </row>
    <row r="548" spans="2:4" ht="15.75">
      <c r="B548" s="110" t="s">
        <v>1036</v>
      </c>
      <c r="C548" s="110" t="s">
        <v>1037</v>
      </c>
      <c r="D548" s="116" t="s">
        <v>2336</v>
      </c>
    </row>
    <row r="549" spans="2:4" ht="15.75">
      <c r="B549" s="109" t="s">
        <v>454</v>
      </c>
      <c r="C549" s="124" t="s">
        <v>455</v>
      </c>
      <c r="D549" s="116" t="s">
        <v>2336</v>
      </c>
    </row>
    <row r="550" spans="2:4" ht="15.75">
      <c r="B550" s="110" t="s">
        <v>1038</v>
      </c>
      <c r="C550" s="110" t="s">
        <v>1039</v>
      </c>
      <c r="D550" s="116" t="s">
        <v>2336</v>
      </c>
    </row>
    <row r="551" spans="2:4" ht="15.75">
      <c r="B551" s="110" t="s">
        <v>442</v>
      </c>
      <c r="C551" s="110" t="s">
        <v>443</v>
      </c>
      <c r="D551" s="116" t="s">
        <v>2336</v>
      </c>
    </row>
    <row r="552" spans="2:4" ht="15.75">
      <c r="B552" s="110" t="s">
        <v>440</v>
      </c>
      <c r="C552" s="110" t="s">
        <v>441</v>
      </c>
      <c r="D552" s="116" t="s">
        <v>2336</v>
      </c>
    </row>
    <row r="553" spans="2:4" ht="15.75">
      <c r="B553" s="129" t="s">
        <v>1944</v>
      </c>
      <c r="C553" s="109" t="s">
        <v>1945</v>
      </c>
      <c r="D553" s="116" t="s">
        <v>2336</v>
      </c>
    </row>
    <row r="554" spans="2:4" ht="15.75">
      <c r="B554" s="129" t="s">
        <v>1946</v>
      </c>
      <c r="C554" s="109" t="s">
        <v>1947</v>
      </c>
      <c r="D554" s="116" t="s">
        <v>2336</v>
      </c>
    </row>
    <row r="555" spans="2:4" ht="15.75">
      <c r="B555" s="129" t="s">
        <v>1948</v>
      </c>
      <c r="C555" s="109" t="s">
        <v>1949</v>
      </c>
      <c r="D555" s="116" t="s">
        <v>2336</v>
      </c>
    </row>
    <row r="556" spans="2:4" ht="15.75">
      <c r="B556" s="129" t="s">
        <v>1950</v>
      </c>
      <c r="C556" s="109" t="s">
        <v>1951</v>
      </c>
      <c r="D556" s="116" t="s">
        <v>2336</v>
      </c>
    </row>
    <row r="557" spans="2:4" ht="15.75">
      <c r="B557" s="109" t="s">
        <v>450</v>
      </c>
      <c r="C557" s="124" t="s">
        <v>2343</v>
      </c>
      <c r="D557" s="116" t="s">
        <v>2336</v>
      </c>
    </row>
    <row r="558" spans="2:4" ht="15.75">
      <c r="B558" s="109" t="s">
        <v>451</v>
      </c>
      <c r="C558" s="124" t="s">
        <v>2344</v>
      </c>
      <c r="D558" s="116" t="s">
        <v>2336</v>
      </c>
    </row>
    <row r="561" spans="2:4" ht="15.75">
      <c r="B561" s="156" t="s">
        <v>2341</v>
      </c>
      <c r="D561" s="116" t="s">
        <v>2341</v>
      </c>
    </row>
    <row r="562" spans="2:4" ht="15.75">
      <c r="B562" s="109" t="s">
        <v>462</v>
      </c>
      <c r="C562" s="124" t="s">
        <v>463</v>
      </c>
      <c r="D562" s="116" t="s">
        <v>2341</v>
      </c>
    </row>
    <row r="563" spans="2:4" ht="15.75">
      <c r="B563" s="109" t="s">
        <v>1018</v>
      </c>
      <c r="C563" s="124" t="s">
        <v>1019</v>
      </c>
      <c r="D563" s="116" t="s">
        <v>2341</v>
      </c>
    </row>
    <row r="564" spans="2:4" ht="15.75">
      <c r="B564" s="109" t="s">
        <v>1020</v>
      </c>
      <c r="C564" s="112" t="s">
        <v>1021</v>
      </c>
      <c r="D564" s="116" t="s">
        <v>2341</v>
      </c>
    </row>
    <row r="565" spans="2:4" ht="15.75">
      <c r="B565" s="109" t="s">
        <v>1022</v>
      </c>
      <c r="C565" s="112" t="s">
        <v>1023</v>
      </c>
      <c r="D565" s="116" t="s">
        <v>2341</v>
      </c>
    </row>
    <row r="566" spans="2:4" ht="15.75">
      <c r="B566" s="109" t="s">
        <v>360</v>
      </c>
      <c r="C566" s="112" t="s">
        <v>361</v>
      </c>
      <c r="D566" s="116" t="s">
        <v>2341</v>
      </c>
    </row>
    <row r="567" spans="2:4" ht="15.75">
      <c r="B567" s="109" t="s">
        <v>1898</v>
      </c>
      <c r="C567" s="109" t="s">
        <v>1899</v>
      </c>
      <c r="D567" s="116" t="s">
        <v>2341</v>
      </c>
    </row>
    <row r="568" spans="2:4" ht="15.75">
      <c r="B568" s="109" t="s">
        <v>1900</v>
      </c>
      <c r="C568" s="109" t="s">
        <v>1901</v>
      </c>
      <c r="D568" s="116" t="s">
        <v>2341</v>
      </c>
    </row>
    <row r="569" spans="2:4" ht="15.75">
      <c r="B569" s="109" t="s">
        <v>1902</v>
      </c>
      <c r="C569" s="109" t="s">
        <v>1903</v>
      </c>
      <c r="D569" s="116" t="s">
        <v>2341</v>
      </c>
    </row>
    <row r="570" spans="2:4" ht="15.75">
      <c r="B570" s="109" t="s">
        <v>1904</v>
      </c>
      <c r="C570" s="109" t="s">
        <v>1905</v>
      </c>
      <c r="D570" s="116" t="s">
        <v>2341</v>
      </c>
    </row>
    <row r="571" spans="2:4" ht="15.75">
      <c r="B571" s="109" t="s">
        <v>1906</v>
      </c>
      <c r="C571" s="109" t="s">
        <v>1907</v>
      </c>
      <c r="D571" s="116" t="s">
        <v>2341</v>
      </c>
    </row>
    <row r="572" spans="2:4" ht="15.75">
      <c r="B572" s="109" t="s">
        <v>1908</v>
      </c>
      <c r="C572" s="109" t="s">
        <v>1909</v>
      </c>
      <c r="D572" s="116" t="s">
        <v>2341</v>
      </c>
    </row>
    <row r="573" spans="2:4" ht="15.75">
      <c r="B573" s="109" t="s">
        <v>1910</v>
      </c>
      <c r="C573" s="109" t="s">
        <v>1911</v>
      </c>
      <c r="D573" s="116" t="s">
        <v>2341</v>
      </c>
    </row>
    <row r="574" spans="2:4" ht="15.75">
      <c r="B574" s="109" t="s">
        <v>1912</v>
      </c>
      <c r="C574" s="109" t="s">
        <v>1913</v>
      </c>
      <c r="D574" s="116" t="s">
        <v>2341</v>
      </c>
    </row>
    <row r="575" spans="2:4" ht="15.75">
      <c r="B575" s="109" t="s">
        <v>1914</v>
      </c>
      <c r="C575" s="109" t="s">
        <v>1915</v>
      </c>
      <c r="D575" s="116" t="s">
        <v>2341</v>
      </c>
    </row>
    <row r="576" spans="2:4" ht="15.75">
      <c r="B576" s="109" t="s">
        <v>1916</v>
      </c>
      <c r="C576" s="109" t="s">
        <v>1917</v>
      </c>
      <c r="D576" s="116" t="s">
        <v>2341</v>
      </c>
    </row>
    <row r="577" spans="2:4" ht="15.75">
      <c r="B577" s="109" t="s">
        <v>1918</v>
      </c>
      <c r="C577" s="109" t="s">
        <v>1919</v>
      </c>
      <c r="D577" s="116" t="s">
        <v>2341</v>
      </c>
    </row>
    <row r="578" spans="2:4" ht="15.75">
      <c r="B578" s="109" t="s">
        <v>1920</v>
      </c>
      <c r="C578" s="109" t="s">
        <v>1921</v>
      </c>
      <c r="D578" s="116" t="s">
        <v>2341</v>
      </c>
    </row>
    <row r="579" spans="2:4" ht="15.75">
      <c r="B579" s="109" t="s">
        <v>1922</v>
      </c>
      <c r="C579" s="109" t="s">
        <v>1923</v>
      </c>
    </row>
    <row r="582" spans="2:4" ht="15.75">
      <c r="B582" s="130" t="s">
        <v>2342</v>
      </c>
      <c r="D582" s="116" t="s">
        <v>2342</v>
      </c>
    </row>
    <row r="583" spans="2:4" ht="15.75">
      <c r="B583" s="109" t="s">
        <v>1074</v>
      </c>
      <c r="C583" s="124" t="s">
        <v>1075</v>
      </c>
      <c r="D583" s="116" t="s">
        <v>2342</v>
      </c>
    </row>
    <row r="584" spans="2:4" ht="15.75">
      <c r="B584" s="109" t="s">
        <v>1076</v>
      </c>
      <c r="C584" s="124" t="s">
        <v>1077</v>
      </c>
      <c r="D584" s="116" t="s">
        <v>2342</v>
      </c>
    </row>
    <row r="585" spans="2:4" ht="15.75">
      <c r="B585" s="109" t="s">
        <v>1078</v>
      </c>
      <c r="C585" s="124" t="s">
        <v>1079</v>
      </c>
      <c r="D585" s="116" t="s">
        <v>2342</v>
      </c>
    </row>
    <row r="586" spans="2:4" ht="15.75">
      <c r="B586" s="109" t="s">
        <v>1080</v>
      </c>
      <c r="C586" s="109" t="s">
        <v>1081</v>
      </c>
      <c r="D586" s="116" t="s">
        <v>2342</v>
      </c>
    </row>
    <row r="587" spans="2:4" ht="15.75">
      <c r="B587" s="109" t="s">
        <v>1096</v>
      </c>
      <c r="C587" s="109" t="s">
        <v>1097</v>
      </c>
      <c r="D587" s="116" t="s">
        <v>2342</v>
      </c>
    </row>
    <row r="588" spans="2:4" ht="15.75">
      <c r="B588" s="109" t="s">
        <v>422</v>
      </c>
      <c r="C588" s="109" t="s">
        <v>423</v>
      </c>
      <c r="D588" s="116" t="s">
        <v>2342</v>
      </c>
    </row>
    <row r="589" spans="2:4" ht="15.75">
      <c r="B589" s="109" t="s">
        <v>1082</v>
      </c>
      <c r="C589" s="112" t="s">
        <v>1083</v>
      </c>
      <c r="D589" s="116" t="s">
        <v>2342</v>
      </c>
    </row>
    <row r="590" spans="2:4" ht="15.75">
      <c r="B590" s="109" t="s">
        <v>1084</v>
      </c>
      <c r="C590" s="112" t="s">
        <v>1085</v>
      </c>
      <c r="D590" s="116" t="s">
        <v>2342</v>
      </c>
    </row>
    <row r="591" spans="2:4" ht="15.75">
      <c r="B591" s="109" t="s">
        <v>1086</v>
      </c>
      <c r="C591" s="112" t="s">
        <v>1087</v>
      </c>
      <c r="D591" s="116" t="s">
        <v>2342</v>
      </c>
    </row>
    <row r="592" spans="2:4" ht="15.75">
      <c r="B592" s="112" t="s">
        <v>1088</v>
      </c>
      <c r="C592" s="124" t="s">
        <v>1089</v>
      </c>
      <c r="D592" s="116" t="s">
        <v>2342</v>
      </c>
    </row>
    <row r="593" spans="2:4" ht="15.75">
      <c r="B593" s="112" t="s">
        <v>410</v>
      </c>
      <c r="C593" s="124" t="s">
        <v>411</v>
      </c>
      <c r="D593" s="116" t="s">
        <v>2342</v>
      </c>
    </row>
    <row r="594" spans="2:4" ht="15.75">
      <c r="B594" s="112" t="s">
        <v>1090</v>
      </c>
      <c r="C594" s="124" t="s">
        <v>1091</v>
      </c>
      <c r="D594" s="116" t="s">
        <v>2342</v>
      </c>
    </row>
    <row r="595" spans="2:4" ht="15.75">
      <c r="B595" s="112" t="s">
        <v>1092</v>
      </c>
      <c r="C595" s="124" t="s">
        <v>1093</v>
      </c>
      <c r="D595" s="116" t="s">
        <v>2342</v>
      </c>
    </row>
    <row r="596" spans="2:4" ht="15.75">
      <c r="B596" s="112" t="s">
        <v>247</v>
      </c>
      <c r="C596" s="124" t="s">
        <v>248</v>
      </c>
      <c r="D596" s="116" t="s">
        <v>2342</v>
      </c>
    </row>
    <row r="597" spans="2:4" ht="15.75">
      <c r="B597" s="112" t="s">
        <v>412</v>
      </c>
      <c r="C597" s="124" t="s">
        <v>413</v>
      </c>
      <c r="D597" s="116" t="s">
        <v>2342</v>
      </c>
    </row>
    <row r="598" spans="2:4" ht="15.75">
      <c r="B598" s="112" t="s">
        <v>420</v>
      </c>
      <c r="C598" s="124" t="s">
        <v>421</v>
      </c>
      <c r="D598" s="116" t="s">
        <v>2342</v>
      </c>
    </row>
    <row r="599" spans="2:4" ht="15.75">
      <c r="B599" s="112" t="s">
        <v>414</v>
      </c>
      <c r="C599" s="124" t="s">
        <v>415</v>
      </c>
      <c r="D599" s="116" t="s">
        <v>2342</v>
      </c>
    </row>
    <row r="600" spans="2:4" ht="15.75">
      <c r="B600" s="112" t="s">
        <v>1094</v>
      </c>
      <c r="C600" s="124" t="s">
        <v>1095</v>
      </c>
      <c r="D600" s="116" t="s">
        <v>2342</v>
      </c>
    </row>
    <row r="601" spans="2:4" ht="15.75">
      <c r="B601" s="112" t="s">
        <v>418</v>
      </c>
      <c r="C601" s="124" t="s">
        <v>419</v>
      </c>
      <c r="D601" s="116" t="s">
        <v>2342</v>
      </c>
    </row>
    <row r="602" spans="2:4" ht="15.75">
      <c r="B602" s="109" t="s">
        <v>1420</v>
      </c>
      <c r="C602" s="127" t="s">
        <v>1424</v>
      </c>
      <c r="D602" s="116" t="s">
        <v>2342</v>
      </c>
    </row>
    <row r="603" spans="2:4" ht="15.75">
      <c r="B603" s="109" t="s">
        <v>1422</v>
      </c>
      <c r="C603" s="127" t="s">
        <v>1421</v>
      </c>
      <c r="D603" s="116" t="s">
        <v>2342</v>
      </c>
    </row>
    <row r="604" spans="2:4" ht="15.75">
      <c r="B604" s="109" t="s">
        <v>1423</v>
      </c>
      <c r="C604" s="127" t="s">
        <v>1424</v>
      </c>
      <c r="D604" s="116" t="s">
        <v>2342</v>
      </c>
    </row>
    <row r="605" spans="2:4" ht="15.75">
      <c r="B605" s="109" t="s">
        <v>1425</v>
      </c>
      <c r="C605" s="127" t="s">
        <v>1426</v>
      </c>
      <c r="D605" s="116" t="s">
        <v>2342</v>
      </c>
    </row>
    <row r="606" spans="2:4" ht="15.75">
      <c r="B606" s="109" t="s">
        <v>1427</v>
      </c>
      <c r="C606" s="127" t="s">
        <v>1421</v>
      </c>
      <c r="D606" s="116" t="s">
        <v>2342</v>
      </c>
    </row>
    <row r="607" spans="2:4" ht="15.75">
      <c r="B607" s="110" t="s">
        <v>1964</v>
      </c>
      <c r="C607" s="110" t="s">
        <v>1965</v>
      </c>
      <c r="D607" s="116" t="s">
        <v>2342</v>
      </c>
    </row>
    <row r="608" spans="2:4" ht="15.75">
      <c r="B608" s="130" t="s">
        <v>1966</v>
      </c>
      <c r="C608" s="110" t="s">
        <v>1967</v>
      </c>
      <c r="D608" s="116" t="s">
        <v>2342</v>
      </c>
    </row>
    <row r="609" spans="2:4" ht="15.75">
      <c r="B609" s="125" t="s">
        <v>2170</v>
      </c>
      <c r="C609" s="125" t="s">
        <v>2171</v>
      </c>
      <c r="D609" s="116" t="s">
        <v>2342</v>
      </c>
    </row>
    <row r="610" spans="2:4" ht="15.75">
      <c r="B610" s="125" t="s">
        <v>2172</v>
      </c>
      <c r="C610" s="125" t="s">
        <v>2173</v>
      </c>
    </row>
    <row r="613" spans="2:4" ht="15.75">
      <c r="B613" s="130" t="s">
        <v>2347</v>
      </c>
    </row>
    <row r="614" spans="2:4" ht="15.75">
      <c r="B614" s="110" t="s">
        <v>481</v>
      </c>
      <c r="C614" s="110" t="s">
        <v>482</v>
      </c>
      <c r="D614" s="116" t="s">
        <v>2347</v>
      </c>
    </row>
    <row r="615" spans="2:4" ht="15.75">
      <c r="B615" s="110" t="s">
        <v>483</v>
      </c>
      <c r="C615" s="110" t="s">
        <v>261</v>
      </c>
      <c r="D615" s="116" t="s">
        <v>2347</v>
      </c>
    </row>
    <row r="616" spans="2:4" ht="15.75">
      <c r="B616" s="110" t="s">
        <v>1456</v>
      </c>
      <c r="C616" s="110" t="s">
        <v>263</v>
      </c>
      <c r="D616" s="116" t="s">
        <v>2347</v>
      </c>
    </row>
    <row r="617" spans="2:4" ht="15.75">
      <c r="B617" s="110" t="s">
        <v>484</v>
      </c>
      <c r="C617" s="110" t="s">
        <v>485</v>
      </c>
      <c r="D617" s="116" t="s">
        <v>2347</v>
      </c>
    </row>
    <row r="618" spans="2:4" ht="15.75">
      <c r="B618" s="110" t="s">
        <v>486</v>
      </c>
      <c r="C618" s="110" t="s">
        <v>487</v>
      </c>
      <c r="D618" s="116" t="s">
        <v>2347</v>
      </c>
    </row>
    <row r="619" spans="2:4" ht="15.75">
      <c r="B619" s="110" t="s">
        <v>488</v>
      </c>
      <c r="C619" s="110" t="s">
        <v>489</v>
      </c>
      <c r="D619" s="116" t="s">
        <v>2347</v>
      </c>
    </row>
    <row r="620" spans="2:4" ht="15.75">
      <c r="B620" s="110" t="s">
        <v>490</v>
      </c>
      <c r="C620" s="110" t="s">
        <v>491</v>
      </c>
      <c r="D620" s="116" t="s">
        <v>2347</v>
      </c>
    </row>
    <row r="621" spans="2:4" ht="15.75">
      <c r="B621" s="109" t="s">
        <v>1457</v>
      </c>
      <c r="C621" s="109" t="s">
        <v>1458</v>
      </c>
      <c r="D621" s="116" t="s">
        <v>2347</v>
      </c>
    </row>
    <row r="622" spans="2:4" ht="15.75">
      <c r="B622" s="109" t="s">
        <v>1459</v>
      </c>
      <c r="C622" s="109" t="s">
        <v>1460</v>
      </c>
      <c r="D622" s="116" t="s">
        <v>2347</v>
      </c>
    </row>
    <row r="623" spans="2:4" ht="15.75">
      <c r="B623" s="109" t="s">
        <v>1461</v>
      </c>
      <c r="C623" s="109" t="s">
        <v>1462</v>
      </c>
      <c r="D623" s="116" t="s">
        <v>2347</v>
      </c>
    </row>
    <row r="624" spans="2:4" ht="15.75">
      <c r="B624" s="109" t="s">
        <v>1463</v>
      </c>
      <c r="C624" s="109" t="s">
        <v>1464</v>
      </c>
      <c r="D624" s="116" t="s">
        <v>2347</v>
      </c>
    </row>
    <row r="625" spans="2:4" ht="15.75">
      <c r="B625" s="123" t="s">
        <v>2039</v>
      </c>
      <c r="C625" s="123" t="s">
        <v>2040</v>
      </c>
      <c r="D625" s="116" t="s">
        <v>2347</v>
      </c>
    </row>
    <row r="626" spans="2:4" ht="15.75">
      <c r="B626" s="123" t="s">
        <v>2063</v>
      </c>
      <c r="C626" s="123" t="s">
        <v>2064</v>
      </c>
      <c r="D626" s="116" t="s">
        <v>2347</v>
      </c>
    </row>
    <row r="627" spans="2:4" ht="15.75">
      <c r="B627" s="110" t="s">
        <v>2041</v>
      </c>
      <c r="C627" s="110" t="s">
        <v>2065</v>
      </c>
      <c r="D627" s="116" t="s">
        <v>2347</v>
      </c>
    </row>
    <row r="628" spans="2:4" ht="15.75">
      <c r="B628" s="109" t="s">
        <v>2066</v>
      </c>
      <c r="C628" s="109" t="s">
        <v>2067</v>
      </c>
      <c r="D628" s="116" t="s">
        <v>2347</v>
      </c>
    </row>
    <row r="629" spans="2:4" ht="15.75">
      <c r="B629" s="109" t="s">
        <v>2068</v>
      </c>
      <c r="C629" s="109" t="s">
        <v>2069</v>
      </c>
      <c r="D629" s="116" t="s">
        <v>2347</v>
      </c>
    </row>
    <row r="630" spans="2:4" ht="15.75">
      <c r="B630" s="109" t="s">
        <v>2070</v>
      </c>
      <c r="C630" s="109" t="s">
        <v>2071</v>
      </c>
      <c r="D630" s="116" t="s">
        <v>2347</v>
      </c>
    </row>
    <row r="631" spans="2:4" ht="15.75">
      <c r="B631" s="109" t="s">
        <v>2072</v>
      </c>
      <c r="C631" s="109" t="s">
        <v>2073</v>
      </c>
      <c r="D631" s="116" t="s">
        <v>2347</v>
      </c>
    </row>
    <row r="632" spans="2:4" ht="15.75">
      <c r="B632" s="109" t="s">
        <v>2074</v>
      </c>
      <c r="C632" s="109" t="s">
        <v>2075</v>
      </c>
      <c r="D632" s="116" t="s">
        <v>2347</v>
      </c>
    </row>
    <row r="633" spans="2:4" ht="15.75">
      <c r="B633" s="110" t="s">
        <v>2076</v>
      </c>
      <c r="C633" s="110" t="s">
        <v>2077</v>
      </c>
      <c r="D633" s="116" t="s">
        <v>2347</v>
      </c>
    </row>
    <row r="634" spans="2:4" ht="15.75">
      <c r="B634" s="110" t="s">
        <v>2078</v>
      </c>
      <c r="C634" s="110" t="s">
        <v>2079</v>
      </c>
      <c r="D634" s="116" t="s">
        <v>2347</v>
      </c>
    </row>
    <row r="635" spans="2:4" ht="15.75">
      <c r="B635" s="110" t="s">
        <v>2080</v>
      </c>
      <c r="C635" s="110" t="s">
        <v>2081</v>
      </c>
      <c r="D635" s="116" t="s">
        <v>2347</v>
      </c>
    </row>
    <row r="636" spans="2:4" ht="15.75">
      <c r="B636" s="110" t="s">
        <v>2082</v>
      </c>
      <c r="C636" s="110" t="s">
        <v>2083</v>
      </c>
      <c r="D636" s="116" t="s">
        <v>2347</v>
      </c>
    </row>
    <row r="637" spans="2:4" ht="15.75">
      <c r="B637" s="125" t="s">
        <v>2084</v>
      </c>
      <c r="C637" s="125" t="s">
        <v>2085</v>
      </c>
      <c r="D637" s="116" t="s">
        <v>2347</v>
      </c>
    </row>
    <row r="638" spans="2:4" ht="15.75">
      <c r="B638" s="125" t="s">
        <v>2086</v>
      </c>
      <c r="C638" s="125" t="s">
        <v>2087</v>
      </c>
      <c r="D638" s="116" t="s">
        <v>2347</v>
      </c>
    </row>
    <row r="639" spans="2:4" ht="15.75">
      <c r="B639" s="125" t="s">
        <v>2088</v>
      </c>
      <c r="C639" s="125" t="s">
        <v>2089</v>
      </c>
      <c r="D639" s="116" t="s">
        <v>2347</v>
      </c>
    </row>
    <row r="640" spans="2:4" ht="15.75">
      <c r="B640" s="108" t="s">
        <v>2090</v>
      </c>
      <c r="C640" s="108" t="s">
        <v>2091</v>
      </c>
      <c r="D640" s="116" t="s">
        <v>2347</v>
      </c>
    </row>
    <row r="641" spans="2:4" ht="15.75">
      <c r="B641" s="108" t="s">
        <v>2092</v>
      </c>
      <c r="C641" s="108" t="s">
        <v>2093</v>
      </c>
      <c r="D641" s="116" t="s">
        <v>2347</v>
      </c>
    </row>
    <row r="642" spans="2:4" ht="15.75">
      <c r="B642" s="108" t="s">
        <v>2094</v>
      </c>
      <c r="C642" s="108" t="s">
        <v>2095</v>
      </c>
      <c r="D642" s="116" t="s">
        <v>2347</v>
      </c>
    </row>
    <row r="643" spans="2:4" ht="15.75">
      <c r="B643" s="108" t="s">
        <v>2096</v>
      </c>
      <c r="C643" s="108" t="s">
        <v>2097</v>
      </c>
      <c r="D643" s="116" t="s">
        <v>2347</v>
      </c>
    </row>
    <row r="644" spans="2:4" ht="15.75">
      <c r="B644" s="110" t="s">
        <v>492</v>
      </c>
      <c r="C644" s="110" t="s">
        <v>493</v>
      </c>
      <c r="D644" s="116" t="s">
        <v>2347</v>
      </c>
    </row>
    <row r="645" spans="2:4" ht="15.75">
      <c r="B645" s="110" t="s">
        <v>494</v>
      </c>
      <c r="C645" s="110" t="s">
        <v>495</v>
      </c>
      <c r="D645" s="116" t="s">
        <v>2347</v>
      </c>
    </row>
    <row r="646" spans="2:4" ht="15.75">
      <c r="B646" s="110" t="s">
        <v>496</v>
      </c>
      <c r="C646" s="110" t="s">
        <v>497</v>
      </c>
      <c r="D646" s="116" t="s">
        <v>2347</v>
      </c>
    </row>
    <row r="647" spans="2:4" ht="15.75">
      <c r="B647" s="110" t="s">
        <v>498</v>
      </c>
      <c r="C647" s="110" t="s">
        <v>499</v>
      </c>
      <c r="D647" s="116" t="s">
        <v>2347</v>
      </c>
    </row>
    <row r="648" spans="2:4" ht="15.75">
      <c r="B648" s="110" t="s">
        <v>500</v>
      </c>
      <c r="C648" s="110" t="s">
        <v>501</v>
      </c>
      <c r="D648" s="116" t="s">
        <v>2347</v>
      </c>
    </row>
    <row r="649" spans="2:4" ht="15.75">
      <c r="B649" s="110" t="s">
        <v>266</v>
      </c>
      <c r="C649" s="110" t="s">
        <v>267</v>
      </c>
      <c r="D649" s="116" t="s">
        <v>2347</v>
      </c>
    </row>
    <row r="650" spans="2:4" ht="15.75">
      <c r="B650" s="110" t="s">
        <v>502</v>
      </c>
      <c r="C650" s="110" t="s">
        <v>503</v>
      </c>
      <c r="D650" s="116" t="s">
        <v>2347</v>
      </c>
    </row>
    <row r="651" spans="2:4" ht="15.75">
      <c r="B651" s="110" t="s">
        <v>504</v>
      </c>
      <c r="C651" s="110" t="s">
        <v>505</v>
      </c>
      <c r="D651" s="116" t="s">
        <v>2347</v>
      </c>
    </row>
    <row r="652" spans="2:4" ht="15.75">
      <c r="B652" s="110" t="s">
        <v>506</v>
      </c>
      <c r="C652" s="110" t="s">
        <v>507</v>
      </c>
      <c r="D652" s="116" t="s">
        <v>2347</v>
      </c>
    </row>
    <row r="653" spans="2:4" ht="15.75">
      <c r="B653" s="110" t="s">
        <v>508</v>
      </c>
      <c r="C653" s="110" t="s">
        <v>509</v>
      </c>
      <c r="D653" s="116" t="s">
        <v>2347</v>
      </c>
    </row>
    <row r="654" spans="2:4" ht="15.75">
      <c r="B654" s="110" t="s">
        <v>510</v>
      </c>
      <c r="C654" s="110" t="s">
        <v>511</v>
      </c>
      <c r="D654" s="116" t="s">
        <v>2347</v>
      </c>
    </row>
    <row r="655" spans="2:4" ht="15.75">
      <c r="B655" s="110" t="s">
        <v>512</v>
      </c>
      <c r="C655" s="110" t="s">
        <v>513</v>
      </c>
      <c r="D655" s="116" t="s">
        <v>2347</v>
      </c>
    </row>
    <row r="656" spans="2:4" ht="15.75">
      <c r="B656" s="110" t="s">
        <v>514</v>
      </c>
      <c r="C656" s="110" t="s">
        <v>515</v>
      </c>
      <c r="D656" s="116" t="s">
        <v>2347</v>
      </c>
    </row>
    <row r="657" spans="2:4" ht="15.75">
      <c r="B657" s="110" t="s">
        <v>1465</v>
      </c>
      <c r="C657" s="110" t="s">
        <v>1466</v>
      </c>
      <c r="D657" s="116" t="s">
        <v>2347</v>
      </c>
    </row>
    <row r="658" spans="2:4" ht="15.75">
      <c r="B658" s="110" t="s">
        <v>1467</v>
      </c>
      <c r="C658" s="110" t="s">
        <v>1468</v>
      </c>
      <c r="D658" s="116" t="s">
        <v>2347</v>
      </c>
    </row>
    <row r="659" spans="2:4" ht="15.75">
      <c r="B659" s="110" t="s">
        <v>522</v>
      </c>
      <c r="C659" s="110" t="s">
        <v>523</v>
      </c>
      <c r="D659" s="116" t="s">
        <v>2347</v>
      </c>
    </row>
    <row r="660" spans="2:4" ht="15.75">
      <c r="B660" s="110" t="s">
        <v>524</v>
      </c>
      <c r="C660" s="110" t="s">
        <v>525</v>
      </c>
      <c r="D660" s="116" t="s">
        <v>2347</v>
      </c>
    </row>
    <row r="661" spans="2:4" ht="15.75">
      <c r="B661" s="110" t="s">
        <v>526</v>
      </c>
      <c r="C661" s="110" t="s">
        <v>527</v>
      </c>
      <c r="D661" s="116" t="s">
        <v>2347</v>
      </c>
    </row>
    <row r="662" spans="2:4" ht="15.75">
      <c r="B662" s="110" t="s">
        <v>268</v>
      </c>
      <c r="C662" s="110" t="s">
        <v>269</v>
      </c>
      <c r="D662" s="116" t="s">
        <v>2347</v>
      </c>
    </row>
    <row r="663" spans="2:4" ht="15.75">
      <c r="B663" s="126" t="s">
        <v>528</v>
      </c>
      <c r="C663" s="126" t="s">
        <v>515</v>
      </c>
      <c r="D663" s="116" t="s">
        <v>2347</v>
      </c>
    </row>
    <row r="664" spans="2:4" ht="15.75">
      <c r="B664" s="126" t="s">
        <v>516</v>
      </c>
      <c r="C664" s="126" t="s">
        <v>517</v>
      </c>
      <c r="D664" s="116" t="s">
        <v>2347</v>
      </c>
    </row>
    <row r="665" spans="2:4" ht="15.75">
      <c r="B665" s="126" t="s">
        <v>518</v>
      </c>
      <c r="C665" s="126" t="s">
        <v>519</v>
      </c>
      <c r="D665" s="116" t="s">
        <v>2347</v>
      </c>
    </row>
    <row r="666" spans="2:4" ht="15.75">
      <c r="B666" s="126" t="s">
        <v>520</v>
      </c>
      <c r="C666" s="126" t="s">
        <v>521</v>
      </c>
      <c r="D666" s="116" t="s">
        <v>2347</v>
      </c>
    </row>
    <row r="667" spans="2:4" ht="15.75">
      <c r="B667" s="110" t="s">
        <v>1469</v>
      </c>
      <c r="C667" s="110" t="s">
        <v>1470</v>
      </c>
      <c r="D667" s="116" t="s">
        <v>2347</v>
      </c>
    </row>
    <row r="668" spans="2:4" ht="15.75">
      <c r="B668" s="110" t="s">
        <v>1471</v>
      </c>
      <c r="C668" s="110" t="s">
        <v>1472</v>
      </c>
      <c r="D668" s="116" t="s">
        <v>2347</v>
      </c>
    </row>
    <row r="669" spans="2:4" ht="15.75">
      <c r="B669" s="110" t="s">
        <v>1364</v>
      </c>
      <c r="C669" s="110" t="s">
        <v>1473</v>
      </c>
      <c r="D669" s="116" t="s">
        <v>2347</v>
      </c>
    </row>
    <row r="670" spans="2:4" ht="15.75">
      <c r="B670" s="110" t="s">
        <v>1365</v>
      </c>
      <c r="C670" s="110" t="s">
        <v>1474</v>
      </c>
      <c r="D670" s="116" t="s">
        <v>2347</v>
      </c>
    </row>
    <row r="671" spans="2:4" ht="15.75">
      <c r="B671" s="110" t="s">
        <v>1475</v>
      </c>
      <c r="C671" s="110" t="s">
        <v>1476</v>
      </c>
      <c r="D671" s="116" t="s">
        <v>2347</v>
      </c>
    </row>
    <row r="672" spans="2:4" ht="15.75">
      <c r="B672" s="110" t="s">
        <v>1477</v>
      </c>
      <c r="C672" s="110" t="s">
        <v>1478</v>
      </c>
      <c r="D672" s="116" t="s">
        <v>2347</v>
      </c>
    </row>
    <row r="673" spans="2:4" ht="15.75">
      <c r="B673" s="110" t="s">
        <v>1479</v>
      </c>
      <c r="C673" s="110" t="s">
        <v>1480</v>
      </c>
      <c r="D673" s="116" t="s">
        <v>2347</v>
      </c>
    </row>
    <row r="674" spans="2:4" ht="15.75">
      <c r="B674" s="109" t="s">
        <v>1481</v>
      </c>
      <c r="C674" s="109" t="s">
        <v>1482</v>
      </c>
      <c r="D674" s="116" t="s">
        <v>2347</v>
      </c>
    </row>
    <row r="675" spans="2:4" ht="15.75">
      <c r="B675" s="109" t="s">
        <v>1366</v>
      </c>
      <c r="C675" s="109" t="s">
        <v>1483</v>
      </c>
      <c r="D675" s="116" t="s">
        <v>2347</v>
      </c>
    </row>
    <row r="676" spans="2:4" ht="15.75">
      <c r="B676" s="109" t="s">
        <v>1484</v>
      </c>
      <c r="C676" s="109" t="s">
        <v>1485</v>
      </c>
      <c r="D676" s="116" t="s">
        <v>2347</v>
      </c>
    </row>
    <row r="677" spans="2:4" ht="15.75">
      <c r="B677" s="109" t="s">
        <v>1486</v>
      </c>
      <c r="C677" s="109" t="s">
        <v>1487</v>
      </c>
      <c r="D677" s="116" t="s">
        <v>2347</v>
      </c>
    </row>
    <row r="678" spans="2:4" ht="15.75">
      <c r="B678" s="109" t="s">
        <v>1488</v>
      </c>
      <c r="C678" s="109" t="s">
        <v>1489</v>
      </c>
      <c r="D678" s="116" t="s">
        <v>2347</v>
      </c>
    </row>
    <row r="679" spans="2:4" ht="15.75">
      <c r="B679" s="109" t="s">
        <v>1490</v>
      </c>
      <c r="C679" s="109" t="s">
        <v>1491</v>
      </c>
      <c r="D679" s="116" t="s">
        <v>2347</v>
      </c>
    </row>
    <row r="680" spans="2:4" ht="15.75">
      <c r="B680" s="109" t="s">
        <v>1492</v>
      </c>
      <c r="C680" s="124" t="s">
        <v>529</v>
      </c>
      <c r="D680" s="116" t="s">
        <v>2347</v>
      </c>
    </row>
    <row r="681" spans="2:4" ht="15.75">
      <c r="B681" s="109" t="s">
        <v>533</v>
      </c>
      <c r="C681" s="124" t="s">
        <v>530</v>
      </c>
      <c r="D681" s="116" t="s">
        <v>2347</v>
      </c>
    </row>
    <row r="682" spans="2:4" ht="15.75">
      <c r="B682" s="109" t="s">
        <v>534</v>
      </c>
      <c r="C682" s="124" t="s">
        <v>531</v>
      </c>
      <c r="D682" s="116" t="s">
        <v>2347</v>
      </c>
    </row>
    <row r="683" spans="2:4" ht="15.75">
      <c r="B683" s="109" t="s">
        <v>535</v>
      </c>
      <c r="C683" s="124" t="s">
        <v>532</v>
      </c>
      <c r="D683" s="116" t="s">
        <v>2347</v>
      </c>
    </row>
    <row r="684" spans="2:4" ht="15.75">
      <c r="B684" s="109" t="s">
        <v>536</v>
      </c>
      <c r="C684" s="124" t="s">
        <v>537</v>
      </c>
      <c r="D684" s="116" t="s">
        <v>2347</v>
      </c>
    </row>
    <row r="685" spans="2:4" ht="15.75">
      <c r="B685" s="110" t="s">
        <v>538</v>
      </c>
      <c r="C685" s="110" t="s">
        <v>539</v>
      </c>
      <c r="D685" s="116" t="s">
        <v>2347</v>
      </c>
    </row>
    <row r="686" spans="2:4" ht="15.75">
      <c r="B686" s="110" t="s">
        <v>542</v>
      </c>
      <c r="C686" s="110" t="s">
        <v>540</v>
      </c>
      <c r="D686" s="116" t="s">
        <v>2347</v>
      </c>
    </row>
    <row r="687" spans="2:4" ht="15.75">
      <c r="B687" s="110" t="s">
        <v>543</v>
      </c>
      <c r="C687" s="110" t="s">
        <v>541</v>
      </c>
      <c r="D687" s="116" t="s">
        <v>2347</v>
      </c>
    </row>
    <row r="688" spans="2:4" ht="15.75">
      <c r="B688" s="110" t="s">
        <v>544</v>
      </c>
      <c r="C688" s="110" t="s">
        <v>545</v>
      </c>
      <c r="D688" s="116" t="s">
        <v>2347</v>
      </c>
    </row>
    <row r="689" spans="2:4" ht="15.75">
      <c r="B689" s="110" t="s">
        <v>546</v>
      </c>
      <c r="C689" s="110" t="s">
        <v>547</v>
      </c>
      <c r="D689" s="116" t="s">
        <v>2347</v>
      </c>
    </row>
    <row r="690" spans="2:4" ht="15.75">
      <c r="B690" s="110" t="s">
        <v>548</v>
      </c>
      <c r="C690" s="110" t="s">
        <v>549</v>
      </c>
      <c r="D690" s="116" t="s">
        <v>2347</v>
      </c>
    </row>
    <row r="691" spans="2:4" ht="15.75">
      <c r="B691" s="110" t="s">
        <v>550</v>
      </c>
      <c r="C691" s="110" t="s">
        <v>551</v>
      </c>
      <c r="D691" s="116" t="s">
        <v>2347</v>
      </c>
    </row>
    <row r="692" spans="2:4" ht="15.75">
      <c r="B692" s="110" t="s">
        <v>552</v>
      </c>
      <c r="C692" s="110" t="s">
        <v>553</v>
      </c>
      <c r="D692" s="116" t="s">
        <v>2347</v>
      </c>
    </row>
    <row r="693" spans="2:4" ht="15.75">
      <c r="B693" s="110" t="s">
        <v>264</v>
      </c>
      <c r="C693" s="110" t="s">
        <v>265</v>
      </c>
      <c r="D693" s="116" t="s">
        <v>2347</v>
      </c>
    </row>
    <row r="694" spans="2:4" ht="15.75">
      <c r="B694" s="109" t="s">
        <v>1493</v>
      </c>
      <c r="C694" s="109" t="s">
        <v>1494</v>
      </c>
      <c r="D694" s="116" t="s">
        <v>2347</v>
      </c>
    </row>
    <row r="695" spans="2:4" ht="15.75">
      <c r="B695" s="109" t="s">
        <v>1495</v>
      </c>
      <c r="C695" s="109" t="s">
        <v>1496</v>
      </c>
      <c r="D695" s="116" t="s">
        <v>2347</v>
      </c>
    </row>
    <row r="696" spans="2:4" ht="15.75">
      <c r="B696" s="109" t="s">
        <v>1497</v>
      </c>
      <c r="C696" s="109" t="s">
        <v>1498</v>
      </c>
      <c r="D696" s="116" t="s">
        <v>2347</v>
      </c>
    </row>
    <row r="697" spans="2:4" ht="15.75">
      <c r="B697" s="109" t="s">
        <v>1499</v>
      </c>
      <c r="C697" s="109" t="s">
        <v>1500</v>
      </c>
      <c r="D697" s="116" t="s">
        <v>2347</v>
      </c>
    </row>
    <row r="698" spans="2:4" ht="15.75">
      <c r="B698" s="123" t="s">
        <v>2042</v>
      </c>
      <c r="C698" s="123" t="s">
        <v>2043</v>
      </c>
      <c r="D698" s="116" t="s">
        <v>2347</v>
      </c>
    </row>
    <row r="699" spans="2:4" ht="15.75">
      <c r="B699" s="123" t="s">
        <v>2098</v>
      </c>
      <c r="C699" s="123" t="s">
        <v>2099</v>
      </c>
      <c r="D699" s="116" t="s">
        <v>2347</v>
      </c>
    </row>
    <row r="700" spans="2:4" ht="15.75">
      <c r="B700" s="110" t="s">
        <v>1501</v>
      </c>
      <c r="C700" s="110" t="s">
        <v>1502</v>
      </c>
      <c r="D700" s="116" t="s">
        <v>2347</v>
      </c>
    </row>
    <row r="701" spans="2:4" ht="15.75">
      <c r="B701" s="110" t="s">
        <v>1503</v>
      </c>
      <c r="C701" s="110" t="s">
        <v>1504</v>
      </c>
      <c r="D701" s="116" t="s">
        <v>2347</v>
      </c>
    </row>
    <row r="702" spans="2:4" ht="15.75">
      <c r="B702" s="109" t="s">
        <v>1505</v>
      </c>
      <c r="C702" s="109" t="s">
        <v>1506</v>
      </c>
      <c r="D702" s="116" t="s">
        <v>2347</v>
      </c>
    </row>
    <row r="703" spans="2:4" ht="15.75">
      <c r="B703" s="109" t="s">
        <v>1507</v>
      </c>
      <c r="C703" s="109" t="s">
        <v>1508</v>
      </c>
      <c r="D703" s="116" t="s">
        <v>2347</v>
      </c>
    </row>
    <row r="704" spans="2:4" ht="15.75">
      <c r="B704" s="109" t="s">
        <v>1509</v>
      </c>
      <c r="C704" s="109" t="s">
        <v>1510</v>
      </c>
      <c r="D704" s="116" t="s">
        <v>2347</v>
      </c>
    </row>
    <row r="705" spans="2:4" ht="15.75">
      <c r="B705" s="109" t="s">
        <v>1511</v>
      </c>
      <c r="C705" s="109" t="s">
        <v>1512</v>
      </c>
      <c r="D705" s="116" t="s">
        <v>2347</v>
      </c>
    </row>
    <row r="706" spans="2:4" ht="15.75">
      <c r="B706" s="109" t="s">
        <v>1513</v>
      </c>
      <c r="C706" s="109" t="s">
        <v>1514</v>
      </c>
      <c r="D706" s="116" t="s">
        <v>2347</v>
      </c>
    </row>
    <row r="707" spans="2:4" ht="15.75">
      <c r="B707" s="109" t="s">
        <v>1515</v>
      </c>
      <c r="C707" s="109" t="s">
        <v>1516</v>
      </c>
      <c r="D707" s="116" t="s">
        <v>2347</v>
      </c>
    </row>
    <row r="708" spans="2:4" ht="15.75">
      <c r="B708" s="109" t="s">
        <v>1517</v>
      </c>
      <c r="C708" s="109" t="s">
        <v>1518</v>
      </c>
      <c r="D708" s="116" t="s">
        <v>2347</v>
      </c>
    </row>
    <row r="709" spans="2:4" ht="15.75">
      <c r="B709" s="109" t="s">
        <v>1519</v>
      </c>
      <c r="C709" s="109" t="s">
        <v>1520</v>
      </c>
      <c r="D709" s="116" t="s">
        <v>2347</v>
      </c>
    </row>
    <row r="710" spans="2:4" ht="15.75">
      <c r="B710" s="110" t="s">
        <v>554</v>
      </c>
      <c r="C710" s="110" t="s">
        <v>555</v>
      </c>
      <c r="D710" s="116" t="s">
        <v>2347</v>
      </c>
    </row>
    <row r="711" spans="2:4" ht="15.75">
      <c r="B711" s="110" t="s">
        <v>556</v>
      </c>
      <c r="C711" s="110" t="s">
        <v>557</v>
      </c>
      <c r="D711" s="116" t="s">
        <v>2347</v>
      </c>
    </row>
    <row r="712" spans="2:4" ht="15.75">
      <c r="B712" s="110" t="s">
        <v>558</v>
      </c>
      <c r="C712" s="110" t="s">
        <v>559</v>
      </c>
      <c r="D712" s="116" t="s">
        <v>2347</v>
      </c>
    </row>
    <row r="713" spans="2:4" ht="15.75">
      <c r="B713" s="110" t="s">
        <v>560</v>
      </c>
      <c r="C713" s="110" t="s">
        <v>561</v>
      </c>
      <c r="D713" s="116" t="s">
        <v>2347</v>
      </c>
    </row>
    <row r="714" spans="2:4" ht="15.75">
      <c r="B714" s="110" t="s">
        <v>270</v>
      </c>
      <c r="C714" s="110" t="s">
        <v>271</v>
      </c>
      <c r="D714" s="116" t="s">
        <v>2347</v>
      </c>
    </row>
    <row r="715" spans="2:4" ht="15.75">
      <c r="B715" s="110" t="s">
        <v>562</v>
      </c>
      <c r="C715" s="110" t="s">
        <v>563</v>
      </c>
      <c r="D715" s="116" t="s">
        <v>2347</v>
      </c>
    </row>
    <row r="716" spans="2:4" ht="15.75">
      <c r="B716" s="110" t="s">
        <v>580</v>
      </c>
      <c r="C716" s="110" t="s">
        <v>581</v>
      </c>
      <c r="D716" s="116" t="s">
        <v>2347</v>
      </c>
    </row>
    <row r="717" spans="2:4" ht="15.75">
      <c r="B717" s="110" t="s">
        <v>564</v>
      </c>
      <c r="C717" s="110" t="s">
        <v>565</v>
      </c>
      <c r="D717" s="116" t="s">
        <v>2347</v>
      </c>
    </row>
    <row r="718" spans="2:4" ht="15.75">
      <c r="B718" s="110" t="s">
        <v>582</v>
      </c>
      <c r="C718" s="110" t="s">
        <v>583</v>
      </c>
      <c r="D718" s="116" t="s">
        <v>2347</v>
      </c>
    </row>
    <row r="719" spans="2:4" ht="15.75">
      <c r="B719" s="110" t="s">
        <v>272</v>
      </c>
      <c r="C719" s="110" t="s">
        <v>273</v>
      </c>
      <c r="D719" s="116" t="s">
        <v>2347</v>
      </c>
    </row>
    <row r="720" spans="2:4" ht="15.75">
      <c r="B720" s="110" t="s">
        <v>566</v>
      </c>
      <c r="C720" s="110" t="s">
        <v>567</v>
      </c>
      <c r="D720" s="116" t="s">
        <v>2347</v>
      </c>
    </row>
    <row r="721" spans="2:4" ht="15.75">
      <c r="B721" s="110" t="s">
        <v>568</v>
      </c>
      <c r="C721" s="110" t="s">
        <v>569</v>
      </c>
      <c r="D721" s="116" t="s">
        <v>2347</v>
      </c>
    </row>
    <row r="722" spans="2:4" ht="15.75">
      <c r="B722" s="110" t="s">
        <v>570</v>
      </c>
      <c r="C722" s="110" t="s">
        <v>571</v>
      </c>
      <c r="D722" s="116" t="s">
        <v>2347</v>
      </c>
    </row>
    <row r="723" spans="2:4" ht="15.75">
      <c r="B723" s="110" t="s">
        <v>572</v>
      </c>
      <c r="C723" s="110" t="s">
        <v>573</v>
      </c>
      <c r="D723" s="116" t="s">
        <v>2347</v>
      </c>
    </row>
    <row r="724" spans="2:4" ht="15.75">
      <c r="B724" s="110" t="s">
        <v>574</v>
      </c>
      <c r="C724" s="110" t="s">
        <v>575</v>
      </c>
      <c r="D724" s="116" t="s">
        <v>2347</v>
      </c>
    </row>
    <row r="725" spans="2:4" ht="15.75">
      <c r="B725" s="110" t="s">
        <v>576</v>
      </c>
      <c r="C725" s="110" t="s">
        <v>577</v>
      </c>
      <c r="D725" s="116" t="s">
        <v>2347</v>
      </c>
    </row>
    <row r="726" spans="2:4" ht="15.75">
      <c r="B726" s="110" t="s">
        <v>578</v>
      </c>
      <c r="C726" s="110" t="s">
        <v>579</v>
      </c>
      <c r="D726" s="116" t="s">
        <v>2347</v>
      </c>
    </row>
    <row r="727" spans="2:4" ht="15.75">
      <c r="B727" s="110" t="s">
        <v>1521</v>
      </c>
      <c r="C727" s="110" t="s">
        <v>1522</v>
      </c>
      <c r="D727" s="116" t="s">
        <v>2347</v>
      </c>
    </row>
    <row r="728" spans="2:4" ht="15.75">
      <c r="B728" s="110" t="s">
        <v>1523</v>
      </c>
      <c r="C728" s="110" t="s">
        <v>1524</v>
      </c>
      <c r="D728" s="116" t="s">
        <v>2347</v>
      </c>
    </row>
    <row r="729" spans="2:4" ht="15.75">
      <c r="B729" s="110" t="s">
        <v>1525</v>
      </c>
      <c r="C729" s="110" t="s">
        <v>1526</v>
      </c>
      <c r="D729" s="116" t="s">
        <v>2347</v>
      </c>
    </row>
    <row r="730" spans="2:4" ht="15.75">
      <c r="B730" s="110" t="s">
        <v>1527</v>
      </c>
      <c r="C730" s="110" t="s">
        <v>1528</v>
      </c>
      <c r="D730" s="116" t="s">
        <v>2347</v>
      </c>
    </row>
    <row r="731" spans="2:4" ht="15.75">
      <c r="B731" s="110" t="s">
        <v>1367</v>
      </c>
      <c r="C731" s="110" t="s">
        <v>1529</v>
      </c>
      <c r="D731" s="116" t="s">
        <v>2347</v>
      </c>
    </row>
    <row r="732" spans="2:4" ht="15.75">
      <c r="B732" s="110" t="s">
        <v>1530</v>
      </c>
      <c r="C732" s="110" t="s">
        <v>1531</v>
      </c>
      <c r="D732" s="116" t="s">
        <v>2347</v>
      </c>
    </row>
    <row r="733" spans="2:4" ht="15.75">
      <c r="B733" s="110" t="s">
        <v>1532</v>
      </c>
      <c r="C733" s="110" t="s">
        <v>1533</v>
      </c>
      <c r="D733" s="116" t="s">
        <v>2347</v>
      </c>
    </row>
    <row r="734" spans="2:4" ht="15.75">
      <c r="B734" s="109" t="s">
        <v>1534</v>
      </c>
      <c r="C734" s="109" t="s">
        <v>1535</v>
      </c>
      <c r="D734" s="116" t="s">
        <v>2347</v>
      </c>
    </row>
    <row r="735" spans="2:4" ht="15.75">
      <c r="B735" s="109" t="s">
        <v>1536</v>
      </c>
      <c r="C735" s="109" t="s">
        <v>1537</v>
      </c>
      <c r="D735" s="116" t="s">
        <v>2347</v>
      </c>
    </row>
    <row r="736" spans="2:4" ht="15.75">
      <c r="B736" s="109" t="s">
        <v>1538</v>
      </c>
      <c r="C736" s="109" t="s">
        <v>1539</v>
      </c>
      <c r="D736" s="116" t="s">
        <v>2347</v>
      </c>
    </row>
    <row r="737" spans="2:4" ht="15.75">
      <c r="B737" s="109" t="s">
        <v>1540</v>
      </c>
      <c r="C737" s="109" t="s">
        <v>1541</v>
      </c>
      <c r="D737" s="116" t="s">
        <v>2347</v>
      </c>
    </row>
    <row r="738" spans="2:4" ht="15.75">
      <c r="B738" s="109" t="s">
        <v>1542</v>
      </c>
      <c r="C738" s="109" t="s">
        <v>1543</v>
      </c>
      <c r="D738" s="116" t="s">
        <v>2347</v>
      </c>
    </row>
    <row r="739" spans="2:4" ht="15.75">
      <c r="B739" s="109" t="s">
        <v>1368</v>
      </c>
      <c r="C739" s="109" t="s">
        <v>1544</v>
      </c>
      <c r="D739" s="116" t="s">
        <v>2347</v>
      </c>
    </row>
    <row r="740" spans="2:4" ht="15.75">
      <c r="B740" s="109" t="s">
        <v>1545</v>
      </c>
      <c r="C740" s="109" t="s">
        <v>1546</v>
      </c>
      <c r="D740" s="116" t="s">
        <v>2347</v>
      </c>
    </row>
    <row r="741" spans="2:4" ht="15.75">
      <c r="B741" s="109" t="s">
        <v>1547</v>
      </c>
      <c r="C741" s="109" t="s">
        <v>1548</v>
      </c>
      <c r="D741" s="116" t="s">
        <v>2347</v>
      </c>
    </row>
    <row r="742" spans="2:4" ht="15.75">
      <c r="B742" s="109" t="s">
        <v>1549</v>
      </c>
      <c r="C742" s="109" t="s">
        <v>1550</v>
      </c>
      <c r="D742" s="116" t="s">
        <v>2347</v>
      </c>
    </row>
    <row r="743" spans="2:4" ht="15.75">
      <c r="B743" s="108" t="s">
        <v>2100</v>
      </c>
      <c r="C743" s="108" t="s">
        <v>2101</v>
      </c>
      <c r="D743" s="116" t="s">
        <v>2347</v>
      </c>
    </row>
    <row r="744" spans="2:4" ht="15.75">
      <c r="B744" s="108" t="s">
        <v>2102</v>
      </c>
      <c r="C744" s="108" t="s">
        <v>2103</v>
      </c>
      <c r="D744" s="116" t="s">
        <v>2347</v>
      </c>
    </row>
    <row r="745" spans="2:4" ht="15.75">
      <c r="B745" s="108" t="s">
        <v>2104</v>
      </c>
      <c r="C745" s="108" t="s">
        <v>2105</v>
      </c>
      <c r="D745" s="116" t="s">
        <v>2347</v>
      </c>
    </row>
    <row r="746" spans="2:4" ht="15.75">
      <c r="B746" s="108" t="s">
        <v>2106</v>
      </c>
      <c r="C746" s="108" t="s">
        <v>2107</v>
      </c>
      <c r="D746" s="116" t="s">
        <v>2347</v>
      </c>
    </row>
    <row r="747" spans="2:4" ht="15.75">
      <c r="B747" s="110" t="s">
        <v>274</v>
      </c>
      <c r="C747" s="109" t="s">
        <v>275</v>
      </c>
      <c r="D747" s="116" t="s">
        <v>2347</v>
      </c>
    </row>
    <row r="748" spans="2:4" ht="15.75">
      <c r="B748" s="110" t="s">
        <v>584</v>
      </c>
      <c r="C748" s="109" t="s">
        <v>585</v>
      </c>
      <c r="D748" s="116" t="s">
        <v>2347</v>
      </c>
    </row>
    <row r="749" spans="2:4" ht="15.75">
      <c r="B749" s="110" t="s">
        <v>586</v>
      </c>
      <c r="C749" s="109" t="s">
        <v>587</v>
      </c>
      <c r="D749" s="116" t="s">
        <v>2347</v>
      </c>
    </row>
    <row r="750" spans="2:4" ht="15.75">
      <c r="B750" s="110" t="s">
        <v>588</v>
      </c>
      <c r="C750" s="110" t="s">
        <v>589</v>
      </c>
      <c r="D750" s="116" t="s">
        <v>2347</v>
      </c>
    </row>
    <row r="751" spans="2:4" ht="15.75">
      <c r="B751" s="110" t="s">
        <v>590</v>
      </c>
      <c r="C751" s="110" t="s">
        <v>591</v>
      </c>
      <c r="D751" s="116" t="s">
        <v>2347</v>
      </c>
    </row>
    <row r="752" spans="2:4" ht="15.75">
      <c r="B752" s="110" t="s">
        <v>592</v>
      </c>
      <c r="C752" s="110" t="s">
        <v>593</v>
      </c>
      <c r="D752" s="116" t="s">
        <v>2347</v>
      </c>
    </row>
    <row r="753" spans="2:4" ht="15.75">
      <c r="B753" s="110" t="s">
        <v>594</v>
      </c>
      <c r="C753" s="110" t="s">
        <v>595</v>
      </c>
      <c r="D753" s="116" t="s">
        <v>2347</v>
      </c>
    </row>
    <row r="754" spans="2:4" ht="15.75">
      <c r="B754" s="110" t="s">
        <v>596</v>
      </c>
      <c r="C754" s="110" t="s">
        <v>597</v>
      </c>
      <c r="D754" s="116" t="s">
        <v>2347</v>
      </c>
    </row>
    <row r="755" spans="2:4" ht="15.75">
      <c r="B755" s="110" t="s">
        <v>1551</v>
      </c>
      <c r="C755" s="110" t="s">
        <v>1552</v>
      </c>
      <c r="D755" s="116" t="s">
        <v>2347</v>
      </c>
    </row>
    <row r="756" spans="2:4" ht="15.75">
      <c r="B756" s="109" t="s">
        <v>598</v>
      </c>
      <c r="C756" s="124" t="s">
        <v>599</v>
      </c>
      <c r="D756" s="116" t="s">
        <v>2347</v>
      </c>
    </row>
    <row r="757" spans="2:4" ht="15.75">
      <c r="B757" s="109" t="s">
        <v>600</v>
      </c>
      <c r="C757" s="124" t="s">
        <v>601</v>
      </c>
      <c r="D757" s="116" t="s">
        <v>2347</v>
      </c>
    </row>
    <row r="758" spans="2:4" ht="15.75">
      <c r="B758" s="110" t="s">
        <v>276</v>
      </c>
      <c r="C758" s="110" t="s">
        <v>277</v>
      </c>
      <c r="D758" s="116" t="s">
        <v>2347</v>
      </c>
    </row>
    <row r="759" spans="2:4" ht="15.75">
      <c r="B759" s="110" t="s">
        <v>604</v>
      </c>
      <c r="C759" s="110" t="s">
        <v>605</v>
      </c>
      <c r="D759" s="116" t="s">
        <v>2347</v>
      </c>
    </row>
    <row r="760" spans="2:4" ht="15.75">
      <c r="B760" s="110" t="s">
        <v>606</v>
      </c>
      <c r="C760" s="110" t="s">
        <v>607</v>
      </c>
      <c r="D760" s="116" t="s">
        <v>2347</v>
      </c>
    </row>
    <row r="761" spans="2:4" ht="15.75">
      <c r="B761" s="110" t="s">
        <v>608</v>
      </c>
      <c r="C761" s="110" t="s">
        <v>609</v>
      </c>
      <c r="D761" s="116" t="s">
        <v>2347</v>
      </c>
    </row>
    <row r="762" spans="2:4" ht="15.75">
      <c r="B762" s="110" t="s">
        <v>610</v>
      </c>
      <c r="C762" s="110" t="s">
        <v>611</v>
      </c>
      <c r="D762" s="116" t="s">
        <v>2347</v>
      </c>
    </row>
    <row r="763" spans="2:4" ht="15.75">
      <c r="B763" s="110" t="s">
        <v>602</v>
      </c>
      <c r="C763" s="110" t="s">
        <v>603</v>
      </c>
      <c r="D763" s="116" t="s">
        <v>2347</v>
      </c>
    </row>
    <row r="764" spans="2:4" ht="15.75">
      <c r="B764" s="110" t="s">
        <v>612</v>
      </c>
      <c r="C764" s="110" t="s">
        <v>613</v>
      </c>
      <c r="D764" s="116" t="s">
        <v>2347</v>
      </c>
    </row>
    <row r="765" spans="2:4" ht="15.75">
      <c r="B765" s="110" t="s">
        <v>1369</v>
      </c>
      <c r="C765" s="110" t="s">
        <v>1553</v>
      </c>
      <c r="D765" s="116" t="s">
        <v>2347</v>
      </c>
    </row>
    <row r="766" spans="2:4" ht="15.75">
      <c r="B766" s="109" t="s">
        <v>1554</v>
      </c>
      <c r="C766" s="109" t="s">
        <v>1555</v>
      </c>
      <c r="D766" s="116" t="s">
        <v>2347</v>
      </c>
    </row>
    <row r="767" spans="2:4" ht="15.75">
      <c r="B767" s="109" t="s">
        <v>1556</v>
      </c>
      <c r="C767" s="109" t="s">
        <v>1557</v>
      </c>
      <c r="D767" s="116" t="s">
        <v>2347</v>
      </c>
    </row>
    <row r="768" spans="2:4" ht="15.75">
      <c r="B768" s="109" t="s">
        <v>1558</v>
      </c>
      <c r="C768" s="109" t="s">
        <v>1559</v>
      </c>
      <c r="D768" s="116" t="s">
        <v>2347</v>
      </c>
    </row>
    <row r="769" spans="2:4" ht="15.75">
      <c r="B769" s="109" t="s">
        <v>1560</v>
      </c>
      <c r="C769" s="109" t="s">
        <v>1561</v>
      </c>
      <c r="D769" s="116" t="s">
        <v>2347</v>
      </c>
    </row>
    <row r="770" spans="2:4" ht="15.75">
      <c r="B770" s="109" t="s">
        <v>1562</v>
      </c>
      <c r="C770" s="109" t="s">
        <v>1563</v>
      </c>
      <c r="D770" s="116" t="s">
        <v>2347</v>
      </c>
    </row>
    <row r="771" spans="2:4" ht="15.75">
      <c r="B771" s="109" t="s">
        <v>1564</v>
      </c>
      <c r="C771" s="109" t="s">
        <v>1565</v>
      </c>
      <c r="D771" s="116" t="s">
        <v>2347</v>
      </c>
    </row>
    <row r="772" spans="2:4" ht="15.75">
      <c r="B772" s="109" t="s">
        <v>1566</v>
      </c>
      <c r="C772" s="109" t="s">
        <v>1567</v>
      </c>
      <c r="D772" s="116" t="s">
        <v>2347</v>
      </c>
    </row>
    <row r="773" spans="2:4" ht="15.75">
      <c r="B773" s="109" t="s">
        <v>1568</v>
      </c>
      <c r="C773" s="109" t="s">
        <v>1569</v>
      </c>
      <c r="D773" s="116" t="s">
        <v>2347</v>
      </c>
    </row>
    <row r="774" spans="2:4" ht="15.75">
      <c r="B774" s="109" t="s">
        <v>1570</v>
      </c>
      <c r="C774" s="109" t="s">
        <v>1571</v>
      </c>
      <c r="D774" s="116" t="s">
        <v>2347</v>
      </c>
    </row>
    <row r="775" spans="2:4" ht="15.75">
      <c r="B775" s="109" t="s">
        <v>1572</v>
      </c>
      <c r="C775" s="109" t="s">
        <v>1573</v>
      </c>
      <c r="D775" s="116" t="s">
        <v>2347</v>
      </c>
    </row>
    <row r="776" spans="2:4" ht="15.75">
      <c r="B776" s="109" t="s">
        <v>1574</v>
      </c>
      <c r="C776" s="109" t="s">
        <v>1575</v>
      </c>
      <c r="D776" s="116" t="s">
        <v>2347</v>
      </c>
    </row>
    <row r="777" spans="2:4" ht="15.75">
      <c r="B777" s="109" t="s">
        <v>1576</v>
      </c>
      <c r="C777" s="109" t="s">
        <v>1577</v>
      </c>
      <c r="D777" s="116" t="s">
        <v>2347</v>
      </c>
    </row>
    <row r="778" spans="2:4" ht="15.75">
      <c r="B778" s="109" t="s">
        <v>1578</v>
      </c>
      <c r="C778" s="109" t="s">
        <v>1579</v>
      </c>
      <c r="D778" s="116" t="s">
        <v>2347</v>
      </c>
    </row>
    <row r="779" spans="2:4" ht="15.75">
      <c r="B779" s="109" t="s">
        <v>1580</v>
      </c>
      <c r="C779" s="109" t="s">
        <v>1581</v>
      </c>
      <c r="D779" s="116" t="s">
        <v>2347</v>
      </c>
    </row>
    <row r="780" spans="2:4" ht="15.75">
      <c r="B780" s="109" t="s">
        <v>1582</v>
      </c>
      <c r="C780" s="109" t="s">
        <v>1583</v>
      </c>
      <c r="D780" s="116" t="s">
        <v>2347</v>
      </c>
    </row>
    <row r="781" spans="2:4" ht="15.75">
      <c r="B781" s="109" t="s">
        <v>1584</v>
      </c>
      <c r="C781" s="109" t="s">
        <v>1585</v>
      </c>
      <c r="D781" s="116" t="s">
        <v>2347</v>
      </c>
    </row>
    <row r="782" spans="2:4" ht="15.75">
      <c r="B782" s="110" t="s">
        <v>644</v>
      </c>
      <c r="C782" s="110" t="s">
        <v>645</v>
      </c>
      <c r="D782" s="116" t="s">
        <v>2347</v>
      </c>
    </row>
    <row r="783" spans="2:4" ht="15.75">
      <c r="B783" s="110" t="s">
        <v>614</v>
      </c>
      <c r="C783" s="110" t="s">
        <v>615</v>
      </c>
      <c r="D783" s="116" t="s">
        <v>2347</v>
      </c>
    </row>
    <row r="784" spans="2:4" ht="15.75">
      <c r="B784" s="110" t="s">
        <v>616</v>
      </c>
      <c r="C784" s="110" t="s">
        <v>617</v>
      </c>
      <c r="D784" s="116" t="s">
        <v>2347</v>
      </c>
    </row>
    <row r="785" spans="2:4" ht="15.75">
      <c r="B785" s="110" t="s">
        <v>618</v>
      </c>
      <c r="C785" s="110" t="s">
        <v>619</v>
      </c>
      <c r="D785" s="116" t="s">
        <v>2347</v>
      </c>
    </row>
    <row r="786" spans="2:4" ht="15.75">
      <c r="B786" s="110" t="s">
        <v>278</v>
      </c>
      <c r="C786" s="110" t="s">
        <v>279</v>
      </c>
      <c r="D786" s="116" t="s">
        <v>2347</v>
      </c>
    </row>
    <row r="787" spans="2:4" ht="15.75">
      <c r="B787" s="110" t="s">
        <v>620</v>
      </c>
      <c r="C787" s="110" t="s">
        <v>621</v>
      </c>
      <c r="D787" s="116" t="s">
        <v>2347</v>
      </c>
    </row>
    <row r="788" spans="2:4" ht="15.75">
      <c r="B788" s="110" t="s">
        <v>622</v>
      </c>
      <c r="C788" s="110" t="s">
        <v>623</v>
      </c>
      <c r="D788" s="116" t="s">
        <v>2347</v>
      </c>
    </row>
    <row r="789" spans="2:4" ht="15.75">
      <c r="B789" s="110" t="s">
        <v>624</v>
      </c>
      <c r="C789" s="110" t="s">
        <v>625</v>
      </c>
      <c r="D789" s="116" t="s">
        <v>2347</v>
      </c>
    </row>
    <row r="790" spans="2:4" ht="15.75">
      <c r="B790" s="110" t="s">
        <v>282</v>
      </c>
      <c r="C790" s="110" t="s">
        <v>283</v>
      </c>
      <c r="D790" s="116" t="s">
        <v>2347</v>
      </c>
    </row>
    <row r="791" spans="2:4" ht="15.75">
      <c r="B791" s="110" t="s">
        <v>280</v>
      </c>
      <c r="C791" s="110" t="s">
        <v>281</v>
      </c>
      <c r="D791" s="116" t="s">
        <v>2347</v>
      </c>
    </row>
    <row r="792" spans="2:4" ht="15.75">
      <c r="B792" s="110" t="s">
        <v>626</v>
      </c>
      <c r="C792" s="110" t="s">
        <v>627</v>
      </c>
      <c r="D792" s="116" t="s">
        <v>2347</v>
      </c>
    </row>
    <row r="793" spans="2:4" ht="15.75">
      <c r="B793" s="110" t="s">
        <v>628</v>
      </c>
      <c r="C793" s="110" t="s">
        <v>629</v>
      </c>
      <c r="D793" s="116" t="s">
        <v>2347</v>
      </c>
    </row>
    <row r="794" spans="2:4" ht="15.75">
      <c r="B794" s="110" t="s">
        <v>630</v>
      </c>
      <c r="C794" s="110" t="s">
        <v>631</v>
      </c>
      <c r="D794" s="116" t="s">
        <v>2347</v>
      </c>
    </row>
    <row r="795" spans="2:4" ht="15.75">
      <c r="B795" s="110" t="s">
        <v>632</v>
      </c>
      <c r="C795" s="110" t="s">
        <v>633</v>
      </c>
      <c r="D795" s="116" t="s">
        <v>2347</v>
      </c>
    </row>
    <row r="796" spans="2:4" ht="15.75">
      <c r="B796" s="110" t="s">
        <v>634</v>
      </c>
      <c r="C796" s="110" t="s">
        <v>635</v>
      </c>
      <c r="D796" s="116" t="s">
        <v>2347</v>
      </c>
    </row>
    <row r="797" spans="2:4" ht="15.75">
      <c r="B797" s="110" t="s">
        <v>646</v>
      </c>
      <c r="C797" s="110" t="s">
        <v>647</v>
      </c>
      <c r="D797" s="116" t="s">
        <v>2347</v>
      </c>
    </row>
    <row r="798" spans="2:4" ht="15.75">
      <c r="B798" s="110" t="s">
        <v>636</v>
      </c>
      <c r="C798" s="110" t="s">
        <v>637</v>
      </c>
      <c r="D798" s="116" t="s">
        <v>2347</v>
      </c>
    </row>
    <row r="799" spans="2:4" ht="15.75">
      <c r="B799" s="110" t="s">
        <v>638</v>
      </c>
      <c r="C799" s="110" t="s">
        <v>639</v>
      </c>
      <c r="D799" s="116" t="s">
        <v>2347</v>
      </c>
    </row>
    <row r="800" spans="2:4" ht="15.75">
      <c r="B800" s="110" t="s">
        <v>640</v>
      </c>
      <c r="C800" s="110" t="s">
        <v>641</v>
      </c>
      <c r="D800" s="116" t="s">
        <v>2347</v>
      </c>
    </row>
    <row r="801" spans="2:4" ht="15.75">
      <c r="B801" s="110" t="s">
        <v>642</v>
      </c>
      <c r="C801" s="110" t="s">
        <v>643</v>
      </c>
      <c r="D801" s="116" t="s">
        <v>2347</v>
      </c>
    </row>
    <row r="802" spans="2:4" ht="15.75">
      <c r="B802" s="110" t="s">
        <v>1586</v>
      </c>
      <c r="C802" s="110" t="s">
        <v>1587</v>
      </c>
      <c r="D802" s="116" t="s">
        <v>2347</v>
      </c>
    </row>
    <row r="803" spans="2:4" ht="15.75">
      <c r="B803" s="110" t="s">
        <v>1588</v>
      </c>
      <c r="C803" s="110" t="s">
        <v>1589</v>
      </c>
      <c r="D803" s="116" t="s">
        <v>2347</v>
      </c>
    </row>
    <row r="804" spans="2:4" ht="15.75">
      <c r="B804" s="110" t="s">
        <v>1590</v>
      </c>
      <c r="C804" s="110" t="s">
        <v>1591</v>
      </c>
      <c r="D804" s="116" t="s">
        <v>2347</v>
      </c>
    </row>
    <row r="805" spans="2:4" ht="15.75">
      <c r="B805" s="110" t="s">
        <v>1592</v>
      </c>
      <c r="C805" s="110" t="s">
        <v>1593</v>
      </c>
      <c r="D805" s="116" t="s">
        <v>2347</v>
      </c>
    </row>
    <row r="806" spans="2:4" ht="15.75">
      <c r="B806" s="110" t="s">
        <v>1594</v>
      </c>
      <c r="C806" s="110" t="s">
        <v>1595</v>
      </c>
      <c r="D806" s="116" t="s">
        <v>2347</v>
      </c>
    </row>
    <row r="807" spans="2:4" ht="15.75">
      <c r="B807" s="110" t="s">
        <v>1370</v>
      </c>
      <c r="C807" s="110" t="s">
        <v>1596</v>
      </c>
      <c r="D807" s="116" t="s">
        <v>2347</v>
      </c>
    </row>
    <row r="808" spans="2:4" ht="15.75">
      <c r="B808" s="109" t="s">
        <v>1597</v>
      </c>
      <c r="C808" s="109" t="s">
        <v>1598</v>
      </c>
      <c r="D808" s="116" t="s">
        <v>2347</v>
      </c>
    </row>
    <row r="809" spans="2:4" ht="15.75">
      <c r="B809" s="109" t="s">
        <v>1599</v>
      </c>
      <c r="C809" s="109" t="s">
        <v>1600</v>
      </c>
      <c r="D809" s="116" t="s">
        <v>2347</v>
      </c>
    </row>
    <row r="810" spans="2:4" ht="15.75">
      <c r="B810" s="109" t="s">
        <v>1601</v>
      </c>
      <c r="C810" s="109" t="s">
        <v>1602</v>
      </c>
      <c r="D810" s="116" t="s">
        <v>2347</v>
      </c>
    </row>
    <row r="811" spans="2:4" ht="15.75">
      <c r="B811" s="109" t="s">
        <v>1603</v>
      </c>
      <c r="C811" s="109" t="s">
        <v>1604</v>
      </c>
      <c r="D811" s="116" t="s">
        <v>2347</v>
      </c>
    </row>
    <row r="812" spans="2:4" ht="15.75">
      <c r="B812" s="109" t="s">
        <v>1605</v>
      </c>
      <c r="C812" s="109" t="s">
        <v>1606</v>
      </c>
      <c r="D812" s="116" t="s">
        <v>2347</v>
      </c>
    </row>
    <row r="813" spans="2:4" ht="15.75">
      <c r="B813" s="109" t="s">
        <v>1371</v>
      </c>
      <c r="C813" s="109" t="s">
        <v>1607</v>
      </c>
      <c r="D813" s="116" t="s">
        <v>2347</v>
      </c>
    </row>
    <row r="814" spans="2:4" ht="15.75">
      <c r="B814" s="109" t="s">
        <v>1608</v>
      </c>
      <c r="C814" s="109" t="s">
        <v>1609</v>
      </c>
      <c r="D814" s="116" t="s">
        <v>2347</v>
      </c>
    </row>
    <row r="815" spans="2:4" ht="15.75">
      <c r="B815" s="109" t="s">
        <v>1610</v>
      </c>
      <c r="C815" s="109" t="s">
        <v>1611</v>
      </c>
      <c r="D815" s="116" t="s">
        <v>2347</v>
      </c>
    </row>
    <row r="816" spans="2:4" ht="15.75">
      <c r="B816" s="109" t="s">
        <v>1612</v>
      </c>
      <c r="C816" s="109" t="s">
        <v>1613</v>
      </c>
      <c r="D816" s="116" t="s">
        <v>2347</v>
      </c>
    </row>
    <row r="817" spans="2:4" ht="15.75">
      <c r="B817" s="109" t="s">
        <v>1614</v>
      </c>
      <c r="C817" s="109" t="s">
        <v>1615</v>
      </c>
      <c r="D817" s="116" t="s">
        <v>2347</v>
      </c>
    </row>
    <row r="818" spans="2:4" ht="15.75">
      <c r="B818" s="109" t="s">
        <v>1616</v>
      </c>
      <c r="C818" s="109" t="s">
        <v>1617</v>
      </c>
      <c r="D818" s="116" t="s">
        <v>2347</v>
      </c>
    </row>
    <row r="819" spans="2:4" ht="15.75">
      <c r="B819" s="109" t="s">
        <v>1618</v>
      </c>
      <c r="C819" s="109" t="s">
        <v>1619</v>
      </c>
      <c r="D819" s="116" t="s">
        <v>2347</v>
      </c>
    </row>
    <row r="820" spans="2:4" ht="15.75">
      <c r="B820" s="108" t="s">
        <v>2108</v>
      </c>
      <c r="C820" s="108" t="s">
        <v>2109</v>
      </c>
      <c r="D820" s="116" t="s">
        <v>2347</v>
      </c>
    </row>
    <row r="821" spans="2:4" ht="15.75">
      <c r="B821" s="108" t="s">
        <v>2110</v>
      </c>
      <c r="C821" s="108" t="s">
        <v>2111</v>
      </c>
      <c r="D821" s="116" t="s">
        <v>2347</v>
      </c>
    </row>
    <row r="822" spans="2:4" ht="15.75">
      <c r="B822" s="110" t="s">
        <v>1620</v>
      </c>
      <c r="C822" s="110" t="s">
        <v>1621</v>
      </c>
      <c r="D822" s="116" t="s">
        <v>2347</v>
      </c>
    </row>
    <row r="823" spans="2:4" ht="15.75">
      <c r="B823" s="110" t="s">
        <v>1622</v>
      </c>
      <c r="C823" s="110" t="s">
        <v>1623</v>
      </c>
      <c r="D823" s="116" t="s">
        <v>2347</v>
      </c>
    </row>
    <row r="824" spans="2:4" ht="15.75">
      <c r="B824" s="110" t="s">
        <v>1624</v>
      </c>
      <c r="C824" s="110" t="s">
        <v>1625</v>
      </c>
      <c r="D824" s="116" t="s">
        <v>2347</v>
      </c>
    </row>
    <row r="825" spans="2:4" ht="15.75">
      <c r="B825" s="110" t="s">
        <v>1626</v>
      </c>
      <c r="C825" s="110" t="s">
        <v>1627</v>
      </c>
      <c r="D825" s="116" t="s">
        <v>2347</v>
      </c>
    </row>
    <row r="826" spans="2:4" ht="15.75">
      <c r="B826" s="110" t="s">
        <v>1628</v>
      </c>
      <c r="C826" s="110" t="s">
        <v>1629</v>
      </c>
      <c r="D826" s="116" t="s">
        <v>2347</v>
      </c>
    </row>
    <row r="827" spans="2:4" ht="15.75">
      <c r="B827" s="110" t="s">
        <v>1630</v>
      </c>
      <c r="C827" s="110" t="s">
        <v>1631</v>
      </c>
      <c r="D827" s="116" t="s">
        <v>2347</v>
      </c>
    </row>
    <row r="828" spans="2:4" ht="15.75">
      <c r="B828" s="110" t="s">
        <v>1632</v>
      </c>
      <c r="C828" s="110" t="s">
        <v>1633</v>
      </c>
      <c r="D828" s="116" t="s">
        <v>2347</v>
      </c>
    </row>
    <row r="829" spans="2:4" ht="15.75">
      <c r="B829" s="110" t="s">
        <v>1634</v>
      </c>
      <c r="C829" s="110" t="s">
        <v>1635</v>
      </c>
      <c r="D829" s="116" t="s">
        <v>2347</v>
      </c>
    </row>
    <row r="830" spans="2:4" ht="15.75">
      <c r="B830" s="110" t="s">
        <v>1636</v>
      </c>
      <c r="C830" s="110" t="s">
        <v>1637</v>
      </c>
      <c r="D830" s="116" t="s">
        <v>2347</v>
      </c>
    </row>
    <row r="831" spans="2:4" ht="15.75">
      <c r="B831" s="110" t="s">
        <v>648</v>
      </c>
      <c r="C831" s="110" t="s">
        <v>649</v>
      </c>
      <c r="D831" s="116" t="s">
        <v>2347</v>
      </c>
    </row>
    <row r="832" spans="2:4" ht="15.75">
      <c r="B832" s="110" t="s">
        <v>650</v>
      </c>
      <c r="C832" s="110" t="s">
        <v>651</v>
      </c>
      <c r="D832" s="116" t="s">
        <v>2347</v>
      </c>
    </row>
    <row r="833" spans="2:4" ht="15.75">
      <c r="B833" s="110" t="s">
        <v>652</v>
      </c>
      <c r="C833" s="110" t="s">
        <v>653</v>
      </c>
      <c r="D833" s="116" t="s">
        <v>2347</v>
      </c>
    </row>
    <row r="834" spans="2:4" ht="15.75">
      <c r="B834" s="110" t="s">
        <v>654</v>
      </c>
      <c r="C834" s="110" t="s">
        <v>655</v>
      </c>
      <c r="D834" s="116" t="s">
        <v>2347</v>
      </c>
    </row>
    <row r="835" spans="2:4" ht="15.75">
      <c r="B835" s="110" t="s">
        <v>656</v>
      </c>
      <c r="C835" s="110" t="s">
        <v>657</v>
      </c>
      <c r="D835" s="116" t="s">
        <v>2347</v>
      </c>
    </row>
    <row r="836" spans="2:4" ht="15.75">
      <c r="B836" s="110" t="s">
        <v>658</v>
      </c>
      <c r="C836" s="110" t="s">
        <v>659</v>
      </c>
      <c r="D836" s="116" t="s">
        <v>2347</v>
      </c>
    </row>
    <row r="837" spans="2:4" ht="15.75">
      <c r="B837" s="110" t="s">
        <v>660</v>
      </c>
      <c r="C837" s="110" t="s">
        <v>661</v>
      </c>
      <c r="D837" s="116" t="s">
        <v>2347</v>
      </c>
    </row>
    <row r="838" spans="2:4" ht="15.75">
      <c r="B838" s="110" t="s">
        <v>662</v>
      </c>
      <c r="C838" s="110" t="s">
        <v>663</v>
      </c>
      <c r="D838" s="116" t="s">
        <v>2347</v>
      </c>
    </row>
    <row r="839" spans="2:4" ht="15.75">
      <c r="B839" s="110" t="s">
        <v>664</v>
      </c>
      <c r="C839" s="110" t="s">
        <v>665</v>
      </c>
      <c r="D839" s="116" t="s">
        <v>2347</v>
      </c>
    </row>
    <row r="840" spans="2:4" ht="15.75">
      <c r="B840" s="109" t="s">
        <v>666</v>
      </c>
      <c r="C840" s="124" t="s">
        <v>667</v>
      </c>
      <c r="D840" s="116" t="s">
        <v>2347</v>
      </c>
    </row>
    <row r="841" spans="2:4" ht="15.75">
      <c r="B841" s="109" t="s">
        <v>1638</v>
      </c>
      <c r="C841" s="127" t="s">
        <v>1639</v>
      </c>
      <c r="D841" s="116" t="s">
        <v>2347</v>
      </c>
    </row>
    <row r="842" spans="2:4" ht="15.75">
      <c r="B842" s="109" t="s">
        <v>1640</v>
      </c>
      <c r="C842" s="127" t="s">
        <v>1641</v>
      </c>
      <c r="D842" s="116" t="s">
        <v>2347</v>
      </c>
    </row>
    <row r="843" spans="2:4" ht="15.75">
      <c r="B843" s="109" t="s">
        <v>1642</v>
      </c>
      <c r="C843" s="127" t="s">
        <v>1643</v>
      </c>
      <c r="D843" s="116" t="s">
        <v>2347</v>
      </c>
    </row>
    <row r="844" spans="2:4" ht="15.75">
      <c r="B844" s="109" t="s">
        <v>1644</v>
      </c>
      <c r="C844" s="127" t="s">
        <v>1645</v>
      </c>
      <c r="D844" s="116" t="s">
        <v>2347</v>
      </c>
    </row>
    <row r="845" spans="2:4" ht="15.75">
      <c r="B845" s="109" t="s">
        <v>1646</v>
      </c>
      <c r="C845" s="127" t="s">
        <v>1647</v>
      </c>
      <c r="D845" s="116" t="s">
        <v>2347</v>
      </c>
    </row>
    <row r="846" spans="2:4" ht="15.75">
      <c r="B846" s="109" t="s">
        <v>1648</v>
      </c>
      <c r="C846" s="127" t="s">
        <v>1649</v>
      </c>
      <c r="D846" s="116" t="s">
        <v>2347</v>
      </c>
    </row>
    <row r="847" spans="2:4" ht="15.75">
      <c r="B847" s="111" t="s">
        <v>668</v>
      </c>
      <c r="C847" s="111" t="s">
        <v>669</v>
      </c>
      <c r="D847" s="116" t="s">
        <v>2347</v>
      </c>
    </row>
    <row r="848" spans="2:4" ht="15.75">
      <c r="B848" s="111" t="s">
        <v>670</v>
      </c>
      <c r="C848" s="111" t="s">
        <v>671</v>
      </c>
      <c r="D848" s="116" t="s">
        <v>2347</v>
      </c>
    </row>
    <row r="849" spans="2:4" ht="15.75">
      <c r="B849" s="111" t="s">
        <v>672</v>
      </c>
      <c r="C849" s="111" t="s">
        <v>673</v>
      </c>
      <c r="D849" s="116" t="s">
        <v>2347</v>
      </c>
    </row>
    <row r="850" spans="2:4" ht="15.75">
      <c r="B850" s="111" t="s">
        <v>674</v>
      </c>
      <c r="C850" s="111" t="s">
        <v>675</v>
      </c>
      <c r="D850" s="116" t="s">
        <v>2347</v>
      </c>
    </row>
    <row r="851" spans="2:4" ht="15.75">
      <c r="B851" s="111" t="s">
        <v>676</v>
      </c>
      <c r="C851" s="111" t="s">
        <v>677</v>
      </c>
      <c r="D851" s="116" t="s">
        <v>2347</v>
      </c>
    </row>
    <row r="852" spans="2:4" ht="15.75">
      <c r="B852" s="111" t="s">
        <v>678</v>
      </c>
      <c r="C852" s="111" t="s">
        <v>679</v>
      </c>
      <c r="D852" s="116" t="s">
        <v>2347</v>
      </c>
    </row>
    <row r="853" spans="2:4" ht="15.75">
      <c r="B853" s="111" t="s">
        <v>680</v>
      </c>
      <c r="C853" s="111" t="s">
        <v>681</v>
      </c>
      <c r="D853" s="116" t="s">
        <v>2347</v>
      </c>
    </row>
    <row r="854" spans="2:4" ht="15.75">
      <c r="B854" s="110" t="s">
        <v>682</v>
      </c>
      <c r="C854" s="110" t="s">
        <v>683</v>
      </c>
      <c r="D854" s="116" t="s">
        <v>2347</v>
      </c>
    </row>
    <row r="855" spans="2:4" ht="15.75">
      <c r="B855" s="110" t="s">
        <v>1650</v>
      </c>
      <c r="C855" s="110" t="s">
        <v>1651</v>
      </c>
      <c r="D855" s="116" t="s">
        <v>2347</v>
      </c>
    </row>
    <row r="858" spans="2:4" ht="15.75">
      <c r="B858" s="130" t="s">
        <v>2348</v>
      </c>
    </row>
    <row r="859" spans="2:4" ht="15.75">
      <c r="B859" s="112" t="s">
        <v>1295</v>
      </c>
      <c r="C859" s="124" t="s">
        <v>1296</v>
      </c>
      <c r="D859" s="116" t="s">
        <v>2348</v>
      </c>
    </row>
    <row r="860" spans="2:4" ht="15.75">
      <c r="B860" s="112" t="s">
        <v>1297</v>
      </c>
      <c r="C860" s="124" t="s">
        <v>1298</v>
      </c>
      <c r="D860" s="116" t="s">
        <v>2348</v>
      </c>
    </row>
    <row r="861" spans="2:4" ht="15.75">
      <c r="B861" s="112" t="s">
        <v>1299</v>
      </c>
      <c r="C861" s="124" t="s">
        <v>1300</v>
      </c>
      <c r="D861" s="116" t="s">
        <v>2348</v>
      </c>
    </row>
    <row r="862" spans="2:4" ht="15.75">
      <c r="B862" s="112" t="s">
        <v>1301</v>
      </c>
      <c r="C862" s="124" t="s">
        <v>1302</v>
      </c>
      <c r="D862" s="116" t="s">
        <v>2348</v>
      </c>
    </row>
    <row r="863" spans="2:4" ht="15.75">
      <c r="B863" s="112"/>
      <c r="C863" s="124"/>
    </row>
    <row r="864" spans="2:4" ht="15.75">
      <c r="B864" s="112"/>
      <c r="C864" s="124"/>
    </row>
    <row r="865" spans="2:4" ht="15.75">
      <c r="B865" s="158" t="s">
        <v>2349</v>
      </c>
      <c r="C865" s="124"/>
    </row>
    <row r="866" spans="2:4" ht="15.75">
      <c r="B866" s="109" t="s">
        <v>1152</v>
      </c>
      <c r="C866" s="124" t="s">
        <v>1153</v>
      </c>
      <c r="D866" s="116" t="s">
        <v>2349</v>
      </c>
    </row>
    <row r="867" spans="2:4" ht="15.75">
      <c r="B867" s="109" t="s">
        <v>478</v>
      </c>
      <c r="C867" s="124" t="s">
        <v>479</v>
      </c>
      <c r="D867" s="116" t="s">
        <v>2349</v>
      </c>
    </row>
    <row r="868" spans="2:4" ht="15.75">
      <c r="B868" s="109" t="s">
        <v>1154</v>
      </c>
      <c r="C868" s="109" t="s">
        <v>1155</v>
      </c>
      <c r="D868" s="116" t="s">
        <v>2349</v>
      </c>
    </row>
    <row r="869" spans="2:4" ht="15.75">
      <c r="B869" s="131" t="s">
        <v>1156</v>
      </c>
      <c r="C869" s="110" t="s">
        <v>1157</v>
      </c>
      <c r="D869" s="116" t="s">
        <v>2349</v>
      </c>
    </row>
    <row r="870" spans="2:4" ht="15.75">
      <c r="B870" s="109" t="s">
        <v>1158</v>
      </c>
      <c r="C870" s="109" t="s">
        <v>1159</v>
      </c>
      <c r="D870" s="116" t="s">
        <v>2349</v>
      </c>
    </row>
    <row r="871" spans="2:4" ht="15.75">
      <c r="B871" s="109" t="s">
        <v>1160</v>
      </c>
      <c r="C871" s="112" t="s">
        <v>1161</v>
      </c>
      <c r="D871" s="116" t="s">
        <v>2349</v>
      </c>
    </row>
    <row r="872" spans="2:4" ht="15.75">
      <c r="B872" s="109" t="s">
        <v>1162</v>
      </c>
      <c r="C872" s="112" t="s">
        <v>1163</v>
      </c>
      <c r="D872" s="116" t="s">
        <v>2349</v>
      </c>
    </row>
    <row r="873" spans="2:4" ht="15.75">
      <c r="B873" s="109" t="s">
        <v>1164</v>
      </c>
      <c r="C873" s="112" t="s">
        <v>1165</v>
      </c>
      <c r="D873" s="116" t="s">
        <v>2349</v>
      </c>
    </row>
    <row r="874" spans="2:4" ht="15.75">
      <c r="B874" s="109" t="s">
        <v>1166</v>
      </c>
      <c r="C874" s="112" t="s">
        <v>1167</v>
      </c>
      <c r="D874" s="116" t="s">
        <v>2349</v>
      </c>
    </row>
    <row r="875" spans="2:4" ht="15.75">
      <c r="B875" s="109" t="s">
        <v>1168</v>
      </c>
      <c r="C875" s="112" t="s">
        <v>1169</v>
      </c>
      <c r="D875" s="116" t="s">
        <v>2349</v>
      </c>
    </row>
    <row r="876" spans="2:4" ht="15.75">
      <c r="B876" s="109" t="s">
        <v>1170</v>
      </c>
      <c r="C876" s="112" t="s">
        <v>1171</v>
      </c>
      <c r="D876" s="116" t="s">
        <v>2349</v>
      </c>
    </row>
    <row r="877" spans="2:4" ht="15.75">
      <c r="B877" s="109" t="s">
        <v>1172</v>
      </c>
      <c r="C877" s="112" t="s">
        <v>1173</v>
      </c>
      <c r="D877" s="116" t="s">
        <v>2349</v>
      </c>
    </row>
    <row r="878" spans="2:4" ht="15.75">
      <c r="B878" s="109" t="s">
        <v>1175</v>
      </c>
      <c r="C878" s="112" t="s">
        <v>1176</v>
      </c>
      <c r="D878" s="116" t="s">
        <v>2349</v>
      </c>
    </row>
    <row r="879" spans="2:4" ht="15.75">
      <c r="B879" s="109" t="s">
        <v>1177</v>
      </c>
      <c r="C879" s="112" t="s">
        <v>1178</v>
      </c>
      <c r="D879" s="116" t="s">
        <v>2349</v>
      </c>
    </row>
    <row r="880" spans="2:4" ht="15.75">
      <c r="B880" s="109" t="s">
        <v>1179</v>
      </c>
      <c r="C880" s="112" t="s">
        <v>1180</v>
      </c>
      <c r="D880" s="116" t="s">
        <v>2349</v>
      </c>
    </row>
    <row r="881" spans="2:4" ht="15.75">
      <c r="B881" s="109" t="s">
        <v>1181</v>
      </c>
      <c r="C881" s="124" t="s">
        <v>1182</v>
      </c>
      <c r="D881" s="116" t="s">
        <v>2349</v>
      </c>
    </row>
    <row r="882" spans="2:4" ht="15.75">
      <c r="B882" s="109" t="s">
        <v>1183</v>
      </c>
      <c r="C882" s="124" t="s">
        <v>1161</v>
      </c>
      <c r="D882" s="116" t="s">
        <v>2349</v>
      </c>
    </row>
    <row r="883" spans="2:4" ht="15.75">
      <c r="B883" s="109" t="s">
        <v>1184</v>
      </c>
      <c r="C883" s="124" t="s">
        <v>1163</v>
      </c>
      <c r="D883" s="116" t="s">
        <v>2349</v>
      </c>
    </row>
    <row r="884" spans="2:4" ht="15.75">
      <c r="B884" s="109" t="s">
        <v>1185</v>
      </c>
      <c r="C884" s="124" t="s">
        <v>1165</v>
      </c>
      <c r="D884" s="116" t="s">
        <v>2349</v>
      </c>
    </row>
    <row r="885" spans="2:4" ht="15.75">
      <c r="B885" s="109" t="s">
        <v>1186</v>
      </c>
      <c r="C885" s="124" t="s">
        <v>1167</v>
      </c>
      <c r="D885" s="116" t="s">
        <v>2349</v>
      </c>
    </row>
    <row r="886" spans="2:4" ht="15.75">
      <c r="B886" s="109" t="s">
        <v>1187</v>
      </c>
      <c r="C886" s="124" t="s">
        <v>1169</v>
      </c>
      <c r="D886" s="116" t="s">
        <v>2349</v>
      </c>
    </row>
    <row r="887" spans="2:4" ht="15.75">
      <c r="B887" s="109" t="s">
        <v>1188</v>
      </c>
      <c r="C887" s="124" t="s">
        <v>1171</v>
      </c>
      <c r="D887" s="116" t="s">
        <v>2349</v>
      </c>
    </row>
    <row r="888" spans="2:4" ht="15.75">
      <c r="B888" s="109" t="s">
        <v>1189</v>
      </c>
      <c r="C888" s="124" t="s">
        <v>1173</v>
      </c>
      <c r="D888" s="116" t="s">
        <v>2349</v>
      </c>
    </row>
    <row r="889" spans="2:4" ht="15.75">
      <c r="B889" s="109" t="s">
        <v>1190</v>
      </c>
      <c r="C889" s="124" t="s">
        <v>1174</v>
      </c>
      <c r="D889" s="116" t="s">
        <v>2349</v>
      </c>
    </row>
    <row r="890" spans="2:4" ht="15.75">
      <c r="B890" s="109" t="s">
        <v>1191</v>
      </c>
      <c r="C890" s="124" t="s">
        <v>1192</v>
      </c>
      <c r="D890" s="116" t="s">
        <v>2349</v>
      </c>
    </row>
    <row r="891" spans="2:4" ht="15.75">
      <c r="B891" s="109" t="s">
        <v>1193</v>
      </c>
      <c r="C891" s="124" t="s">
        <v>1192</v>
      </c>
      <c r="D891" s="116" t="s">
        <v>2349</v>
      </c>
    </row>
    <row r="892" spans="2:4" ht="15.75">
      <c r="B892" s="109" t="s">
        <v>1194</v>
      </c>
      <c r="C892" s="124" t="s">
        <v>1195</v>
      </c>
      <c r="D892" s="116" t="s">
        <v>2349</v>
      </c>
    </row>
    <row r="893" spans="2:4" ht="15.75">
      <c r="B893" s="109" t="s">
        <v>1196</v>
      </c>
      <c r="C893" s="124" t="s">
        <v>1197</v>
      </c>
      <c r="D893" s="116" t="s">
        <v>2349</v>
      </c>
    </row>
    <row r="894" spans="2:4" ht="15.75">
      <c r="B894" s="109" t="s">
        <v>1198</v>
      </c>
      <c r="C894" s="124" t="s">
        <v>1197</v>
      </c>
      <c r="D894" s="116" t="s">
        <v>2349</v>
      </c>
    </row>
    <row r="895" spans="2:4" ht="15.75">
      <c r="B895" s="110" t="s">
        <v>1148</v>
      </c>
      <c r="C895" s="128" t="s">
        <v>1974</v>
      </c>
      <c r="D895" s="116" t="s">
        <v>2349</v>
      </c>
    </row>
    <row r="896" spans="2:4" ht="15.75">
      <c r="B896" s="110" t="s">
        <v>1150</v>
      </c>
      <c r="C896" s="128" t="s">
        <v>1975</v>
      </c>
      <c r="D896" s="116" t="s">
        <v>2349</v>
      </c>
    </row>
    <row r="897" spans="2:4" ht="15.75">
      <c r="B897" s="110" t="s">
        <v>1151</v>
      </c>
      <c r="C897" s="128" t="s">
        <v>1976</v>
      </c>
      <c r="D897" s="116" t="s">
        <v>2349</v>
      </c>
    </row>
    <row r="898" spans="2:4" ht="15.75">
      <c r="B898" s="110" t="s">
        <v>1149</v>
      </c>
      <c r="C898" s="128" t="s">
        <v>1977</v>
      </c>
      <c r="D898" s="116" t="s">
        <v>2349</v>
      </c>
    </row>
    <row r="899" spans="2:4" ht="15.75">
      <c r="B899" s="110" t="s">
        <v>1199</v>
      </c>
      <c r="C899" s="128" t="s">
        <v>1200</v>
      </c>
      <c r="D899" s="116" t="s">
        <v>2349</v>
      </c>
    </row>
    <row r="900" spans="2:4" ht="15.75">
      <c r="B900" s="110" t="s">
        <v>1978</v>
      </c>
      <c r="C900" s="128" t="s">
        <v>1979</v>
      </c>
      <c r="D900" s="116" t="s">
        <v>2349</v>
      </c>
    </row>
    <row r="901" spans="2:4" ht="15.75">
      <c r="B901" s="110" t="s">
        <v>1980</v>
      </c>
      <c r="C901" s="128" t="s">
        <v>1981</v>
      </c>
      <c r="D901" s="116" t="s">
        <v>2349</v>
      </c>
    </row>
    <row r="902" spans="2:4" ht="15.75">
      <c r="B902" s="110" t="s">
        <v>1982</v>
      </c>
      <c r="C902" s="128" t="s">
        <v>1983</v>
      </c>
      <c r="D902" s="116" t="s">
        <v>2349</v>
      </c>
    </row>
    <row r="903" spans="2:4" ht="15.75">
      <c r="B903" s="110" t="s">
        <v>1984</v>
      </c>
      <c r="C903" s="128" t="s">
        <v>1985</v>
      </c>
      <c r="D903" s="116" t="s">
        <v>2349</v>
      </c>
    </row>
    <row r="904" spans="2:4" ht="15.75">
      <c r="B904" s="110" t="s">
        <v>1986</v>
      </c>
      <c r="C904" s="128" t="s">
        <v>1987</v>
      </c>
      <c r="D904" s="116" t="s">
        <v>2349</v>
      </c>
    </row>
    <row r="905" spans="2:4" ht="15.75">
      <c r="B905" s="110" t="s">
        <v>1988</v>
      </c>
      <c r="C905" s="128" t="s">
        <v>1989</v>
      </c>
      <c r="D905" s="116" t="s">
        <v>2349</v>
      </c>
    </row>
    <row r="906" spans="2:4" ht="15.75">
      <c r="B906" s="110" t="s">
        <v>1990</v>
      </c>
      <c r="C906" s="128" t="s">
        <v>1991</v>
      </c>
      <c r="D906" s="116" t="s">
        <v>2349</v>
      </c>
    </row>
    <row r="907" spans="2:4" ht="15.75">
      <c r="B907" s="110" t="s">
        <v>1992</v>
      </c>
      <c r="C907" s="128" t="s">
        <v>1993</v>
      </c>
      <c r="D907" s="116" t="s">
        <v>2349</v>
      </c>
    </row>
    <row r="910" spans="2:4" ht="15.75">
      <c r="B910" s="159" t="s">
        <v>2350</v>
      </c>
    </row>
    <row r="911" spans="2:4" ht="15.75">
      <c r="B911" s="110" t="s">
        <v>1201</v>
      </c>
      <c r="C911" s="110" t="s">
        <v>1202</v>
      </c>
      <c r="D911" s="116" t="s">
        <v>2350</v>
      </c>
    </row>
    <row r="912" spans="2:4" ht="15.75">
      <c r="B912" s="110" t="s">
        <v>1203</v>
      </c>
      <c r="C912" s="110" t="s">
        <v>1204</v>
      </c>
      <c r="D912" s="116" t="s">
        <v>2350</v>
      </c>
    </row>
    <row r="913" spans="2:4" ht="15.75">
      <c r="B913" s="110" t="s">
        <v>1205</v>
      </c>
      <c r="C913" s="110" t="s">
        <v>1206</v>
      </c>
      <c r="D913" s="116" t="s">
        <v>2350</v>
      </c>
    </row>
    <row r="914" spans="2:4" ht="15.75">
      <c r="B914" s="109" t="s">
        <v>1207</v>
      </c>
      <c r="C914" s="124" t="s">
        <v>1208</v>
      </c>
      <c r="D914" s="116" t="s">
        <v>2350</v>
      </c>
    </row>
    <row r="915" spans="2:4" ht="15.75">
      <c r="B915" s="112" t="s">
        <v>1209</v>
      </c>
      <c r="C915" s="124" t="s">
        <v>1210</v>
      </c>
      <c r="D915" s="116" t="s">
        <v>2350</v>
      </c>
    </row>
    <row r="916" spans="2:4" ht="15.75">
      <c r="B916" s="112" t="s">
        <v>1211</v>
      </c>
      <c r="C916" s="124" t="s">
        <v>1212</v>
      </c>
      <c r="D916" s="116" t="s">
        <v>2350</v>
      </c>
    </row>
    <row r="917" spans="2:4" ht="15.75">
      <c r="B917" s="112" t="s">
        <v>1213</v>
      </c>
      <c r="C917" s="124" t="s">
        <v>1214</v>
      </c>
      <c r="D917" s="116" t="s">
        <v>2350</v>
      </c>
    </row>
    <row r="918" spans="2:4" ht="15.75">
      <c r="B918" s="112" t="s">
        <v>1215</v>
      </c>
      <c r="C918" s="124" t="s">
        <v>1216</v>
      </c>
      <c r="D918" s="116" t="s">
        <v>2350</v>
      </c>
    </row>
    <row r="919" spans="2:4" ht="15.75">
      <c r="B919" s="112" t="s">
        <v>1217</v>
      </c>
      <c r="C919" s="124" t="s">
        <v>1218</v>
      </c>
      <c r="D919" s="116" t="s">
        <v>2350</v>
      </c>
    </row>
    <row r="920" spans="2:4" ht="15.75">
      <c r="B920" s="109" t="s">
        <v>1219</v>
      </c>
      <c r="C920" s="124" t="s">
        <v>1220</v>
      </c>
      <c r="D920" s="116" t="s">
        <v>2350</v>
      </c>
    </row>
    <row r="921" spans="2:4" ht="15.75">
      <c r="B921" s="109" t="s">
        <v>1221</v>
      </c>
      <c r="C921" s="124" t="s">
        <v>1222</v>
      </c>
      <c r="D921" s="116" t="s">
        <v>2350</v>
      </c>
    </row>
    <row r="922" spans="2:4" ht="15.75">
      <c r="B922" s="109" t="s">
        <v>1223</v>
      </c>
      <c r="C922" s="124" t="s">
        <v>1224</v>
      </c>
      <c r="D922" s="116" t="s">
        <v>2350</v>
      </c>
    </row>
    <row r="923" spans="2:4" ht="15.75">
      <c r="B923" s="109" t="s">
        <v>1225</v>
      </c>
      <c r="C923" s="124" t="s">
        <v>1226</v>
      </c>
      <c r="D923" s="116" t="s">
        <v>2350</v>
      </c>
    </row>
    <row r="924" spans="2:4" ht="15.75">
      <c r="B924" s="109" t="s">
        <v>1227</v>
      </c>
      <c r="C924" s="124" t="s">
        <v>1228</v>
      </c>
      <c r="D924" s="116" t="s">
        <v>2350</v>
      </c>
    </row>
    <row r="925" spans="2:4" ht="15.75">
      <c r="B925" s="109" t="s">
        <v>1229</v>
      </c>
      <c r="C925" s="124" t="s">
        <v>1230</v>
      </c>
      <c r="D925" s="116" t="s">
        <v>2350</v>
      </c>
    </row>
    <row r="926" spans="2:4" ht="15.75">
      <c r="B926" s="109" t="s">
        <v>1231</v>
      </c>
      <c r="C926" s="124" t="s">
        <v>1232</v>
      </c>
      <c r="D926" s="116" t="s">
        <v>2350</v>
      </c>
    </row>
    <row r="927" spans="2:4" ht="15.75">
      <c r="B927" s="109" t="s">
        <v>1233</v>
      </c>
      <c r="C927" s="124" t="s">
        <v>1234</v>
      </c>
      <c r="D927" s="116" t="s">
        <v>2350</v>
      </c>
    </row>
    <row r="928" spans="2:4" ht="15.75">
      <c r="B928" s="109" t="s">
        <v>1235</v>
      </c>
      <c r="C928" s="124" t="s">
        <v>1236</v>
      </c>
      <c r="D928" s="116" t="s">
        <v>2350</v>
      </c>
    </row>
    <row r="929" spans="2:4" ht="15.75">
      <c r="B929" s="109" t="s">
        <v>1237</v>
      </c>
      <c r="C929" s="124" t="s">
        <v>1238</v>
      </c>
      <c r="D929" s="116" t="s">
        <v>2350</v>
      </c>
    </row>
    <row r="930" spans="2:4" ht="15.75">
      <c r="B930" s="109" t="s">
        <v>1239</v>
      </c>
      <c r="C930" s="124" t="s">
        <v>1240</v>
      </c>
      <c r="D930" s="116" t="s">
        <v>2350</v>
      </c>
    </row>
    <row r="931" spans="2:4" ht="15.75">
      <c r="B931" s="109" t="s">
        <v>1241</v>
      </c>
      <c r="C931" s="124" t="s">
        <v>1242</v>
      </c>
      <c r="D931" s="116" t="s">
        <v>2350</v>
      </c>
    </row>
    <row r="932" spans="2:4" ht="15.75">
      <c r="B932" s="109" t="s">
        <v>1243</v>
      </c>
      <c r="C932" s="124" t="s">
        <v>1244</v>
      </c>
      <c r="D932" s="116" t="s">
        <v>2350</v>
      </c>
    </row>
    <row r="933" spans="2:4" ht="15.75">
      <c r="B933" s="109" t="s">
        <v>1245</v>
      </c>
      <c r="C933" s="124" t="s">
        <v>1246</v>
      </c>
      <c r="D933" s="116" t="s">
        <v>2350</v>
      </c>
    </row>
    <row r="934" spans="2:4" ht="15.75">
      <c r="B934" s="109" t="s">
        <v>1247</v>
      </c>
      <c r="C934" s="124" t="s">
        <v>1248</v>
      </c>
      <c r="D934" s="116" t="s">
        <v>2350</v>
      </c>
    </row>
    <row r="935" spans="2:4" ht="15.75">
      <c r="B935" s="109" t="s">
        <v>1249</v>
      </c>
      <c r="C935" s="124" t="s">
        <v>1250</v>
      </c>
      <c r="D935" s="116" t="s">
        <v>2350</v>
      </c>
    </row>
    <row r="936" spans="2:4" ht="15.75">
      <c r="B936" s="109" t="s">
        <v>1251</v>
      </c>
      <c r="C936" s="124" t="s">
        <v>1252</v>
      </c>
      <c r="D936" s="116" t="s">
        <v>2350</v>
      </c>
    </row>
    <row r="937" spans="2:4" ht="15.75">
      <c r="B937" s="109" t="s">
        <v>1253</v>
      </c>
      <c r="C937" s="124" t="s">
        <v>1254</v>
      </c>
      <c r="D937" s="116" t="s">
        <v>2350</v>
      </c>
    </row>
    <row r="938" spans="2:4" ht="15.75">
      <c r="B938" s="109" t="s">
        <v>1255</v>
      </c>
      <c r="C938" s="124" t="s">
        <v>1256</v>
      </c>
      <c r="D938" s="116" t="s">
        <v>2350</v>
      </c>
    </row>
    <row r="939" spans="2:4" ht="15.75">
      <c r="B939" s="109" t="s">
        <v>1257</v>
      </c>
      <c r="C939" s="124" t="s">
        <v>1258</v>
      </c>
      <c r="D939" s="116" t="s">
        <v>2350</v>
      </c>
    </row>
    <row r="940" spans="2:4" ht="15.75">
      <c r="B940" s="109" t="s">
        <v>1259</v>
      </c>
      <c r="C940" s="124" t="s">
        <v>1260</v>
      </c>
      <c r="D940" s="116" t="s">
        <v>2350</v>
      </c>
    </row>
    <row r="941" spans="2:4" ht="15.75">
      <c r="B941" s="109" t="s">
        <v>1261</v>
      </c>
      <c r="C941" s="124" t="s">
        <v>1262</v>
      </c>
      <c r="D941" s="116" t="s">
        <v>2350</v>
      </c>
    </row>
    <row r="942" spans="2:4" ht="15.75">
      <c r="B942" s="109" t="s">
        <v>1263</v>
      </c>
      <c r="C942" s="124" t="s">
        <v>1264</v>
      </c>
      <c r="D942" s="116" t="s">
        <v>2350</v>
      </c>
    </row>
    <row r="943" spans="2:4" ht="15.75">
      <c r="B943" s="109" t="s">
        <v>1265</v>
      </c>
      <c r="C943" s="124" t="s">
        <v>1266</v>
      </c>
      <c r="D943" s="116" t="s">
        <v>2350</v>
      </c>
    </row>
    <row r="944" spans="2:4" ht="15.75">
      <c r="B944" s="109" t="s">
        <v>1267</v>
      </c>
      <c r="C944" s="124" t="s">
        <v>1268</v>
      </c>
      <c r="D944" s="116" t="s">
        <v>2350</v>
      </c>
    </row>
    <row r="945" spans="2:4" ht="15.75">
      <c r="B945" s="109" t="s">
        <v>1269</v>
      </c>
      <c r="C945" s="124" t="s">
        <v>1270</v>
      </c>
      <c r="D945" s="116" t="s">
        <v>2350</v>
      </c>
    </row>
    <row r="946" spans="2:4" ht="15.75">
      <c r="B946" s="109" t="s">
        <v>1271</v>
      </c>
      <c r="C946" s="124" t="s">
        <v>1272</v>
      </c>
      <c r="D946" s="116" t="s">
        <v>2350</v>
      </c>
    </row>
    <row r="947" spans="2:4" ht="15.75">
      <c r="B947" s="109" t="s">
        <v>1273</v>
      </c>
      <c r="C947" s="124" t="s">
        <v>1274</v>
      </c>
      <c r="D947" s="116" t="s">
        <v>2350</v>
      </c>
    </row>
    <row r="948" spans="2:4" ht="15.75">
      <c r="B948" s="109" t="s">
        <v>1275</v>
      </c>
      <c r="C948" s="124" t="s">
        <v>1276</v>
      </c>
      <c r="D948" s="116" t="s">
        <v>2350</v>
      </c>
    </row>
    <row r="949" spans="2:4" ht="15.75">
      <c r="B949" s="109" t="s">
        <v>1277</v>
      </c>
      <c r="C949" s="124" t="s">
        <v>1278</v>
      </c>
      <c r="D949" s="116" t="s">
        <v>2350</v>
      </c>
    </row>
    <row r="950" spans="2:4" ht="15.75">
      <c r="B950" s="109" t="s">
        <v>1279</v>
      </c>
      <c r="C950" s="124" t="s">
        <v>1280</v>
      </c>
      <c r="D950" s="116" t="s">
        <v>2350</v>
      </c>
    </row>
    <row r="951" spans="2:4" ht="15.75">
      <c r="B951" s="109" t="s">
        <v>1281</v>
      </c>
      <c r="C951" s="124" t="s">
        <v>1282</v>
      </c>
      <c r="D951" s="116" t="s">
        <v>2350</v>
      </c>
    </row>
    <row r="952" spans="2:4" ht="15.75">
      <c r="B952" s="109" t="s">
        <v>1283</v>
      </c>
      <c r="C952" s="124" t="s">
        <v>1284</v>
      </c>
      <c r="D952" s="116" t="s">
        <v>2350</v>
      </c>
    </row>
    <row r="953" spans="2:4" ht="15.75">
      <c r="B953" s="109" t="s">
        <v>1285</v>
      </c>
      <c r="C953" s="124" t="s">
        <v>1286</v>
      </c>
      <c r="D953" s="116" t="s">
        <v>2350</v>
      </c>
    </row>
    <row r="954" spans="2:4" ht="15.75">
      <c r="B954" s="109" t="s">
        <v>1287</v>
      </c>
      <c r="C954" s="124" t="s">
        <v>1288</v>
      </c>
      <c r="D954" s="116" t="s">
        <v>2350</v>
      </c>
    </row>
    <row r="955" spans="2:4" ht="15.75">
      <c r="B955" s="109" t="s">
        <v>1289</v>
      </c>
      <c r="C955" s="124" t="s">
        <v>1290</v>
      </c>
      <c r="D955" s="116" t="s">
        <v>2350</v>
      </c>
    </row>
    <row r="956" spans="2:4" ht="15.75">
      <c r="B956" s="109" t="s">
        <v>1291</v>
      </c>
      <c r="C956" s="124" t="s">
        <v>1292</v>
      </c>
      <c r="D956" s="116" t="s">
        <v>2350</v>
      </c>
    </row>
    <row r="957" spans="2:4" ht="15.75">
      <c r="B957" s="112" t="s">
        <v>1293</v>
      </c>
      <c r="C957" s="124" t="s">
        <v>1294</v>
      </c>
      <c r="D957" s="116" t="s">
        <v>2350</v>
      </c>
    </row>
    <row r="958" spans="2:4" ht="15.75">
      <c r="B958" s="112" t="s">
        <v>1303</v>
      </c>
      <c r="C958" s="124" t="s">
        <v>1304</v>
      </c>
      <c r="D958" s="116" t="s">
        <v>2350</v>
      </c>
    </row>
    <row r="959" spans="2:4" ht="15.75">
      <c r="B959" s="112" t="s">
        <v>1305</v>
      </c>
      <c r="C959" s="124" t="s">
        <v>1306</v>
      </c>
      <c r="D959" s="116" t="s">
        <v>2350</v>
      </c>
    </row>
    <row r="960" spans="2:4" ht="15.75">
      <c r="B960" s="112" t="s">
        <v>1307</v>
      </c>
      <c r="C960" s="124" t="s">
        <v>1308</v>
      </c>
      <c r="D960" s="116" t="s">
        <v>2350</v>
      </c>
    </row>
    <row r="961" spans="2:4" ht="15.75">
      <c r="B961" s="112" t="s">
        <v>1309</v>
      </c>
      <c r="C961" s="124" t="s">
        <v>1310</v>
      </c>
      <c r="D961" s="116" t="s">
        <v>2350</v>
      </c>
    </row>
    <row r="962" spans="2:4" ht="15.75">
      <c r="B962" s="112" t="s">
        <v>1311</v>
      </c>
      <c r="C962" s="124" t="s">
        <v>1312</v>
      </c>
      <c r="D962" s="116" t="s">
        <v>2350</v>
      </c>
    </row>
    <row r="963" spans="2:4" ht="15.75">
      <c r="B963" s="112" t="s">
        <v>1313</v>
      </c>
      <c r="C963" s="124" t="s">
        <v>1314</v>
      </c>
      <c r="D963" s="116" t="s">
        <v>2350</v>
      </c>
    </row>
    <row r="964" spans="2:4" ht="15.75">
      <c r="B964" s="112" t="s">
        <v>1315</v>
      </c>
      <c r="C964" s="124" t="s">
        <v>1316</v>
      </c>
      <c r="D964" s="116" t="s">
        <v>2350</v>
      </c>
    </row>
    <row r="965" spans="2:4" ht="15.75">
      <c r="B965" s="112" t="s">
        <v>1317</v>
      </c>
      <c r="C965" s="124" t="s">
        <v>1318</v>
      </c>
      <c r="D965" s="116" t="s">
        <v>2350</v>
      </c>
    </row>
    <row r="966" spans="2:4" ht="15.75">
      <c r="B966" s="112" t="s">
        <v>1319</v>
      </c>
      <c r="C966" s="124" t="s">
        <v>1320</v>
      </c>
      <c r="D966" s="116" t="s">
        <v>2350</v>
      </c>
    </row>
    <row r="967" spans="2:4" ht="15.75">
      <c r="B967" s="112" t="s">
        <v>1321</v>
      </c>
      <c r="C967" s="124" t="s">
        <v>1322</v>
      </c>
      <c r="D967" s="116" t="s">
        <v>2350</v>
      </c>
    </row>
    <row r="968" spans="2:4" ht="15.75">
      <c r="B968" s="112" t="s">
        <v>1323</v>
      </c>
      <c r="C968" s="124" t="s">
        <v>1324</v>
      </c>
      <c r="D968" s="116" t="s">
        <v>2350</v>
      </c>
    </row>
    <row r="969" spans="2:4" ht="15.75">
      <c r="B969" s="112" t="s">
        <v>1325</v>
      </c>
      <c r="C969" s="124" t="s">
        <v>1326</v>
      </c>
      <c r="D969" s="116" t="s">
        <v>2350</v>
      </c>
    </row>
    <row r="970" spans="2:4" ht="15.75">
      <c r="B970" s="112" t="s">
        <v>1327</v>
      </c>
      <c r="C970" s="124" t="s">
        <v>1328</v>
      </c>
      <c r="D970" s="116" t="s">
        <v>2350</v>
      </c>
    </row>
    <row r="971" spans="2:4" ht="15.75">
      <c r="B971" s="112" t="s">
        <v>1329</v>
      </c>
      <c r="C971" s="124" t="s">
        <v>1330</v>
      </c>
      <c r="D971" s="116" t="s">
        <v>2350</v>
      </c>
    </row>
    <row r="972" spans="2:4" ht="15.75">
      <c r="B972" s="112" t="s">
        <v>1331</v>
      </c>
      <c r="C972" s="124" t="s">
        <v>1332</v>
      </c>
      <c r="D972" s="116" t="s">
        <v>2350</v>
      </c>
    </row>
    <row r="973" spans="2:4" ht="15.75">
      <c r="B973" s="112" t="s">
        <v>1333</v>
      </c>
      <c r="C973" s="124" t="s">
        <v>1334</v>
      </c>
      <c r="D973" s="116" t="s">
        <v>2350</v>
      </c>
    </row>
    <row r="974" spans="2:4" ht="15.75">
      <c r="B974" s="112" t="s">
        <v>1335</v>
      </c>
      <c r="C974" s="124" t="s">
        <v>1336</v>
      </c>
      <c r="D974" s="116" t="s">
        <v>2350</v>
      </c>
    </row>
    <row r="975" spans="2:4" ht="15.75">
      <c r="B975" s="112" t="s">
        <v>1337</v>
      </c>
      <c r="C975" s="124" t="s">
        <v>1338</v>
      </c>
      <c r="D975" s="116" t="s">
        <v>2350</v>
      </c>
    </row>
    <row r="976" spans="2:4" ht="15.75">
      <c r="B976" s="112" t="s">
        <v>1339</v>
      </c>
      <c r="C976" s="124" t="s">
        <v>1340</v>
      </c>
      <c r="D976" s="116" t="s">
        <v>2350</v>
      </c>
    </row>
    <row r="977" spans="2:4" ht="15.75">
      <c r="B977" s="112" t="s">
        <v>1341</v>
      </c>
      <c r="C977" s="124" t="s">
        <v>1342</v>
      </c>
      <c r="D977" s="116" t="s">
        <v>2350</v>
      </c>
    </row>
    <row r="978" spans="2:4" ht="15.75">
      <c r="B978" s="112" t="s">
        <v>1343</v>
      </c>
      <c r="C978" s="124" t="s">
        <v>1344</v>
      </c>
      <c r="D978" s="116" t="s">
        <v>2350</v>
      </c>
    </row>
    <row r="979" spans="2:4" ht="15.75">
      <c r="B979" s="113" t="s">
        <v>1345</v>
      </c>
      <c r="C979" s="110" t="s">
        <v>1346</v>
      </c>
      <c r="D979" s="116" t="s">
        <v>2350</v>
      </c>
    </row>
    <row r="980" spans="2:4" ht="15.75">
      <c r="B980" s="113" t="s">
        <v>1347</v>
      </c>
      <c r="C980" s="110" t="s">
        <v>1348</v>
      </c>
      <c r="D980" s="116" t="s">
        <v>2350</v>
      </c>
    </row>
    <row r="981" spans="2:4" ht="15.75">
      <c r="B981" s="113" t="s">
        <v>1349</v>
      </c>
      <c r="C981" s="110" t="s">
        <v>1350</v>
      </c>
      <c r="D981" s="116" t="s">
        <v>2350</v>
      </c>
    </row>
    <row r="982" spans="2:4" ht="15.75">
      <c r="B982" s="113" t="s">
        <v>1351</v>
      </c>
      <c r="C982" s="110" t="s">
        <v>1352</v>
      </c>
      <c r="D982" s="116" t="s">
        <v>2350</v>
      </c>
    </row>
    <row r="983" spans="2:4" ht="15.75">
      <c r="B983" s="113" t="s">
        <v>1353</v>
      </c>
      <c r="C983" s="110" t="s">
        <v>1354</v>
      </c>
      <c r="D983" s="116" t="s">
        <v>2350</v>
      </c>
    </row>
    <row r="984" spans="2:4" ht="15.75">
      <c r="B984" s="113" t="s">
        <v>1355</v>
      </c>
      <c r="C984" s="110" t="s">
        <v>1356</v>
      </c>
      <c r="D984" s="116" t="s">
        <v>2350</v>
      </c>
    </row>
    <row r="985" spans="2:4" ht="15.75">
      <c r="B985" s="113" t="s">
        <v>1357</v>
      </c>
      <c r="C985" s="110" t="s">
        <v>1358</v>
      </c>
      <c r="D985" s="116" t="s">
        <v>2350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W1063"/>
  <sheetViews>
    <sheetView workbookViewId="0"/>
  </sheetViews>
  <sheetFormatPr baseColWidth="10" defaultRowHeight="15"/>
  <sheetData>
    <row r="3" spans="1:23">
      <c r="A3" s="286" t="s">
        <v>23</v>
      </c>
      <c r="B3" s="286" t="s">
        <v>26</v>
      </c>
      <c r="C3" s="286" t="s">
        <v>27</v>
      </c>
      <c r="D3" s="286" t="s">
        <v>1362</v>
      </c>
      <c r="E3" s="286" t="s">
        <v>2356</v>
      </c>
      <c r="F3" s="286" t="s">
        <v>256</v>
      </c>
      <c r="G3" s="286" t="s">
        <v>3165</v>
      </c>
      <c r="H3" s="286" t="s">
        <v>3166</v>
      </c>
      <c r="I3" s="286" t="s">
        <v>3167</v>
      </c>
      <c r="J3" s="286" t="s">
        <v>3168</v>
      </c>
      <c r="K3" s="286" t="s">
        <v>3169</v>
      </c>
      <c r="L3" s="286" t="s">
        <v>3170</v>
      </c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</row>
    <row r="4" spans="1:23">
      <c r="A4" t="s">
        <v>3171</v>
      </c>
      <c r="B4" t="s">
        <v>3172</v>
      </c>
      <c r="C4" t="s">
        <v>2877</v>
      </c>
      <c r="D4" t="s">
        <v>3173</v>
      </c>
      <c r="E4" t="s">
        <v>3174</v>
      </c>
      <c r="F4" t="s">
        <v>18</v>
      </c>
      <c r="G4" t="s">
        <v>2853</v>
      </c>
      <c r="H4" t="s">
        <v>3175</v>
      </c>
      <c r="I4" t="s">
        <v>154</v>
      </c>
      <c r="J4" t="s">
        <v>1419</v>
      </c>
      <c r="K4" t="s">
        <v>3176</v>
      </c>
      <c r="L4" t="s">
        <v>3177</v>
      </c>
    </row>
    <row r="5" spans="1:23">
      <c r="A5" t="s">
        <v>167</v>
      </c>
      <c r="B5" t="s">
        <v>3178</v>
      </c>
      <c r="C5" t="s">
        <v>168</v>
      </c>
      <c r="D5" t="s">
        <v>3179</v>
      </c>
      <c r="E5" t="s">
        <v>2308</v>
      </c>
      <c r="F5" t="s">
        <v>18</v>
      </c>
      <c r="G5" t="s">
        <v>2851</v>
      </c>
      <c r="H5" t="s">
        <v>3175</v>
      </c>
      <c r="I5" t="s">
        <v>154</v>
      </c>
      <c r="J5" t="s">
        <v>74</v>
      </c>
      <c r="K5" t="s">
        <v>74</v>
      </c>
      <c r="L5" t="s">
        <v>74</v>
      </c>
    </row>
    <row r="6" spans="1:23">
      <c r="A6" t="s">
        <v>3180</v>
      </c>
      <c r="B6" t="s">
        <v>3181</v>
      </c>
      <c r="C6" t="s">
        <v>3182</v>
      </c>
      <c r="D6" t="s">
        <v>3183</v>
      </c>
      <c r="E6" t="s">
        <v>3184</v>
      </c>
      <c r="F6" t="s">
        <v>18</v>
      </c>
      <c r="G6" t="s">
        <v>2853</v>
      </c>
      <c r="H6" t="s">
        <v>3175</v>
      </c>
      <c r="I6" t="s">
        <v>154</v>
      </c>
      <c r="J6" t="s">
        <v>1419</v>
      </c>
      <c r="K6" t="s">
        <v>3176</v>
      </c>
      <c r="L6" t="s">
        <v>3177</v>
      </c>
    </row>
    <row r="7" spans="1:23">
      <c r="A7" t="s">
        <v>3185</v>
      </c>
      <c r="B7" t="s">
        <v>3181</v>
      </c>
      <c r="C7" t="s">
        <v>3186</v>
      </c>
      <c r="D7" t="s">
        <v>3183</v>
      </c>
      <c r="E7" t="s">
        <v>3187</v>
      </c>
      <c r="F7" t="s">
        <v>18</v>
      </c>
      <c r="G7" t="s">
        <v>2853</v>
      </c>
      <c r="H7" t="s">
        <v>3175</v>
      </c>
      <c r="I7" t="s">
        <v>154</v>
      </c>
      <c r="J7" t="s">
        <v>1419</v>
      </c>
      <c r="K7" t="s">
        <v>3176</v>
      </c>
      <c r="L7" t="s">
        <v>3177</v>
      </c>
    </row>
    <row r="8" spans="1:23">
      <c r="A8" t="s">
        <v>3188</v>
      </c>
      <c r="B8" t="s">
        <v>3189</v>
      </c>
      <c r="C8" t="s">
        <v>3190</v>
      </c>
      <c r="D8" t="s">
        <v>3191</v>
      </c>
      <c r="E8" t="s">
        <v>3192</v>
      </c>
      <c r="F8" t="s">
        <v>18</v>
      </c>
      <c r="G8" t="s">
        <v>2853</v>
      </c>
      <c r="H8" t="s">
        <v>3175</v>
      </c>
      <c r="I8" t="s">
        <v>154</v>
      </c>
      <c r="J8" t="s">
        <v>1419</v>
      </c>
      <c r="K8" t="s">
        <v>3176</v>
      </c>
      <c r="L8" t="s">
        <v>3177</v>
      </c>
    </row>
    <row r="9" spans="1:23">
      <c r="A9" t="s">
        <v>42</v>
      </c>
      <c r="B9" t="s">
        <v>3193</v>
      </c>
      <c r="C9" t="s">
        <v>43</v>
      </c>
      <c r="D9" t="s">
        <v>3194</v>
      </c>
      <c r="E9" t="s">
        <v>3195</v>
      </c>
      <c r="F9" t="s">
        <v>18</v>
      </c>
      <c r="G9" t="s">
        <v>2851</v>
      </c>
      <c r="H9" t="s">
        <v>74</v>
      </c>
      <c r="I9" t="s">
        <v>154</v>
      </c>
      <c r="J9" t="s">
        <v>74</v>
      </c>
      <c r="K9" t="s">
        <v>74</v>
      </c>
      <c r="L9" t="s">
        <v>74</v>
      </c>
    </row>
    <row r="10" spans="1:23">
      <c r="A10" t="s">
        <v>3196</v>
      </c>
      <c r="B10" t="s">
        <v>3197</v>
      </c>
      <c r="C10" t="s">
        <v>3198</v>
      </c>
      <c r="D10" t="s">
        <v>3173</v>
      </c>
      <c r="E10" t="s">
        <v>3199</v>
      </c>
      <c r="F10" t="s">
        <v>18</v>
      </c>
      <c r="G10" t="s">
        <v>2853</v>
      </c>
      <c r="H10" t="s">
        <v>3175</v>
      </c>
      <c r="I10" t="s">
        <v>154</v>
      </c>
      <c r="J10" t="s">
        <v>1419</v>
      </c>
      <c r="K10" t="s">
        <v>3176</v>
      </c>
      <c r="L10" t="s">
        <v>3177</v>
      </c>
    </row>
    <row r="11" spans="1:23">
      <c r="A11" t="s">
        <v>3200</v>
      </c>
      <c r="B11" t="s">
        <v>3197</v>
      </c>
      <c r="C11" t="s">
        <v>3201</v>
      </c>
      <c r="D11" t="s">
        <v>3173</v>
      </c>
      <c r="E11" t="s">
        <v>3202</v>
      </c>
      <c r="F11" t="s">
        <v>18</v>
      </c>
      <c r="G11" t="s">
        <v>2853</v>
      </c>
      <c r="H11" t="s">
        <v>3175</v>
      </c>
      <c r="I11" t="s">
        <v>154</v>
      </c>
      <c r="J11" t="s">
        <v>1419</v>
      </c>
      <c r="K11" t="s">
        <v>3176</v>
      </c>
      <c r="L11" t="s">
        <v>3177</v>
      </c>
    </row>
    <row r="12" spans="1:23">
      <c r="A12" t="s">
        <v>44</v>
      </c>
      <c r="B12" t="s">
        <v>3203</v>
      </c>
      <c r="C12" t="s">
        <v>45</v>
      </c>
      <c r="D12" t="s">
        <v>48</v>
      </c>
      <c r="E12" t="s">
        <v>2305</v>
      </c>
      <c r="F12" t="s">
        <v>18</v>
      </c>
      <c r="G12" t="s">
        <v>2853</v>
      </c>
      <c r="H12" t="s">
        <v>3175</v>
      </c>
      <c r="I12" t="s">
        <v>154</v>
      </c>
      <c r="J12" t="s">
        <v>1419</v>
      </c>
      <c r="K12" t="s">
        <v>3176</v>
      </c>
      <c r="L12" t="s">
        <v>63</v>
      </c>
    </row>
    <row r="13" spans="1:23">
      <c r="A13" t="s">
        <v>46</v>
      </c>
      <c r="B13" t="s">
        <v>3203</v>
      </c>
      <c r="C13" t="s">
        <v>47</v>
      </c>
      <c r="D13" t="s">
        <v>48</v>
      </c>
      <c r="E13" t="s">
        <v>2288</v>
      </c>
      <c r="F13" t="s">
        <v>18</v>
      </c>
      <c r="G13" t="s">
        <v>2853</v>
      </c>
      <c r="H13" t="s">
        <v>3175</v>
      </c>
      <c r="I13" t="s">
        <v>154</v>
      </c>
      <c r="J13" t="s">
        <v>1419</v>
      </c>
      <c r="K13" t="s">
        <v>3176</v>
      </c>
      <c r="L13" t="s">
        <v>63</v>
      </c>
    </row>
    <row r="14" spans="1:23">
      <c r="A14" t="s">
        <v>2441</v>
      </c>
      <c r="B14" t="s">
        <v>3203</v>
      </c>
      <c r="C14" t="s">
        <v>2414</v>
      </c>
      <c r="D14" t="s">
        <v>2413</v>
      </c>
      <c r="E14" t="s">
        <v>2457</v>
      </c>
      <c r="F14" t="s">
        <v>18</v>
      </c>
      <c r="G14" t="s">
        <v>2853</v>
      </c>
      <c r="H14" t="s">
        <v>3175</v>
      </c>
      <c r="I14" t="s">
        <v>154</v>
      </c>
      <c r="J14" t="s">
        <v>1419</v>
      </c>
      <c r="K14" t="s">
        <v>3176</v>
      </c>
      <c r="L14" t="s">
        <v>63</v>
      </c>
    </row>
    <row r="15" spans="1:23">
      <c r="A15" t="s">
        <v>49</v>
      </c>
      <c r="B15" t="s">
        <v>3204</v>
      </c>
      <c r="C15" t="s">
        <v>50</v>
      </c>
      <c r="D15" t="s">
        <v>51</v>
      </c>
      <c r="E15" t="s">
        <v>2306</v>
      </c>
      <c r="F15" t="s">
        <v>18</v>
      </c>
      <c r="G15" t="s">
        <v>2853</v>
      </c>
      <c r="H15" t="s">
        <v>3175</v>
      </c>
      <c r="I15" t="s">
        <v>154</v>
      </c>
      <c r="J15" t="s">
        <v>1419</v>
      </c>
      <c r="K15" t="s">
        <v>3176</v>
      </c>
      <c r="L15" t="s">
        <v>63</v>
      </c>
    </row>
    <row r="16" spans="1:23">
      <c r="A16" t="s">
        <v>2008</v>
      </c>
      <c r="B16" t="s">
        <v>3204</v>
      </c>
      <c r="C16" t="s">
        <v>1999</v>
      </c>
      <c r="D16" t="s">
        <v>51</v>
      </c>
      <c r="E16" t="s">
        <v>2306</v>
      </c>
      <c r="F16" t="s">
        <v>18</v>
      </c>
      <c r="G16" t="s">
        <v>2853</v>
      </c>
      <c r="H16" t="s">
        <v>3175</v>
      </c>
      <c r="I16" t="s">
        <v>154</v>
      </c>
      <c r="J16" t="s">
        <v>1419</v>
      </c>
      <c r="K16" t="s">
        <v>3176</v>
      </c>
      <c r="L16" t="s">
        <v>63</v>
      </c>
    </row>
    <row r="17" spans="1:12">
      <c r="A17" t="s">
        <v>2442</v>
      </c>
      <c r="B17" t="s">
        <v>3204</v>
      </c>
      <c r="C17" t="s">
        <v>2416</v>
      </c>
      <c r="D17" t="s">
        <v>2415</v>
      </c>
      <c r="E17" t="s">
        <v>3205</v>
      </c>
      <c r="F17" t="s">
        <v>18</v>
      </c>
      <c r="G17" t="s">
        <v>2853</v>
      </c>
      <c r="H17" t="s">
        <v>3175</v>
      </c>
      <c r="I17" t="s">
        <v>154</v>
      </c>
      <c r="J17" t="s">
        <v>1419</v>
      </c>
      <c r="K17" t="s">
        <v>3176</v>
      </c>
      <c r="L17" t="s">
        <v>63</v>
      </c>
    </row>
    <row r="18" spans="1:12">
      <c r="A18" t="s">
        <v>55</v>
      </c>
      <c r="B18" t="s">
        <v>3206</v>
      </c>
      <c r="C18" t="s">
        <v>56</v>
      </c>
      <c r="D18" t="s">
        <v>57</v>
      </c>
      <c r="E18" t="s">
        <v>2304</v>
      </c>
      <c r="F18" t="s">
        <v>18</v>
      </c>
      <c r="G18" t="s">
        <v>2853</v>
      </c>
      <c r="H18" t="s">
        <v>3175</v>
      </c>
      <c r="I18" t="s">
        <v>154</v>
      </c>
      <c r="J18" t="s">
        <v>1419</v>
      </c>
      <c r="K18" t="s">
        <v>3176</v>
      </c>
      <c r="L18" t="s">
        <v>63</v>
      </c>
    </row>
    <row r="19" spans="1:12">
      <c r="A19" t="s">
        <v>2443</v>
      </c>
      <c r="B19" t="s">
        <v>3206</v>
      </c>
      <c r="C19" t="s">
        <v>2418</v>
      </c>
      <c r="D19" t="s">
        <v>2417</v>
      </c>
      <c r="E19" t="s">
        <v>2456</v>
      </c>
      <c r="F19" t="s">
        <v>18</v>
      </c>
      <c r="G19" t="s">
        <v>2853</v>
      </c>
      <c r="H19" t="s">
        <v>3175</v>
      </c>
      <c r="I19" t="s">
        <v>154</v>
      </c>
      <c r="J19" t="s">
        <v>1419</v>
      </c>
      <c r="K19" t="s">
        <v>3176</v>
      </c>
      <c r="L19" t="s">
        <v>63</v>
      </c>
    </row>
    <row r="20" spans="1:12">
      <c r="A20" t="s">
        <v>52</v>
      </c>
      <c r="B20" t="s">
        <v>3206</v>
      </c>
      <c r="C20" t="s">
        <v>53</v>
      </c>
      <c r="D20" t="s">
        <v>54</v>
      </c>
      <c r="E20" t="s">
        <v>2307</v>
      </c>
      <c r="F20" t="s">
        <v>18</v>
      </c>
      <c r="G20" t="s">
        <v>2853</v>
      </c>
      <c r="H20" t="s">
        <v>3175</v>
      </c>
      <c r="I20" t="s">
        <v>154</v>
      </c>
      <c r="J20" t="s">
        <v>1419</v>
      </c>
      <c r="K20" t="s">
        <v>3176</v>
      </c>
      <c r="L20" t="s">
        <v>63</v>
      </c>
    </row>
    <row r="21" spans="1:12">
      <c r="A21" t="s">
        <v>58</v>
      </c>
      <c r="B21" t="s">
        <v>3206</v>
      </c>
      <c r="C21" t="s">
        <v>59</v>
      </c>
      <c r="D21" t="s">
        <v>2511</v>
      </c>
      <c r="E21" t="s">
        <v>2301</v>
      </c>
      <c r="F21" t="s">
        <v>18</v>
      </c>
      <c r="G21" t="s">
        <v>2853</v>
      </c>
      <c r="H21" t="s">
        <v>3175</v>
      </c>
      <c r="I21" t="s">
        <v>154</v>
      </c>
      <c r="J21" t="s">
        <v>1419</v>
      </c>
      <c r="K21" t="s">
        <v>3176</v>
      </c>
      <c r="L21" t="s">
        <v>63</v>
      </c>
    </row>
    <row r="22" spans="1:12">
      <c r="A22" t="s">
        <v>2444</v>
      </c>
      <c r="B22" t="s">
        <v>3206</v>
      </c>
      <c r="C22" t="s">
        <v>2420</v>
      </c>
      <c r="D22" t="s">
        <v>2419</v>
      </c>
      <c r="E22" t="s">
        <v>2512</v>
      </c>
      <c r="F22" t="s">
        <v>18</v>
      </c>
      <c r="G22" t="s">
        <v>2853</v>
      </c>
      <c r="H22" t="s">
        <v>3175</v>
      </c>
      <c r="I22" t="s">
        <v>154</v>
      </c>
      <c r="J22" t="s">
        <v>1419</v>
      </c>
      <c r="K22" t="s">
        <v>3176</v>
      </c>
      <c r="L22" t="s">
        <v>63</v>
      </c>
    </row>
    <row r="23" spans="1:12">
      <c r="A23" t="s">
        <v>3207</v>
      </c>
      <c r="B23" t="s">
        <v>3208</v>
      </c>
      <c r="C23" t="s">
        <v>3209</v>
      </c>
      <c r="D23" t="s">
        <v>3210</v>
      </c>
      <c r="E23" t="s">
        <v>3211</v>
      </c>
      <c r="F23" t="s">
        <v>18</v>
      </c>
      <c r="G23" t="s">
        <v>2853</v>
      </c>
      <c r="H23" t="s">
        <v>3175</v>
      </c>
      <c r="I23" t="s">
        <v>154</v>
      </c>
      <c r="J23" t="s">
        <v>1419</v>
      </c>
      <c r="K23" t="s">
        <v>3176</v>
      </c>
      <c r="L23" t="s">
        <v>63</v>
      </c>
    </row>
    <row r="24" spans="1:12">
      <c r="A24" t="s">
        <v>2445</v>
      </c>
      <c r="B24" t="s">
        <v>3208</v>
      </c>
      <c r="C24" t="s">
        <v>2422</v>
      </c>
      <c r="D24" t="s">
        <v>2421</v>
      </c>
      <c r="E24" t="s">
        <v>3212</v>
      </c>
      <c r="F24" t="s">
        <v>18</v>
      </c>
      <c r="G24" t="s">
        <v>2853</v>
      </c>
      <c r="H24" t="s">
        <v>3175</v>
      </c>
      <c r="I24" t="s">
        <v>154</v>
      </c>
      <c r="J24" t="s">
        <v>1419</v>
      </c>
      <c r="K24" t="s">
        <v>3176</v>
      </c>
      <c r="L24" t="s">
        <v>63</v>
      </c>
    </row>
    <row r="25" spans="1:12">
      <c r="A25" t="s">
        <v>3213</v>
      </c>
      <c r="B25" t="s">
        <v>3208</v>
      </c>
      <c r="C25" t="s">
        <v>3214</v>
      </c>
      <c r="D25" t="s">
        <v>3215</v>
      </c>
      <c r="E25" t="s">
        <v>3216</v>
      </c>
      <c r="F25" t="s">
        <v>18</v>
      </c>
      <c r="G25" t="s">
        <v>2853</v>
      </c>
      <c r="H25" t="s">
        <v>3175</v>
      </c>
      <c r="I25" t="s">
        <v>154</v>
      </c>
      <c r="J25" t="s">
        <v>1419</v>
      </c>
      <c r="K25" t="s">
        <v>3176</v>
      </c>
      <c r="L25" t="s">
        <v>63</v>
      </c>
    </row>
    <row r="26" spans="1:12">
      <c r="A26" t="s">
        <v>2446</v>
      </c>
      <c r="B26" t="s">
        <v>3208</v>
      </c>
      <c r="C26" t="s">
        <v>2424</v>
      </c>
      <c r="D26" t="s">
        <v>2423</v>
      </c>
      <c r="E26" t="s">
        <v>3217</v>
      </c>
      <c r="F26" t="s">
        <v>18</v>
      </c>
      <c r="G26" t="s">
        <v>2853</v>
      </c>
      <c r="H26" t="s">
        <v>3175</v>
      </c>
      <c r="I26" t="s">
        <v>154</v>
      </c>
      <c r="J26" t="s">
        <v>1419</v>
      </c>
      <c r="K26" t="s">
        <v>3176</v>
      </c>
      <c r="L26" t="s">
        <v>63</v>
      </c>
    </row>
    <row r="27" spans="1:12">
      <c r="A27" t="s">
        <v>3218</v>
      </c>
      <c r="B27" t="s">
        <v>3208</v>
      </c>
      <c r="C27" t="s">
        <v>3219</v>
      </c>
      <c r="D27" t="s">
        <v>3220</v>
      </c>
      <c r="E27" t="s">
        <v>3221</v>
      </c>
      <c r="F27" t="s">
        <v>18</v>
      </c>
      <c r="G27" t="s">
        <v>2853</v>
      </c>
      <c r="H27" t="s">
        <v>3175</v>
      </c>
      <c r="I27" t="s">
        <v>154</v>
      </c>
      <c r="J27" t="s">
        <v>1419</v>
      </c>
      <c r="K27" t="s">
        <v>3176</v>
      </c>
      <c r="L27" t="s">
        <v>63</v>
      </c>
    </row>
    <row r="28" spans="1:12">
      <c r="A28" t="s">
        <v>2447</v>
      </c>
      <c r="B28" t="s">
        <v>3208</v>
      </c>
      <c r="C28" t="s">
        <v>2426</v>
      </c>
      <c r="D28" t="s">
        <v>2425</v>
      </c>
      <c r="E28" t="s">
        <v>3222</v>
      </c>
      <c r="F28" t="s">
        <v>18</v>
      </c>
      <c r="G28" t="s">
        <v>2853</v>
      </c>
      <c r="H28" t="s">
        <v>3175</v>
      </c>
      <c r="I28" t="s">
        <v>154</v>
      </c>
      <c r="J28" t="s">
        <v>1419</v>
      </c>
      <c r="K28" t="s">
        <v>3176</v>
      </c>
      <c r="L28" t="s">
        <v>63</v>
      </c>
    </row>
    <row r="29" spans="1:12">
      <c r="A29" t="s">
        <v>3223</v>
      </c>
      <c r="B29" t="s">
        <v>3208</v>
      </c>
      <c r="C29" t="s">
        <v>3224</v>
      </c>
      <c r="D29" t="s">
        <v>3225</v>
      </c>
      <c r="E29" t="s">
        <v>3226</v>
      </c>
      <c r="F29" t="s">
        <v>18</v>
      </c>
      <c r="G29" t="s">
        <v>2853</v>
      </c>
      <c r="H29" t="s">
        <v>3175</v>
      </c>
      <c r="I29" t="s">
        <v>154</v>
      </c>
      <c r="J29" t="s">
        <v>1419</v>
      </c>
      <c r="K29" t="s">
        <v>3176</v>
      </c>
      <c r="L29" t="s">
        <v>63</v>
      </c>
    </row>
    <row r="30" spans="1:12">
      <c r="A30" t="s">
        <v>2448</v>
      </c>
      <c r="B30" t="s">
        <v>3208</v>
      </c>
      <c r="C30" t="s">
        <v>2428</v>
      </c>
      <c r="D30" t="s">
        <v>2427</v>
      </c>
      <c r="E30" t="s">
        <v>3227</v>
      </c>
      <c r="F30" t="s">
        <v>18</v>
      </c>
      <c r="G30" t="s">
        <v>2853</v>
      </c>
      <c r="H30" t="s">
        <v>3175</v>
      </c>
      <c r="I30" t="s">
        <v>154</v>
      </c>
      <c r="J30" t="s">
        <v>1419</v>
      </c>
      <c r="K30" t="s">
        <v>3176</v>
      </c>
      <c r="L30" t="s">
        <v>63</v>
      </c>
    </row>
    <row r="31" spans="1:12">
      <c r="A31" t="s">
        <v>60</v>
      </c>
      <c r="B31" t="s">
        <v>3228</v>
      </c>
      <c r="C31" t="s">
        <v>61</v>
      </c>
      <c r="D31" t="s">
        <v>3229</v>
      </c>
      <c r="E31" t="s">
        <v>3230</v>
      </c>
      <c r="F31" t="s">
        <v>18</v>
      </c>
      <c r="G31" t="s">
        <v>2853</v>
      </c>
      <c r="H31" t="s">
        <v>3175</v>
      </c>
      <c r="I31" t="s">
        <v>154</v>
      </c>
      <c r="J31" t="s">
        <v>1419</v>
      </c>
      <c r="K31" t="s">
        <v>3176</v>
      </c>
      <c r="L31" t="s">
        <v>63</v>
      </c>
    </row>
    <row r="32" spans="1:12">
      <c r="A32" t="s">
        <v>3231</v>
      </c>
      <c r="B32" t="s">
        <v>3228</v>
      </c>
      <c r="C32" t="s">
        <v>3232</v>
      </c>
      <c r="D32" t="s">
        <v>3183</v>
      </c>
      <c r="E32" t="s">
        <v>3233</v>
      </c>
      <c r="F32" t="s">
        <v>18</v>
      </c>
      <c r="G32" t="s">
        <v>2853</v>
      </c>
      <c r="H32" t="s">
        <v>3175</v>
      </c>
      <c r="I32" t="s">
        <v>154</v>
      </c>
      <c r="J32" t="s">
        <v>1419</v>
      </c>
      <c r="K32" t="s">
        <v>3176</v>
      </c>
      <c r="L32" t="s">
        <v>63</v>
      </c>
    </row>
    <row r="33" spans="1:12">
      <c r="A33" t="s">
        <v>2006</v>
      </c>
      <c r="B33" t="s">
        <v>3234</v>
      </c>
      <c r="C33" t="s">
        <v>1997</v>
      </c>
      <c r="D33" t="s">
        <v>1996</v>
      </c>
      <c r="E33" t="s">
        <v>2309</v>
      </c>
      <c r="F33" t="s">
        <v>18</v>
      </c>
      <c r="G33" t="s">
        <v>2853</v>
      </c>
      <c r="H33" t="s">
        <v>3175</v>
      </c>
      <c r="I33" t="s">
        <v>154</v>
      </c>
      <c r="J33" t="s">
        <v>1419</v>
      </c>
      <c r="K33" t="s">
        <v>3176</v>
      </c>
      <c r="L33" t="s">
        <v>63</v>
      </c>
    </row>
    <row r="34" spans="1:12">
      <c r="A34" t="s">
        <v>2007</v>
      </c>
      <c r="B34" t="s">
        <v>3235</v>
      </c>
      <c r="C34" t="s">
        <v>1998</v>
      </c>
      <c r="D34" t="s">
        <v>62</v>
      </c>
      <c r="E34" t="s">
        <v>2310</v>
      </c>
      <c r="F34" t="s">
        <v>18</v>
      </c>
      <c r="G34" t="s">
        <v>2853</v>
      </c>
      <c r="H34" t="s">
        <v>3175</v>
      </c>
      <c r="I34" t="s">
        <v>154</v>
      </c>
      <c r="J34" t="s">
        <v>1419</v>
      </c>
      <c r="K34" t="s">
        <v>3176</v>
      </c>
      <c r="L34" t="s">
        <v>63</v>
      </c>
    </row>
    <row r="35" spans="1:12">
      <c r="A35" t="s">
        <v>169</v>
      </c>
      <c r="B35" t="s">
        <v>3236</v>
      </c>
      <c r="C35" t="s">
        <v>170</v>
      </c>
      <c r="D35" t="s">
        <v>171</v>
      </c>
      <c r="E35" t="s">
        <v>2311</v>
      </c>
      <c r="F35" t="s">
        <v>18</v>
      </c>
      <c r="G35" t="s">
        <v>2853</v>
      </c>
      <c r="H35" t="s">
        <v>3237</v>
      </c>
      <c r="I35" t="s">
        <v>154</v>
      </c>
      <c r="J35" t="s">
        <v>1419</v>
      </c>
      <c r="K35" t="s">
        <v>3176</v>
      </c>
      <c r="L35" t="s">
        <v>63</v>
      </c>
    </row>
    <row r="36" spans="1:12">
      <c r="A36" t="s">
        <v>2009</v>
      </c>
      <c r="B36" t="s">
        <v>3238</v>
      </c>
      <c r="C36" t="s">
        <v>2001</v>
      </c>
      <c r="D36" t="s">
        <v>2000</v>
      </c>
      <c r="E36" t="s">
        <v>3239</v>
      </c>
      <c r="F36" t="s">
        <v>18</v>
      </c>
      <c r="G36" t="s">
        <v>2853</v>
      </c>
      <c r="H36" t="s">
        <v>3237</v>
      </c>
      <c r="I36" t="s">
        <v>154</v>
      </c>
      <c r="J36" t="s">
        <v>1419</v>
      </c>
      <c r="K36" t="s">
        <v>3176</v>
      </c>
      <c r="L36" t="s">
        <v>63</v>
      </c>
    </row>
    <row r="37" spans="1:12">
      <c r="A37" t="s">
        <v>2449</v>
      </c>
      <c r="B37" t="s">
        <v>3240</v>
      </c>
      <c r="C37" t="s">
        <v>2431</v>
      </c>
      <c r="D37" t="s">
        <v>2430</v>
      </c>
      <c r="E37" t="s">
        <v>3241</v>
      </c>
      <c r="F37" t="s">
        <v>18</v>
      </c>
      <c r="G37" t="s">
        <v>2853</v>
      </c>
      <c r="H37" t="s">
        <v>3237</v>
      </c>
      <c r="I37" t="s">
        <v>154</v>
      </c>
      <c r="J37" t="s">
        <v>1419</v>
      </c>
      <c r="K37" t="s">
        <v>3176</v>
      </c>
      <c r="L37" t="s">
        <v>63</v>
      </c>
    </row>
    <row r="38" spans="1:12">
      <c r="A38" t="s">
        <v>2450</v>
      </c>
      <c r="B38" t="s">
        <v>3242</v>
      </c>
      <c r="C38" t="s">
        <v>2433</v>
      </c>
      <c r="D38" t="s">
        <v>2432</v>
      </c>
      <c r="E38" t="s">
        <v>3243</v>
      </c>
      <c r="F38" t="s">
        <v>18</v>
      </c>
      <c r="G38" t="s">
        <v>2853</v>
      </c>
      <c r="H38" t="s">
        <v>3237</v>
      </c>
      <c r="I38" t="s">
        <v>154</v>
      </c>
      <c r="J38" t="s">
        <v>1419</v>
      </c>
      <c r="K38" t="s">
        <v>3176</v>
      </c>
      <c r="L38" t="s">
        <v>63</v>
      </c>
    </row>
    <row r="39" spans="1:12">
      <c r="A39" t="s">
        <v>35</v>
      </c>
      <c r="B39" t="s">
        <v>3151</v>
      </c>
      <c r="C39" t="s">
        <v>36</v>
      </c>
      <c r="D39" t="s">
        <v>37</v>
      </c>
      <c r="E39" t="s">
        <v>3244</v>
      </c>
      <c r="F39" t="s">
        <v>18</v>
      </c>
      <c r="G39" t="s">
        <v>2853</v>
      </c>
      <c r="H39" t="s">
        <v>3237</v>
      </c>
      <c r="I39" t="s">
        <v>154</v>
      </c>
      <c r="J39" t="s">
        <v>1419</v>
      </c>
      <c r="K39" t="s">
        <v>3176</v>
      </c>
      <c r="L39" t="s">
        <v>63</v>
      </c>
    </row>
    <row r="40" spans="1:12">
      <c r="A40" t="s">
        <v>2010</v>
      </c>
      <c r="B40" t="s">
        <v>3151</v>
      </c>
      <c r="C40" t="s">
        <v>2002</v>
      </c>
      <c r="D40" t="s">
        <v>37</v>
      </c>
      <c r="E40" t="s">
        <v>3245</v>
      </c>
      <c r="F40" t="s">
        <v>18</v>
      </c>
      <c r="G40" t="s">
        <v>2853</v>
      </c>
      <c r="H40" t="s">
        <v>3237</v>
      </c>
      <c r="I40" t="s">
        <v>154</v>
      </c>
      <c r="J40" t="s">
        <v>1419</v>
      </c>
      <c r="K40" t="s">
        <v>3176</v>
      </c>
      <c r="L40" t="s">
        <v>63</v>
      </c>
    </row>
    <row r="41" spans="1:12">
      <c r="A41" t="s">
        <v>2177</v>
      </c>
      <c r="B41" t="s">
        <v>3151</v>
      </c>
      <c r="C41" t="s">
        <v>2178</v>
      </c>
      <c r="D41" t="s">
        <v>2434</v>
      </c>
      <c r="E41" t="s">
        <v>3246</v>
      </c>
      <c r="F41" t="s">
        <v>18</v>
      </c>
      <c r="G41" t="s">
        <v>2853</v>
      </c>
      <c r="H41" t="s">
        <v>3237</v>
      </c>
      <c r="I41" t="s">
        <v>154</v>
      </c>
      <c r="J41" t="s">
        <v>1419</v>
      </c>
      <c r="K41" t="s">
        <v>3176</v>
      </c>
      <c r="L41" t="s">
        <v>63</v>
      </c>
    </row>
    <row r="42" spans="1:12">
      <c r="A42" t="s">
        <v>2011</v>
      </c>
      <c r="B42" t="s">
        <v>3247</v>
      </c>
      <c r="C42" t="s">
        <v>2003</v>
      </c>
      <c r="D42" t="s">
        <v>3248</v>
      </c>
      <c r="E42" t="s">
        <v>3249</v>
      </c>
      <c r="F42" t="s">
        <v>18</v>
      </c>
      <c r="G42" t="s">
        <v>2853</v>
      </c>
      <c r="H42" t="s">
        <v>3237</v>
      </c>
      <c r="I42" t="s">
        <v>154</v>
      </c>
      <c r="J42" t="s">
        <v>1419</v>
      </c>
      <c r="K42" t="s">
        <v>3176</v>
      </c>
      <c r="L42" t="s">
        <v>63</v>
      </c>
    </row>
    <row r="43" spans="1:12">
      <c r="A43" t="s">
        <v>32</v>
      </c>
      <c r="B43" t="s">
        <v>3151</v>
      </c>
      <c r="C43" t="s">
        <v>33</v>
      </c>
      <c r="D43" t="s">
        <v>34</v>
      </c>
      <c r="E43" t="s">
        <v>3250</v>
      </c>
      <c r="F43" t="s">
        <v>18</v>
      </c>
      <c r="G43" t="s">
        <v>2853</v>
      </c>
      <c r="H43" t="s">
        <v>3237</v>
      </c>
      <c r="I43" t="s">
        <v>154</v>
      </c>
      <c r="J43" t="s">
        <v>1419</v>
      </c>
      <c r="K43" t="s">
        <v>3176</v>
      </c>
      <c r="L43" t="s">
        <v>63</v>
      </c>
    </row>
    <row r="44" spans="1:12">
      <c r="A44" t="s">
        <v>39</v>
      </c>
      <c r="B44" t="s">
        <v>3135</v>
      </c>
      <c r="C44" t="s">
        <v>40</v>
      </c>
      <c r="D44" t="s">
        <v>38</v>
      </c>
      <c r="E44" t="s">
        <v>3251</v>
      </c>
      <c r="F44" t="s">
        <v>18</v>
      </c>
      <c r="G44" t="s">
        <v>2853</v>
      </c>
      <c r="H44" t="s">
        <v>3252</v>
      </c>
      <c r="I44" t="s">
        <v>154</v>
      </c>
      <c r="J44" t="s">
        <v>1419</v>
      </c>
      <c r="K44" t="s">
        <v>3176</v>
      </c>
      <c r="L44" t="s">
        <v>63</v>
      </c>
    </row>
    <row r="45" spans="1:12">
      <c r="A45" t="s">
        <v>172</v>
      </c>
      <c r="B45" t="s">
        <v>3135</v>
      </c>
      <c r="C45" t="s">
        <v>173</v>
      </c>
      <c r="D45" t="s">
        <v>174</v>
      </c>
      <c r="E45" t="s">
        <v>3253</v>
      </c>
      <c r="F45" t="s">
        <v>18</v>
      </c>
      <c r="G45" t="s">
        <v>2853</v>
      </c>
      <c r="H45" t="s">
        <v>3252</v>
      </c>
      <c r="I45" t="s">
        <v>154</v>
      </c>
      <c r="J45" t="s">
        <v>1419</v>
      </c>
      <c r="K45" t="s">
        <v>3176</v>
      </c>
      <c r="L45" t="s">
        <v>63</v>
      </c>
    </row>
    <row r="46" spans="1:12">
      <c r="A46" t="s">
        <v>175</v>
      </c>
      <c r="B46" t="s">
        <v>3254</v>
      </c>
      <c r="C46" t="s">
        <v>176</v>
      </c>
      <c r="D46" t="s">
        <v>177</v>
      </c>
      <c r="E46" t="s">
        <v>3255</v>
      </c>
      <c r="F46" t="s">
        <v>18</v>
      </c>
      <c r="G46" t="s">
        <v>2853</v>
      </c>
      <c r="H46" t="s">
        <v>3252</v>
      </c>
      <c r="I46" t="s">
        <v>154</v>
      </c>
      <c r="J46" t="s">
        <v>1419</v>
      </c>
      <c r="K46" t="s">
        <v>3176</v>
      </c>
      <c r="L46" t="s">
        <v>63</v>
      </c>
    </row>
    <row r="47" spans="1:12">
      <c r="A47" t="s">
        <v>2004</v>
      </c>
      <c r="B47" t="s">
        <v>3254</v>
      </c>
      <c r="C47" t="s">
        <v>1995</v>
      </c>
      <c r="D47" t="s">
        <v>177</v>
      </c>
      <c r="E47" t="s">
        <v>3256</v>
      </c>
      <c r="F47" t="s">
        <v>18</v>
      </c>
      <c r="G47" t="s">
        <v>2853</v>
      </c>
      <c r="H47" t="s">
        <v>3252</v>
      </c>
      <c r="I47" t="s">
        <v>154</v>
      </c>
      <c r="J47" t="s">
        <v>1419</v>
      </c>
      <c r="K47" t="s">
        <v>3176</v>
      </c>
      <c r="L47" t="s">
        <v>63</v>
      </c>
    </row>
    <row r="48" spans="1:12">
      <c r="A48" t="s">
        <v>2179</v>
      </c>
      <c r="B48" t="s">
        <v>3254</v>
      </c>
      <c r="C48" t="s">
        <v>2180</v>
      </c>
      <c r="D48" t="s">
        <v>2435</v>
      </c>
      <c r="E48" t="s">
        <v>3257</v>
      </c>
      <c r="F48" t="s">
        <v>18</v>
      </c>
      <c r="G48" t="s">
        <v>2853</v>
      </c>
      <c r="H48" t="s">
        <v>3252</v>
      </c>
      <c r="I48" t="s">
        <v>154</v>
      </c>
      <c r="J48" t="s">
        <v>1419</v>
      </c>
      <c r="K48" t="s">
        <v>3176</v>
      </c>
      <c r="L48" t="s">
        <v>63</v>
      </c>
    </row>
    <row r="49" spans="1:12">
      <c r="A49" t="s">
        <v>2005</v>
      </c>
      <c r="B49" t="s">
        <v>3258</v>
      </c>
      <c r="C49" t="s">
        <v>33</v>
      </c>
      <c r="D49" t="s">
        <v>2436</v>
      </c>
      <c r="E49" t="s">
        <v>3259</v>
      </c>
      <c r="F49" t="s">
        <v>18</v>
      </c>
      <c r="G49" t="s">
        <v>2853</v>
      </c>
      <c r="H49" t="s">
        <v>3237</v>
      </c>
      <c r="I49" t="s">
        <v>154</v>
      </c>
      <c r="J49" t="s">
        <v>1419</v>
      </c>
      <c r="K49" t="s">
        <v>3176</v>
      </c>
      <c r="L49" t="s">
        <v>63</v>
      </c>
    </row>
    <row r="50" spans="1:12">
      <c r="A50" t="s">
        <v>165</v>
      </c>
      <c r="B50" t="s">
        <v>127</v>
      </c>
      <c r="C50" t="s">
        <v>166</v>
      </c>
      <c r="D50" t="s">
        <v>2437</v>
      </c>
      <c r="E50" t="s">
        <v>3260</v>
      </c>
      <c r="F50" t="s">
        <v>18</v>
      </c>
      <c r="G50" t="s">
        <v>63</v>
      </c>
      <c r="H50" t="s">
        <v>3261</v>
      </c>
      <c r="I50" t="s">
        <v>154</v>
      </c>
      <c r="J50" t="s">
        <v>1419</v>
      </c>
      <c r="K50" t="s">
        <v>3262</v>
      </c>
      <c r="L50" t="s">
        <v>63</v>
      </c>
    </row>
    <row r="51" spans="1:12">
      <c r="A51" t="s">
        <v>68</v>
      </c>
      <c r="B51" t="s">
        <v>127</v>
      </c>
      <c r="C51" t="s">
        <v>69</v>
      </c>
      <c r="D51" t="s">
        <v>2438</v>
      </c>
      <c r="E51" t="s">
        <v>3263</v>
      </c>
      <c r="F51" t="s">
        <v>18</v>
      </c>
      <c r="G51" t="s">
        <v>63</v>
      </c>
      <c r="H51" t="s">
        <v>3261</v>
      </c>
      <c r="I51" t="s">
        <v>154</v>
      </c>
      <c r="J51" t="s">
        <v>1419</v>
      </c>
      <c r="K51" t="s">
        <v>3262</v>
      </c>
      <c r="L51" t="s">
        <v>63</v>
      </c>
    </row>
    <row r="52" spans="1:12">
      <c r="A52" t="s">
        <v>64</v>
      </c>
      <c r="B52" t="s">
        <v>127</v>
      </c>
      <c r="C52" t="s">
        <v>65</v>
      </c>
      <c r="D52" t="s">
        <v>3264</v>
      </c>
      <c r="E52" t="s">
        <v>3265</v>
      </c>
      <c r="F52" t="s">
        <v>18</v>
      </c>
      <c r="G52" t="s">
        <v>63</v>
      </c>
      <c r="H52" t="s">
        <v>3261</v>
      </c>
      <c r="I52" t="s">
        <v>154</v>
      </c>
      <c r="J52" t="s">
        <v>1419</v>
      </c>
      <c r="K52" t="s">
        <v>3262</v>
      </c>
      <c r="L52" t="s">
        <v>63</v>
      </c>
    </row>
    <row r="53" spans="1:12">
      <c r="A53" t="s">
        <v>66</v>
      </c>
      <c r="B53" t="s">
        <v>127</v>
      </c>
      <c r="C53" t="s">
        <v>67</v>
      </c>
      <c r="D53" t="s">
        <v>2437</v>
      </c>
      <c r="E53" t="s">
        <v>3266</v>
      </c>
      <c r="F53" t="s">
        <v>18</v>
      </c>
      <c r="G53" t="s">
        <v>63</v>
      </c>
      <c r="H53" t="s">
        <v>3261</v>
      </c>
      <c r="I53" t="s">
        <v>154</v>
      </c>
      <c r="J53" t="s">
        <v>1419</v>
      </c>
      <c r="K53" t="s">
        <v>3262</v>
      </c>
      <c r="L53" t="s">
        <v>63</v>
      </c>
    </row>
    <row r="54" spans="1:12">
      <c r="A54" t="s">
        <v>3267</v>
      </c>
      <c r="B54" t="s">
        <v>3148</v>
      </c>
      <c r="C54" t="s">
        <v>3268</v>
      </c>
      <c r="D54" t="s">
        <v>2439</v>
      </c>
      <c r="E54" t="s">
        <v>3269</v>
      </c>
      <c r="F54" t="s">
        <v>18</v>
      </c>
      <c r="G54" t="s">
        <v>3270</v>
      </c>
      <c r="H54" t="s">
        <v>3261</v>
      </c>
      <c r="I54" t="s">
        <v>154</v>
      </c>
      <c r="J54" t="s">
        <v>1419</v>
      </c>
      <c r="K54" t="s">
        <v>3176</v>
      </c>
      <c r="L54" t="s">
        <v>63</v>
      </c>
    </row>
    <row r="55" spans="1:12">
      <c r="A55" t="s">
        <v>3271</v>
      </c>
      <c r="B55" t="s">
        <v>3148</v>
      </c>
      <c r="C55" t="s">
        <v>3272</v>
      </c>
      <c r="D55" t="s">
        <v>2439</v>
      </c>
      <c r="E55" t="s">
        <v>3273</v>
      </c>
      <c r="F55" t="s">
        <v>18</v>
      </c>
      <c r="G55" t="s">
        <v>3270</v>
      </c>
      <c r="H55" t="s">
        <v>3261</v>
      </c>
      <c r="I55" t="s">
        <v>154</v>
      </c>
      <c r="J55" t="s">
        <v>1419</v>
      </c>
      <c r="K55" t="s">
        <v>3176</v>
      </c>
      <c r="L55" t="s">
        <v>63</v>
      </c>
    </row>
    <row r="56" spans="1:12">
      <c r="A56" t="s">
        <v>2175</v>
      </c>
      <c r="B56" t="s">
        <v>3148</v>
      </c>
      <c r="C56" t="s">
        <v>2176</v>
      </c>
      <c r="D56" t="s">
        <v>2439</v>
      </c>
      <c r="E56" t="s">
        <v>3274</v>
      </c>
      <c r="F56" t="s">
        <v>18</v>
      </c>
      <c r="G56" t="s">
        <v>3270</v>
      </c>
      <c r="H56" t="s">
        <v>3261</v>
      </c>
      <c r="I56" t="s">
        <v>154</v>
      </c>
      <c r="J56" t="s">
        <v>1419</v>
      </c>
      <c r="K56" t="s">
        <v>3176</v>
      </c>
      <c r="L56" t="s">
        <v>63</v>
      </c>
    </row>
    <row r="57" spans="1:12">
      <c r="A57" t="s">
        <v>3275</v>
      </c>
      <c r="B57" t="s">
        <v>3149</v>
      </c>
      <c r="C57" t="s">
        <v>3276</v>
      </c>
      <c r="D57" t="s">
        <v>2440</v>
      </c>
      <c r="E57" t="s">
        <v>3277</v>
      </c>
      <c r="F57" t="s">
        <v>18</v>
      </c>
      <c r="G57" t="s">
        <v>74</v>
      </c>
      <c r="H57" t="s">
        <v>74</v>
      </c>
      <c r="I57" t="s">
        <v>154</v>
      </c>
      <c r="J57" t="s">
        <v>74</v>
      </c>
      <c r="K57" t="s">
        <v>74</v>
      </c>
      <c r="L57" t="s">
        <v>74</v>
      </c>
    </row>
    <row r="58" spans="1:12">
      <c r="A58" t="s">
        <v>3278</v>
      </c>
      <c r="B58" t="s">
        <v>3279</v>
      </c>
      <c r="C58" t="s">
        <v>3280</v>
      </c>
      <c r="D58" t="s">
        <v>3281</v>
      </c>
      <c r="E58" t="s">
        <v>3282</v>
      </c>
      <c r="F58" t="s">
        <v>18</v>
      </c>
      <c r="G58" t="s">
        <v>3283</v>
      </c>
      <c r="H58" t="s">
        <v>74</v>
      </c>
      <c r="I58" t="s">
        <v>154</v>
      </c>
      <c r="J58" t="s">
        <v>74</v>
      </c>
      <c r="K58" t="s">
        <v>74</v>
      </c>
      <c r="L58" t="s">
        <v>74</v>
      </c>
    </row>
    <row r="59" spans="1:12">
      <c r="A59" t="s">
        <v>3284</v>
      </c>
      <c r="B59" t="s">
        <v>3279</v>
      </c>
      <c r="C59" t="s">
        <v>3285</v>
      </c>
      <c r="D59" t="s">
        <v>3281</v>
      </c>
      <c r="E59" t="s">
        <v>3286</v>
      </c>
      <c r="F59" t="s">
        <v>18</v>
      </c>
      <c r="G59" t="s">
        <v>3283</v>
      </c>
      <c r="H59" t="s">
        <v>74</v>
      </c>
      <c r="I59" t="s">
        <v>154</v>
      </c>
      <c r="J59" t="s">
        <v>74</v>
      </c>
      <c r="K59" t="s">
        <v>74</v>
      </c>
      <c r="L59" t="s">
        <v>74</v>
      </c>
    </row>
    <row r="60" spans="1:12">
      <c r="A60" t="s">
        <v>3287</v>
      </c>
      <c r="B60" t="s">
        <v>3279</v>
      </c>
      <c r="C60" t="s">
        <v>3288</v>
      </c>
      <c r="D60" t="s">
        <v>3281</v>
      </c>
      <c r="E60" t="s">
        <v>3289</v>
      </c>
      <c r="F60" t="s">
        <v>18</v>
      </c>
      <c r="G60" t="s">
        <v>3283</v>
      </c>
      <c r="H60" t="s">
        <v>74</v>
      </c>
      <c r="I60" t="s">
        <v>154</v>
      </c>
      <c r="J60" t="s">
        <v>74</v>
      </c>
      <c r="K60" t="s">
        <v>74</v>
      </c>
      <c r="L60" t="s">
        <v>74</v>
      </c>
    </row>
    <row r="61" spans="1:12">
      <c r="A61" t="s">
        <v>3290</v>
      </c>
      <c r="B61" t="s">
        <v>3279</v>
      </c>
      <c r="C61" t="s">
        <v>3291</v>
      </c>
      <c r="D61" t="s">
        <v>3281</v>
      </c>
      <c r="E61" t="s">
        <v>3292</v>
      </c>
      <c r="F61" t="s">
        <v>18</v>
      </c>
      <c r="G61" t="s">
        <v>3283</v>
      </c>
      <c r="H61" t="s">
        <v>74</v>
      </c>
      <c r="I61" t="s">
        <v>154</v>
      </c>
      <c r="J61" t="s">
        <v>74</v>
      </c>
      <c r="K61" t="s">
        <v>74</v>
      </c>
      <c r="L61" t="s">
        <v>74</v>
      </c>
    </row>
    <row r="62" spans="1:12">
      <c r="A62" t="s">
        <v>3293</v>
      </c>
      <c r="B62">
        <v>9910</v>
      </c>
      <c r="C62" t="s">
        <v>3294</v>
      </c>
      <c r="D62" t="s">
        <v>3295</v>
      </c>
      <c r="E62" t="s">
        <v>3296</v>
      </c>
      <c r="F62" t="s">
        <v>74</v>
      </c>
      <c r="G62" t="s">
        <v>74</v>
      </c>
      <c r="H62" t="s">
        <v>74</v>
      </c>
      <c r="I62" t="s">
        <v>74</v>
      </c>
      <c r="J62" t="s">
        <v>74</v>
      </c>
      <c r="K62" t="s">
        <v>74</v>
      </c>
      <c r="L62" t="s">
        <v>74</v>
      </c>
    </row>
    <row r="63" spans="1:12">
      <c r="A63" t="s">
        <v>3297</v>
      </c>
      <c r="B63">
        <v>9910</v>
      </c>
      <c r="C63" t="s">
        <v>3298</v>
      </c>
      <c r="D63" t="s">
        <v>3299</v>
      </c>
      <c r="E63" t="s">
        <v>3300</v>
      </c>
      <c r="F63" t="s">
        <v>74</v>
      </c>
      <c r="G63" t="s">
        <v>74</v>
      </c>
      <c r="H63" t="s">
        <v>74</v>
      </c>
      <c r="I63" t="s">
        <v>74</v>
      </c>
      <c r="J63" t="s">
        <v>74</v>
      </c>
      <c r="K63" t="s">
        <v>74</v>
      </c>
      <c r="L63" t="s">
        <v>74</v>
      </c>
    </row>
    <row r="64" spans="1:12">
      <c r="A64" t="s">
        <v>3301</v>
      </c>
      <c r="B64">
        <v>9910</v>
      </c>
      <c r="C64" t="s">
        <v>3302</v>
      </c>
      <c r="D64" t="s">
        <v>3303</v>
      </c>
      <c r="E64" t="s">
        <v>3304</v>
      </c>
      <c r="F64" t="s">
        <v>74</v>
      </c>
      <c r="G64" t="s">
        <v>74</v>
      </c>
      <c r="H64" t="s">
        <v>74</v>
      </c>
      <c r="I64" t="s">
        <v>74</v>
      </c>
      <c r="J64" t="s">
        <v>74</v>
      </c>
      <c r="K64" t="s">
        <v>74</v>
      </c>
      <c r="L64" t="s">
        <v>74</v>
      </c>
    </row>
    <row r="65" spans="1:12">
      <c r="A65" t="s">
        <v>3305</v>
      </c>
      <c r="B65">
        <v>9910</v>
      </c>
      <c r="C65" t="s">
        <v>3306</v>
      </c>
      <c r="D65" t="s">
        <v>3307</v>
      </c>
      <c r="E65" t="s">
        <v>3308</v>
      </c>
      <c r="F65" t="s">
        <v>74</v>
      </c>
      <c r="G65" t="s">
        <v>74</v>
      </c>
      <c r="H65" t="s">
        <v>74</v>
      </c>
      <c r="I65" t="s">
        <v>74</v>
      </c>
      <c r="J65" t="s">
        <v>74</v>
      </c>
      <c r="K65" t="s">
        <v>74</v>
      </c>
      <c r="L65" t="s">
        <v>74</v>
      </c>
    </row>
    <row r="66" spans="1:12">
      <c r="A66" t="s">
        <v>3309</v>
      </c>
      <c r="B66">
        <v>9910</v>
      </c>
      <c r="C66" t="s">
        <v>3310</v>
      </c>
      <c r="D66" t="s">
        <v>3311</v>
      </c>
      <c r="E66" t="s">
        <v>3312</v>
      </c>
      <c r="F66" t="s">
        <v>74</v>
      </c>
      <c r="G66" t="s">
        <v>74</v>
      </c>
      <c r="H66" t="s">
        <v>74</v>
      </c>
      <c r="I66" t="s">
        <v>74</v>
      </c>
      <c r="J66" t="s">
        <v>74</v>
      </c>
      <c r="K66" t="s">
        <v>74</v>
      </c>
      <c r="L66" t="s">
        <v>74</v>
      </c>
    </row>
    <row r="67" spans="1:12">
      <c r="A67" t="s">
        <v>3313</v>
      </c>
      <c r="B67">
        <v>9910</v>
      </c>
      <c r="C67" t="s">
        <v>3314</v>
      </c>
      <c r="D67" t="s">
        <v>3315</v>
      </c>
      <c r="E67" t="s">
        <v>3316</v>
      </c>
      <c r="F67" t="s">
        <v>74</v>
      </c>
      <c r="G67" t="s">
        <v>74</v>
      </c>
      <c r="H67" t="s">
        <v>74</v>
      </c>
      <c r="I67" t="s">
        <v>74</v>
      </c>
      <c r="J67" t="s">
        <v>74</v>
      </c>
      <c r="K67" t="s">
        <v>74</v>
      </c>
      <c r="L67" t="s">
        <v>74</v>
      </c>
    </row>
    <row r="68" spans="1:12">
      <c r="A68" t="s">
        <v>3317</v>
      </c>
      <c r="B68">
        <v>9910</v>
      </c>
      <c r="C68" t="s">
        <v>3318</v>
      </c>
      <c r="D68" t="s">
        <v>3319</v>
      </c>
      <c r="E68" t="s">
        <v>3320</v>
      </c>
      <c r="F68" t="s">
        <v>74</v>
      </c>
      <c r="G68" t="s">
        <v>74</v>
      </c>
      <c r="H68" t="s">
        <v>74</v>
      </c>
      <c r="I68" t="s">
        <v>74</v>
      </c>
      <c r="J68" t="s">
        <v>74</v>
      </c>
      <c r="K68" t="s">
        <v>74</v>
      </c>
      <c r="L68" t="s">
        <v>74</v>
      </c>
    </row>
    <row r="69" spans="1:12">
      <c r="A69" t="s">
        <v>3321</v>
      </c>
      <c r="B69">
        <v>9910</v>
      </c>
      <c r="C69" t="s">
        <v>3322</v>
      </c>
      <c r="D69" t="s">
        <v>3323</v>
      </c>
      <c r="E69" t="s">
        <v>3324</v>
      </c>
      <c r="F69" t="s">
        <v>74</v>
      </c>
      <c r="G69" t="s">
        <v>74</v>
      </c>
      <c r="H69" t="s">
        <v>74</v>
      </c>
      <c r="I69" t="s">
        <v>74</v>
      </c>
      <c r="J69" t="s">
        <v>74</v>
      </c>
      <c r="K69" t="s">
        <v>74</v>
      </c>
      <c r="L69" t="s">
        <v>74</v>
      </c>
    </row>
    <row r="70" spans="1:12">
      <c r="A70" t="s">
        <v>3325</v>
      </c>
      <c r="B70">
        <v>9910</v>
      </c>
      <c r="C70" t="s">
        <v>3326</v>
      </c>
      <c r="D70" t="s">
        <v>3327</v>
      </c>
      <c r="E70" t="s">
        <v>3328</v>
      </c>
      <c r="F70" t="s">
        <v>74</v>
      </c>
      <c r="G70" t="s">
        <v>74</v>
      </c>
      <c r="H70" t="s">
        <v>74</v>
      </c>
      <c r="I70" t="s">
        <v>74</v>
      </c>
      <c r="J70" t="s">
        <v>74</v>
      </c>
      <c r="K70" t="s">
        <v>74</v>
      </c>
      <c r="L70" t="s">
        <v>74</v>
      </c>
    </row>
    <row r="71" spans="1:12">
      <c r="A71" t="s">
        <v>3329</v>
      </c>
      <c r="B71">
        <v>9910</v>
      </c>
      <c r="C71" t="s">
        <v>3330</v>
      </c>
      <c r="D71" t="s">
        <v>3331</v>
      </c>
      <c r="E71" t="s">
        <v>3332</v>
      </c>
      <c r="F71" t="s">
        <v>74</v>
      </c>
      <c r="G71" t="s">
        <v>74</v>
      </c>
      <c r="H71" t="s">
        <v>74</v>
      </c>
      <c r="I71" t="s">
        <v>74</v>
      </c>
      <c r="J71" t="s">
        <v>74</v>
      </c>
      <c r="K71" t="s">
        <v>74</v>
      </c>
      <c r="L71" t="s">
        <v>74</v>
      </c>
    </row>
    <row r="72" spans="1:12">
      <c r="A72" t="s">
        <v>3333</v>
      </c>
      <c r="B72">
        <v>9910</v>
      </c>
      <c r="C72" t="s">
        <v>3334</v>
      </c>
      <c r="D72" t="s">
        <v>3335</v>
      </c>
      <c r="E72" t="s">
        <v>3336</v>
      </c>
      <c r="F72" t="s">
        <v>74</v>
      </c>
      <c r="G72" t="s">
        <v>74</v>
      </c>
      <c r="H72" t="s">
        <v>74</v>
      </c>
      <c r="I72" t="s">
        <v>74</v>
      </c>
      <c r="J72" t="s">
        <v>74</v>
      </c>
      <c r="K72" t="s">
        <v>74</v>
      </c>
      <c r="L72" t="s">
        <v>74</v>
      </c>
    </row>
    <row r="73" spans="1:12">
      <c r="A73" t="s">
        <v>3337</v>
      </c>
      <c r="B73">
        <v>9910</v>
      </c>
      <c r="C73" t="s">
        <v>3338</v>
      </c>
      <c r="D73" t="s">
        <v>3339</v>
      </c>
      <c r="E73" t="s">
        <v>3340</v>
      </c>
      <c r="F73" t="s">
        <v>74</v>
      </c>
      <c r="G73" t="s">
        <v>74</v>
      </c>
      <c r="H73" t="s">
        <v>74</v>
      </c>
      <c r="I73" t="s">
        <v>74</v>
      </c>
      <c r="J73" t="s">
        <v>74</v>
      </c>
      <c r="K73" t="s">
        <v>74</v>
      </c>
      <c r="L73" t="s">
        <v>74</v>
      </c>
    </row>
    <row r="74" spans="1:12">
      <c r="A74" t="s">
        <v>3341</v>
      </c>
      <c r="B74">
        <v>9910</v>
      </c>
      <c r="C74" t="s">
        <v>3342</v>
      </c>
      <c r="D74" t="s">
        <v>3343</v>
      </c>
      <c r="E74" t="s">
        <v>3344</v>
      </c>
      <c r="F74" t="s">
        <v>74</v>
      </c>
      <c r="G74" t="s">
        <v>74</v>
      </c>
      <c r="H74" t="s">
        <v>74</v>
      </c>
      <c r="I74" t="s">
        <v>74</v>
      </c>
      <c r="J74" t="s">
        <v>74</v>
      </c>
      <c r="K74" t="s">
        <v>74</v>
      </c>
      <c r="L74" t="s">
        <v>74</v>
      </c>
    </row>
    <row r="75" spans="1:12">
      <c r="A75" t="s">
        <v>3345</v>
      </c>
      <c r="B75">
        <v>9910</v>
      </c>
      <c r="C75" t="s">
        <v>3346</v>
      </c>
      <c r="D75" t="s">
        <v>3347</v>
      </c>
      <c r="E75" t="s">
        <v>3348</v>
      </c>
      <c r="F75" t="s">
        <v>74</v>
      </c>
      <c r="G75" t="s">
        <v>74</v>
      </c>
      <c r="H75" t="s">
        <v>74</v>
      </c>
      <c r="I75" t="s">
        <v>74</v>
      </c>
      <c r="J75" t="s">
        <v>74</v>
      </c>
      <c r="K75" t="s">
        <v>74</v>
      </c>
      <c r="L75" t="s">
        <v>74</v>
      </c>
    </row>
    <row r="76" spans="1:12">
      <c r="A76" t="s">
        <v>3349</v>
      </c>
      <c r="B76">
        <v>9910</v>
      </c>
      <c r="C76" t="s">
        <v>3350</v>
      </c>
      <c r="D76" t="s">
        <v>3351</v>
      </c>
      <c r="E76" t="s">
        <v>3352</v>
      </c>
      <c r="F76" t="s">
        <v>74</v>
      </c>
      <c r="G76" t="s">
        <v>74</v>
      </c>
      <c r="H76" t="s">
        <v>74</v>
      </c>
      <c r="I76" t="s">
        <v>74</v>
      </c>
      <c r="J76" t="s">
        <v>74</v>
      </c>
      <c r="K76" t="s">
        <v>74</v>
      </c>
      <c r="L76" t="s">
        <v>74</v>
      </c>
    </row>
    <row r="77" spans="1:12">
      <c r="A77" t="s">
        <v>3353</v>
      </c>
      <c r="B77">
        <v>9910</v>
      </c>
      <c r="C77" t="s">
        <v>3354</v>
      </c>
      <c r="D77" t="s">
        <v>3355</v>
      </c>
      <c r="E77" t="s">
        <v>3356</v>
      </c>
      <c r="F77" t="s">
        <v>74</v>
      </c>
      <c r="G77" t="s">
        <v>74</v>
      </c>
      <c r="H77" t="s">
        <v>74</v>
      </c>
      <c r="I77" t="s">
        <v>74</v>
      </c>
      <c r="J77" t="s">
        <v>74</v>
      </c>
      <c r="K77" t="s">
        <v>74</v>
      </c>
      <c r="L77" t="s">
        <v>74</v>
      </c>
    </row>
    <row r="78" spans="1:12">
      <c r="A78" t="s">
        <v>3357</v>
      </c>
      <c r="B78">
        <v>9910</v>
      </c>
      <c r="C78" t="s">
        <v>3358</v>
      </c>
      <c r="D78" t="s">
        <v>3359</v>
      </c>
      <c r="E78" t="s">
        <v>3360</v>
      </c>
      <c r="F78" t="s">
        <v>74</v>
      </c>
      <c r="G78" t="s">
        <v>74</v>
      </c>
      <c r="H78" t="s">
        <v>74</v>
      </c>
      <c r="I78" t="s">
        <v>74</v>
      </c>
      <c r="J78" t="s">
        <v>74</v>
      </c>
      <c r="K78" t="s">
        <v>74</v>
      </c>
      <c r="L78" t="s">
        <v>74</v>
      </c>
    </row>
    <row r="79" spans="1:12">
      <c r="A79" t="s">
        <v>3361</v>
      </c>
      <c r="B79">
        <v>9910</v>
      </c>
      <c r="C79" t="s">
        <v>3362</v>
      </c>
      <c r="D79" t="s">
        <v>3363</v>
      </c>
      <c r="E79" t="s">
        <v>3364</v>
      </c>
      <c r="F79" t="s">
        <v>74</v>
      </c>
      <c r="G79" t="s">
        <v>74</v>
      </c>
      <c r="H79" t="s">
        <v>74</v>
      </c>
      <c r="I79" t="s">
        <v>74</v>
      </c>
      <c r="J79" t="s">
        <v>74</v>
      </c>
      <c r="K79" t="s">
        <v>74</v>
      </c>
      <c r="L79" t="s">
        <v>74</v>
      </c>
    </row>
    <row r="80" spans="1:12">
      <c r="A80" t="s">
        <v>3365</v>
      </c>
      <c r="B80" t="s">
        <v>2030</v>
      </c>
      <c r="C80" t="s">
        <v>3366</v>
      </c>
      <c r="D80" t="s">
        <v>3367</v>
      </c>
      <c r="E80" t="s">
        <v>3368</v>
      </c>
      <c r="F80" t="s">
        <v>74</v>
      </c>
      <c r="G80" t="s">
        <v>74</v>
      </c>
      <c r="H80" t="s">
        <v>74</v>
      </c>
      <c r="I80" t="s">
        <v>74</v>
      </c>
      <c r="J80" t="s">
        <v>74</v>
      </c>
      <c r="K80" t="s">
        <v>74</v>
      </c>
      <c r="L80" t="s">
        <v>74</v>
      </c>
    </row>
    <row r="81" spans="1:12">
      <c r="A81" t="s">
        <v>3369</v>
      </c>
      <c r="B81" t="s">
        <v>2030</v>
      </c>
      <c r="C81" t="s">
        <v>3370</v>
      </c>
      <c r="D81" t="s">
        <v>3371</v>
      </c>
      <c r="E81" t="s">
        <v>3372</v>
      </c>
      <c r="F81" t="s">
        <v>74</v>
      </c>
      <c r="G81" t="s">
        <v>74</v>
      </c>
      <c r="H81" t="s">
        <v>74</v>
      </c>
      <c r="I81" t="s">
        <v>74</v>
      </c>
      <c r="J81" t="s">
        <v>74</v>
      </c>
      <c r="K81" t="s">
        <v>74</v>
      </c>
      <c r="L81" t="s">
        <v>74</v>
      </c>
    </row>
    <row r="82" spans="1:12">
      <c r="A82" t="s">
        <v>3373</v>
      </c>
      <c r="B82" t="s">
        <v>2030</v>
      </c>
      <c r="C82" t="s">
        <v>3374</v>
      </c>
      <c r="D82" t="s">
        <v>3375</v>
      </c>
      <c r="E82" t="s">
        <v>3376</v>
      </c>
      <c r="F82" t="s">
        <v>74</v>
      </c>
      <c r="G82" t="s">
        <v>74</v>
      </c>
      <c r="H82" t="s">
        <v>74</v>
      </c>
      <c r="I82" t="s">
        <v>74</v>
      </c>
      <c r="J82" t="s">
        <v>74</v>
      </c>
      <c r="K82" t="s">
        <v>74</v>
      </c>
      <c r="L82" t="s">
        <v>74</v>
      </c>
    </row>
    <row r="83" spans="1:12">
      <c r="A83" t="s">
        <v>3377</v>
      </c>
      <c r="B83" t="s">
        <v>2030</v>
      </c>
      <c r="C83" t="s">
        <v>3378</v>
      </c>
      <c r="D83" t="s">
        <v>3379</v>
      </c>
      <c r="E83" t="s">
        <v>3380</v>
      </c>
      <c r="F83" t="s">
        <v>74</v>
      </c>
      <c r="G83" t="s">
        <v>74</v>
      </c>
      <c r="H83" t="s">
        <v>74</v>
      </c>
      <c r="I83" t="s">
        <v>74</v>
      </c>
      <c r="J83" t="s">
        <v>74</v>
      </c>
      <c r="K83" t="s">
        <v>74</v>
      </c>
      <c r="L83" t="s">
        <v>74</v>
      </c>
    </row>
    <row r="84" spans="1:12">
      <c r="A84" t="s">
        <v>3381</v>
      </c>
      <c r="B84" t="s">
        <v>2030</v>
      </c>
      <c r="C84" t="s">
        <v>3382</v>
      </c>
      <c r="D84" t="s">
        <v>3383</v>
      </c>
      <c r="E84" t="s">
        <v>3384</v>
      </c>
      <c r="F84" t="s">
        <v>74</v>
      </c>
      <c r="G84" t="s">
        <v>74</v>
      </c>
      <c r="H84" t="s">
        <v>74</v>
      </c>
      <c r="I84" t="s">
        <v>74</v>
      </c>
      <c r="J84" t="s">
        <v>74</v>
      </c>
      <c r="K84" t="s">
        <v>74</v>
      </c>
      <c r="L84" t="s">
        <v>74</v>
      </c>
    </row>
    <row r="85" spans="1:12">
      <c r="A85" t="s">
        <v>3385</v>
      </c>
      <c r="B85" t="s">
        <v>2030</v>
      </c>
      <c r="C85" t="s">
        <v>3386</v>
      </c>
      <c r="D85" t="s">
        <v>3387</v>
      </c>
      <c r="E85" t="s">
        <v>3388</v>
      </c>
      <c r="F85" t="s">
        <v>74</v>
      </c>
      <c r="G85" t="s">
        <v>74</v>
      </c>
      <c r="H85" t="s">
        <v>74</v>
      </c>
      <c r="I85" t="s">
        <v>74</v>
      </c>
      <c r="J85" t="s">
        <v>74</v>
      </c>
      <c r="K85" t="s">
        <v>74</v>
      </c>
      <c r="L85" t="s">
        <v>74</v>
      </c>
    </row>
    <row r="86" spans="1:12">
      <c r="A86" t="s">
        <v>3389</v>
      </c>
      <c r="B86" t="s">
        <v>2030</v>
      </c>
      <c r="C86" t="s">
        <v>3390</v>
      </c>
      <c r="D86" t="s">
        <v>3391</v>
      </c>
      <c r="E86" t="s">
        <v>3392</v>
      </c>
      <c r="F86" t="s">
        <v>74</v>
      </c>
      <c r="G86" t="s">
        <v>74</v>
      </c>
      <c r="H86" t="s">
        <v>74</v>
      </c>
      <c r="I86" t="s">
        <v>74</v>
      </c>
      <c r="J86" t="s">
        <v>74</v>
      </c>
      <c r="K86" t="s">
        <v>74</v>
      </c>
      <c r="L86" t="s">
        <v>74</v>
      </c>
    </row>
    <row r="87" spans="1:12">
      <c r="A87" t="s">
        <v>3393</v>
      </c>
      <c r="B87" t="s">
        <v>2030</v>
      </c>
      <c r="C87" t="s">
        <v>3394</v>
      </c>
      <c r="D87" t="s">
        <v>3395</v>
      </c>
      <c r="E87" t="s">
        <v>3396</v>
      </c>
      <c r="F87" t="s">
        <v>74</v>
      </c>
      <c r="G87" t="s">
        <v>74</v>
      </c>
      <c r="H87" t="s">
        <v>74</v>
      </c>
      <c r="I87" t="s">
        <v>74</v>
      </c>
      <c r="J87" t="s">
        <v>74</v>
      </c>
      <c r="K87" t="s">
        <v>74</v>
      </c>
      <c r="L87" t="s">
        <v>74</v>
      </c>
    </row>
    <row r="88" spans="1:12">
      <c r="A88" t="s">
        <v>3397</v>
      </c>
      <c r="B88" t="s">
        <v>2022</v>
      </c>
      <c r="C88" t="s">
        <v>3398</v>
      </c>
      <c r="D88" t="s">
        <v>3399</v>
      </c>
      <c r="E88" t="s">
        <v>3400</v>
      </c>
      <c r="F88" t="s">
        <v>74</v>
      </c>
      <c r="G88" t="s">
        <v>74</v>
      </c>
      <c r="H88" t="s">
        <v>74</v>
      </c>
      <c r="I88" t="s">
        <v>74</v>
      </c>
      <c r="J88" t="s">
        <v>74</v>
      </c>
      <c r="K88" t="s">
        <v>74</v>
      </c>
      <c r="L88" t="s">
        <v>74</v>
      </c>
    </row>
    <row r="89" spans="1:12">
      <c r="A89" t="s">
        <v>3401</v>
      </c>
      <c r="B89" t="s">
        <v>2018</v>
      </c>
      <c r="C89" t="s">
        <v>3402</v>
      </c>
      <c r="D89" t="s">
        <v>3403</v>
      </c>
      <c r="E89" t="s">
        <v>3404</v>
      </c>
      <c r="F89" t="s">
        <v>74</v>
      </c>
      <c r="G89" t="s">
        <v>74</v>
      </c>
      <c r="H89" t="s">
        <v>74</v>
      </c>
      <c r="I89" t="s">
        <v>74</v>
      </c>
      <c r="J89" t="s">
        <v>74</v>
      </c>
      <c r="K89" t="s">
        <v>74</v>
      </c>
      <c r="L89" t="s">
        <v>74</v>
      </c>
    </row>
    <row r="90" spans="1:12">
      <c r="A90" t="s">
        <v>3405</v>
      </c>
      <c r="B90" t="s">
        <v>2018</v>
      </c>
      <c r="C90" t="s">
        <v>3406</v>
      </c>
      <c r="D90" t="s">
        <v>3407</v>
      </c>
      <c r="E90" t="s">
        <v>3408</v>
      </c>
      <c r="F90" t="s">
        <v>74</v>
      </c>
      <c r="G90" t="s">
        <v>74</v>
      </c>
      <c r="H90" t="s">
        <v>74</v>
      </c>
      <c r="I90" t="s">
        <v>74</v>
      </c>
      <c r="J90" t="s">
        <v>74</v>
      </c>
      <c r="K90" t="s">
        <v>74</v>
      </c>
      <c r="L90" t="s">
        <v>74</v>
      </c>
    </row>
    <row r="91" spans="1:12">
      <c r="A91" t="s">
        <v>3409</v>
      </c>
      <c r="B91" t="s">
        <v>2018</v>
      </c>
      <c r="C91" t="s">
        <v>3410</v>
      </c>
      <c r="D91" t="s">
        <v>3411</v>
      </c>
      <c r="E91" t="s">
        <v>3412</v>
      </c>
      <c r="F91" t="s">
        <v>74</v>
      </c>
      <c r="G91" t="s">
        <v>74</v>
      </c>
      <c r="H91" t="s">
        <v>74</v>
      </c>
      <c r="I91" t="s">
        <v>74</v>
      </c>
      <c r="J91" t="s">
        <v>74</v>
      </c>
      <c r="K91" t="s">
        <v>74</v>
      </c>
      <c r="L91" t="s">
        <v>74</v>
      </c>
    </row>
    <row r="92" spans="1:12">
      <c r="A92" t="s">
        <v>3413</v>
      </c>
      <c r="B92" t="s">
        <v>2018</v>
      </c>
      <c r="C92" t="s">
        <v>3414</v>
      </c>
      <c r="D92" t="s">
        <v>3415</v>
      </c>
      <c r="E92" t="s">
        <v>3416</v>
      </c>
      <c r="F92" t="s">
        <v>74</v>
      </c>
      <c r="G92" t="s">
        <v>74</v>
      </c>
      <c r="H92" t="s">
        <v>74</v>
      </c>
      <c r="I92" t="s">
        <v>74</v>
      </c>
      <c r="J92" t="s">
        <v>74</v>
      </c>
      <c r="K92" t="s">
        <v>74</v>
      </c>
      <c r="L92" t="s">
        <v>74</v>
      </c>
    </row>
    <row r="93" spans="1:12">
      <c r="A93" t="s">
        <v>3417</v>
      </c>
      <c r="B93" t="s">
        <v>2018</v>
      </c>
      <c r="C93" t="s">
        <v>3418</v>
      </c>
      <c r="D93" t="s">
        <v>3419</v>
      </c>
      <c r="E93" t="s">
        <v>3420</v>
      </c>
      <c r="F93" t="s">
        <v>74</v>
      </c>
      <c r="G93" t="s">
        <v>74</v>
      </c>
      <c r="H93" t="s">
        <v>74</v>
      </c>
      <c r="I93" t="s">
        <v>74</v>
      </c>
      <c r="J93" t="s">
        <v>74</v>
      </c>
      <c r="K93" t="s">
        <v>74</v>
      </c>
      <c r="L93" t="s">
        <v>74</v>
      </c>
    </row>
    <row r="94" spans="1:12">
      <c r="A94" t="s">
        <v>3421</v>
      </c>
      <c r="B94" t="s">
        <v>2018</v>
      </c>
      <c r="C94" t="s">
        <v>3422</v>
      </c>
      <c r="D94" t="s">
        <v>3423</v>
      </c>
      <c r="E94" t="s">
        <v>3424</v>
      </c>
      <c r="F94" t="s">
        <v>74</v>
      </c>
      <c r="G94" t="s">
        <v>74</v>
      </c>
      <c r="H94" t="s">
        <v>74</v>
      </c>
      <c r="I94" t="s">
        <v>74</v>
      </c>
      <c r="J94" t="s">
        <v>74</v>
      </c>
      <c r="K94" t="s">
        <v>74</v>
      </c>
      <c r="L94" t="s">
        <v>74</v>
      </c>
    </row>
    <row r="95" spans="1:12">
      <c r="A95" t="s">
        <v>3425</v>
      </c>
      <c r="B95" t="s">
        <v>2018</v>
      </c>
      <c r="C95" t="s">
        <v>3426</v>
      </c>
      <c r="D95" t="s">
        <v>3427</v>
      </c>
      <c r="E95" t="s">
        <v>3428</v>
      </c>
      <c r="F95" t="s">
        <v>74</v>
      </c>
      <c r="G95" t="s">
        <v>74</v>
      </c>
      <c r="H95" t="s">
        <v>74</v>
      </c>
      <c r="I95" t="s">
        <v>74</v>
      </c>
      <c r="J95" t="s">
        <v>74</v>
      </c>
      <c r="K95" t="s">
        <v>74</v>
      </c>
      <c r="L95" t="s">
        <v>74</v>
      </c>
    </row>
    <row r="96" spans="1:12">
      <c r="A96" t="s">
        <v>3429</v>
      </c>
      <c r="B96" t="s">
        <v>2018</v>
      </c>
      <c r="C96" t="s">
        <v>3430</v>
      </c>
      <c r="D96" t="s">
        <v>3431</v>
      </c>
      <c r="E96" t="s">
        <v>3432</v>
      </c>
      <c r="F96" t="s">
        <v>74</v>
      </c>
      <c r="G96" t="s">
        <v>74</v>
      </c>
      <c r="H96" t="s">
        <v>74</v>
      </c>
      <c r="I96" t="s">
        <v>74</v>
      </c>
      <c r="J96" t="s">
        <v>74</v>
      </c>
      <c r="K96" t="s">
        <v>74</v>
      </c>
      <c r="L96" t="s">
        <v>74</v>
      </c>
    </row>
    <row r="97" spans="1:12">
      <c r="A97" t="s">
        <v>3433</v>
      </c>
      <c r="B97" t="s">
        <v>2018</v>
      </c>
      <c r="C97" t="s">
        <v>3434</v>
      </c>
      <c r="D97" t="s">
        <v>3435</v>
      </c>
      <c r="E97" t="s">
        <v>3436</v>
      </c>
      <c r="F97" t="s">
        <v>74</v>
      </c>
      <c r="G97" t="s">
        <v>74</v>
      </c>
      <c r="H97" t="s">
        <v>74</v>
      </c>
      <c r="I97" t="s">
        <v>74</v>
      </c>
      <c r="J97" t="s">
        <v>74</v>
      </c>
      <c r="K97" t="s">
        <v>74</v>
      </c>
      <c r="L97" t="s">
        <v>74</v>
      </c>
    </row>
    <row r="98" spans="1:12">
      <c r="A98" t="s">
        <v>3437</v>
      </c>
      <c r="B98" t="s">
        <v>2018</v>
      </c>
      <c r="C98" t="s">
        <v>3438</v>
      </c>
      <c r="D98" t="s">
        <v>3439</v>
      </c>
      <c r="E98" t="s">
        <v>3440</v>
      </c>
      <c r="F98" t="s">
        <v>74</v>
      </c>
      <c r="G98" t="s">
        <v>74</v>
      </c>
      <c r="H98" t="s">
        <v>74</v>
      </c>
      <c r="I98" t="s">
        <v>74</v>
      </c>
      <c r="J98" t="s">
        <v>74</v>
      </c>
      <c r="K98" t="s">
        <v>74</v>
      </c>
      <c r="L98" t="s">
        <v>74</v>
      </c>
    </row>
    <row r="99" spans="1:12">
      <c r="A99" t="s">
        <v>3441</v>
      </c>
      <c r="B99" t="s">
        <v>2018</v>
      </c>
      <c r="C99" t="s">
        <v>3442</v>
      </c>
      <c r="D99" t="s">
        <v>3443</v>
      </c>
      <c r="E99" t="s">
        <v>3444</v>
      </c>
      <c r="F99" t="s">
        <v>74</v>
      </c>
      <c r="G99" t="s">
        <v>74</v>
      </c>
      <c r="H99" t="s">
        <v>74</v>
      </c>
      <c r="I99" t="s">
        <v>74</v>
      </c>
      <c r="J99" t="s">
        <v>74</v>
      </c>
      <c r="K99" t="s">
        <v>74</v>
      </c>
      <c r="L99" t="s">
        <v>74</v>
      </c>
    </row>
    <row r="100" spans="1:12">
      <c r="A100" t="s">
        <v>3445</v>
      </c>
      <c r="B100" t="s">
        <v>2018</v>
      </c>
      <c r="C100" t="s">
        <v>3446</v>
      </c>
      <c r="D100" t="s">
        <v>3447</v>
      </c>
      <c r="E100" t="s">
        <v>3448</v>
      </c>
      <c r="F100" t="s">
        <v>74</v>
      </c>
      <c r="G100" t="s">
        <v>74</v>
      </c>
      <c r="H100" t="s">
        <v>74</v>
      </c>
      <c r="I100" t="s">
        <v>74</v>
      </c>
      <c r="J100" t="s">
        <v>74</v>
      </c>
      <c r="K100" t="s">
        <v>74</v>
      </c>
      <c r="L100" t="s">
        <v>74</v>
      </c>
    </row>
    <row r="101" spans="1:12">
      <c r="A101" t="s">
        <v>3449</v>
      </c>
      <c r="B101" t="s">
        <v>2018</v>
      </c>
      <c r="C101" t="s">
        <v>3450</v>
      </c>
      <c r="D101" t="s">
        <v>3451</v>
      </c>
      <c r="E101" t="s">
        <v>2312</v>
      </c>
      <c r="F101" t="s">
        <v>74</v>
      </c>
      <c r="G101" t="s">
        <v>74</v>
      </c>
      <c r="H101" t="s">
        <v>74</v>
      </c>
      <c r="I101" t="s">
        <v>74</v>
      </c>
      <c r="J101" t="s">
        <v>74</v>
      </c>
      <c r="K101" t="s">
        <v>74</v>
      </c>
      <c r="L101" t="s">
        <v>74</v>
      </c>
    </row>
    <row r="102" spans="1:12">
      <c r="A102" t="s">
        <v>3452</v>
      </c>
      <c r="B102" t="s">
        <v>2018</v>
      </c>
      <c r="C102" t="s">
        <v>3453</v>
      </c>
      <c r="D102" t="s">
        <v>3454</v>
      </c>
      <c r="E102" t="s">
        <v>3455</v>
      </c>
      <c r="F102" t="s">
        <v>74</v>
      </c>
      <c r="G102" t="s">
        <v>74</v>
      </c>
      <c r="H102" t="s">
        <v>74</v>
      </c>
      <c r="I102" t="s">
        <v>74</v>
      </c>
      <c r="J102" t="s">
        <v>74</v>
      </c>
      <c r="K102" t="s">
        <v>74</v>
      </c>
      <c r="L102" t="s">
        <v>74</v>
      </c>
    </row>
    <row r="103" spans="1:12">
      <c r="A103" t="s">
        <v>3456</v>
      </c>
      <c r="B103" t="s">
        <v>2018</v>
      </c>
      <c r="C103" t="s">
        <v>3457</v>
      </c>
      <c r="D103" t="s">
        <v>3458</v>
      </c>
      <c r="E103" t="s">
        <v>3459</v>
      </c>
      <c r="F103" t="s">
        <v>74</v>
      </c>
      <c r="G103" t="s">
        <v>74</v>
      </c>
      <c r="H103" t="s">
        <v>74</v>
      </c>
      <c r="I103" t="s">
        <v>74</v>
      </c>
      <c r="J103" t="s">
        <v>74</v>
      </c>
      <c r="K103" t="s">
        <v>74</v>
      </c>
      <c r="L103" t="s">
        <v>74</v>
      </c>
    </row>
    <row r="104" spans="1:12">
      <c r="A104" t="s">
        <v>3460</v>
      </c>
      <c r="B104" t="s">
        <v>2018</v>
      </c>
      <c r="C104" t="s">
        <v>3461</v>
      </c>
      <c r="D104" t="s">
        <v>3462</v>
      </c>
      <c r="E104" t="s">
        <v>3463</v>
      </c>
      <c r="F104" t="s">
        <v>74</v>
      </c>
      <c r="G104" t="s">
        <v>74</v>
      </c>
      <c r="H104" t="s">
        <v>74</v>
      </c>
      <c r="I104" t="s">
        <v>74</v>
      </c>
      <c r="J104" t="s">
        <v>74</v>
      </c>
      <c r="K104" t="s">
        <v>74</v>
      </c>
      <c r="L104" t="s">
        <v>74</v>
      </c>
    </row>
    <row r="105" spans="1:12">
      <c r="A105" t="s">
        <v>3464</v>
      </c>
      <c r="B105" t="s">
        <v>2018</v>
      </c>
      <c r="C105" t="s">
        <v>3465</v>
      </c>
      <c r="D105" t="s">
        <v>3466</v>
      </c>
      <c r="E105" t="s">
        <v>3467</v>
      </c>
      <c r="F105" t="s">
        <v>74</v>
      </c>
      <c r="G105" t="s">
        <v>74</v>
      </c>
      <c r="H105" t="s">
        <v>74</v>
      </c>
      <c r="I105" t="s">
        <v>74</v>
      </c>
      <c r="J105" t="s">
        <v>74</v>
      </c>
      <c r="K105" t="s">
        <v>74</v>
      </c>
      <c r="L105" t="s">
        <v>74</v>
      </c>
    </row>
    <row r="106" spans="1:12">
      <c r="A106" t="s">
        <v>3468</v>
      </c>
      <c r="B106" t="s">
        <v>2018</v>
      </c>
      <c r="C106" t="s">
        <v>3469</v>
      </c>
      <c r="D106" t="s">
        <v>3470</v>
      </c>
      <c r="E106" t="s">
        <v>3471</v>
      </c>
      <c r="F106" t="s">
        <v>74</v>
      </c>
      <c r="G106" t="s">
        <v>74</v>
      </c>
      <c r="H106" t="s">
        <v>74</v>
      </c>
      <c r="I106" t="s">
        <v>74</v>
      </c>
      <c r="J106" t="s">
        <v>74</v>
      </c>
      <c r="K106" t="s">
        <v>74</v>
      </c>
      <c r="L106" t="s">
        <v>74</v>
      </c>
    </row>
    <row r="107" spans="1:12">
      <c r="A107" t="s">
        <v>3472</v>
      </c>
      <c r="B107" t="s">
        <v>2018</v>
      </c>
      <c r="C107" t="s">
        <v>3473</v>
      </c>
      <c r="D107" t="s">
        <v>3474</v>
      </c>
      <c r="E107" t="s">
        <v>3475</v>
      </c>
      <c r="F107" t="s">
        <v>74</v>
      </c>
      <c r="G107" t="s">
        <v>74</v>
      </c>
      <c r="H107" t="s">
        <v>74</v>
      </c>
      <c r="I107" t="s">
        <v>74</v>
      </c>
      <c r="J107" t="s">
        <v>74</v>
      </c>
      <c r="K107" t="s">
        <v>74</v>
      </c>
      <c r="L107" t="s">
        <v>74</v>
      </c>
    </row>
    <row r="108" spans="1:12">
      <c r="A108" t="s">
        <v>3476</v>
      </c>
      <c r="B108" t="s">
        <v>2018</v>
      </c>
      <c r="C108" t="s">
        <v>3477</v>
      </c>
      <c r="D108" t="s">
        <v>3478</v>
      </c>
      <c r="E108" t="s">
        <v>3479</v>
      </c>
      <c r="F108" t="s">
        <v>74</v>
      </c>
      <c r="G108" t="s">
        <v>74</v>
      </c>
      <c r="H108" t="s">
        <v>74</v>
      </c>
      <c r="I108" t="s">
        <v>74</v>
      </c>
      <c r="J108" t="s">
        <v>74</v>
      </c>
      <c r="K108" t="s">
        <v>74</v>
      </c>
      <c r="L108" t="s">
        <v>74</v>
      </c>
    </row>
    <row r="109" spans="1:12">
      <c r="A109" t="s">
        <v>3480</v>
      </c>
      <c r="B109" t="s">
        <v>2018</v>
      </c>
      <c r="C109" t="s">
        <v>3481</v>
      </c>
      <c r="D109" t="s">
        <v>3482</v>
      </c>
      <c r="E109" t="s">
        <v>3483</v>
      </c>
      <c r="F109" t="s">
        <v>74</v>
      </c>
      <c r="G109" t="s">
        <v>74</v>
      </c>
      <c r="H109" t="s">
        <v>74</v>
      </c>
      <c r="I109" t="s">
        <v>74</v>
      </c>
      <c r="J109" t="s">
        <v>74</v>
      </c>
      <c r="K109" t="s">
        <v>74</v>
      </c>
      <c r="L109" t="s">
        <v>74</v>
      </c>
    </row>
    <row r="110" spans="1:12">
      <c r="A110" t="s">
        <v>3484</v>
      </c>
      <c r="B110" t="s">
        <v>2018</v>
      </c>
      <c r="C110" t="s">
        <v>3485</v>
      </c>
      <c r="D110" t="s">
        <v>3486</v>
      </c>
      <c r="E110" t="s">
        <v>3487</v>
      </c>
      <c r="F110" t="s">
        <v>74</v>
      </c>
      <c r="G110" t="s">
        <v>74</v>
      </c>
      <c r="H110" t="s">
        <v>74</v>
      </c>
      <c r="I110" t="s">
        <v>74</v>
      </c>
      <c r="J110" t="s">
        <v>74</v>
      </c>
      <c r="K110" t="s">
        <v>74</v>
      </c>
      <c r="L110" t="s">
        <v>74</v>
      </c>
    </row>
    <row r="111" spans="1:12">
      <c r="A111" t="s">
        <v>3488</v>
      </c>
      <c r="B111" t="s">
        <v>2018</v>
      </c>
      <c r="C111" t="s">
        <v>3489</v>
      </c>
      <c r="D111" t="s">
        <v>3490</v>
      </c>
      <c r="E111" t="s">
        <v>3491</v>
      </c>
      <c r="F111" t="s">
        <v>74</v>
      </c>
      <c r="G111" t="s">
        <v>74</v>
      </c>
      <c r="H111" t="s">
        <v>74</v>
      </c>
      <c r="I111" t="s">
        <v>74</v>
      </c>
      <c r="J111" t="s">
        <v>74</v>
      </c>
      <c r="K111" t="s">
        <v>74</v>
      </c>
      <c r="L111" t="s">
        <v>74</v>
      </c>
    </row>
    <row r="112" spans="1:12">
      <c r="A112" t="s">
        <v>3492</v>
      </c>
      <c r="B112" t="s">
        <v>2018</v>
      </c>
      <c r="C112" t="s">
        <v>3493</v>
      </c>
      <c r="D112" t="s">
        <v>3494</v>
      </c>
      <c r="E112" t="s">
        <v>3495</v>
      </c>
      <c r="F112" t="s">
        <v>74</v>
      </c>
      <c r="G112" t="s">
        <v>74</v>
      </c>
      <c r="H112" t="s">
        <v>74</v>
      </c>
      <c r="I112" t="s">
        <v>74</v>
      </c>
      <c r="J112" t="s">
        <v>74</v>
      </c>
      <c r="K112" t="s">
        <v>74</v>
      </c>
      <c r="L112" t="s">
        <v>74</v>
      </c>
    </row>
    <row r="113" spans="1:12">
      <c r="A113" t="s">
        <v>3496</v>
      </c>
      <c r="B113" t="s">
        <v>2018</v>
      </c>
      <c r="C113" t="s">
        <v>3497</v>
      </c>
      <c r="D113" t="s">
        <v>3498</v>
      </c>
      <c r="E113" t="s">
        <v>3499</v>
      </c>
      <c r="F113" t="s">
        <v>74</v>
      </c>
      <c r="G113" t="s">
        <v>74</v>
      </c>
      <c r="H113" t="s">
        <v>74</v>
      </c>
      <c r="I113" t="s">
        <v>74</v>
      </c>
      <c r="J113" t="s">
        <v>74</v>
      </c>
      <c r="K113" t="s">
        <v>74</v>
      </c>
      <c r="L113" t="s">
        <v>74</v>
      </c>
    </row>
    <row r="114" spans="1:12">
      <c r="A114" t="s">
        <v>3500</v>
      </c>
      <c r="B114" t="s">
        <v>2018</v>
      </c>
      <c r="C114" t="s">
        <v>3501</v>
      </c>
      <c r="D114" t="s">
        <v>3502</v>
      </c>
      <c r="E114" t="s">
        <v>3503</v>
      </c>
      <c r="F114" t="s">
        <v>74</v>
      </c>
      <c r="G114" t="s">
        <v>74</v>
      </c>
      <c r="H114" t="s">
        <v>74</v>
      </c>
      <c r="I114" t="s">
        <v>74</v>
      </c>
      <c r="J114" t="s">
        <v>74</v>
      </c>
      <c r="K114" t="s">
        <v>74</v>
      </c>
      <c r="L114" t="s">
        <v>74</v>
      </c>
    </row>
    <row r="115" spans="1:12">
      <c r="A115" t="s">
        <v>3504</v>
      </c>
      <c r="B115" t="s">
        <v>2018</v>
      </c>
      <c r="C115" t="s">
        <v>3505</v>
      </c>
      <c r="D115" t="s">
        <v>3506</v>
      </c>
      <c r="E115" t="s">
        <v>3507</v>
      </c>
      <c r="F115" t="s">
        <v>74</v>
      </c>
      <c r="G115" t="s">
        <v>74</v>
      </c>
      <c r="H115" t="s">
        <v>74</v>
      </c>
      <c r="I115" t="s">
        <v>74</v>
      </c>
      <c r="J115" t="s">
        <v>74</v>
      </c>
      <c r="K115" t="s">
        <v>74</v>
      </c>
      <c r="L115" t="s">
        <v>74</v>
      </c>
    </row>
    <row r="116" spans="1:12">
      <c r="A116" t="s">
        <v>3508</v>
      </c>
      <c r="B116" t="s">
        <v>2018</v>
      </c>
      <c r="C116" t="s">
        <v>3509</v>
      </c>
      <c r="D116" t="s">
        <v>3510</v>
      </c>
      <c r="E116" t="s">
        <v>3511</v>
      </c>
      <c r="F116" t="s">
        <v>74</v>
      </c>
      <c r="G116" t="s">
        <v>74</v>
      </c>
      <c r="H116" t="s">
        <v>74</v>
      </c>
      <c r="I116" t="s">
        <v>74</v>
      </c>
      <c r="J116" t="s">
        <v>74</v>
      </c>
      <c r="K116" t="s">
        <v>74</v>
      </c>
      <c r="L116" t="s">
        <v>74</v>
      </c>
    </row>
    <row r="117" spans="1:12">
      <c r="A117" t="s">
        <v>3512</v>
      </c>
      <c r="B117" t="s">
        <v>2018</v>
      </c>
      <c r="C117" t="s">
        <v>3513</v>
      </c>
      <c r="D117" t="s">
        <v>3514</v>
      </c>
      <c r="E117" t="s">
        <v>3515</v>
      </c>
      <c r="F117" t="s">
        <v>74</v>
      </c>
      <c r="G117" t="s">
        <v>74</v>
      </c>
      <c r="H117" t="s">
        <v>74</v>
      </c>
      <c r="I117" t="s">
        <v>74</v>
      </c>
      <c r="J117" t="s">
        <v>74</v>
      </c>
      <c r="K117" t="s">
        <v>74</v>
      </c>
      <c r="L117" t="s">
        <v>74</v>
      </c>
    </row>
    <row r="118" spans="1:12">
      <c r="A118" t="s">
        <v>3516</v>
      </c>
      <c r="B118" t="s">
        <v>2018</v>
      </c>
      <c r="C118" t="s">
        <v>3517</v>
      </c>
      <c r="D118" t="s">
        <v>3518</v>
      </c>
      <c r="E118" t="s">
        <v>3519</v>
      </c>
      <c r="F118" t="s">
        <v>74</v>
      </c>
      <c r="G118" t="s">
        <v>74</v>
      </c>
      <c r="H118" t="s">
        <v>74</v>
      </c>
      <c r="I118" t="s">
        <v>74</v>
      </c>
      <c r="J118" t="s">
        <v>74</v>
      </c>
      <c r="K118" t="s">
        <v>74</v>
      </c>
      <c r="L118" t="s">
        <v>74</v>
      </c>
    </row>
    <row r="119" spans="1:12">
      <c r="A119" t="s">
        <v>3520</v>
      </c>
      <c r="B119" t="s">
        <v>2018</v>
      </c>
      <c r="C119" t="s">
        <v>3521</v>
      </c>
      <c r="D119" t="s">
        <v>3522</v>
      </c>
      <c r="E119" t="s">
        <v>3523</v>
      </c>
      <c r="F119" t="s">
        <v>74</v>
      </c>
      <c r="G119" t="s">
        <v>74</v>
      </c>
      <c r="H119" t="s">
        <v>74</v>
      </c>
      <c r="I119" t="s">
        <v>74</v>
      </c>
      <c r="J119" t="s">
        <v>74</v>
      </c>
      <c r="K119" t="s">
        <v>74</v>
      </c>
      <c r="L119" t="s">
        <v>74</v>
      </c>
    </row>
    <row r="120" spans="1:12">
      <c r="A120" t="s">
        <v>3524</v>
      </c>
      <c r="B120" t="s">
        <v>2018</v>
      </c>
      <c r="C120" t="s">
        <v>3525</v>
      </c>
      <c r="D120" t="s">
        <v>3526</v>
      </c>
      <c r="E120" t="s">
        <v>3527</v>
      </c>
      <c r="F120" t="s">
        <v>74</v>
      </c>
      <c r="G120" t="s">
        <v>74</v>
      </c>
      <c r="H120" t="s">
        <v>74</v>
      </c>
      <c r="I120" t="s">
        <v>74</v>
      </c>
      <c r="J120" t="s">
        <v>74</v>
      </c>
      <c r="K120" t="s">
        <v>74</v>
      </c>
      <c r="L120" t="s">
        <v>74</v>
      </c>
    </row>
    <row r="121" spans="1:12">
      <c r="A121" t="s">
        <v>3528</v>
      </c>
      <c r="B121" t="s">
        <v>2018</v>
      </c>
      <c r="C121" t="s">
        <v>3529</v>
      </c>
      <c r="D121" t="s">
        <v>3530</v>
      </c>
      <c r="E121" t="s">
        <v>3531</v>
      </c>
      <c r="F121" t="s">
        <v>74</v>
      </c>
      <c r="G121" t="s">
        <v>74</v>
      </c>
      <c r="H121" t="s">
        <v>74</v>
      </c>
      <c r="I121" t="s">
        <v>74</v>
      </c>
      <c r="J121" t="s">
        <v>74</v>
      </c>
      <c r="K121" t="s">
        <v>74</v>
      </c>
      <c r="L121" t="s">
        <v>74</v>
      </c>
    </row>
    <row r="122" spans="1:12">
      <c r="A122" t="s">
        <v>3532</v>
      </c>
      <c r="B122" t="s">
        <v>2018</v>
      </c>
      <c r="C122" t="s">
        <v>3533</v>
      </c>
      <c r="D122" t="s">
        <v>3534</v>
      </c>
      <c r="E122" t="s">
        <v>3535</v>
      </c>
      <c r="F122" t="s">
        <v>74</v>
      </c>
      <c r="G122" t="s">
        <v>74</v>
      </c>
      <c r="H122" t="s">
        <v>74</v>
      </c>
      <c r="I122" t="s">
        <v>74</v>
      </c>
      <c r="J122" t="s">
        <v>74</v>
      </c>
      <c r="K122" t="s">
        <v>74</v>
      </c>
      <c r="L122" t="s">
        <v>74</v>
      </c>
    </row>
    <row r="123" spans="1:12">
      <c r="A123" t="s">
        <v>3536</v>
      </c>
      <c r="B123" t="s">
        <v>2018</v>
      </c>
      <c r="C123" t="s">
        <v>3537</v>
      </c>
      <c r="D123" t="s">
        <v>3538</v>
      </c>
      <c r="E123" t="s">
        <v>3539</v>
      </c>
      <c r="F123" t="s">
        <v>74</v>
      </c>
      <c r="G123" t="s">
        <v>74</v>
      </c>
      <c r="H123" t="s">
        <v>74</v>
      </c>
      <c r="I123" t="s">
        <v>74</v>
      </c>
      <c r="J123" t="s">
        <v>74</v>
      </c>
      <c r="K123" t="s">
        <v>74</v>
      </c>
      <c r="L123" t="s">
        <v>74</v>
      </c>
    </row>
    <row r="124" spans="1:12">
      <c r="A124" t="s">
        <v>3540</v>
      </c>
      <c r="B124" t="s">
        <v>2018</v>
      </c>
      <c r="C124" t="s">
        <v>3541</v>
      </c>
      <c r="D124" t="s">
        <v>3542</v>
      </c>
      <c r="E124" t="s">
        <v>3543</v>
      </c>
      <c r="F124" t="s">
        <v>74</v>
      </c>
      <c r="G124" t="s">
        <v>74</v>
      </c>
      <c r="H124" t="s">
        <v>74</v>
      </c>
      <c r="I124" t="s">
        <v>74</v>
      </c>
      <c r="J124" t="s">
        <v>74</v>
      </c>
      <c r="K124" t="s">
        <v>74</v>
      </c>
      <c r="L124" t="s">
        <v>74</v>
      </c>
    </row>
    <row r="125" spans="1:12">
      <c r="A125" t="s">
        <v>3544</v>
      </c>
      <c r="B125" t="s">
        <v>2018</v>
      </c>
      <c r="C125" t="s">
        <v>3545</v>
      </c>
      <c r="D125" t="s">
        <v>3546</v>
      </c>
      <c r="E125" t="s">
        <v>3547</v>
      </c>
      <c r="F125" t="s">
        <v>74</v>
      </c>
      <c r="G125" t="s">
        <v>74</v>
      </c>
      <c r="H125" t="s">
        <v>74</v>
      </c>
      <c r="I125" t="s">
        <v>74</v>
      </c>
      <c r="J125" t="s">
        <v>74</v>
      </c>
      <c r="K125" t="s">
        <v>74</v>
      </c>
      <c r="L125" t="s">
        <v>74</v>
      </c>
    </row>
    <row r="126" spans="1:12">
      <c r="A126" t="s">
        <v>3548</v>
      </c>
      <c r="B126" t="s">
        <v>2018</v>
      </c>
      <c r="C126" t="s">
        <v>3549</v>
      </c>
      <c r="D126" t="s">
        <v>3550</v>
      </c>
      <c r="E126" t="s">
        <v>3551</v>
      </c>
      <c r="F126" t="s">
        <v>74</v>
      </c>
      <c r="G126" t="s">
        <v>74</v>
      </c>
      <c r="H126" t="s">
        <v>74</v>
      </c>
      <c r="I126" t="s">
        <v>74</v>
      </c>
      <c r="J126" t="s">
        <v>74</v>
      </c>
      <c r="K126" t="s">
        <v>74</v>
      </c>
      <c r="L126" t="s">
        <v>74</v>
      </c>
    </row>
    <row r="127" spans="1:12">
      <c r="A127" t="s">
        <v>3552</v>
      </c>
      <c r="B127" t="s">
        <v>2018</v>
      </c>
      <c r="C127" t="s">
        <v>3553</v>
      </c>
      <c r="D127" t="s">
        <v>3554</v>
      </c>
      <c r="E127" t="s">
        <v>3555</v>
      </c>
      <c r="F127" t="s">
        <v>74</v>
      </c>
      <c r="G127" t="s">
        <v>74</v>
      </c>
      <c r="H127" t="s">
        <v>74</v>
      </c>
      <c r="I127" t="s">
        <v>74</v>
      </c>
      <c r="J127" t="s">
        <v>74</v>
      </c>
      <c r="K127" t="s">
        <v>74</v>
      </c>
      <c r="L127" t="s">
        <v>74</v>
      </c>
    </row>
    <row r="128" spans="1:12">
      <c r="A128" t="s">
        <v>3556</v>
      </c>
      <c r="B128" t="s">
        <v>2018</v>
      </c>
      <c r="C128" t="s">
        <v>3557</v>
      </c>
      <c r="D128" t="s">
        <v>3558</v>
      </c>
      <c r="E128" t="s">
        <v>3559</v>
      </c>
      <c r="F128" t="s">
        <v>74</v>
      </c>
      <c r="G128" t="s">
        <v>74</v>
      </c>
      <c r="H128" t="s">
        <v>74</v>
      </c>
      <c r="I128" t="s">
        <v>74</v>
      </c>
      <c r="J128" t="s">
        <v>74</v>
      </c>
      <c r="K128" t="s">
        <v>74</v>
      </c>
      <c r="L128" t="s">
        <v>74</v>
      </c>
    </row>
    <row r="129" spans="1:12">
      <c r="A129" t="s">
        <v>3560</v>
      </c>
      <c r="B129" t="s">
        <v>2018</v>
      </c>
      <c r="C129" t="s">
        <v>3561</v>
      </c>
      <c r="D129" t="s">
        <v>3562</v>
      </c>
      <c r="E129" t="s">
        <v>3563</v>
      </c>
      <c r="F129" t="s">
        <v>74</v>
      </c>
      <c r="G129" t="s">
        <v>74</v>
      </c>
      <c r="H129" t="s">
        <v>74</v>
      </c>
      <c r="I129" t="s">
        <v>74</v>
      </c>
      <c r="J129" t="s">
        <v>74</v>
      </c>
      <c r="K129" t="s">
        <v>74</v>
      </c>
      <c r="L129" t="s">
        <v>74</v>
      </c>
    </row>
    <row r="130" spans="1:12">
      <c r="A130" t="s">
        <v>3564</v>
      </c>
      <c r="B130" t="s">
        <v>2018</v>
      </c>
      <c r="C130" t="s">
        <v>3565</v>
      </c>
      <c r="D130" t="s">
        <v>3566</v>
      </c>
      <c r="E130" t="s">
        <v>3567</v>
      </c>
      <c r="F130" t="s">
        <v>74</v>
      </c>
      <c r="G130" t="s">
        <v>74</v>
      </c>
      <c r="H130" t="s">
        <v>74</v>
      </c>
      <c r="I130" t="s">
        <v>74</v>
      </c>
      <c r="J130" t="s">
        <v>74</v>
      </c>
      <c r="K130" t="s">
        <v>74</v>
      </c>
      <c r="L130" t="s">
        <v>74</v>
      </c>
    </row>
    <row r="131" spans="1:12">
      <c r="A131" t="s">
        <v>3568</v>
      </c>
      <c r="B131" t="s">
        <v>2018</v>
      </c>
      <c r="C131" t="s">
        <v>3569</v>
      </c>
      <c r="D131" t="s">
        <v>3570</v>
      </c>
      <c r="E131" t="s">
        <v>3571</v>
      </c>
      <c r="F131" t="s">
        <v>74</v>
      </c>
      <c r="G131" t="s">
        <v>74</v>
      </c>
      <c r="H131" t="s">
        <v>74</v>
      </c>
      <c r="I131" t="s">
        <v>74</v>
      </c>
      <c r="J131" t="s">
        <v>74</v>
      </c>
      <c r="K131" t="s">
        <v>74</v>
      </c>
      <c r="L131" t="s">
        <v>74</v>
      </c>
    </row>
    <row r="132" spans="1:12">
      <c r="A132" t="s">
        <v>3572</v>
      </c>
      <c r="B132" t="s">
        <v>2018</v>
      </c>
      <c r="C132" t="s">
        <v>3573</v>
      </c>
      <c r="D132" t="s">
        <v>3574</v>
      </c>
      <c r="E132" t="s">
        <v>3575</v>
      </c>
      <c r="F132" t="s">
        <v>74</v>
      </c>
      <c r="G132" t="s">
        <v>74</v>
      </c>
      <c r="H132" t="s">
        <v>74</v>
      </c>
      <c r="I132" t="s">
        <v>74</v>
      </c>
      <c r="J132" t="s">
        <v>74</v>
      </c>
      <c r="K132" t="s">
        <v>74</v>
      </c>
      <c r="L132" t="s">
        <v>74</v>
      </c>
    </row>
    <row r="133" spans="1:12">
      <c r="A133" t="s">
        <v>3012</v>
      </c>
      <c r="B133" t="s">
        <v>3034</v>
      </c>
      <c r="C133" t="s">
        <v>3098</v>
      </c>
      <c r="D133" t="s">
        <v>3576</v>
      </c>
      <c r="E133" t="s">
        <v>3577</v>
      </c>
      <c r="F133" t="s">
        <v>74</v>
      </c>
      <c r="G133" t="s">
        <v>74</v>
      </c>
      <c r="H133" t="s">
        <v>74</v>
      </c>
      <c r="I133" t="s">
        <v>74</v>
      </c>
      <c r="J133" t="s">
        <v>74</v>
      </c>
      <c r="K133" t="s">
        <v>74</v>
      </c>
      <c r="L133" t="s">
        <v>74</v>
      </c>
    </row>
    <row r="134" spans="1:12">
      <c r="A134" t="s">
        <v>3578</v>
      </c>
      <c r="B134" t="s">
        <v>3034</v>
      </c>
      <c r="C134" t="s">
        <v>3579</v>
      </c>
      <c r="D134" t="s">
        <v>3580</v>
      </c>
      <c r="E134" t="s">
        <v>3581</v>
      </c>
      <c r="F134" t="s">
        <v>74</v>
      </c>
      <c r="G134" t="s">
        <v>74</v>
      </c>
      <c r="H134" t="s">
        <v>74</v>
      </c>
      <c r="I134" t="s">
        <v>74</v>
      </c>
      <c r="J134" t="s">
        <v>74</v>
      </c>
      <c r="K134" t="s">
        <v>74</v>
      </c>
      <c r="L134" t="s">
        <v>74</v>
      </c>
    </row>
    <row r="135" spans="1:12">
      <c r="A135" t="s">
        <v>3582</v>
      </c>
      <c r="B135" t="s">
        <v>3034</v>
      </c>
      <c r="C135" t="s">
        <v>2905</v>
      </c>
      <c r="D135" t="s">
        <v>3583</v>
      </c>
      <c r="E135" t="s">
        <v>3584</v>
      </c>
      <c r="F135" t="s">
        <v>74</v>
      </c>
      <c r="G135" t="s">
        <v>74</v>
      </c>
      <c r="H135" t="s">
        <v>74</v>
      </c>
      <c r="I135" t="s">
        <v>74</v>
      </c>
      <c r="J135" t="s">
        <v>74</v>
      </c>
      <c r="K135" t="s">
        <v>74</v>
      </c>
      <c r="L135" t="s">
        <v>74</v>
      </c>
    </row>
    <row r="136" spans="1:12">
      <c r="A136" t="s">
        <v>3585</v>
      </c>
      <c r="B136" t="s">
        <v>3034</v>
      </c>
      <c r="C136" t="s">
        <v>3586</v>
      </c>
      <c r="D136" t="s">
        <v>3587</v>
      </c>
      <c r="E136" t="s">
        <v>3588</v>
      </c>
      <c r="F136" t="s">
        <v>74</v>
      </c>
      <c r="G136" t="s">
        <v>74</v>
      </c>
      <c r="H136" t="s">
        <v>74</v>
      </c>
      <c r="I136" t="s">
        <v>74</v>
      </c>
      <c r="J136" t="s">
        <v>74</v>
      </c>
      <c r="K136" t="s">
        <v>74</v>
      </c>
      <c r="L136" t="s">
        <v>74</v>
      </c>
    </row>
    <row r="137" spans="1:12">
      <c r="A137" t="s">
        <v>3589</v>
      </c>
      <c r="B137" t="s">
        <v>3034</v>
      </c>
      <c r="C137" t="s">
        <v>3590</v>
      </c>
      <c r="D137" t="s">
        <v>3591</v>
      </c>
      <c r="E137" t="s">
        <v>3592</v>
      </c>
      <c r="F137" t="s">
        <v>74</v>
      </c>
      <c r="G137" t="s">
        <v>74</v>
      </c>
      <c r="H137" t="s">
        <v>74</v>
      </c>
      <c r="I137" t="s">
        <v>74</v>
      </c>
      <c r="J137" t="s">
        <v>74</v>
      </c>
      <c r="K137" t="s">
        <v>74</v>
      </c>
      <c r="L137" t="s">
        <v>74</v>
      </c>
    </row>
    <row r="138" spans="1:12">
      <c r="A138" t="s">
        <v>3593</v>
      </c>
      <c r="B138" t="s">
        <v>122</v>
      </c>
      <c r="C138" t="s">
        <v>3594</v>
      </c>
      <c r="D138" t="s">
        <v>3595</v>
      </c>
      <c r="E138" t="s">
        <v>3596</v>
      </c>
      <c r="F138" t="s">
        <v>74</v>
      </c>
      <c r="G138" t="s">
        <v>74</v>
      </c>
      <c r="H138" t="s">
        <v>74</v>
      </c>
      <c r="I138" t="s">
        <v>74</v>
      </c>
      <c r="J138" t="s">
        <v>74</v>
      </c>
      <c r="K138" t="s">
        <v>74</v>
      </c>
      <c r="L138" t="s">
        <v>74</v>
      </c>
    </row>
    <row r="139" spans="1:12">
      <c r="A139" t="s">
        <v>3597</v>
      </c>
      <c r="B139" t="s">
        <v>122</v>
      </c>
      <c r="C139" t="s">
        <v>3598</v>
      </c>
      <c r="D139" t="s">
        <v>3599</v>
      </c>
      <c r="E139" t="s">
        <v>3600</v>
      </c>
      <c r="F139" t="s">
        <v>74</v>
      </c>
      <c r="G139" t="s">
        <v>74</v>
      </c>
      <c r="H139" t="s">
        <v>74</v>
      </c>
      <c r="I139" t="s">
        <v>74</v>
      </c>
      <c r="J139" t="s">
        <v>74</v>
      </c>
      <c r="K139" t="s">
        <v>74</v>
      </c>
      <c r="L139" t="s">
        <v>74</v>
      </c>
    </row>
    <row r="140" spans="1:12">
      <c r="A140" t="s">
        <v>3601</v>
      </c>
      <c r="B140" t="s">
        <v>122</v>
      </c>
      <c r="C140" t="s">
        <v>3602</v>
      </c>
      <c r="D140" t="s">
        <v>3603</v>
      </c>
      <c r="E140" t="s">
        <v>3604</v>
      </c>
      <c r="F140" t="s">
        <v>74</v>
      </c>
      <c r="G140" t="s">
        <v>74</v>
      </c>
      <c r="H140" t="s">
        <v>74</v>
      </c>
      <c r="I140" t="s">
        <v>74</v>
      </c>
      <c r="J140" t="s">
        <v>74</v>
      </c>
      <c r="K140" t="s">
        <v>74</v>
      </c>
      <c r="L140" t="s">
        <v>74</v>
      </c>
    </row>
    <row r="141" spans="1:12">
      <c r="A141" t="s">
        <v>3605</v>
      </c>
      <c r="B141" t="s">
        <v>122</v>
      </c>
      <c r="C141" t="s">
        <v>3606</v>
      </c>
      <c r="D141" t="s">
        <v>3607</v>
      </c>
      <c r="E141" t="s">
        <v>3608</v>
      </c>
      <c r="F141" t="s">
        <v>74</v>
      </c>
      <c r="G141" t="s">
        <v>74</v>
      </c>
      <c r="H141" t="s">
        <v>74</v>
      </c>
      <c r="I141" t="s">
        <v>74</v>
      </c>
      <c r="J141" t="s">
        <v>74</v>
      </c>
      <c r="K141" t="s">
        <v>74</v>
      </c>
      <c r="L141" t="s">
        <v>74</v>
      </c>
    </row>
    <row r="142" spans="1:12">
      <c r="A142" t="s">
        <v>3609</v>
      </c>
      <c r="B142" t="s">
        <v>3112</v>
      </c>
      <c r="C142" t="s">
        <v>3610</v>
      </c>
      <c r="D142" t="s">
        <v>3611</v>
      </c>
      <c r="E142" t="s">
        <v>3612</v>
      </c>
      <c r="F142" t="s">
        <v>74</v>
      </c>
      <c r="G142" t="s">
        <v>74</v>
      </c>
      <c r="H142" t="s">
        <v>74</v>
      </c>
      <c r="I142" t="s">
        <v>74</v>
      </c>
      <c r="J142" t="s">
        <v>74</v>
      </c>
      <c r="K142" t="s">
        <v>74</v>
      </c>
      <c r="L142" t="s">
        <v>74</v>
      </c>
    </row>
    <row r="143" spans="1:12">
      <c r="A143" t="s">
        <v>3613</v>
      </c>
      <c r="B143" t="s">
        <v>3112</v>
      </c>
      <c r="C143" t="s">
        <v>3614</v>
      </c>
      <c r="D143" t="s">
        <v>3615</v>
      </c>
      <c r="E143" t="s">
        <v>3616</v>
      </c>
      <c r="F143" t="s">
        <v>74</v>
      </c>
      <c r="G143" t="s">
        <v>74</v>
      </c>
      <c r="H143" t="s">
        <v>74</v>
      </c>
      <c r="I143" t="s">
        <v>74</v>
      </c>
      <c r="J143" t="s">
        <v>74</v>
      </c>
      <c r="K143" t="s">
        <v>74</v>
      </c>
      <c r="L143" t="s">
        <v>74</v>
      </c>
    </row>
    <row r="144" spans="1:12">
      <c r="A144" t="s">
        <v>3013</v>
      </c>
      <c r="B144" t="s">
        <v>3112</v>
      </c>
      <c r="C144" t="s">
        <v>3113</v>
      </c>
      <c r="D144" t="s">
        <v>3617</v>
      </c>
      <c r="E144" t="s">
        <v>3618</v>
      </c>
      <c r="F144" t="s">
        <v>74</v>
      </c>
      <c r="G144" t="s">
        <v>74</v>
      </c>
      <c r="H144" t="s">
        <v>74</v>
      </c>
      <c r="I144" t="s">
        <v>74</v>
      </c>
      <c r="J144" t="s">
        <v>74</v>
      </c>
      <c r="K144" t="s">
        <v>74</v>
      </c>
      <c r="L144" t="s">
        <v>74</v>
      </c>
    </row>
    <row r="145" spans="1:12">
      <c r="A145" t="s">
        <v>3619</v>
      </c>
      <c r="B145" t="s">
        <v>2018</v>
      </c>
      <c r="C145" t="s">
        <v>3620</v>
      </c>
      <c r="D145" t="s">
        <v>3621</v>
      </c>
      <c r="E145" t="s">
        <v>3622</v>
      </c>
      <c r="F145" t="s">
        <v>74</v>
      </c>
      <c r="G145" t="s">
        <v>74</v>
      </c>
      <c r="H145" t="s">
        <v>74</v>
      </c>
      <c r="I145" t="s">
        <v>74</v>
      </c>
      <c r="J145" t="s">
        <v>74</v>
      </c>
      <c r="K145" t="s">
        <v>74</v>
      </c>
      <c r="L145" t="s">
        <v>74</v>
      </c>
    </row>
    <row r="146" spans="1:12">
      <c r="A146" t="s">
        <v>3623</v>
      </c>
      <c r="B146" t="s">
        <v>2018</v>
      </c>
      <c r="C146" t="s">
        <v>2900</v>
      </c>
      <c r="D146" t="s">
        <v>3624</v>
      </c>
      <c r="E146" t="s">
        <v>3625</v>
      </c>
      <c r="F146" t="s">
        <v>74</v>
      </c>
      <c r="G146" t="s">
        <v>74</v>
      </c>
      <c r="H146" t="s">
        <v>74</v>
      </c>
      <c r="I146" t="s">
        <v>74</v>
      </c>
      <c r="J146" t="s">
        <v>74</v>
      </c>
      <c r="K146" t="s">
        <v>74</v>
      </c>
      <c r="L146" t="s">
        <v>74</v>
      </c>
    </row>
    <row r="147" spans="1:12">
      <c r="A147" t="s">
        <v>3626</v>
      </c>
      <c r="B147" t="s">
        <v>2018</v>
      </c>
      <c r="C147" t="s">
        <v>3627</v>
      </c>
      <c r="D147" t="s">
        <v>3628</v>
      </c>
      <c r="E147" t="s">
        <v>3629</v>
      </c>
      <c r="F147" t="s">
        <v>74</v>
      </c>
      <c r="G147" t="s">
        <v>74</v>
      </c>
      <c r="H147" t="s">
        <v>74</v>
      </c>
      <c r="I147" t="s">
        <v>74</v>
      </c>
      <c r="J147" t="s">
        <v>74</v>
      </c>
      <c r="K147" t="s">
        <v>74</v>
      </c>
      <c r="L147" t="s">
        <v>74</v>
      </c>
    </row>
    <row r="148" spans="1:12">
      <c r="A148" t="s">
        <v>3630</v>
      </c>
      <c r="B148" t="s">
        <v>2018</v>
      </c>
      <c r="C148" t="s">
        <v>3631</v>
      </c>
      <c r="D148" t="s">
        <v>3632</v>
      </c>
      <c r="E148" t="s">
        <v>3633</v>
      </c>
      <c r="F148" t="s">
        <v>74</v>
      </c>
      <c r="G148" t="s">
        <v>74</v>
      </c>
      <c r="H148" t="s">
        <v>74</v>
      </c>
      <c r="I148" t="s">
        <v>74</v>
      </c>
      <c r="J148" t="s">
        <v>74</v>
      </c>
      <c r="K148" t="s">
        <v>74</v>
      </c>
      <c r="L148" t="s">
        <v>74</v>
      </c>
    </row>
    <row r="149" spans="1:12">
      <c r="A149" t="s">
        <v>3634</v>
      </c>
      <c r="B149" t="s">
        <v>2018</v>
      </c>
      <c r="C149" t="s">
        <v>3635</v>
      </c>
      <c r="D149" t="s">
        <v>3636</v>
      </c>
      <c r="E149" t="s">
        <v>3637</v>
      </c>
      <c r="F149" t="s">
        <v>74</v>
      </c>
      <c r="G149" t="s">
        <v>74</v>
      </c>
      <c r="H149" t="s">
        <v>74</v>
      </c>
      <c r="I149" t="s">
        <v>74</v>
      </c>
      <c r="J149" t="s">
        <v>74</v>
      </c>
      <c r="K149" t="s">
        <v>74</v>
      </c>
      <c r="L149" t="s">
        <v>74</v>
      </c>
    </row>
    <row r="150" spans="1:12">
      <c r="A150" t="s">
        <v>3638</v>
      </c>
      <c r="B150" t="s">
        <v>2018</v>
      </c>
      <c r="C150" t="s">
        <v>3639</v>
      </c>
      <c r="D150" t="s">
        <v>3640</v>
      </c>
      <c r="E150" t="s">
        <v>3641</v>
      </c>
      <c r="F150" t="s">
        <v>74</v>
      </c>
      <c r="G150" t="s">
        <v>74</v>
      </c>
      <c r="H150" t="s">
        <v>74</v>
      </c>
      <c r="I150" t="s">
        <v>74</v>
      </c>
      <c r="J150" t="s">
        <v>74</v>
      </c>
      <c r="K150" t="s">
        <v>74</v>
      </c>
      <c r="L150" t="s">
        <v>74</v>
      </c>
    </row>
    <row r="151" spans="1:12">
      <c r="A151" t="s">
        <v>3642</v>
      </c>
      <c r="B151" t="s">
        <v>2018</v>
      </c>
      <c r="C151" t="s">
        <v>3643</v>
      </c>
      <c r="D151" t="s">
        <v>3644</v>
      </c>
      <c r="E151" t="s">
        <v>3645</v>
      </c>
      <c r="F151" t="s">
        <v>74</v>
      </c>
      <c r="G151" t="s">
        <v>74</v>
      </c>
      <c r="H151" t="s">
        <v>74</v>
      </c>
      <c r="I151" t="s">
        <v>74</v>
      </c>
      <c r="J151" t="s">
        <v>74</v>
      </c>
      <c r="K151" t="s">
        <v>74</v>
      </c>
      <c r="L151" t="s">
        <v>74</v>
      </c>
    </row>
    <row r="152" spans="1:12">
      <c r="A152" t="s">
        <v>3646</v>
      </c>
      <c r="B152" t="s">
        <v>2018</v>
      </c>
      <c r="C152" t="s">
        <v>3647</v>
      </c>
      <c r="D152" t="s">
        <v>3648</v>
      </c>
      <c r="E152" t="s">
        <v>3649</v>
      </c>
      <c r="F152" t="s">
        <v>74</v>
      </c>
      <c r="G152" t="s">
        <v>74</v>
      </c>
      <c r="H152" t="s">
        <v>74</v>
      </c>
      <c r="I152" t="s">
        <v>74</v>
      </c>
      <c r="J152" t="s">
        <v>74</v>
      </c>
      <c r="K152" t="s">
        <v>74</v>
      </c>
      <c r="L152" t="s">
        <v>74</v>
      </c>
    </row>
    <row r="153" spans="1:12">
      <c r="A153" t="s">
        <v>3650</v>
      </c>
      <c r="B153" t="s">
        <v>2018</v>
      </c>
      <c r="C153" t="s">
        <v>3651</v>
      </c>
      <c r="D153" t="s">
        <v>3652</v>
      </c>
      <c r="E153" t="s">
        <v>3653</v>
      </c>
      <c r="F153" t="s">
        <v>74</v>
      </c>
      <c r="G153" t="s">
        <v>74</v>
      </c>
      <c r="H153" t="s">
        <v>74</v>
      </c>
      <c r="I153" t="s">
        <v>74</v>
      </c>
      <c r="J153" t="s">
        <v>74</v>
      </c>
      <c r="K153" t="s">
        <v>74</v>
      </c>
      <c r="L153" t="s">
        <v>74</v>
      </c>
    </row>
    <row r="154" spans="1:12">
      <c r="A154" t="s">
        <v>3654</v>
      </c>
      <c r="B154" t="s">
        <v>2018</v>
      </c>
      <c r="C154" t="s">
        <v>3655</v>
      </c>
      <c r="D154" t="s">
        <v>3656</v>
      </c>
      <c r="E154" t="s">
        <v>3657</v>
      </c>
      <c r="F154" t="s">
        <v>74</v>
      </c>
      <c r="G154" t="s">
        <v>74</v>
      </c>
      <c r="H154" t="s">
        <v>74</v>
      </c>
      <c r="I154" t="s">
        <v>74</v>
      </c>
      <c r="J154" t="s">
        <v>74</v>
      </c>
      <c r="K154" t="s">
        <v>74</v>
      </c>
      <c r="L154" t="s">
        <v>74</v>
      </c>
    </row>
    <row r="155" spans="1:12">
      <c r="A155" t="s">
        <v>2029</v>
      </c>
      <c r="B155" t="s">
        <v>2029</v>
      </c>
      <c r="E155" t="s">
        <v>3658</v>
      </c>
      <c r="F155" t="s">
        <v>74</v>
      </c>
      <c r="G155" t="s">
        <v>74</v>
      </c>
      <c r="H155" t="s">
        <v>74</v>
      </c>
      <c r="I155" t="s">
        <v>74</v>
      </c>
      <c r="J155" t="s">
        <v>74</v>
      </c>
      <c r="K155" t="s">
        <v>74</v>
      </c>
      <c r="L155" t="s">
        <v>74</v>
      </c>
    </row>
    <row r="156" spans="1:12">
      <c r="A156" t="s">
        <v>2028</v>
      </c>
      <c r="B156" t="s">
        <v>2028</v>
      </c>
      <c r="E156" t="s">
        <v>3659</v>
      </c>
      <c r="F156" t="s">
        <v>74</v>
      </c>
      <c r="G156" t="s">
        <v>74</v>
      </c>
      <c r="H156" t="s">
        <v>74</v>
      </c>
      <c r="I156" t="s">
        <v>74</v>
      </c>
      <c r="J156" t="s">
        <v>74</v>
      </c>
      <c r="K156" t="s">
        <v>74</v>
      </c>
      <c r="L156" t="s">
        <v>74</v>
      </c>
    </row>
    <row r="157" spans="1:12">
      <c r="A157" t="s">
        <v>122</v>
      </c>
      <c r="B157" t="s">
        <v>122</v>
      </c>
      <c r="E157" t="s">
        <v>3660</v>
      </c>
      <c r="F157" t="s">
        <v>74</v>
      </c>
      <c r="G157" t="s">
        <v>74</v>
      </c>
      <c r="H157" t="s">
        <v>74</v>
      </c>
      <c r="I157" t="s">
        <v>74</v>
      </c>
      <c r="J157" t="s">
        <v>74</v>
      </c>
      <c r="K157" t="s">
        <v>74</v>
      </c>
      <c r="L157" t="s">
        <v>74</v>
      </c>
    </row>
    <row r="158" spans="1:12">
      <c r="A158" t="s">
        <v>2026</v>
      </c>
      <c r="B158" t="s">
        <v>2026</v>
      </c>
      <c r="E158" t="s">
        <v>3661</v>
      </c>
      <c r="F158" t="s">
        <v>74</v>
      </c>
      <c r="G158" t="s">
        <v>74</v>
      </c>
      <c r="H158" t="s">
        <v>74</v>
      </c>
      <c r="I158" t="s">
        <v>74</v>
      </c>
      <c r="J158" t="s">
        <v>74</v>
      </c>
      <c r="K158" t="s">
        <v>74</v>
      </c>
      <c r="L158" t="s">
        <v>74</v>
      </c>
    </row>
    <row r="159" spans="1:12">
      <c r="A159" t="s">
        <v>2023</v>
      </c>
      <c r="B159" t="s">
        <v>2023</v>
      </c>
      <c r="E159" t="s">
        <v>3662</v>
      </c>
      <c r="F159" t="s">
        <v>74</v>
      </c>
      <c r="G159" t="s">
        <v>74</v>
      </c>
      <c r="H159" t="s">
        <v>74</v>
      </c>
      <c r="I159" t="s">
        <v>74</v>
      </c>
      <c r="J159" t="s">
        <v>74</v>
      </c>
      <c r="K159" t="s">
        <v>74</v>
      </c>
      <c r="L159" t="s">
        <v>74</v>
      </c>
    </row>
    <row r="160" spans="1:12">
      <c r="A160" t="s">
        <v>2520</v>
      </c>
      <c r="B160" t="s">
        <v>2520</v>
      </c>
      <c r="E160" t="s">
        <v>3663</v>
      </c>
      <c r="F160" t="s">
        <v>74</v>
      </c>
      <c r="G160" t="s">
        <v>74</v>
      </c>
      <c r="H160" t="s">
        <v>74</v>
      </c>
      <c r="I160" t="s">
        <v>74</v>
      </c>
      <c r="J160" t="s">
        <v>74</v>
      </c>
      <c r="K160" t="s">
        <v>74</v>
      </c>
      <c r="L160" t="s">
        <v>74</v>
      </c>
    </row>
    <row r="161" spans="1:12">
      <c r="A161" t="s">
        <v>2024</v>
      </c>
      <c r="B161" t="s">
        <v>2024</v>
      </c>
      <c r="E161" t="s">
        <v>3664</v>
      </c>
      <c r="F161" t="s">
        <v>74</v>
      </c>
      <c r="G161" t="s">
        <v>74</v>
      </c>
      <c r="H161" t="s">
        <v>74</v>
      </c>
      <c r="I161" t="s">
        <v>74</v>
      </c>
      <c r="J161" t="s">
        <v>74</v>
      </c>
      <c r="K161" t="s">
        <v>74</v>
      </c>
      <c r="L161" t="s">
        <v>74</v>
      </c>
    </row>
    <row r="162" spans="1:12">
      <c r="A162" t="s">
        <v>2025</v>
      </c>
      <c r="B162" t="s">
        <v>2025</v>
      </c>
      <c r="E162" t="s">
        <v>3665</v>
      </c>
      <c r="F162" t="s">
        <v>74</v>
      </c>
      <c r="G162" t="s">
        <v>74</v>
      </c>
      <c r="H162" t="s">
        <v>74</v>
      </c>
      <c r="I162" t="s">
        <v>74</v>
      </c>
      <c r="J162" t="s">
        <v>74</v>
      </c>
      <c r="K162" t="s">
        <v>74</v>
      </c>
      <c r="L162" t="s">
        <v>74</v>
      </c>
    </row>
    <row r="163" spans="1:12">
      <c r="A163" t="s">
        <v>2521</v>
      </c>
      <c r="B163" t="s">
        <v>2521</v>
      </c>
      <c r="E163" t="s">
        <v>3666</v>
      </c>
      <c r="F163" t="s">
        <v>74</v>
      </c>
      <c r="G163" t="s">
        <v>74</v>
      </c>
      <c r="H163" t="s">
        <v>74</v>
      </c>
      <c r="I163" t="s">
        <v>74</v>
      </c>
      <c r="J163" t="s">
        <v>74</v>
      </c>
      <c r="K163" t="s">
        <v>74</v>
      </c>
      <c r="L163" t="s">
        <v>74</v>
      </c>
    </row>
    <row r="164" spans="1:12">
      <c r="A164" t="s">
        <v>2019</v>
      </c>
      <c r="B164" t="s">
        <v>2019</v>
      </c>
      <c r="E164" t="s">
        <v>3667</v>
      </c>
      <c r="F164" t="s">
        <v>74</v>
      </c>
      <c r="G164" t="s">
        <v>74</v>
      </c>
      <c r="H164" t="s">
        <v>74</v>
      </c>
      <c r="I164" t="s">
        <v>74</v>
      </c>
      <c r="J164" t="s">
        <v>74</v>
      </c>
      <c r="K164" t="s">
        <v>74</v>
      </c>
      <c r="L164" t="s">
        <v>74</v>
      </c>
    </row>
    <row r="165" spans="1:12">
      <c r="A165" t="s">
        <v>2174</v>
      </c>
      <c r="B165" t="s">
        <v>2174</v>
      </c>
      <c r="E165" t="s">
        <v>3668</v>
      </c>
      <c r="F165" t="s">
        <v>74</v>
      </c>
      <c r="G165" t="s">
        <v>74</v>
      </c>
      <c r="H165" t="s">
        <v>74</v>
      </c>
      <c r="I165" t="s">
        <v>74</v>
      </c>
      <c r="J165" t="s">
        <v>74</v>
      </c>
      <c r="K165" t="s">
        <v>74</v>
      </c>
      <c r="L165" t="s">
        <v>74</v>
      </c>
    </row>
    <row r="166" spans="1:12">
      <c r="A166" t="s">
        <v>2030</v>
      </c>
      <c r="B166" t="s">
        <v>2030</v>
      </c>
      <c r="E166" t="s">
        <v>3669</v>
      </c>
      <c r="F166" t="s">
        <v>74</v>
      </c>
      <c r="G166" t="s">
        <v>74</v>
      </c>
      <c r="H166" t="s">
        <v>74</v>
      </c>
      <c r="I166" t="s">
        <v>74</v>
      </c>
      <c r="J166" t="s">
        <v>74</v>
      </c>
      <c r="K166" t="s">
        <v>74</v>
      </c>
      <c r="L166" t="s">
        <v>74</v>
      </c>
    </row>
    <row r="167" spans="1:12">
      <c r="A167" t="s">
        <v>2515</v>
      </c>
      <c r="B167" t="s">
        <v>2022</v>
      </c>
      <c r="C167" t="s">
        <v>2514</v>
      </c>
      <c r="E167" t="s">
        <v>3670</v>
      </c>
      <c r="F167" t="s">
        <v>74</v>
      </c>
      <c r="G167" t="s">
        <v>74</v>
      </c>
      <c r="H167" t="s">
        <v>74</v>
      </c>
      <c r="I167" t="s">
        <v>74</v>
      </c>
      <c r="J167" t="s">
        <v>74</v>
      </c>
      <c r="K167" t="s">
        <v>74</v>
      </c>
      <c r="L167" t="s">
        <v>74</v>
      </c>
    </row>
    <row r="168" spans="1:12">
      <c r="A168" t="s">
        <v>2022</v>
      </c>
      <c r="B168" t="s">
        <v>2022</v>
      </c>
      <c r="E168" t="s">
        <v>3671</v>
      </c>
      <c r="F168" t="s">
        <v>74</v>
      </c>
      <c r="G168" t="s">
        <v>74</v>
      </c>
      <c r="H168" t="s">
        <v>74</v>
      </c>
      <c r="I168" t="s">
        <v>74</v>
      </c>
      <c r="J168" t="s">
        <v>74</v>
      </c>
      <c r="K168" t="s">
        <v>74</v>
      </c>
      <c r="L168" t="s">
        <v>74</v>
      </c>
    </row>
    <row r="169" spans="1:12">
      <c r="A169" t="s">
        <v>2020</v>
      </c>
      <c r="B169" t="s">
        <v>2020</v>
      </c>
      <c r="E169" t="s">
        <v>3672</v>
      </c>
      <c r="F169" t="s">
        <v>74</v>
      </c>
      <c r="G169" t="s">
        <v>74</v>
      </c>
      <c r="H169" t="s">
        <v>74</v>
      </c>
      <c r="I169" t="s">
        <v>74</v>
      </c>
      <c r="J169" t="s">
        <v>74</v>
      </c>
      <c r="K169" t="s">
        <v>74</v>
      </c>
      <c r="L169" t="s">
        <v>74</v>
      </c>
    </row>
    <row r="170" spans="1:12">
      <c r="A170" t="s">
        <v>2018</v>
      </c>
      <c r="B170" t="s">
        <v>2018</v>
      </c>
      <c r="E170" t="s">
        <v>3673</v>
      </c>
      <c r="F170" t="s">
        <v>74</v>
      </c>
      <c r="G170" t="s">
        <v>74</v>
      </c>
      <c r="H170" t="s">
        <v>74</v>
      </c>
      <c r="I170" t="s">
        <v>74</v>
      </c>
      <c r="J170" t="s">
        <v>74</v>
      </c>
      <c r="K170" t="s">
        <v>74</v>
      </c>
      <c r="L170" t="s">
        <v>74</v>
      </c>
    </row>
    <row r="171" spans="1:12">
      <c r="A171" t="s">
        <v>2021</v>
      </c>
      <c r="B171" t="s">
        <v>2021</v>
      </c>
      <c r="E171" t="s">
        <v>3674</v>
      </c>
      <c r="F171" t="s">
        <v>74</v>
      </c>
      <c r="G171" t="s">
        <v>74</v>
      </c>
      <c r="H171" t="s">
        <v>74</v>
      </c>
      <c r="I171" t="s">
        <v>74</v>
      </c>
      <c r="J171" t="s">
        <v>74</v>
      </c>
      <c r="K171" t="s">
        <v>74</v>
      </c>
      <c r="L171" t="s">
        <v>74</v>
      </c>
    </row>
    <row r="172" spans="1:12">
      <c r="A172" t="s">
        <v>2516</v>
      </c>
      <c r="B172" t="s">
        <v>2017</v>
      </c>
      <c r="C172" t="s">
        <v>70</v>
      </c>
      <c r="E172" t="s">
        <v>3675</v>
      </c>
      <c r="F172" t="s">
        <v>74</v>
      </c>
      <c r="G172" t="s">
        <v>74</v>
      </c>
      <c r="H172" t="s">
        <v>74</v>
      </c>
      <c r="I172" t="s">
        <v>74</v>
      </c>
      <c r="J172" t="s">
        <v>74</v>
      </c>
      <c r="K172" t="s">
        <v>74</v>
      </c>
      <c r="L172" t="s">
        <v>74</v>
      </c>
    </row>
    <row r="173" spans="1:12">
      <c r="A173" t="s">
        <v>2517</v>
      </c>
      <c r="B173" t="s">
        <v>2017</v>
      </c>
      <c r="C173" t="s">
        <v>71</v>
      </c>
      <c r="E173" t="s">
        <v>3676</v>
      </c>
      <c r="F173" t="s">
        <v>74</v>
      </c>
      <c r="G173" t="s">
        <v>74</v>
      </c>
      <c r="H173" t="s">
        <v>74</v>
      </c>
      <c r="I173" t="s">
        <v>74</v>
      </c>
      <c r="J173" t="s">
        <v>74</v>
      </c>
      <c r="K173" t="s">
        <v>74</v>
      </c>
      <c r="L173" t="s">
        <v>74</v>
      </c>
    </row>
    <row r="174" spans="1:12">
      <c r="A174" t="s">
        <v>2518</v>
      </c>
      <c r="B174" t="s">
        <v>2017</v>
      </c>
      <c r="C174" t="s">
        <v>72</v>
      </c>
      <c r="E174" t="s">
        <v>3677</v>
      </c>
      <c r="F174" t="s">
        <v>74</v>
      </c>
      <c r="G174" t="s">
        <v>74</v>
      </c>
      <c r="H174" t="s">
        <v>74</v>
      </c>
      <c r="I174" t="s">
        <v>74</v>
      </c>
      <c r="J174" t="s">
        <v>74</v>
      </c>
      <c r="K174" t="s">
        <v>74</v>
      </c>
      <c r="L174" t="s">
        <v>74</v>
      </c>
    </row>
    <row r="175" spans="1:12">
      <c r="A175" t="s">
        <v>2017</v>
      </c>
      <c r="B175" t="s">
        <v>2017</v>
      </c>
      <c r="E175" t="s">
        <v>3678</v>
      </c>
      <c r="F175" t="s">
        <v>74</v>
      </c>
      <c r="G175" t="s">
        <v>74</v>
      </c>
      <c r="H175" t="s">
        <v>74</v>
      </c>
      <c r="I175" t="s">
        <v>74</v>
      </c>
      <c r="J175" t="s">
        <v>74</v>
      </c>
      <c r="K175" t="s">
        <v>74</v>
      </c>
      <c r="L175" t="s">
        <v>74</v>
      </c>
    </row>
    <row r="176" spans="1:12">
      <c r="A176" t="s">
        <v>2519</v>
      </c>
      <c r="B176" t="s">
        <v>2016</v>
      </c>
      <c r="C176" t="s">
        <v>70</v>
      </c>
      <c r="E176" t="s">
        <v>3679</v>
      </c>
      <c r="F176" t="s">
        <v>74</v>
      </c>
      <c r="G176" t="s">
        <v>74</v>
      </c>
      <c r="H176" t="s">
        <v>74</v>
      </c>
      <c r="I176" t="s">
        <v>74</v>
      </c>
      <c r="J176" t="s">
        <v>74</v>
      </c>
      <c r="K176" t="s">
        <v>74</v>
      </c>
      <c r="L176" t="s">
        <v>74</v>
      </c>
    </row>
    <row r="177" spans="1:12">
      <c r="A177" t="s">
        <v>2016</v>
      </c>
      <c r="B177" t="s">
        <v>2016</v>
      </c>
      <c r="E177" t="s">
        <v>3680</v>
      </c>
      <c r="F177" t="s">
        <v>74</v>
      </c>
      <c r="G177" t="s">
        <v>74</v>
      </c>
      <c r="H177" t="s">
        <v>74</v>
      </c>
      <c r="I177" t="s">
        <v>74</v>
      </c>
      <c r="J177" t="s">
        <v>74</v>
      </c>
      <c r="K177" t="s">
        <v>74</v>
      </c>
      <c r="L177" t="s">
        <v>74</v>
      </c>
    </row>
    <row r="178" spans="1:12">
      <c r="A178" t="s">
        <v>2027</v>
      </c>
      <c r="B178" t="s">
        <v>2027</v>
      </c>
      <c r="E178" t="s">
        <v>3681</v>
      </c>
      <c r="F178" t="s">
        <v>74</v>
      </c>
      <c r="G178" t="s">
        <v>74</v>
      </c>
      <c r="H178" t="s">
        <v>74</v>
      </c>
      <c r="I178" t="s">
        <v>74</v>
      </c>
      <c r="J178" t="s">
        <v>74</v>
      </c>
      <c r="K178" t="s">
        <v>74</v>
      </c>
      <c r="L178" t="s">
        <v>74</v>
      </c>
    </row>
    <row r="179" spans="1:12">
      <c r="A179" t="s">
        <v>2522</v>
      </c>
      <c r="B179" t="s">
        <v>2522</v>
      </c>
      <c r="E179" t="s">
        <v>3682</v>
      </c>
      <c r="F179" t="s">
        <v>74</v>
      </c>
      <c r="G179" t="s">
        <v>74</v>
      </c>
      <c r="H179" t="s">
        <v>74</v>
      </c>
      <c r="I179" t="s">
        <v>74</v>
      </c>
      <c r="J179" t="s">
        <v>74</v>
      </c>
      <c r="K179" t="s">
        <v>74</v>
      </c>
      <c r="L179" t="s">
        <v>74</v>
      </c>
    </row>
    <row r="180" spans="1:12">
      <c r="A180" t="s">
        <v>2513</v>
      </c>
      <c r="B180" t="s">
        <v>2513</v>
      </c>
      <c r="E180" t="s">
        <v>3683</v>
      </c>
      <c r="F180" t="s">
        <v>74</v>
      </c>
      <c r="G180" t="s">
        <v>74</v>
      </c>
      <c r="H180" t="s">
        <v>74</v>
      </c>
      <c r="I180" t="s">
        <v>74</v>
      </c>
      <c r="J180" t="s">
        <v>74</v>
      </c>
      <c r="K180" t="s">
        <v>74</v>
      </c>
      <c r="L180" t="s">
        <v>74</v>
      </c>
    </row>
    <row r="181" spans="1:12">
      <c r="A181" t="s">
        <v>3684</v>
      </c>
      <c r="B181" t="s">
        <v>5120</v>
      </c>
      <c r="C181" t="s">
        <v>3685</v>
      </c>
      <c r="D181" t="s">
        <v>1222</v>
      </c>
      <c r="E181" t="s">
        <v>3686</v>
      </c>
      <c r="F181" t="s">
        <v>18</v>
      </c>
      <c r="G181" t="s">
        <v>3687</v>
      </c>
      <c r="H181" t="s">
        <v>3237</v>
      </c>
      <c r="I181" t="s">
        <v>154</v>
      </c>
      <c r="J181" t="s">
        <v>3688</v>
      </c>
      <c r="K181" t="s">
        <v>3689</v>
      </c>
      <c r="L181" t="s">
        <v>63</v>
      </c>
    </row>
    <row r="182" spans="1:12">
      <c r="A182" t="s">
        <v>2964</v>
      </c>
      <c r="B182" t="s">
        <v>82</v>
      </c>
      <c r="C182" t="s">
        <v>3018</v>
      </c>
      <c r="D182" t="s">
        <v>3690</v>
      </c>
      <c r="E182" t="s">
        <v>3691</v>
      </c>
      <c r="F182" t="s">
        <v>18</v>
      </c>
      <c r="G182" t="s">
        <v>74</v>
      </c>
      <c r="H182" t="s">
        <v>74</v>
      </c>
      <c r="I182" t="s">
        <v>154</v>
      </c>
      <c r="J182" t="s">
        <v>74</v>
      </c>
      <c r="K182" t="s">
        <v>74</v>
      </c>
      <c r="L182" t="s">
        <v>74</v>
      </c>
    </row>
    <row r="183" spans="1:12">
      <c r="A183" t="s">
        <v>2965</v>
      </c>
      <c r="B183" t="s">
        <v>82</v>
      </c>
      <c r="C183" t="s">
        <v>3017</v>
      </c>
      <c r="D183" t="s">
        <v>3692</v>
      </c>
      <c r="E183" t="s">
        <v>3693</v>
      </c>
      <c r="F183" t="s">
        <v>18</v>
      </c>
      <c r="G183" t="s">
        <v>74</v>
      </c>
      <c r="H183" t="s">
        <v>74</v>
      </c>
      <c r="I183" t="s">
        <v>154</v>
      </c>
      <c r="J183" t="s">
        <v>74</v>
      </c>
      <c r="K183" t="s">
        <v>74</v>
      </c>
      <c r="L183" t="s">
        <v>74</v>
      </c>
    </row>
    <row r="184" spans="1:12">
      <c r="A184" t="s">
        <v>2966</v>
      </c>
      <c r="B184" t="s">
        <v>83</v>
      </c>
      <c r="C184" t="s">
        <v>3019</v>
      </c>
      <c r="D184" t="s">
        <v>3694</v>
      </c>
      <c r="E184" t="s">
        <v>3695</v>
      </c>
      <c r="F184" t="s">
        <v>18</v>
      </c>
      <c r="G184" t="s">
        <v>74</v>
      </c>
      <c r="H184" t="s">
        <v>74</v>
      </c>
      <c r="I184" t="s">
        <v>154</v>
      </c>
      <c r="J184" t="s">
        <v>74</v>
      </c>
      <c r="K184" t="s">
        <v>74</v>
      </c>
      <c r="L184" t="s">
        <v>74</v>
      </c>
    </row>
    <row r="185" spans="1:12">
      <c r="A185" t="s">
        <v>2967</v>
      </c>
      <c r="B185" t="s">
        <v>83</v>
      </c>
      <c r="C185" t="s">
        <v>3020</v>
      </c>
      <c r="D185" t="s">
        <v>3696</v>
      </c>
      <c r="E185" t="s">
        <v>3697</v>
      </c>
      <c r="F185" t="s">
        <v>18</v>
      </c>
      <c r="G185" t="s">
        <v>74</v>
      </c>
      <c r="H185" t="s">
        <v>74</v>
      </c>
      <c r="I185" t="s">
        <v>154</v>
      </c>
      <c r="J185" t="s">
        <v>74</v>
      </c>
      <c r="K185" t="s">
        <v>74</v>
      </c>
      <c r="L185" t="s">
        <v>74</v>
      </c>
    </row>
    <row r="186" spans="1:12">
      <c r="A186" t="s">
        <v>3698</v>
      </c>
      <c r="B186" t="s">
        <v>83</v>
      </c>
      <c r="C186" t="s">
        <v>3078</v>
      </c>
      <c r="D186" t="s">
        <v>3699</v>
      </c>
      <c r="E186" t="s">
        <v>3700</v>
      </c>
      <c r="F186" t="s">
        <v>18</v>
      </c>
      <c r="G186" t="s">
        <v>74</v>
      </c>
      <c r="H186" t="s">
        <v>74</v>
      </c>
      <c r="I186" t="s">
        <v>154</v>
      </c>
      <c r="J186" t="s">
        <v>74</v>
      </c>
      <c r="K186" t="s">
        <v>74</v>
      </c>
      <c r="L186" t="s">
        <v>74</v>
      </c>
    </row>
    <row r="187" spans="1:12">
      <c r="A187" t="s">
        <v>2968</v>
      </c>
      <c r="B187" t="s">
        <v>83</v>
      </c>
      <c r="C187" t="s">
        <v>3021</v>
      </c>
      <c r="D187" t="s">
        <v>3701</v>
      </c>
      <c r="E187" t="s">
        <v>3702</v>
      </c>
      <c r="F187" t="s">
        <v>18</v>
      </c>
      <c r="G187" t="s">
        <v>74</v>
      </c>
      <c r="H187" t="s">
        <v>74</v>
      </c>
      <c r="I187" t="s">
        <v>154</v>
      </c>
      <c r="J187" t="s">
        <v>74</v>
      </c>
      <c r="K187" t="s">
        <v>74</v>
      </c>
      <c r="L187" t="s">
        <v>74</v>
      </c>
    </row>
    <row r="188" spans="1:12">
      <c r="A188" t="s">
        <v>3703</v>
      </c>
      <c r="B188" t="s">
        <v>83</v>
      </c>
      <c r="C188" t="s">
        <v>81</v>
      </c>
      <c r="D188" t="s">
        <v>3704</v>
      </c>
      <c r="E188" t="s">
        <v>3705</v>
      </c>
      <c r="F188" t="s">
        <v>18</v>
      </c>
      <c r="G188" t="s">
        <v>74</v>
      </c>
      <c r="H188" t="s">
        <v>74</v>
      </c>
      <c r="I188" t="s">
        <v>154</v>
      </c>
      <c r="J188" t="s">
        <v>74</v>
      </c>
      <c r="K188" t="s">
        <v>74</v>
      </c>
      <c r="L188" t="s">
        <v>74</v>
      </c>
    </row>
    <row r="189" spans="1:12">
      <c r="A189" t="s">
        <v>3706</v>
      </c>
      <c r="B189" t="s">
        <v>83</v>
      </c>
      <c r="C189" t="s">
        <v>3707</v>
      </c>
      <c r="D189" t="s">
        <v>3708</v>
      </c>
      <c r="E189" t="s">
        <v>3709</v>
      </c>
      <c r="F189" t="s">
        <v>18</v>
      </c>
      <c r="G189" t="s">
        <v>74</v>
      </c>
      <c r="H189" t="s">
        <v>74</v>
      </c>
      <c r="I189" t="s">
        <v>154</v>
      </c>
      <c r="J189" t="s">
        <v>74</v>
      </c>
      <c r="K189" t="s">
        <v>74</v>
      </c>
      <c r="L189" t="s">
        <v>74</v>
      </c>
    </row>
    <row r="190" spans="1:12">
      <c r="A190" t="s">
        <v>2969</v>
      </c>
      <c r="B190" t="s">
        <v>85</v>
      </c>
      <c r="C190" t="s">
        <v>3022</v>
      </c>
      <c r="D190" t="s">
        <v>3710</v>
      </c>
      <c r="E190" t="s">
        <v>3711</v>
      </c>
      <c r="F190" t="s">
        <v>18</v>
      </c>
      <c r="G190" t="s">
        <v>74</v>
      </c>
      <c r="H190" t="s">
        <v>74</v>
      </c>
      <c r="I190" t="s">
        <v>154</v>
      </c>
      <c r="J190" t="s">
        <v>74</v>
      </c>
      <c r="K190" t="s">
        <v>74</v>
      </c>
      <c r="L190" t="s">
        <v>74</v>
      </c>
    </row>
    <row r="191" spans="1:12">
      <c r="A191" t="s">
        <v>2970</v>
      </c>
      <c r="B191" t="s">
        <v>85</v>
      </c>
      <c r="C191" t="s">
        <v>3023</v>
      </c>
      <c r="D191" t="s">
        <v>3712</v>
      </c>
      <c r="E191" t="s">
        <v>3713</v>
      </c>
      <c r="F191" t="s">
        <v>18</v>
      </c>
      <c r="G191" t="s">
        <v>74</v>
      </c>
      <c r="H191" t="s">
        <v>74</v>
      </c>
      <c r="I191" t="s">
        <v>154</v>
      </c>
      <c r="J191" t="s">
        <v>74</v>
      </c>
      <c r="K191" t="s">
        <v>74</v>
      </c>
      <c r="L191" t="s">
        <v>74</v>
      </c>
    </row>
    <row r="192" spans="1:12">
      <c r="A192" t="s">
        <v>3714</v>
      </c>
      <c r="B192" t="s">
        <v>85</v>
      </c>
      <c r="C192" t="s">
        <v>3715</v>
      </c>
      <c r="D192" t="s">
        <v>3716</v>
      </c>
      <c r="E192" t="s">
        <v>3717</v>
      </c>
      <c r="F192" t="s">
        <v>18</v>
      </c>
      <c r="G192" t="s">
        <v>74</v>
      </c>
      <c r="H192" t="s">
        <v>74</v>
      </c>
      <c r="I192" t="s">
        <v>154</v>
      </c>
      <c r="J192" t="s">
        <v>74</v>
      </c>
      <c r="K192" t="s">
        <v>74</v>
      </c>
      <c r="L192" t="s">
        <v>74</v>
      </c>
    </row>
    <row r="193" spans="1:12">
      <c r="A193" t="s">
        <v>2971</v>
      </c>
      <c r="B193" t="s">
        <v>85</v>
      </c>
      <c r="C193" t="s">
        <v>3024</v>
      </c>
      <c r="D193" t="s">
        <v>3718</v>
      </c>
      <c r="E193" t="s">
        <v>3719</v>
      </c>
      <c r="F193" t="s">
        <v>18</v>
      </c>
      <c r="G193" t="s">
        <v>74</v>
      </c>
      <c r="H193" t="s">
        <v>74</v>
      </c>
      <c r="I193" t="s">
        <v>154</v>
      </c>
      <c r="J193" t="s">
        <v>74</v>
      </c>
      <c r="K193" t="s">
        <v>74</v>
      </c>
      <c r="L193" t="s">
        <v>74</v>
      </c>
    </row>
    <row r="194" spans="1:12">
      <c r="A194" t="s">
        <v>223</v>
      </c>
      <c r="B194" t="s">
        <v>3025</v>
      </c>
      <c r="C194" t="s">
        <v>3026</v>
      </c>
      <c r="D194" t="s">
        <v>2015</v>
      </c>
      <c r="E194" t="s">
        <v>3027</v>
      </c>
      <c r="F194" t="s">
        <v>18</v>
      </c>
      <c r="G194" t="s">
        <v>74</v>
      </c>
      <c r="H194" t="s">
        <v>74</v>
      </c>
      <c r="I194" t="s">
        <v>154</v>
      </c>
      <c r="J194" t="s">
        <v>74</v>
      </c>
      <c r="K194" t="s">
        <v>74</v>
      </c>
      <c r="L194" t="s">
        <v>74</v>
      </c>
    </row>
    <row r="195" spans="1:12">
      <c r="A195" t="s">
        <v>3720</v>
      </c>
      <c r="B195" t="s">
        <v>5121</v>
      </c>
      <c r="C195" t="s">
        <v>3721</v>
      </c>
      <c r="D195" t="s">
        <v>3722</v>
      </c>
      <c r="E195" t="s">
        <v>3723</v>
      </c>
      <c r="F195" t="s">
        <v>18</v>
      </c>
      <c r="G195" t="s">
        <v>3687</v>
      </c>
      <c r="H195" t="s">
        <v>3261</v>
      </c>
      <c r="I195" t="s">
        <v>154</v>
      </c>
      <c r="J195" t="s">
        <v>3688</v>
      </c>
      <c r="K195" t="s">
        <v>3724</v>
      </c>
      <c r="L195" t="s">
        <v>63</v>
      </c>
    </row>
    <row r="196" spans="1:12">
      <c r="A196" t="s">
        <v>3725</v>
      </c>
      <c r="B196" t="s">
        <v>5121</v>
      </c>
      <c r="C196" t="s">
        <v>3726</v>
      </c>
      <c r="D196" t="s">
        <v>3727</v>
      </c>
      <c r="E196" t="s">
        <v>3728</v>
      </c>
      <c r="F196" t="s">
        <v>18</v>
      </c>
      <c r="G196" t="s">
        <v>3687</v>
      </c>
      <c r="H196" t="s">
        <v>3261</v>
      </c>
      <c r="I196" t="s">
        <v>154</v>
      </c>
      <c r="J196" t="s">
        <v>3688</v>
      </c>
      <c r="K196" t="s">
        <v>3724</v>
      </c>
      <c r="L196" t="s">
        <v>63</v>
      </c>
    </row>
    <row r="197" spans="1:12">
      <c r="A197" t="s">
        <v>3729</v>
      </c>
      <c r="B197" t="s">
        <v>5121</v>
      </c>
      <c r="C197" t="s">
        <v>3730</v>
      </c>
      <c r="D197" t="s">
        <v>3731</v>
      </c>
      <c r="E197" t="s">
        <v>3732</v>
      </c>
      <c r="F197" t="s">
        <v>18</v>
      </c>
      <c r="G197" t="s">
        <v>3687</v>
      </c>
      <c r="H197" t="s">
        <v>3261</v>
      </c>
      <c r="I197" t="s">
        <v>154</v>
      </c>
      <c r="J197" t="s">
        <v>3688</v>
      </c>
      <c r="K197" t="s">
        <v>3724</v>
      </c>
      <c r="L197" t="s">
        <v>63</v>
      </c>
    </row>
    <row r="198" spans="1:12">
      <c r="A198" t="s">
        <v>3733</v>
      </c>
      <c r="B198" t="s">
        <v>5121</v>
      </c>
      <c r="C198" t="s">
        <v>3734</v>
      </c>
      <c r="D198" t="s">
        <v>3735</v>
      </c>
      <c r="E198" t="s">
        <v>3736</v>
      </c>
      <c r="F198" t="s">
        <v>18</v>
      </c>
      <c r="G198" t="s">
        <v>3687</v>
      </c>
      <c r="H198" t="s">
        <v>3261</v>
      </c>
      <c r="I198" t="s">
        <v>154</v>
      </c>
      <c r="J198" t="s">
        <v>3688</v>
      </c>
      <c r="K198" t="s">
        <v>3724</v>
      </c>
      <c r="L198" t="s">
        <v>63</v>
      </c>
    </row>
    <row r="199" spans="1:12">
      <c r="A199" t="s">
        <v>3737</v>
      </c>
      <c r="B199" t="s">
        <v>5121</v>
      </c>
      <c r="C199" t="s">
        <v>3738</v>
      </c>
      <c r="D199" t="s">
        <v>3739</v>
      </c>
      <c r="E199" t="s">
        <v>3740</v>
      </c>
      <c r="F199" t="s">
        <v>18</v>
      </c>
      <c r="G199" t="s">
        <v>3687</v>
      </c>
      <c r="H199" t="s">
        <v>3261</v>
      </c>
      <c r="I199" t="s">
        <v>154</v>
      </c>
      <c r="J199" t="s">
        <v>3688</v>
      </c>
      <c r="K199" t="s">
        <v>3724</v>
      </c>
      <c r="L199" t="s">
        <v>63</v>
      </c>
    </row>
    <row r="200" spans="1:12">
      <c r="A200" t="s">
        <v>3741</v>
      </c>
      <c r="B200" t="s">
        <v>5121</v>
      </c>
      <c r="C200" t="s">
        <v>3021</v>
      </c>
      <c r="D200" t="s">
        <v>3742</v>
      </c>
      <c r="E200" t="s">
        <v>3743</v>
      </c>
      <c r="F200" t="s">
        <v>18</v>
      </c>
      <c r="G200" t="s">
        <v>3687</v>
      </c>
      <c r="H200" t="s">
        <v>3261</v>
      </c>
      <c r="I200" t="s">
        <v>154</v>
      </c>
      <c r="J200" t="s">
        <v>3688</v>
      </c>
      <c r="K200" t="s">
        <v>3724</v>
      </c>
      <c r="L200" t="s">
        <v>63</v>
      </c>
    </row>
    <row r="201" spans="1:12">
      <c r="A201" t="s">
        <v>3744</v>
      </c>
      <c r="B201" t="s">
        <v>5121</v>
      </c>
      <c r="C201" t="s">
        <v>3745</v>
      </c>
      <c r="D201" t="s">
        <v>3746</v>
      </c>
      <c r="E201" t="s">
        <v>3747</v>
      </c>
      <c r="F201" t="s">
        <v>18</v>
      </c>
      <c r="G201" t="s">
        <v>3687</v>
      </c>
      <c r="H201" t="s">
        <v>3261</v>
      </c>
      <c r="I201" t="s">
        <v>154</v>
      </c>
      <c r="J201" t="s">
        <v>3688</v>
      </c>
      <c r="K201" t="s">
        <v>3724</v>
      </c>
      <c r="L201" t="s">
        <v>63</v>
      </c>
    </row>
    <row r="202" spans="1:12">
      <c r="A202" t="s">
        <v>3748</v>
      </c>
      <c r="B202" t="s">
        <v>5122</v>
      </c>
      <c r="C202" t="s">
        <v>3749</v>
      </c>
      <c r="D202" t="s">
        <v>3750</v>
      </c>
      <c r="E202" t="s">
        <v>3751</v>
      </c>
      <c r="F202" t="s">
        <v>18</v>
      </c>
      <c r="G202" t="s">
        <v>3687</v>
      </c>
      <c r="H202" t="s">
        <v>3261</v>
      </c>
      <c r="I202" t="s">
        <v>154</v>
      </c>
      <c r="J202" t="s">
        <v>3688</v>
      </c>
      <c r="K202" t="s">
        <v>3724</v>
      </c>
      <c r="L202" t="s">
        <v>63</v>
      </c>
    </row>
    <row r="203" spans="1:12">
      <c r="A203" t="s">
        <v>3752</v>
      </c>
      <c r="B203" t="s">
        <v>5122</v>
      </c>
      <c r="C203" t="s">
        <v>3753</v>
      </c>
      <c r="D203" t="s">
        <v>3754</v>
      </c>
      <c r="E203" t="s">
        <v>3755</v>
      </c>
      <c r="F203" t="s">
        <v>18</v>
      </c>
      <c r="G203" t="s">
        <v>3687</v>
      </c>
      <c r="H203" t="s">
        <v>3261</v>
      </c>
      <c r="I203" t="s">
        <v>154</v>
      </c>
      <c r="J203" t="s">
        <v>3688</v>
      </c>
      <c r="K203" t="s">
        <v>3724</v>
      </c>
      <c r="L203" t="s">
        <v>63</v>
      </c>
    </row>
    <row r="204" spans="1:12">
      <c r="A204" t="s">
        <v>3756</v>
      </c>
      <c r="B204" t="s">
        <v>5123</v>
      </c>
      <c r="C204" t="s">
        <v>3757</v>
      </c>
      <c r="D204" t="s">
        <v>3758</v>
      </c>
      <c r="E204" t="s">
        <v>3759</v>
      </c>
      <c r="F204" t="s">
        <v>18</v>
      </c>
      <c r="G204" t="s">
        <v>74</v>
      </c>
      <c r="H204" t="s">
        <v>74</v>
      </c>
      <c r="I204" t="s">
        <v>154</v>
      </c>
      <c r="J204" t="s">
        <v>74</v>
      </c>
      <c r="K204" t="s">
        <v>74</v>
      </c>
      <c r="L204" t="s">
        <v>74</v>
      </c>
    </row>
    <row r="205" spans="1:12">
      <c r="A205" t="s">
        <v>3760</v>
      </c>
      <c r="B205" t="s">
        <v>5124</v>
      </c>
      <c r="C205" t="s">
        <v>3749</v>
      </c>
      <c r="D205" t="s">
        <v>3761</v>
      </c>
      <c r="E205" t="s">
        <v>5125</v>
      </c>
      <c r="F205" t="s">
        <v>18</v>
      </c>
      <c r="G205" t="s">
        <v>3687</v>
      </c>
      <c r="H205" t="s">
        <v>3261</v>
      </c>
      <c r="I205" t="s">
        <v>154</v>
      </c>
      <c r="J205" t="s">
        <v>3688</v>
      </c>
      <c r="K205" t="s">
        <v>3724</v>
      </c>
      <c r="L205" t="s">
        <v>63</v>
      </c>
    </row>
    <row r="206" spans="1:12">
      <c r="A206" t="s">
        <v>3762</v>
      </c>
      <c r="B206" t="s">
        <v>5124</v>
      </c>
      <c r="C206" t="s">
        <v>3753</v>
      </c>
      <c r="D206" t="s">
        <v>3763</v>
      </c>
      <c r="E206" t="s">
        <v>5126</v>
      </c>
      <c r="F206" t="s">
        <v>18</v>
      </c>
      <c r="G206" t="s">
        <v>3687</v>
      </c>
      <c r="H206" t="s">
        <v>3261</v>
      </c>
      <c r="I206" t="s">
        <v>154</v>
      </c>
      <c r="J206" t="s">
        <v>3688</v>
      </c>
      <c r="K206" t="s">
        <v>3724</v>
      </c>
      <c r="L206" t="s">
        <v>63</v>
      </c>
    </row>
    <row r="207" spans="1:12">
      <c r="A207" t="s">
        <v>3764</v>
      </c>
      <c r="B207" t="s">
        <v>5127</v>
      </c>
      <c r="C207" t="s">
        <v>3749</v>
      </c>
      <c r="D207" t="s">
        <v>3765</v>
      </c>
      <c r="E207" t="s">
        <v>5128</v>
      </c>
      <c r="F207" t="s">
        <v>18</v>
      </c>
      <c r="G207" t="s">
        <v>3687</v>
      </c>
      <c r="H207" t="s">
        <v>3261</v>
      </c>
      <c r="I207" t="s">
        <v>154</v>
      </c>
      <c r="J207" t="s">
        <v>3688</v>
      </c>
      <c r="K207" t="s">
        <v>3724</v>
      </c>
      <c r="L207" t="s">
        <v>63</v>
      </c>
    </row>
    <row r="208" spans="1:12">
      <c r="A208" t="s">
        <v>3766</v>
      </c>
      <c r="B208" t="s">
        <v>5127</v>
      </c>
      <c r="C208" t="s">
        <v>3753</v>
      </c>
      <c r="D208" t="s">
        <v>3767</v>
      </c>
      <c r="E208" t="s">
        <v>5129</v>
      </c>
      <c r="F208" t="s">
        <v>18</v>
      </c>
      <c r="G208" t="s">
        <v>3687</v>
      </c>
      <c r="H208" t="s">
        <v>3261</v>
      </c>
      <c r="I208" t="s">
        <v>154</v>
      </c>
      <c r="J208" t="s">
        <v>3688</v>
      </c>
      <c r="K208" t="s">
        <v>3724</v>
      </c>
      <c r="L208" t="s">
        <v>63</v>
      </c>
    </row>
    <row r="209" spans="1:12">
      <c r="A209" t="s">
        <v>3768</v>
      </c>
      <c r="B209" t="s">
        <v>5127</v>
      </c>
      <c r="C209" t="s">
        <v>3757</v>
      </c>
      <c r="D209" t="s">
        <v>3769</v>
      </c>
      <c r="E209" t="s">
        <v>5130</v>
      </c>
      <c r="F209" t="s">
        <v>18</v>
      </c>
      <c r="G209" t="s">
        <v>3687</v>
      </c>
      <c r="H209" t="s">
        <v>3261</v>
      </c>
      <c r="I209" t="s">
        <v>154</v>
      </c>
      <c r="J209" t="s">
        <v>3688</v>
      </c>
      <c r="K209" t="s">
        <v>3724</v>
      </c>
      <c r="L209" t="s">
        <v>63</v>
      </c>
    </row>
    <row r="210" spans="1:12">
      <c r="A210" t="s">
        <v>2249</v>
      </c>
      <c r="B210" t="s">
        <v>5127</v>
      </c>
      <c r="C210" t="s">
        <v>2208</v>
      </c>
      <c r="D210" t="s">
        <v>3770</v>
      </c>
      <c r="E210" t="s">
        <v>5131</v>
      </c>
      <c r="F210" t="s">
        <v>18</v>
      </c>
      <c r="G210" t="s">
        <v>3687</v>
      </c>
      <c r="H210" t="s">
        <v>3261</v>
      </c>
      <c r="I210" t="s">
        <v>154</v>
      </c>
      <c r="J210" t="s">
        <v>3688</v>
      </c>
      <c r="K210" t="s">
        <v>3724</v>
      </c>
      <c r="L210" t="s">
        <v>63</v>
      </c>
    </row>
    <row r="211" spans="1:12">
      <c r="A211" t="s">
        <v>3771</v>
      </c>
      <c r="B211" t="s">
        <v>5132</v>
      </c>
      <c r="C211" t="s">
        <v>3749</v>
      </c>
      <c r="D211" t="s">
        <v>3772</v>
      </c>
      <c r="E211" t="s">
        <v>5133</v>
      </c>
      <c r="F211" t="s">
        <v>18</v>
      </c>
      <c r="G211" t="s">
        <v>3687</v>
      </c>
      <c r="H211" t="s">
        <v>3261</v>
      </c>
      <c r="I211" t="s">
        <v>154</v>
      </c>
      <c r="J211" t="s">
        <v>3688</v>
      </c>
      <c r="K211" t="s">
        <v>3724</v>
      </c>
      <c r="L211" t="s">
        <v>63</v>
      </c>
    </row>
    <row r="212" spans="1:12">
      <c r="A212" t="s">
        <v>3773</v>
      </c>
      <c r="B212" t="s">
        <v>5132</v>
      </c>
      <c r="C212" t="s">
        <v>3753</v>
      </c>
      <c r="D212" t="s">
        <v>3774</v>
      </c>
      <c r="E212" t="s">
        <v>5134</v>
      </c>
      <c r="F212" t="s">
        <v>18</v>
      </c>
      <c r="G212" t="s">
        <v>3687</v>
      </c>
      <c r="H212" t="s">
        <v>3261</v>
      </c>
      <c r="I212" t="s">
        <v>154</v>
      </c>
      <c r="J212" t="s">
        <v>3688</v>
      </c>
      <c r="K212" t="s">
        <v>3724</v>
      </c>
      <c r="L212" t="s">
        <v>63</v>
      </c>
    </row>
    <row r="213" spans="1:12">
      <c r="A213" t="s">
        <v>3775</v>
      </c>
      <c r="B213" t="s">
        <v>5135</v>
      </c>
      <c r="C213" t="s">
        <v>3749</v>
      </c>
      <c r="D213" t="s">
        <v>3776</v>
      </c>
      <c r="E213" t="s">
        <v>5136</v>
      </c>
      <c r="F213" t="s">
        <v>18</v>
      </c>
      <c r="G213" t="s">
        <v>3687</v>
      </c>
      <c r="H213" t="s">
        <v>3261</v>
      </c>
      <c r="I213" t="s">
        <v>154</v>
      </c>
      <c r="J213" t="s">
        <v>3688</v>
      </c>
      <c r="K213" t="s">
        <v>3724</v>
      </c>
      <c r="L213" t="s">
        <v>63</v>
      </c>
    </row>
    <row r="214" spans="1:12">
      <c r="A214" t="s">
        <v>3777</v>
      </c>
      <c r="B214" t="s">
        <v>5135</v>
      </c>
      <c r="C214" t="s">
        <v>3753</v>
      </c>
      <c r="D214" t="s">
        <v>3778</v>
      </c>
      <c r="E214" t="s">
        <v>5137</v>
      </c>
      <c r="F214" t="s">
        <v>18</v>
      </c>
      <c r="G214" t="s">
        <v>3687</v>
      </c>
      <c r="H214" t="s">
        <v>3261</v>
      </c>
      <c r="I214" t="s">
        <v>154</v>
      </c>
      <c r="J214" t="s">
        <v>3688</v>
      </c>
      <c r="K214" t="s">
        <v>3724</v>
      </c>
      <c r="L214" t="s">
        <v>63</v>
      </c>
    </row>
    <row r="215" spans="1:12">
      <c r="A215" t="s">
        <v>3779</v>
      </c>
      <c r="B215" t="s">
        <v>5138</v>
      </c>
      <c r="C215" t="s">
        <v>3749</v>
      </c>
      <c r="D215" t="s">
        <v>3780</v>
      </c>
      <c r="E215" t="s">
        <v>5139</v>
      </c>
      <c r="F215" t="s">
        <v>18</v>
      </c>
      <c r="G215" t="s">
        <v>3687</v>
      </c>
      <c r="H215" t="s">
        <v>3261</v>
      </c>
      <c r="I215" t="s">
        <v>154</v>
      </c>
      <c r="J215" t="s">
        <v>3688</v>
      </c>
      <c r="K215" t="s">
        <v>3724</v>
      </c>
      <c r="L215" t="s">
        <v>63</v>
      </c>
    </row>
    <row r="216" spans="1:12">
      <c r="A216" t="s">
        <v>3781</v>
      </c>
      <c r="B216" t="s">
        <v>5138</v>
      </c>
      <c r="C216" t="s">
        <v>3753</v>
      </c>
      <c r="D216" t="s">
        <v>3782</v>
      </c>
      <c r="E216" t="s">
        <v>5140</v>
      </c>
      <c r="F216" t="s">
        <v>18</v>
      </c>
      <c r="G216" t="s">
        <v>3687</v>
      </c>
      <c r="H216" t="s">
        <v>3261</v>
      </c>
      <c r="I216" t="s">
        <v>154</v>
      </c>
      <c r="J216" t="s">
        <v>3688</v>
      </c>
      <c r="K216" t="s">
        <v>3724</v>
      </c>
      <c r="L216" t="s">
        <v>63</v>
      </c>
    </row>
    <row r="217" spans="1:12">
      <c r="A217" t="s">
        <v>3783</v>
      </c>
      <c r="B217" t="s">
        <v>5138</v>
      </c>
      <c r="C217" t="s">
        <v>3784</v>
      </c>
      <c r="D217" t="s">
        <v>3785</v>
      </c>
      <c r="E217" t="s">
        <v>5141</v>
      </c>
      <c r="F217" t="s">
        <v>18</v>
      </c>
      <c r="G217" t="s">
        <v>3687</v>
      </c>
      <c r="H217" t="s">
        <v>3261</v>
      </c>
      <c r="I217" t="s">
        <v>154</v>
      </c>
      <c r="J217" t="s">
        <v>3688</v>
      </c>
      <c r="K217" t="s">
        <v>3724</v>
      </c>
      <c r="L217" t="s">
        <v>63</v>
      </c>
    </row>
    <row r="218" spans="1:12">
      <c r="A218" t="s">
        <v>3786</v>
      </c>
      <c r="B218" t="s">
        <v>5138</v>
      </c>
      <c r="C218" t="s">
        <v>3787</v>
      </c>
      <c r="D218" t="s">
        <v>3788</v>
      </c>
      <c r="E218" t="s">
        <v>5142</v>
      </c>
      <c r="F218" t="s">
        <v>18</v>
      </c>
      <c r="G218" t="s">
        <v>3687</v>
      </c>
      <c r="H218" t="s">
        <v>3261</v>
      </c>
      <c r="I218" t="s">
        <v>154</v>
      </c>
      <c r="J218" t="s">
        <v>3688</v>
      </c>
      <c r="K218" t="s">
        <v>3724</v>
      </c>
      <c r="L218" t="s">
        <v>63</v>
      </c>
    </row>
    <row r="219" spans="1:12">
      <c r="A219" t="s">
        <v>3789</v>
      </c>
      <c r="B219" t="s">
        <v>5143</v>
      </c>
      <c r="C219" t="s">
        <v>3749</v>
      </c>
      <c r="D219" t="s">
        <v>3790</v>
      </c>
      <c r="E219" t="s">
        <v>5144</v>
      </c>
      <c r="F219" t="s">
        <v>18</v>
      </c>
      <c r="G219" t="s">
        <v>3687</v>
      </c>
      <c r="H219" t="s">
        <v>3261</v>
      </c>
      <c r="I219" t="s">
        <v>154</v>
      </c>
      <c r="J219" t="s">
        <v>3688</v>
      </c>
      <c r="K219" t="s">
        <v>3724</v>
      </c>
      <c r="L219" t="s">
        <v>63</v>
      </c>
    </row>
    <row r="220" spans="1:12">
      <c r="A220" t="s">
        <v>3791</v>
      </c>
      <c r="B220" t="s">
        <v>5143</v>
      </c>
      <c r="C220" t="s">
        <v>3753</v>
      </c>
      <c r="D220" t="s">
        <v>3792</v>
      </c>
      <c r="E220" t="s">
        <v>5145</v>
      </c>
      <c r="F220" t="s">
        <v>18</v>
      </c>
      <c r="G220" t="s">
        <v>3687</v>
      </c>
      <c r="H220" t="s">
        <v>3261</v>
      </c>
      <c r="I220" t="s">
        <v>154</v>
      </c>
      <c r="J220" t="s">
        <v>3688</v>
      </c>
      <c r="K220" t="s">
        <v>3724</v>
      </c>
      <c r="L220" t="s">
        <v>63</v>
      </c>
    </row>
    <row r="221" spans="1:12">
      <c r="A221" t="s">
        <v>3793</v>
      </c>
      <c r="B221" t="s">
        <v>5143</v>
      </c>
      <c r="C221" t="s">
        <v>3784</v>
      </c>
      <c r="D221" t="s">
        <v>3794</v>
      </c>
      <c r="E221" t="s">
        <v>5146</v>
      </c>
      <c r="F221" t="s">
        <v>18</v>
      </c>
      <c r="G221" t="s">
        <v>3687</v>
      </c>
      <c r="H221" t="s">
        <v>3261</v>
      </c>
      <c r="I221" t="s">
        <v>154</v>
      </c>
      <c r="J221" t="s">
        <v>3688</v>
      </c>
      <c r="K221" t="s">
        <v>3724</v>
      </c>
      <c r="L221" t="s">
        <v>63</v>
      </c>
    </row>
    <row r="222" spans="1:12">
      <c r="A222" t="s">
        <v>3795</v>
      </c>
      <c r="B222" t="s">
        <v>5143</v>
      </c>
      <c r="C222" t="s">
        <v>3787</v>
      </c>
      <c r="D222" t="s">
        <v>3796</v>
      </c>
      <c r="E222" t="s">
        <v>5147</v>
      </c>
      <c r="F222" t="s">
        <v>18</v>
      </c>
      <c r="G222" t="s">
        <v>3687</v>
      </c>
      <c r="H222" t="s">
        <v>3261</v>
      </c>
      <c r="I222" t="s">
        <v>154</v>
      </c>
      <c r="J222" t="s">
        <v>3688</v>
      </c>
      <c r="K222" t="s">
        <v>3724</v>
      </c>
      <c r="L222" t="s">
        <v>63</v>
      </c>
    </row>
    <row r="223" spans="1:12">
      <c r="A223" t="s">
        <v>3797</v>
      </c>
      <c r="B223" t="s">
        <v>3798</v>
      </c>
      <c r="C223" t="s">
        <v>3799</v>
      </c>
      <c r="D223" t="s">
        <v>3800</v>
      </c>
      <c r="E223" t="s">
        <v>3801</v>
      </c>
      <c r="F223" t="s">
        <v>18</v>
      </c>
      <c r="G223" t="s">
        <v>74</v>
      </c>
      <c r="H223" t="s">
        <v>74</v>
      </c>
      <c r="I223" t="s">
        <v>154</v>
      </c>
      <c r="J223" t="s">
        <v>74</v>
      </c>
      <c r="K223" t="s">
        <v>74</v>
      </c>
      <c r="L223" t="s">
        <v>74</v>
      </c>
    </row>
    <row r="224" spans="1:12">
      <c r="A224" t="s">
        <v>3802</v>
      </c>
      <c r="B224" t="s">
        <v>3798</v>
      </c>
      <c r="C224" t="s">
        <v>3803</v>
      </c>
      <c r="D224" t="s">
        <v>3800</v>
      </c>
      <c r="E224" t="s">
        <v>3801</v>
      </c>
      <c r="F224" t="s">
        <v>18</v>
      </c>
      <c r="G224" t="s">
        <v>74</v>
      </c>
      <c r="H224" t="s">
        <v>74</v>
      </c>
      <c r="I224" t="s">
        <v>154</v>
      </c>
      <c r="J224" t="s">
        <v>74</v>
      </c>
      <c r="K224" t="s">
        <v>74</v>
      </c>
      <c r="L224" t="s">
        <v>74</v>
      </c>
    </row>
    <row r="225" spans="1:12">
      <c r="A225" t="s">
        <v>3804</v>
      </c>
      <c r="B225" t="s">
        <v>3798</v>
      </c>
      <c r="C225" t="s">
        <v>3805</v>
      </c>
      <c r="D225" t="s">
        <v>3800</v>
      </c>
      <c r="E225" t="s">
        <v>3801</v>
      </c>
      <c r="F225" t="s">
        <v>18</v>
      </c>
      <c r="G225" t="s">
        <v>74</v>
      </c>
      <c r="H225" t="s">
        <v>74</v>
      </c>
      <c r="I225" t="s">
        <v>154</v>
      </c>
      <c r="J225" t="s">
        <v>74</v>
      </c>
      <c r="K225" t="s">
        <v>74</v>
      </c>
      <c r="L225" t="s">
        <v>74</v>
      </c>
    </row>
    <row r="226" spans="1:12">
      <c r="A226" t="s">
        <v>3806</v>
      </c>
      <c r="B226" t="s">
        <v>3798</v>
      </c>
      <c r="C226" t="s">
        <v>3807</v>
      </c>
      <c r="D226" t="s">
        <v>3800</v>
      </c>
      <c r="E226" t="s">
        <v>3801</v>
      </c>
      <c r="F226" t="s">
        <v>18</v>
      </c>
      <c r="G226" t="s">
        <v>74</v>
      </c>
      <c r="H226" t="s">
        <v>74</v>
      </c>
      <c r="I226" t="s">
        <v>154</v>
      </c>
      <c r="J226" t="s">
        <v>74</v>
      </c>
      <c r="K226" t="s">
        <v>74</v>
      </c>
      <c r="L226" t="s">
        <v>74</v>
      </c>
    </row>
    <row r="227" spans="1:12">
      <c r="A227" t="s">
        <v>3808</v>
      </c>
      <c r="B227" t="s">
        <v>3798</v>
      </c>
      <c r="C227" t="s">
        <v>3809</v>
      </c>
      <c r="D227" t="s">
        <v>3800</v>
      </c>
      <c r="E227" t="s">
        <v>3801</v>
      </c>
      <c r="F227" t="s">
        <v>18</v>
      </c>
      <c r="G227" t="s">
        <v>74</v>
      </c>
      <c r="H227" t="s">
        <v>74</v>
      </c>
      <c r="I227" t="s">
        <v>154</v>
      </c>
      <c r="J227" t="s">
        <v>74</v>
      </c>
      <c r="K227" t="s">
        <v>74</v>
      </c>
      <c r="L227" t="s">
        <v>74</v>
      </c>
    </row>
    <row r="228" spans="1:12">
      <c r="A228" t="s">
        <v>3810</v>
      </c>
      <c r="B228" t="s">
        <v>3028</v>
      </c>
      <c r="C228" t="s">
        <v>3114</v>
      </c>
      <c r="D228" t="s">
        <v>224</v>
      </c>
      <c r="E228" t="s">
        <v>3811</v>
      </c>
      <c r="F228" t="s">
        <v>18</v>
      </c>
      <c r="G228" t="s">
        <v>74</v>
      </c>
      <c r="H228" t="s">
        <v>74</v>
      </c>
      <c r="I228" t="s">
        <v>154</v>
      </c>
      <c r="J228" t="s">
        <v>74</v>
      </c>
      <c r="K228" t="s">
        <v>74</v>
      </c>
      <c r="L228" t="s">
        <v>74</v>
      </c>
    </row>
    <row r="229" spans="1:12">
      <c r="A229" t="s">
        <v>2478</v>
      </c>
      <c r="B229" t="s">
        <v>3030</v>
      </c>
      <c r="C229" t="s">
        <v>3032</v>
      </c>
      <c r="D229" t="s">
        <v>2014</v>
      </c>
      <c r="E229" t="s">
        <v>3033</v>
      </c>
      <c r="F229" t="s">
        <v>18</v>
      </c>
      <c r="G229" t="s">
        <v>74</v>
      </c>
      <c r="H229" t="s">
        <v>74</v>
      </c>
      <c r="I229" t="s">
        <v>154</v>
      </c>
      <c r="J229" t="s">
        <v>74</v>
      </c>
      <c r="K229" t="s">
        <v>74</v>
      </c>
      <c r="L229" t="s">
        <v>74</v>
      </c>
    </row>
    <row r="230" spans="1:12">
      <c r="A230" t="s">
        <v>2479</v>
      </c>
      <c r="B230" t="s">
        <v>3034</v>
      </c>
      <c r="C230" t="s">
        <v>3035</v>
      </c>
      <c r="D230" t="s">
        <v>2480</v>
      </c>
      <c r="E230" t="s">
        <v>3036</v>
      </c>
      <c r="F230" t="s">
        <v>18</v>
      </c>
      <c r="G230" t="s">
        <v>74</v>
      </c>
      <c r="H230" t="s">
        <v>74</v>
      </c>
      <c r="I230" t="s">
        <v>154</v>
      </c>
      <c r="J230" t="s">
        <v>74</v>
      </c>
      <c r="K230" t="s">
        <v>74</v>
      </c>
      <c r="L230" t="s">
        <v>74</v>
      </c>
    </row>
    <row r="231" spans="1:12">
      <c r="A231" t="s">
        <v>3812</v>
      </c>
      <c r="B231" t="s">
        <v>5148</v>
      </c>
      <c r="C231" t="s">
        <v>3813</v>
      </c>
      <c r="D231" t="s">
        <v>3814</v>
      </c>
      <c r="E231" t="s">
        <v>3815</v>
      </c>
      <c r="F231" t="s">
        <v>18</v>
      </c>
      <c r="G231" t="s">
        <v>74</v>
      </c>
      <c r="H231" t="s">
        <v>74</v>
      </c>
      <c r="I231" t="s">
        <v>154</v>
      </c>
      <c r="J231" t="s">
        <v>74</v>
      </c>
      <c r="K231" t="s">
        <v>74</v>
      </c>
      <c r="L231" t="s">
        <v>74</v>
      </c>
    </row>
    <row r="232" spans="1:12">
      <c r="A232" t="s">
        <v>3816</v>
      </c>
      <c r="B232" t="s">
        <v>5148</v>
      </c>
      <c r="C232" t="s">
        <v>3817</v>
      </c>
      <c r="D232" t="s">
        <v>3814</v>
      </c>
      <c r="E232" t="s">
        <v>3815</v>
      </c>
      <c r="F232" t="s">
        <v>18</v>
      </c>
      <c r="G232" t="s">
        <v>74</v>
      </c>
      <c r="H232" t="s">
        <v>74</v>
      </c>
      <c r="I232" t="s">
        <v>154</v>
      </c>
      <c r="J232" t="s">
        <v>74</v>
      </c>
      <c r="K232" t="s">
        <v>74</v>
      </c>
      <c r="L232" t="s">
        <v>74</v>
      </c>
    </row>
    <row r="233" spans="1:12">
      <c r="A233" t="s">
        <v>3818</v>
      </c>
      <c r="B233" t="s">
        <v>5148</v>
      </c>
      <c r="C233" t="s">
        <v>700</v>
      </c>
      <c r="D233" t="s">
        <v>3814</v>
      </c>
      <c r="E233" t="s">
        <v>3815</v>
      </c>
      <c r="F233" t="s">
        <v>18</v>
      </c>
      <c r="G233" t="s">
        <v>74</v>
      </c>
      <c r="H233" t="s">
        <v>74</v>
      </c>
      <c r="I233" t="s">
        <v>154</v>
      </c>
      <c r="J233" t="s">
        <v>74</v>
      </c>
      <c r="K233" t="s">
        <v>74</v>
      </c>
      <c r="L233" t="s">
        <v>74</v>
      </c>
    </row>
    <row r="234" spans="1:12">
      <c r="A234" t="s">
        <v>3819</v>
      </c>
      <c r="B234" t="s">
        <v>5148</v>
      </c>
      <c r="C234" t="s">
        <v>3820</v>
      </c>
      <c r="D234" t="s">
        <v>3814</v>
      </c>
      <c r="E234" t="s">
        <v>3815</v>
      </c>
      <c r="F234" t="s">
        <v>18</v>
      </c>
      <c r="G234" t="s">
        <v>74</v>
      </c>
      <c r="H234" t="s">
        <v>74</v>
      </c>
      <c r="I234" t="s">
        <v>154</v>
      </c>
      <c r="J234" t="s">
        <v>74</v>
      </c>
      <c r="K234" t="s">
        <v>74</v>
      </c>
      <c r="L234" t="s">
        <v>74</v>
      </c>
    </row>
    <row r="235" spans="1:12">
      <c r="A235" t="s">
        <v>3821</v>
      </c>
      <c r="B235" t="s">
        <v>3821</v>
      </c>
      <c r="D235" t="s">
        <v>222</v>
      </c>
      <c r="E235" t="s">
        <v>3822</v>
      </c>
      <c r="F235" t="s">
        <v>18</v>
      </c>
      <c r="G235" t="s">
        <v>74</v>
      </c>
      <c r="H235" t="s">
        <v>74</v>
      </c>
      <c r="I235" t="s">
        <v>154</v>
      </c>
      <c r="J235" t="s">
        <v>74</v>
      </c>
      <c r="K235" t="s">
        <v>74</v>
      </c>
      <c r="L235" t="s">
        <v>74</v>
      </c>
    </row>
    <row r="236" spans="1:12">
      <c r="A236" t="s">
        <v>86</v>
      </c>
      <c r="B236" t="s">
        <v>5149</v>
      </c>
      <c r="C236" t="s">
        <v>3037</v>
      </c>
      <c r="D236" t="s">
        <v>222</v>
      </c>
      <c r="E236" t="s">
        <v>3038</v>
      </c>
      <c r="F236" t="s">
        <v>18</v>
      </c>
      <c r="G236" t="s">
        <v>74</v>
      </c>
      <c r="H236" t="s">
        <v>74</v>
      </c>
      <c r="I236" t="s">
        <v>154</v>
      </c>
      <c r="J236" t="s">
        <v>74</v>
      </c>
      <c r="K236" t="s">
        <v>74</v>
      </c>
      <c r="L236" t="s">
        <v>74</v>
      </c>
    </row>
    <row r="237" spans="1:12">
      <c r="A237" t="s">
        <v>2252</v>
      </c>
      <c r="B237" t="s">
        <v>3039</v>
      </c>
      <c r="C237" t="s">
        <v>2211</v>
      </c>
      <c r="D237" t="s">
        <v>2947</v>
      </c>
      <c r="E237" t="s">
        <v>3823</v>
      </c>
      <c r="F237" t="s">
        <v>18</v>
      </c>
      <c r="G237" t="s">
        <v>74</v>
      </c>
      <c r="H237" t="s">
        <v>74</v>
      </c>
      <c r="I237" t="s">
        <v>154</v>
      </c>
      <c r="J237" t="s">
        <v>74</v>
      </c>
      <c r="K237" t="s">
        <v>74</v>
      </c>
      <c r="L237" t="s">
        <v>74</v>
      </c>
    </row>
    <row r="238" spans="1:12">
      <c r="A238" t="s">
        <v>164</v>
      </c>
      <c r="B238" t="s">
        <v>3039</v>
      </c>
      <c r="C238" t="s">
        <v>2212</v>
      </c>
      <c r="D238" t="s">
        <v>3824</v>
      </c>
      <c r="E238" t="s">
        <v>3825</v>
      </c>
      <c r="F238" t="s">
        <v>18</v>
      </c>
      <c r="G238" t="s">
        <v>74</v>
      </c>
      <c r="H238" t="s">
        <v>74</v>
      </c>
      <c r="I238" t="s">
        <v>154</v>
      </c>
      <c r="J238" t="s">
        <v>74</v>
      </c>
      <c r="K238" t="s">
        <v>74</v>
      </c>
      <c r="L238" t="s">
        <v>74</v>
      </c>
    </row>
    <row r="239" spans="1:12">
      <c r="A239" t="s">
        <v>2972</v>
      </c>
      <c r="B239" t="s">
        <v>3040</v>
      </c>
      <c r="C239" t="s">
        <v>3041</v>
      </c>
      <c r="D239" t="s">
        <v>3826</v>
      </c>
      <c r="E239" t="s">
        <v>3827</v>
      </c>
      <c r="F239" t="s">
        <v>18</v>
      </c>
      <c r="G239" t="s">
        <v>3687</v>
      </c>
      <c r="H239" t="s">
        <v>3252</v>
      </c>
      <c r="I239" t="s">
        <v>154</v>
      </c>
      <c r="J239" t="s">
        <v>3688</v>
      </c>
      <c r="K239" t="s">
        <v>3724</v>
      </c>
      <c r="L239" t="s">
        <v>63</v>
      </c>
    </row>
    <row r="240" spans="1:12">
      <c r="A240" t="s">
        <v>2973</v>
      </c>
      <c r="B240" t="s">
        <v>3042</v>
      </c>
      <c r="C240" t="s">
        <v>3041</v>
      </c>
      <c r="D240" t="s">
        <v>3826</v>
      </c>
      <c r="E240" t="s">
        <v>3828</v>
      </c>
      <c r="F240" t="s">
        <v>18</v>
      </c>
      <c r="G240" t="s">
        <v>3687</v>
      </c>
      <c r="H240" t="s">
        <v>3252</v>
      </c>
      <c r="I240" t="s">
        <v>154</v>
      </c>
      <c r="J240" t="s">
        <v>3688</v>
      </c>
      <c r="K240" t="s">
        <v>3724</v>
      </c>
      <c r="L240" t="s">
        <v>63</v>
      </c>
    </row>
    <row r="241" spans="1:12">
      <c r="A241" t="s">
        <v>2974</v>
      </c>
      <c r="B241" t="s">
        <v>3043</v>
      </c>
      <c r="C241" t="s">
        <v>3041</v>
      </c>
      <c r="D241" t="s">
        <v>3826</v>
      </c>
      <c r="E241" t="s">
        <v>3829</v>
      </c>
      <c r="F241" t="s">
        <v>18</v>
      </c>
      <c r="G241" t="s">
        <v>3687</v>
      </c>
      <c r="H241" t="s">
        <v>3252</v>
      </c>
      <c r="I241" t="s">
        <v>154</v>
      </c>
      <c r="J241" t="s">
        <v>3688</v>
      </c>
      <c r="K241" t="s">
        <v>3724</v>
      </c>
      <c r="L241" t="s">
        <v>63</v>
      </c>
    </row>
    <row r="242" spans="1:12">
      <c r="A242" t="s">
        <v>2975</v>
      </c>
      <c r="B242" t="s">
        <v>3044</v>
      </c>
      <c r="C242" t="s">
        <v>3041</v>
      </c>
      <c r="D242" t="s">
        <v>3826</v>
      </c>
      <c r="E242" t="s">
        <v>3830</v>
      </c>
      <c r="F242" t="s">
        <v>18</v>
      </c>
      <c r="G242" t="s">
        <v>3687</v>
      </c>
      <c r="H242" t="s">
        <v>3252</v>
      </c>
      <c r="I242" t="s">
        <v>154</v>
      </c>
      <c r="J242" t="s">
        <v>3688</v>
      </c>
      <c r="K242" t="s">
        <v>3724</v>
      </c>
      <c r="L242" t="s">
        <v>63</v>
      </c>
    </row>
    <row r="243" spans="1:12">
      <c r="A243" t="s">
        <v>2976</v>
      </c>
      <c r="B243" t="s">
        <v>3040</v>
      </c>
      <c r="C243" t="s">
        <v>3045</v>
      </c>
      <c r="D243" t="s">
        <v>3831</v>
      </c>
      <c r="E243" t="s">
        <v>3832</v>
      </c>
      <c r="F243" t="s">
        <v>18</v>
      </c>
      <c r="G243" t="s">
        <v>3687</v>
      </c>
      <c r="H243" t="s">
        <v>3252</v>
      </c>
      <c r="I243" t="s">
        <v>154</v>
      </c>
      <c r="J243" t="s">
        <v>3688</v>
      </c>
      <c r="K243" t="s">
        <v>3724</v>
      </c>
      <c r="L243" t="s">
        <v>63</v>
      </c>
    </row>
    <row r="244" spans="1:12">
      <c r="A244" t="s">
        <v>2977</v>
      </c>
      <c r="B244" t="s">
        <v>3042</v>
      </c>
      <c r="C244" t="s">
        <v>3045</v>
      </c>
      <c r="D244" t="s">
        <v>3831</v>
      </c>
      <c r="E244" t="s">
        <v>3833</v>
      </c>
      <c r="F244" t="s">
        <v>18</v>
      </c>
      <c r="G244" t="s">
        <v>3687</v>
      </c>
      <c r="H244" t="s">
        <v>3252</v>
      </c>
      <c r="I244" t="s">
        <v>154</v>
      </c>
      <c r="J244" t="s">
        <v>3688</v>
      </c>
      <c r="K244" t="s">
        <v>3724</v>
      </c>
      <c r="L244" t="s">
        <v>63</v>
      </c>
    </row>
    <row r="245" spans="1:12">
      <c r="A245" t="s">
        <v>2978</v>
      </c>
      <c r="B245" t="s">
        <v>3043</v>
      </c>
      <c r="C245" t="s">
        <v>3045</v>
      </c>
      <c r="D245" t="s">
        <v>3831</v>
      </c>
      <c r="E245" t="s">
        <v>3834</v>
      </c>
      <c r="F245" t="s">
        <v>18</v>
      </c>
      <c r="G245" t="s">
        <v>3687</v>
      </c>
      <c r="H245" t="s">
        <v>3252</v>
      </c>
      <c r="I245" t="s">
        <v>154</v>
      </c>
      <c r="J245" t="s">
        <v>3688</v>
      </c>
      <c r="K245" t="s">
        <v>3724</v>
      </c>
      <c r="L245" t="s">
        <v>63</v>
      </c>
    </row>
    <row r="246" spans="1:12">
      <c r="A246" t="s">
        <v>2979</v>
      </c>
      <c r="B246" t="s">
        <v>3044</v>
      </c>
      <c r="C246" t="s">
        <v>3045</v>
      </c>
      <c r="D246" t="s">
        <v>3831</v>
      </c>
      <c r="E246" t="s">
        <v>3835</v>
      </c>
      <c r="F246" t="s">
        <v>18</v>
      </c>
      <c r="G246" t="s">
        <v>3687</v>
      </c>
      <c r="H246" t="s">
        <v>3252</v>
      </c>
      <c r="I246" t="s">
        <v>154</v>
      </c>
      <c r="J246" t="s">
        <v>3688</v>
      </c>
      <c r="K246" t="s">
        <v>3724</v>
      </c>
      <c r="L246" t="s">
        <v>63</v>
      </c>
    </row>
    <row r="247" spans="1:12">
      <c r="A247" t="s">
        <v>2980</v>
      </c>
      <c r="B247" t="s">
        <v>3040</v>
      </c>
      <c r="C247" t="s">
        <v>3046</v>
      </c>
      <c r="D247" t="s">
        <v>3836</v>
      </c>
      <c r="E247" t="s">
        <v>3837</v>
      </c>
      <c r="F247" t="s">
        <v>18</v>
      </c>
      <c r="G247" t="s">
        <v>3687</v>
      </c>
      <c r="H247" t="s">
        <v>3252</v>
      </c>
      <c r="I247" t="s">
        <v>154</v>
      </c>
      <c r="J247" t="s">
        <v>3688</v>
      </c>
      <c r="K247" t="s">
        <v>3724</v>
      </c>
      <c r="L247" t="s">
        <v>63</v>
      </c>
    </row>
    <row r="248" spans="1:12">
      <c r="A248" t="s">
        <v>2981</v>
      </c>
      <c r="B248" t="s">
        <v>3042</v>
      </c>
      <c r="C248" t="s">
        <v>3046</v>
      </c>
      <c r="D248" t="s">
        <v>3836</v>
      </c>
      <c r="E248" t="s">
        <v>3838</v>
      </c>
      <c r="F248" t="s">
        <v>18</v>
      </c>
      <c r="G248" t="s">
        <v>3687</v>
      </c>
      <c r="H248" t="s">
        <v>3252</v>
      </c>
      <c r="I248" t="s">
        <v>154</v>
      </c>
      <c r="J248" t="s">
        <v>3688</v>
      </c>
      <c r="K248" t="s">
        <v>3724</v>
      </c>
      <c r="L248" t="s">
        <v>63</v>
      </c>
    </row>
    <row r="249" spans="1:12">
      <c r="A249" t="s">
        <v>2982</v>
      </c>
      <c r="B249" t="s">
        <v>3043</v>
      </c>
      <c r="C249" t="s">
        <v>3046</v>
      </c>
      <c r="D249" t="s">
        <v>3836</v>
      </c>
      <c r="E249" t="s">
        <v>3839</v>
      </c>
      <c r="F249" t="s">
        <v>18</v>
      </c>
      <c r="G249" t="s">
        <v>3687</v>
      </c>
      <c r="H249" t="s">
        <v>3252</v>
      </c>
      <c r="I249" t="s">
        <v>154</v>
      </c>
      <c r="J249" t="s">
        <v>3688</v>
      </c>
      <c r="K249" t="s">
        <v>3724</v>
      </c>
      <c r="L249" t="s">
        <v>63</v>
      </c>
    </row>
    <row r="250" spans="1:12">
      <c r="A250" t="s">
        <v>2983</v>
      </c>
      <c r="B250" t="s">
        <v>3044</v>
      </c>
      <c r="C250" t="s">
        <v>3046</v>
      </c>
      <c r="D250" t="s">
        <v>3836</v>
      </c>
      <c r="E250" t="s">
        <v>3840</v>
      </c>
      <c r="F250" t="s">
        <v>18</v>
      </c>
      <c r="G250" t="s">
        <v>3687</v>
      </c>
      <c r="H250" t="s">
        <v>3252</v>
      </c>
      <c r="I250" t="s">
        <v>154</v>
      </c>
      <c r="J250" t="s">
        <v>3688</v>
      </c>
      <c r="K250" t="s">
        <v>3724</v>
      </c>
      <c r="L250" t="s">
        <v>63</v>
      </c>
    </row>
    <row r="251" spans="1:12">
      <c r="A251" t="s">
        <v>2984</v>
      </c>
      <c r="B251" t="s">
        <v>3040</v>
      </c>
      <c r="C251" t="s">
        <v>3047</v>
      </c>
      <c r="D251" t="s">
        <v>3841</v>
      </c>
      <c r="E251" t="s">
        <v>3842</v>
      </c>
      <c r="F251" t="s">
        <v>18</v>
      </c>
      <c r="G251" t="s">
        <v>3687</v>
      </c>
      <c r="H251" t="s">
        <v>3252</v>
      </c>
      <c r="I251" t="s">
        <v>154</v>
      </c>
      <c r="J251" t="s">
        <v>3688</v>
      </c>
      <c r="K251" t="s">
        <v>3724</v>
      </c>
      <c r="L251" t="s">
        <v>63</v>
      </c>
    </row>
    <row r="252" spans="1:12">
      <c r="A252" t="s">
        <v>2985</v>
      </c>
      <c r="B252" t="s">
        <v>3042</v>
      </c>
      <c r="C252" t="s">
        <v>3047</v>
      </c>
      <c r="D252" t="s">
        <v>3841</v>
      </c>
      <c r="E252" t="s">
        <v>3843</v>
      </c>
      <c r="F252" t="s">
        <v>18</v>
      </c>
      <c r="G252" t="s">
        <v>3687</v>
      </c>
      <c r="H252" t="s">
        <v>3252</v>
      </c>
      <c r="I252" t="s">
        <v>154</v>
      </c>
      <c r="J252" t="s">
        <v>3688</v>
      </c>
      <c r="K252" t="s">
        <v>3724</v>
      </c>
      <c r="L252" t="s">
        <v>63</v>
      </c>
    </row>
    <row r="253" spans="1:12">
      <c r="A253" t="s">
        <v>2986</v>
      </c>
      <c r="B253" t="s">
        <v>3043</v>
      </c>
      <c r="C253" t="s">
        <v>3047</v>
      </c>
      <c r="D253" t="s">
        <v>3841</v>
      </c>
      <c r="E253" t="s">
        <v>3844</v>
      </c>
      <c r="F253" t="s">
        <v>18</v>
      </c>
      <c r="G253" t="s">
        <v>3687</v>
      </c>
      <c r="H253" t="s">
        <v>3252</v>
      </c>
      <c r="I253" t="s">
        <v>154</v>
      </c>
      <c r="J253" t="s">
        <v>3688</v>
      </c>
      <c r="K253" t="s">
        <v>3724</v>
      </c>
      <c r="L253" t="s">
        <v>63</v>
      </c>
    </row>
    <row r="254" spans="1:12">
      <c r="A254" t="s">
        <v>2987</v>
      </c>
      <c r="B254" t="s">
        <v>3044</v>
      </c>
      <c r="C254" t="s">
        <v>3047</v>
      </c>
      <c r="D254" t="s">
        <v>3841</v>
      </c>
      <c r="E254" t="s">
        <v>3845</v>
      </c>
      <c r="F254" t="s">
        <v>18</v>
      </c>
      <c r="G254" t="s">
        <v>3687</v>
      </c>
      <c r="H254" t="s">
        <v>3252</v>
      </c>
      <c r="I254" t="s">
        <v>154</v>
      </c>
      <c r="J254" t="s">
        <v>3688</v>
      </c>
      <c r="K254" t="s">
        <v>3724</v>
      </c>
      <c r="L254" t="s">
        <v>63</v>
      </c>
    </row>
    <row r="255" spans="1:12">
      <c r="A255" t="s">
        <v>2988</v>
      </c>
      <c r="B255" t="s">
        <v>3040</v>
      </c>
      <c r="C255" t="s">
        <v>3048</v>
      </c>
      <c r="D255" t="s">
        <v>3846</v>
      </c>
      <c r="E255" t="s">
        <v>3847</v>
      </c>
      <c r="F255" t="s">
        <v>18</v>
      </c>
      <c r="G255" t="s">
        <v>3687</v>
      </c>
      <c r="H255" t="s">
        <v>3252</v>
      </c>
      <c r="I255" t="s">
        <v>154</v>
      </c>
      <c r="J255" t="s">
        <v>3688</v>
      </c>
      <c r="K255" t="s">
        <v>3724</v>
      </c>
      <c r="L255" t="s">
        <v>63</v>
      </c>
    </row>
    <row r="256" spans="1:12">
      <c r="A256" t="s">
        <v>2989</v>
      </c>
      <c r="B256" t="s">
        <v>3042</v>
      </c>
      <c r="C256" t="s">
        <v>3048</v>
      </c>
      <c r="D256" t="s">
        <v>3846</v>
      </c>
      <c r="E256" t="s">
        <v>3848</v>
      </c>
      <c r="F256" t="s">
        <v>18</v>
      </c>
      <c r="G256" t="s">
        <v>3687</v>
      </c>
      <c r="H256" t="s">
        <v>3252</v>
      </c>
      <c r="I256" t="s">
        <v>154</v>
      </c>
      <c r="J256" t="s">
        <v>3688</v>
      </c>
      <c r="K256" t="s">
        <v>3724</v>
      </c>
      <c r="L256" t="s">
        <v>63</v>
      </c>
    </row>
    <row r="257" spans="1:12">
      <c r="A257" t="s">
        <v>2990</v>
      </c>
      <c r="B257" t="s">
        <v>3043</v>
      </c>
      <c r="C257" t="s">
        <v>3048</v>
      </c>
      <c r="D257" t="s">
        <v>3846</v>
      </c>
      <c r="E257" t="s">
        <v>3849</v>
      </c>
      <c r="F257" t="s">
        <v>18</v>
      </c>
      <c r="G257" t="s">
        <v>3687</v>
      </c>
      <c r="H257" t="s">
        <v>3252</v>
      </c>
      <c r="I257" t="s">
        <v>154</v>
      </c>
      <c r="J257" t="s">
        <v>3688</v>
      </c>
      <c r="K257" t="s">
        <v>3724</v>
      </c>
      <c r="L257" t="s">
        <v>63</v>
      </c>
    </row>
    <row r="258" spans="1:12">
      <c r="A258" t="s">
        <v>2991</v>
      </c>
      <c r="B258" t="s">
        <v>3044</v>
      </c>
      <c r="C258" t="s">
        <v>3048</v>
      </c>
      <c r="D258" t="s">
        <v>3846</v>
      </c>
      <c r="E258" t="s">
        <v>3850</v>
      </c>
      <c r="F258" t="s">
        <v>18</v>
      </c>
      <c r="G258" t="s">
        <v>3687</v>
      </c>
      <c r="H258" t="s">
        <v>3252</v>
      </c>
      <c r="I258" t="s">
        <v>154</v>
      </c>
      <c r="J258" t="s">
        <v>3688</v>
      </c>
      <c r="K258" t="s">
        <v>3724</v>
      </c>
      <c r="L258" t="s">
        <v>63</v>
      </c>
    </row>
    <row r="259" spans="1:12">
      <c r="A259" t="s">
        <v>2253</v>
      </c>
      <c r="B259" t="s">
        <v>3049</v>
      </c>
      <c r="C259" t="s">
        <v>2213</v>
      </c>
      <c r="D259" t="s">
        <v>3851</v>
      </c>
      <c r="E259" t="s">
        <v>3852</v>
      </c>
      <c r="F259" t="s">
        <v>18</v>
      </c>
      <c r="G259" t="s">
        <v>74</v>
      </c>
      <c r="H259" t="s">
        <v>74</v>
      </c>
      <c r="I259" t="s">
        <v>154</v>
      </c>
      <c r="J259" t="s">
        <v>74</v>
      </c>
      <c r="K259" t="s">
        <v>74</v>
      </c>
      <c r="L259" t="s">
        <v>74</v>
      </c>
    </row>
    <row r="260" spans="1:12">
      <c r="A260" t="s">
        <v>2254</v>
      </c>
      <c r="B260" t="s">
        <v>3049</v>
      </c>
      <c r="C260" t="s">
        <v>2215</v>
      </c>
      <c r="D260" t="s">
        <v>3853</v>
      </c>
      <c r="E260" t="s">
        <v>3854</v>
      </c>
      <c r="F260" t="s">
        <v>18</v>
      </c>
      <c r="G260" t="s">
        <v>74</v>
      </c>
      <c r="H260" t="s">
        <v>74</v>
      </c>
      <c r="I260" t="s">
        <v>154</v>
      </c>
      <c r="J260" t="s">
        <v>74</v>
      </c>
      <c r="K260" t="s">
        <v>74</v>
      </c>
      <c r="L260" t="s">
        <v>74</v>
      </c>
    </row>
    <row r="261" spans="1:12">
      <c r="A261" t="s">
        <v>2256</v>
      </c>
      <c r="B261" t="s">
        <v>3050</v>
      </c>
      <c r="C261" t="s">
        <v>2218</v>
      </c>
      <c r="D261" t="s">
        <v>3855</v>
      </c>
      <c r="E261" t="s">
        <v>3051</v>
      </c>
      <c r="F261" t="s">
        <v>18</v>
      </c>
      <c r="G261" t="s">
        <v>74</v>
      </c>
      <c r="H261" t="s">
        <v>74</v>
      </c>
      <c r="I261" t="s">
        <v>154</v>
      </c>
      <c r="J261" t="s">
        <v>74</v>
      </c>
      <c r="K261" t="s">
        <v>74</v>
      </c>
      <c r="L261" t="s">
        <v>74</v>
      </c>
    </row>
    <row r="262" spans="1:12">
      <c r="A262" t="s">
        <v>2949</v>
      </c>
      <c r="B262" t="s">
        <v>3050</v>
      </c>
      <c r="C262" t="s">
        <v>2948</v>
      </c>
      <c r="D262" t="s">
        <v>3856</v>
      </c>
      <c r="E262" t="s">
        <v>3052</v>
      </c>
      <c r="F262" t="s">
        <v>18</v>
      </c>
      <c r="G262" t="s">
        <v>74</v>
      </c>
      <c r="H262" t="s">
        <v>74</v>
      </c>
      <c r="I262" t="s">
        <v>154</v>
      </c>
      <c r="J262" t="s">
        <v>74</v>
      </c>
      <c r="K262" t="s">
        <v>74</v>
      </c>
      <c r="L262" t="s">
        <v>74</v>
      </c>
    </row>
    <row r="263" spans="1:12">
      <c r="A263" t="s">
        <v>2257</v>
      </c>
      <c r="B263" t="s">
        <v>3050</v>
      </c>
      <c r="C263" t="s">
        <v>2219</v>
      </c>
      <c r="D263" t="s">
        <v>3857</v>
      </c>
      <c r="E263" t="s">
        <v>3858</v>
      </c>
      <c r="F263" t="s">
        <v>18</v>
      </c>
      <c r="G263" t="s">
        <v>74</v>
      </c>
      <c r="H263" t="s">
        <v>74</v>
      </c>
      <c r="I263" t="s">
        <v>154</v>
      </c>
      <c r="J263" t="s">
        <v>74</v>
      </c>
      <c r="K263" t="s">
        <v>74</v>
      </c>
      <c r="L263" t="s">
        <v>74</v>
      </c>
    </row>
    <row r="264" spans="1:12">
      <c r="A264" t="s">
        <v>2259</v>
      </c>
      <c r="B264" t="s">
        <v>3050</v>
      </c>
      <c r="C264" t="s">
        <v>2221</v>
      </c>
      <c r="D264" t="s">
        <v>3859</v>
      </c>
      <c r="E264" t="s">
        <v>3860</v>
      </c>
      <c r="F264" t="s">
        <v>18</v>
      </c>
      <c r="G264" t="s">
        <v>74</v>
      </c>
      <c r="H264" t="s">
        <v>74</v>
      </c>
      <c r="I264" t="s">
        <v>154</v>
      </c>
      <c r="J264" t="s">
        <v>74</v>
      </c>
      <c r="K264" t="s">
        <v>74</v>
      </c>
      <c r="L264" t="s">
        <v>74</v>
      </c>
    </row>
    <row r="265" spans="1:12">
      <c r="A265" t="s">
        <v>2951</v>
      </c>
      <c r="B265" t="s">
        <v>3050</v>
      </c>
      <c r="C265" t="s">
        <v>2950</v>
      </c>
      <c r="D265" t="s">
        <v>3861</v>
      </c>
      <c r="E265" t="s">
        <v>3862</v>
      </c>
      <c r="F265" t="s">
        <v>18</v>
      </c>
      <c r="G265" t="s">
        <v>74</v>
      </c>
      <c r="H265" t="s">
        <v>74</v>
      </c>
      <c r="I265" t="s">
        <v>154</v>
      </c>
      <c r="J265" t="s">
        <v>74</v>
      </c>
      <c r="K265" t="s">
        <v>74</v>
      </c>
      <c r="L265" t="s">
        <v>74</v>
      </c>
    </row>
    <row r="266" spans="1:12">
      <c r="A266" t="s">
        <v>3863</v>
      </c>
      <c r="B266" t="s">
        <v>102</v>
      </c>
      <c r="C266" t="s">
        <v>3065</v>
      </c>
      <c r="D266" t="s">
        <v>3864</v>
      </c>
      <c r="E266" t="s">
        <v>3865</v>
      </c>
      <c r="F266" t="s">
        <v>18</v>
      </c>
      <c r="G266" t="s">
        <v>3866</v>
      </c>
      <c r="H266" t="s">
        <v>3261</v>
      </c>
      <c r="I266" t="s">
        <v>154</v>
      </c>
      <c r="J266" t="s">
        <v>3867</v>
      </c>
      <c r="K266" t="s">
        <v>74</v>
      </c>
      <c r="L266" t="s">
        <v>74</v>
      </c>
    </row>
    <row r="267" spans="1:12">
      <c r="A267" t="s">
        <v>3868</v>
      </c>
      <c r="B267" t="s">
        <v>102</v>
      </c>
      <c r="C267" t="s">
        <v>3869</v>
      </c>
      <c r="D267" t="s">
        <v>3870</v>
      </c>
      <c r="E267" t="s">
        <v>3871</v>
      </c>
      <c r="F267" t="s">
        <v>18</v>
      </c>
      <c r="G267" t="s">
        <v>3866</v>
      </c>
      <c r="H267" t="s">
        <v>3261</v>
      </c>
      <c r="I267" t="s">
        <v>154</v>
      </c>
      <c r="J267" t="s">
        <v>3867</v>
      </c>
      <c r="K267" t="s">
        <v>74</v>
      </c>
      <c r="L267" t="s">
        <v>74</v>
      </c>
    </row>
    <row r="268" spans="1:12">
      <c r="A268" t="s">
        <v>3872</v>
      </c>
      <c r="B268" t="s">
        <v>102</v>
      </c>
      <c r="C268" t="s">
        <v>3873</v>
      </c>
      <c r="D268" t="s">
        <v>3874</v>
      </c>
      <c r="E268" t="s">
        <v>3875</v>
      </c>
      <c r="F268" t="s">
        <v>18</v>
      </c>
      <c r="G268" t="s">
        <v>3866</v>
      </c>
      <c r="H268" t="s">
        <v>3261</v>
      </c>
      <c r="I268" t="s">
        <v>154</v>
      </c>
      <c r="J268" t="s">
        <v>3867</v>
      </c>
      <c r="K268" t="s">
        <v>74</v>
      </c>
      <c r="L268" t="s">
        <v>74</v>
      </c>
    </row>
    <row r="269" spans="1:12">
      <c r="A269" t="s">
        <v>3876</v>
      </c>
      <c r="B269" t="s">
        <v>102</v>
      </c>
      <c r="C269" t="s">
        <v>3066</v>
      </c>
      <c r="D269" t="s">
        <v>3877</v>
      </c>
      <c r="E269" t="s">
        <v>3878</v>
      </c>
      <c r="F269" t="s">
        <v>18</v>
      </c>
      <c r="G269" t="s">
        <v>3866</v>
      </c>
      <c r="H269" t="s">
        <v>3261</v>
      </c>
      <c r="I269" t="s">
        <v>154</v>
      </c>
      <c r="J269" t="s">
        <v>3867</v>
      </c>
      <c r="K269" t="s">
        <v>74</v>
      </c>
      <c r="L269" t="s">
        <v>74</v>
      </c>
    </row>
    <row r="270" spans="1:12">
      <c r="A270" t="s">
        <v>3879</v>
      </c>
      <c r="B270" t="s">
        <v>102</v>
      </c>
      <c r="C270" t="s">
        <v>3067</v>
      </c>
      <c r="D270" t="s">
        <v>3880</v>
      </c>
      <c r="E270" t="s">
        <v>3881</v>
      </c>
      <c r="F270" t="s">
        <v>18</v>
      </c>
      <c r="G270" t="s">
        <v>3866</v>
      </c>
      <c r="H270" t="s">
        <v>3261</v>
      </c>
      <c r="I270" t="s">
        <v>154</v>
      </c>
      <c r="J270" t="s">
        <v>3867</v>
      </c>
      <c r="K270" t="s">
        <v>74</v>
      </c>
      <c r="L270" t="s">
        <v>74</v>
      </c>
    </row>
    <row r="271" spans="1:12">
      <c r="A271" t="s">
        <v>3882</v>
      </c>
      <c r="B271" t="s">
        <v>102</v>
      </c>
      <c r="C271" t="s">
        <v>3883</v>
      </c>
      <c r="D271" t="s">
        <v>3884</v>
      </c>
      <c r="E271" t="s">
        <v>3885</v>
      </c>
      <c r="F271" t="s">
        <v>18</v>
      </c>
      <c r="G271" t="s">
        <v>3866</v>
      </c>
      <c r="H271" t="s">
        <v>3261</v>
      </c>
      <c r="I271" t="s">
        <v>154</v>
      </c>
      <c r="J271" t="s">
        <v>3867</v>
      </c>
      <c r="K271" t="s">
        <v>74</v>
      </c>
      <c r="L271" t="s">
        <v>74</v>
      </c>
    </row>
    <row r="272" spans="1:12">
      <c r="A272" t="s">
        <v>3886</v>
      </c>
      <c r="B272" t="s">
        <v>102</v>
      </c>
      <c r="C272" t="s">
        <v>3887</v>
      </c>
      <c r="D272" t="s">
        <v>3888</v>
      </c>
      <c r="E272" t="s">
        <v>3889</v>
      </c>
      <c r="F272" t="s">
        <v>18</v>
      </c>
      <c r="G272" t="s">
        <v>3866</v>
      </c>
      <c r="H272" t="s">
        <v>3261</v>
      </c>
      <c r="I272" t="s">
        <v>154</v>
      </c>
      <c r="J272" t="s">
        <v>3867</v>
      </c>
      <c r="K272" t="s">
        <v>74</v>
      </c>
      <c r="L272" t="s">
        <v>74</v>
      </c>
    </row>
    <row r="273" spans="1:12">
      <c r="A273" t="s">
        <v>3890</v>
      </c>
      <c r="B273" t="s">
        <v>102</v>
      </c>
      <c r="C273" t="s">
        <v>3891</v>
      </c>
      <c r="D273" t="s">
        <v>3892</v>
      </c>
      <c r="E273" t="s">
        <v>3893</v>
      </c>
      <c r="F273" t="s">
        <v>18</v>
      </c>
      <c r="G273" t="s">
        <v>3866</v>
      </c>
      <c r="H273" t="s">
        <v>3261</v>
      </c>
      <c r="I273" t="s">
        <v>154</v>
      </c>
      <c r="J273" t="s">
        <v>3867</v>
      </c>
      <c r="K273" t="s">
        <v>74</v>
      </c>
      <c r="L273" t="s">
        <v>74</v>
      </c>
    </row>
    <row r="274" spans="1:12">
      <c r="A274" t="s">
        <v>3894</v>
      </c>
      <c r="B274" t="s">
        <v>102</v>
      </c>
      <c r="C274" t="s">
        <v>3895</v>
      </c>
      <c r="D274" t="s">
        <v>3896</v>
      </c>
      <c r="E274" t="s">
        <v>3897</v>
      </c>
      <c r="F274" t="s">
        <v>18</v>
      </c>
      <c r="G274" t="s">
        <v>3866</v>
      </c>
      <c r="H274" t="s">
        <v>3261</v>
      </c>
      <c r="I274" t="s">
        <v>154</v>
      </c>
      <c r="J274" t="s">
        <v>3867</v>
      </c>
      <c r="K274" t="s">
        <v>74</v>
      </c>
      <c r="L274" t="s">
        <v>74</v>
      </c>
    </row>
    <row r="275" spans="1:12">
      <c r="A275" t="s">
        <v>3898</v>
      </c>
      <c r="B275" t="s">
        <v>102</v>
      </c>
      <c r="C275" t="s">
        <v>3899</v>
      </c>
      <c r="D275" t="s">
        <v>3900</v>
      </c>
      <c r="E275" t="s">
        <v>3901</v>
      </c>
      <c r="F275" t="s">
        <v>18</v>
      </c>
      <c r="G275" t="s">
        <v>3866</v>
      </c>
      <c r="H275" t="s">
        <v>3261</v>
      </c>
      <c r="I275" t="s">
        <v>154</v>
      </c>
      <c r="J275" t="s">
        <v>3867</v>
      </c>
      <c r="K275" t="s">
        <v>74</v>
      </c>
      <c r="L275" t="s">
        <v>74</v>
      </c>
    </row>
    <row r="276" spans="1:12">
      <c r="A276" t="s">
        <v>3902</v>
      </c>
      <c r="B276" t="s">
        <v>102</v>
      </c>
      <c r="C276" t="s">
        <v>3903</v>
      </c>
      <c r="D276" t="s">
        <v>3904</v>
      </c>
      <c r="E276" t="s">
        <v>3905</v>
      </c>
      <c r="F276" t="s">
        <v>18</v>
      </c>
      <c r="G276" t="s">
        <v>3866</v>
      </c>
      <c r="H276" t="s">
        <v>3261</v>
      </c>
      <c r="I276" t="s">
        <v>154</v>
      </c>
      <c r="J276" t="s">
        <v>3867</v>
      </c>
      <c r="K276" t="s">
        <v>74</v>
      </c>
      <c r="L276" t="s">
        <v>74</v>
      </c>
    </row>
    <row r="277" spans="1:12">
      <c r="A277" t="s">
        <v>3906</v>
      </c>
      <c r="B277" t="s">
        <v>102</v>
      </c>
      <c r="C277" t="s">
        <v>3907</v>
      </c>
      <c r="D277" t="s">
        <v>3908</v>
      </c>
      <c r="E277" t="s">
        <v>3909</v>
      </c>
      <c r="F277" t="s">
        <v>18</v>
      </c>
      <c r="G277" t="s">
        <v>3866</v>
      </c>
      <c r="H277" t="s">
        <v>3261</v>
      </c>
      <c r="I277" t="s">
        <v>154</v>
      </c>
      <c r="J277" t="s">
        <v>3867</v>
      </c>
      <c r="K277" t="s">
        <v>74</v>
      </c>
      <c r="L277" t="s">
        <v>74</v>
      </c>
    </row>
    <row r="278" spans="1:12">
      <c r="A278" t="s">
        <v>3910</v>
      </c>
      <c r="B278" t="s">
        <v>102</v>
      </c>
      <c r="C278" t="s">
        <v>3911</v>
      </c>
      <c r="D278" t="s">
        <v>3912</v>
      </c>
      <c r="E278" t="s">
        <v>3913</v>
      </c>
      <c r="F278" t="s">
        <v>18</v>
      </c>
      <c r="G278" t="s">
        <v>3866</v>
      </c>
      <c r="H278" t="s">
        <v>3261</v>
      </c>
      <c r="I278" t="s">
        <v>154</v>
      </c>
      <c r="J278" t="s">
        <v>3867</v>
      </c>
      <c r="K278" t="s">
        <v>74</v>
      </c>
      <c r="L278" t="s">
        <v>74</v>
      </c>
    </row>
    <row r="279" spans="1:12">
      <c r="A279" t="s">
        <v>3914</v>
      </c>
      <c r="B279" t="s">
        <v>102</v>
      </c>
      <c r="C279" t="s">
        <v>3915</v>
      </c>
      <c r="D279" t="s">
        <v>3916</v>
      </c>
      <c r="E279" t="s">
        <v>3917</v>
      </c>
      <c r="F279" t="s">
        <v>18</v>
      </c>
      <c r="G279" t="s">
        <v>3866</v>
      </c>
      <c r="H279" t="s">
        <v>3261</v>
      </c>
      <c r="I279" t="s">
        <v>154</v>
      </c>
      <c r="J279" t="s">
        <v>3867</v>
      </c>
      <c r="K279" t="s">
        <v>74</v>
      </c>
      <c r="L279" t="s">
        <v>74</v>
      </c>
    </row>
    <row r="280" spans="1:12">
      <c r="A280" t="s">
        <v>3918</v>
      </c>
      <c r="B280" t="s">
        <v>102</v>
      </c>
      <c r="C280" t="s">
        <v>3919</v>
      </c>
      <c r="D280" t="s">
        <v>3920</v>
      </c>
      <c r="E280" t="s">
        <v>3921</v>
      </c>
      <c r="F280" t="s">
        <v>18</v>
      </c>
      <c r="G280" t="s">
        <v>3866</v>
      </c>
      <c r="H280" t="s">
        <v>3261</v>
      </c>
      <c r="I280" t="s">
        <v>154</v>
      </c>
      <c r="J280" t="s">
        <v>3867</v>
      </c>
      <c r="K280" t="s">
        <v>74</v>
      </c>
      <c r="L280" t="s">
        <v>74</v>
      </c>
    </row>
    <row r="281" spans="1:12">
      <c r="A281" t="s">
        <v>3922</v>
      </c>
      <c r="B281" t="s">
        <v>102</v>
      </c>
      <c r="C281" t="s">
        <v>3923</v>
      </c>
      <c r="D281" t="s">
        <v>3924</v>
      </c>
      <c r="E281" t="s">
        <v>3925</v>
      </c>
      <c r="F281" t="s">
        <v>18</v>
      </c>
      <c r="G281" t="s">
        <v>3866</v>
      </c>
      <c r="H281" t="s">
        <v>3261</v>
      </c>
      <c r="I281" t="s">
        <v>154</v>
      </c>
      <c r="J281" t="s">
        <v>3867</v>
      </c>
      <c r="K281" t="s">
        <v>74</v>
      </c>
      <c r="L281" t="s">
        <v>74</v>
      </c>
    </row>
    <row r="282" spans="1:12">
      <c r="A282" t="s">
        <v>3926</v>
      </c>
      <c r="B282" t="s">
        <v>102</v>
      </c>
      <c r="C282" t="s">
        <v>3021</v>
      </c>
      <c r="D282" t="s">
        <v>3927</v>
      </c>
      <c r="E282" t="s">
        <v>3928</v>
      </c>
      <c r="F282" t="s">
        <v>18</v>
      </c>
      <c r="G282" t="s">
        <v>3866</v>
      </c>
      <c r="H282" t="s">
        <v>3261</v>
      </c>
      <c r="I282" t="s">
        <v>154</v>
      </c>
      <c r="J282" t="s">
        <v>3867</v>
      </c>
      <c r="K282" t="s">
        <v>74</v>
      </c>
      <c r="L282" t="s">
        <v>74</v>
      </c>
    </row>
    <row r="283" spans="1:12">
      <c r="A283" t="s">
        <v>3929</v>
      </c>
      <c r="B283" t="s">
        <v>102</v>
      </c>
      <c r="C283" t="s">
        <v>3726</v>
      </c>
      <c r="D283" t="s">
        <v>3930</v>
      </c>
      <c r="E283" t="s">
        <v>3931</v>
      </c>
      <c r="F283" t="s">
        <v>18</v>
      </c>
      <c r="G283" t="s">
        <v>3866</v>
      </c>
      <c r="H283" t="s">
        <v>3261</v>
      </c>
      <c r="I283" t="s">
        <v>154</v>
      </c>
      <c r="J283" t="s">
        <v>3867</v>
      </c>
      <c r="K283" t="s">
        <v>74</v>
      </c>
      <c r="L283" t="s">
        <v>74</v>
      </c>
    </row>
    <row r="284" spans="1:12">
      <c r="A284" t="s">
        <v>3932</v>
      </c>
      <c r="B284" t="s">
        <v>102</v>
      </c>
      <c r="C284" t="s">
        <v>3933</v>
      </c>
      <c r="D284" t="s">
        <v>3934</v>
      </c>
      <c r="E284" t="s">
        <v>3935</v>
      </c>
      <c r="F284" t="s">
        <v>18</v>
      </c>
      <c r="G284" t="s">
        <v>3866</v>
      </c>
      <c r="H284" t="s">
        <v>3261</v>
      </c>
      <c r="I284" t="s">
        <v>154</v>
      </c>
      <c r="J284" t="s">
        <v>3867</v>
      </c>
      <c r="K284" t="s">
        <v>74</v>
      </c>
      <c r="L284" t="s">
        <v>74</v>
      </c>
    </row>
    <row r="285" spans="1:12">
      <c r="A285" t="s">
        <v>3936</v>
      </c>
      <c r="B285" t="s">
        <v>103</v>
      </c>
      <c r="C285" t="s">
        <v>3937</v>
      </c>
      <c r="D285" t="s">
        <v>3938</v>
      </c>
      <c r="E285" t="s">
        <v>3939</v>
      </c>
      <c r="F285" t="s">
        <v>18</v>
      </c>
      <c r="G285" t="s">
        <v>74</v>
      </c>
      <c r="H285" t="s">
        <v>74</v>
      </c>
      <c r="I285" t="s">
        <v>154</v>
      </c>
      <c r="J285" t="s">
        <v>74</v>
      </c>
      <c r="K285" t="s">
        <v>74</v>
      </c>
      <c r="L285" t="s">
        <v>74</v>
      </c>
    </row>
    <row r="286" spans="1:12">
      <c r="A286" t="s">
        <v>2992</v>
      </c>
      <c r="B286" t="s">
        <v>3053</v>
      </c>
      <c r="C286" t="s">
        <v>3054</v>
      </c>
      <c r="D286" t="s">
        <v>3940</v>
      </c>
      <c r="E286" t="s">
        <v>3941</v>
      </c>
      <c r="F286" t="s">
        <v>18</v>
      </c>
      <c r="G286" t="s">
        <v>74</v>
      </c>
      <c r="H286" t="s">
        <v>74</v>
      </c>
      <c r="I286" t="s">
        <v>154</v>
      </c>
      <c r="J286" t="s">
        <v>74</v>
      </c>
      <c r="K286" t="s">
        <v>74</v>
      </c>
      <c r="L286" t="s">
        <v>74</v>
      </c>
    </row>
    <row r="287" spans="1:12">
      <c r="A287" t="s">
        <v>2993</v>
      </c>
      <c r="B287" t="s">
        <v>3053</v>
      </c>
      <c r="C287" t="s">
        <v>3055</v>
      </c>
      <c r="D287" t="s">
        <v>3942</v>
      </c>
      <c r="E287" t="s">
        <v>3943</v>
      </c>
      <c r="F287" t="s">
        <v>18</v>
      </c>
      <c r="G287" t="s">
        <v>74</v>
      </c>
      <c r="H287" t="s">
        <v>74</v>
      </c>
      <c r="I287" t="s">
        <v>154</v>
      </c>
      <c r="J287" t="s">
        <v>74</v>
      </c>
      <c r="K287" t="s">
        <v>74</v>
      </c>
      <c r="L287" t="s">
        <v>74</v>
      </c>
    </row>
    <row r="288" spans="1:12">
      <c r="A288" t="s">
        <v>3944</v>
      </c>
      <c r="B288" t="s">
        <v>90</v>
      </c>
      <c r="C288" t="s">
        <v>3945</v>
      </c>
      <c r="D288" t="s">
        <v>91</v>
      </c>
      <c r="E288" t="s">
        <v>3946</v>
      </c>
      <c r="F288" t="s">
        <v>18</v>
      </c>
      <c r="G288" t="s">
        <v>74</v>
      </c>
      <c r="H288" t="s">
        <v>74</v>
      </c>
      <c r="I288" t="s">
        <v>154</v>
      </c>
      <c r="J288" t="s">
        <v>74</v>
      </c>
      <c r="K288" t="s">
        <v>74</v>
      </c>
      <c r="L288" t="s">
        <v>74</v>
      </c>
    </row>
    <row r="289" spans="1:12">
      <c r="A289" t="s">
        <v>2927</v>
      </c>
      <c r="B289" t="s">
        <v>92</v>
      </c>
      <c r="C289" t="s">
        <v>2926</v>
      </c>
      <c r="D289" t="s">
        <v>93</v>
      </c>
      <c r="E289" t="s">
        <v>3947</v>
      </c>
      <c r="F289" t="s">
        <v>18</v>
      </c>
      <c r="G289" t="s">
        <v>74</v>
      </c>
      <c r="H289" t="s">
        <v>74</v>
      </c>
      <c r="I289" t="s">
        <v>154</v>
      </c>
      <c r="J289" t="s">
        <v>74</v>
      </c>
      <c r="K289" t="s">
        <v>74</v>
      </c>
      <c r="L289" t="s">
        <v>74</v>
      </c>
    </row>
    <row r="290" spans="1:12">
      <c r="A290" t="s">
        <v>2960</v>
      </c>
      <c r="B290" t="s">
        <v>94</v>
      </c>
      <c r="C290" t="s">
        <v>2926</v>
      </c>
      <c r="D290" t="s">
        <v>93</v>
      </c>
      <c r="E290" t="s">
        <v>3948</v>
      </c>
      <c r="F290" t="s">
        <v>18</v>
      </c>
      <c r="G290" t="s">
        <v>74</v>
      </c>
      <c r="H290" t="s">
        <v>74</v>
      </c>
      <c r="I290" t="s">
        <v>154</v>
      </c>
      <c r="J290" t="s">
        <v>74</v>
      </c>
      <c r="K290" t="s">
        <v>74</v>
      </c>
      <c r="L290" t="s">
        <v>74</v>
      </c>
    </row>
    <row r="291" spans="1:12">
      <c r="A291" t="s">
        <v>2038</v>
      </c>
      <c r="B291" t="s">
        <v>3056</v>
      </c>
      <c r="C291" t="s">
        <v>2903</v>
      </c>
      <c r="D291" t="s">
        <v>2481</v>
      </c>
      <c r="E291" t="s">
        <v>3057</v>
      </c>
      <c r="F291" t="s">
        <v>18</v>
      </c>
      <c r="G291" t="s">
        <v>74</v>
      </c>
      <c r="H291" t="s">
        <v>74</v>
      </c>
      <c r="I291" t="s">
        <v>154</v>
      </c>
      <c r="J291" t="s">
        <v>74</v>
      </c>
      <c r="K291" t="s">
        <v>74</v>
      </c>
      <c r="L291" t="s">
        <v>74</v>
      </c>
    </row>
    <row r="292" spans="1:12">
      <c r="A292" t="s">
        <v>3949</v>
      </c>
      <c r="B292" t="s">
        <v>122</v>
      </c>
      <c r="C292" t="s">
        <v>3058</v>
      </c>
      <c r="D292" t="s">
        <v>124</v>
      </c>
      <c r="E292" t="s">
        <v>3950</v>
      </c>
      <c r="F292" t="s">
        <v>18</v>
      </c>
      <c r="G292" t="s">
        <v>74</v>
      </c>
      <c r="H292" t="s">
        <v>74</v>
      </c>
      <c r="I292" t="s">
        <v>154</v>
      </c>
      <c r="J292" t="s">
        <v>74</v>
      </c>
      <c r="K292" t="s">
        <v>74</v>
      </c>
      <c r="L292" t="s">
        <v>74</v>
      </c>
    </row>
    <row r="293" spans="1:12">
      <c r="A293" t="s">
        <v>3951</v>
      </c>
      <c r="B293" t="s">
        <v>122</v>
      </c>
      <c r="C293" t="s">
        <v>3059</v>
      </c>
      <c r="D293" t="s">
        <v>124</v>
      </c>
      <c r="E293" t="s">
        <v>3952</v>
      </c>
      <c r="F293" t="s">
        <v>18</v>
      </c>
      <c r="G293" t="s">
        <v>74</v>
      </c>
      <c r="H293" t="s">
        <v>74</v>
      </c>
      <c r="I293" t="s">
        <v>154</v>
      </c>
      <c r="J293" t="s">
        <v>74</v>
      </c>
      <c r="K293" t="s">
        <v>74</v>
      </c>
      <c r="L293" t="s">
        <v>74</v>
      </c>
    </row>
    <row r="294" spans="1:12">
      <c r="A294" t="s">
        <v>3953</v>
      </c>
      <c r="B294" t="s">
        <v>5150</v>
      </c>
      <c r="C294" t="s">
        <v>3734</v>
      </c>
      <c r="D294" t="s">
        <v>3954</v>
      </c>
      <c r="E294" t="s">
        <v>3955</v>
      </c>
      <c r="F294" t="s">
        <v>18</v>
      </c>
      <c r="G294" t="s">
        <v>74</v>
      </c>
      <c r="H294" t="s">
        <v>74</v>
      </c>
      <c r="I294" t="s">
        <v>154</v>
      </c>
      <c r="J294" t="s">
        <v>74</v>
      </c>
      <c r="K294" t="s">
        <v>74</v>
      </c>
      <c r="L294" t="s">
        <v>74</v>
      </c>
    </row>
    <row r="295" spans="1:12">
      <c r="A295" t="s">
        <v>3956</v>
      </c>
      <c r="B295" t="s">
        <v>5150</v>
      </c>
      <c r="C295" t="s">
        <v>3730</v>
      </c>
      <c r="D295" t="s">
        <v>3957</v>
      </c>
      <c r="E295" t="s">
        <v>3958</v>
      </c>
      <c r="F295" t="s">
        <v>18</v>
      </c>
      <c r="G295" t="s">
        <v>74</v>
      </c>
      <c r="H295" t="s">
        <v>74</v>
      </c>
      <c r="I295" t="s">
        <v>154</v>
      </c>
      <c r="J295" t="s">
        <v>74</v>
      </c>
      <c r="K295" t="s">
        <v>74</v>
      </c>
      <c r="L295" t="s">
        <v>74</v>
      </c>
    </row>
    <row r="296" spans="1:12">
      <c r="A296" t="s">
        <v>76</v>
      </c>
      <c r="B296" t="s">
        <v>3060</v>
      </c>
      <c r="C296" t="s">
        <v>77</v>
      </c>
      <c r="D296" t="s">
        <v>3959</v>
      </c>
      <c r="E296" t="s">
        <v>3960</v>
      </c>
      <c r="F296" t="s">
        <v>18</v>
      </c>
      <c r="G296" t="s">
        <v>74</v>
      </c>
      <c r="H296" t="s">
        <v>74</v>
      </c>
      <c r="I296" t="s">
        <v>154</v>
      </c>
      <c r="J296" t="s">
        <v>74</v>
      </c>
      <c r="K296" t="s">
        <v>74</v>
      </c>
      <c r="L296" t="s">
        <v>74</v>
      </c>
    </row>
    <row r="297" spans="1:12">
      <c r="A297" t="s">
        <v>78</v>
      </c>
      <c r="B297" t="s">
        <v>3060</v>
      </c>
      <c r="C297" t="s">
        <v>79</v>
      </c>
      <c r="D297" t="s">
        <v>3961</v>
      </c>
      <c r="E297" t="s">
        <v>3962</v>
      </c>
      <c r="F297" t="s">
        <v>18</v>
      </c>
      <c r="G297" t="s">
        <v>74</v>
      </c>
      <c r="H297" t="s">
        <v>74</v>
      </c>
      <c r="I297" t="s">
        <v>154</v>
      </c>
      <c r="J297" t="s">
        <v>74</v>
      </c>
      <c r="K297" t="s">
        <v>74</v>
      </c>
      <c r="L297" t="s">
        <v>74</v>
      </c>
    </row>
    <row r="298" spans="1:12">
      <c r="A298" t="s">
        <v>2920</v>
      </c>
      <c r="B298" t="s">
        <v>3061</v>
      </c>
      <c r="C298" t="s">
        <v>2919</v>
      </c>
      <c r="D298" t="s">
        <v>2921</v>
      </c>
      <c r="E298" t="s">
        <v>5151</v>
      </c>
      <c r="F298" t="s">
        <v>18</v>
      </c>
      <c r="G298" t="s">
        <v>74</v>
      </c>
      <c r="H298" t="s">
        <v>74</v>
      </c>
      <c r="I298" t="s">
        <v>154</v>
      </c>
      <c r="J298" t="s">
        <v>74</v>
      </c>
      <c r="K298" t="s">
        <v>74</v>
      </c>
      <c r="L298" t="s">
        <v>74</v>
      </c>
    </row>
    <row r="299" spans="1:12">
      <c r="A299" t="s">
        <v>2923</v>
      </c>
      <c r="B299" t="s">
        <v>3061</v>
      </c>
      <c r="C299" t="s">
        <v>2922</v>
      </c>
      <c r="D299" t="s">
        <v>3963</v>
      </c>
      <c r="E299" t="s">
        <v>5152</v>
      </c>
      <c r="F299" t="s">
        <v>18</v>
      </c>
      <c r="G299" t="s">
        <v>74</v>
      </c>
      <c r="H299" t="s">
        <v>74</v>
      </c>
      <c r="I299" t="s">
        <v>154</v>
      </c>
      <c r="J299" t="s">
        <v>74</v>
      </c>
      <c r="K299" t="s">
        <v>74</v>
      </c>
      <c r="L299" t="s">
        <v>74</v>
      </c>
    </row>
    <row r="300" spans="1:12">
      <c r="A300" t="s">
        <v>80</v>
      </c>
      <c r="B300" t="s">
        <v>3061</v>
      </c>
      <c r="C300" t="s">
        <v>81</v>
      </c>
      <c r="D300" t="s">
        <v>2186</v>
      </c>
      <c r="E300" t="s">
        <v>5153</v>
      </c>
      <c r="F300" t="s">
        <v>18</v>
      </c>
      <c r="G300" t="s">
        <v>74</v>
      </c>
      <c r="H300" t="s">
        <v>74</v>
      </c>
      <c r="I300" t="s">
        <v>154</v>
      </c>
      <c r="J300" t="s">
        <v>74</v>
      </c>
      <c r="K300" t="s">
        <v>74</v>
      </c>
      <c r="L300" t="s">
        <v>74</v>
      </c>
    </row>
    <row r="301" spans="1:12">
      <c r="A301" t="s">
        <v>2263</v>
      </c>
      <c r="B301" t="s">
        <v>95</v>
      </c>
      <c r="C301" t="s">
        <v>2226</v>
      </c>
      <c r="D301" t="s">
        <v>225</v>
      </c>
      <c r="E301" t="s">
        <v>3062</v>
      </c>
      <c r="F301" t="s">
        <v>18</v>
      </c>
      <c r="G301" t="s">
        <v>74</v>
      </c>
      <c r="H301" t="s">
        <v>74</v>
      </c>
      <c r="I301" t="s">
        <v>154</v>
      </c>
      <c r="J301" t="s">
        <v>74</v>
      </c>
      <c r="K301" t="s">
        <v>74</v>
      </c>
      <c r="L301" t="s">
        <v>74</v>
      </c>
    </row>
    <row r="302" spans="1:12">
      <c r="A302" t="s">
        <v>2264</v>
      </c>
      <c r="B302" t="s">
        <v>95</v>
      </c>
      <c r="C302" t="s">
        <v>2227</v>
      </c>
      <c r="D302" t="s">
        <v>225</v>
      </c>
      <c r="E302" t="s">
        <v>3063</v>
      </c>
      <c r="F302" t="s">
        <v>18</v>
      </c>
      <c r="G302" t="s">
        <v>74</v>
      </c>
      <c r="H302" t="s">
        <v>74</v>
      </c>
      <c r="I302" t="s">
        <v>154</v>
      </c>
      <c r="J302" t="s">
        <v>74</v>
      </c>
      <c r="K302" t="s">
        <v>74</v>
      </c>
      <c r="L302" t="s">
        <v>74</v>
      </c>
    </row>
    <row r="303" spans="1:12">
      <c r="A303" t="s">
        <v>3964</v>
      </c>
      <c r="B303" t="s">
        <v>96</v>
      </c>
      <c r="C303" t="s">
        <v>3965</v>
      </c>
      <c r="D303" t="s">
        <v>97</v>
      </c>
      <c r="E303" t="s">
        <v>3966</v>
      </c>
      <c r="F303" t="s">
        <v>18</v>
      </c>
      <c r="G303" t="s">
        <v>74</v>
      </c>
      <c r="H303" t="s">
        <v>74</v>
      </c>
      <c r="I303" t="s">
        <v>154</v>
      </c>
      <c r="J303" t="s">
        <v>74</v>
      </c>
      <c r="K303" t="s">
        <v>74</v>
      </c>
      <c r="L303" t="s">
        <v>74</v>
      </c>
    </row>
    <row r="304" spans="1:12">
      <c r="A304" t="s">
        <v>2994</v>
      </c>
      <c r="B304" t="s">
        <v>98</v>
      </c>
      <c r="C304" t="s">
        <v>2208</v>
      </c>
      <c r="D304" t="s">
        <v>3967</v>
      </c>
      <c r="E304" t="s">
        <v>5154</v>
      </c>
      <c r="F304" t="s">
        <v>18</v>
      </c>
      <c r="G304" t="s">
        <v>74</v>
      </c>
      <c r="H304" t="s">
        <v>74</v>
      </c>
      <c r="I304" t="s">
        <v>154</v>
      </c>
      <c r="J304" t="s">
        <v>74</v>
      </c>
      <c r="K304" t="s">
        <v>74</v>
      </c>
      <c r="L304" t="s">
        <v>74</v>
      </c>
    </row>
    <row r="305" spans="1:12">
      <c r="A305" t="s">
        <v>2995</v>
      </c>
      <c r="B305" t="s">
        <v>98</v>
      </c>
      <c r="C305" t="s">
        <v>3064</v>
      </c>
      <c r="D305" t="s">
        <v>3968</v>
      </c>
      <c r="E305" t="s">
        <v>5155</v>
      </c>
      <c r="F305" t="s">
        <v>18</v>
      </c>
      <c r="G305" t="s">
        <v>3866</v>
      </c>
      <c r="H305" t="s">
        <v>3261</v>
      </c>
      <c r="I305" t="s">
        <v>154</v>
      </c>
      <c r="J305" t="s">
        <v>3867</v>
      </c>
      <c r="K305" t="s">
        <v>74</v>
      </c>
      <c r="L305" t="s">
        <v>74</v>
      </c>
    </row>
    <row r="306" spans="1:12">
      <c r="A306" t="s">
        <v>2996</v>
      </c>
      <c r="B306" t="s">
        <v>98</v>
      </c>
      <c r="C306" t="s">
        <v>3065</v>
      </c>
      <c r="D306" t="s">
        <v>3969</v>
      </c>
      <c r="E306" t="s">
        <v>5156</v>
      </c>
      <c r="F306" t="s">
        <v>18</v>
      </c>
      <c r="G306" t="s">
        <v>3866</v>
      </c>
      <c r="H306" t="s">
        <v>3261</v>
      </c>
      <c r="I306" t="s">
        <v>154</v>
      </c>
      <c r="J306" t="s">
        <v>3867</v>
      </c>
      <c r="K306" t="s">
        <v>74</v>
      </c>
      <c r="L306" t="s">
        <v>74</v>
      </c>
    </row>
    <row r="307" spans="1:12">
      <c r="A307" t="s">
        <v>3970</v>
      </c>
      <c r="B307" t="s">
        <v>98</v>
      </c>
      <c r="C307" t="s">
        <v>3971</v>
      </c>
      <c r="D307" t="s">
        <v>3972</v>
      </c>
      <c r="E307" t="s">
        <v>5157</v>
      </c>
      <c r="F307" t="s">
        <v>18</v>
      </c>
      <c r="G307" t="s">
        <v>3866</v>
      </c>
      <c r="H307" t="s">
        <v>3261</v>
      </c>
      <c r="I307" t="s">
        <v>154</v>
      </c>
      <c r="J307" t="s">
        <v>3867</v>
      </c>
      <c r="K307" t="s">
        <v>74</v>
      </c>
      <c r="L307" t="s">
        <v>74</v>
      </c>
    </row>
    <row r="308" spans="1:12">
      <c r="A308" t="s">
        <v>3973</v>
      </c>
      <c r="B308" t="s">
        <v>98</v>
      </c>
      <c r="C308" t="s">
        <v>3974</v>
      </c>
      <c r="D308" t="s">
        <v>3975</v>
      </c>
      <c r="E308" t="s">
        <v>5158</v>
      </c>
      <c r="F308" t="s">
        <v>18</v>
      </c>
      <c r="G308" t="s">
        <v>3866</v>
      </c>
      <c r="H308" t="s">
        <v>3261</v>
      </c>
      <c r="I308" t="s">
        <v>154</v>
      </c>
      <c r="J308" t="s">
        <v>3867</v>
      </c>
      <c r="K308" t="s">
        <v>74</v>
      </c>
      <c r="L308" t="s">
        <v>74</v>
      </c>
    </row>
    <row r="309" spans="1:12">
      <c r="A309" t="s">
        <v>2997</v>
      </c>
      <c r="B309" t="s">
        <v>98</v>
      </c>
      <c r="C309" t="s">
        <v>3066</v>
      </c>
      <c r="D309" t="s">
        <v>3976</v>
      </c>
      <c r="E309" t="s">
        <v>5159</v>
      </c>
      <c r="F309" t="s">
        <v>18</v>
      </c>
      <c r="G309" t="s">
        <v>3866</v>
      </c>
      <c r="H309" t="s">
        <v>3261</v>
      </c>
      <c r="I309" t="s">
        <v>154</v>
      </c>
      <c r="J309" t="s">
        <v>3867</v>
      </c>
      <c r="K309" t="s">
        <v>74</v>
      </c>
      <c r="L309" t="s">
        <v>74</v>
      </c>
    </row>
    <row r="310" spans="1:12">
      <c r="A310" t="s">
        <v>2998</v>
      </c>
      <c r="B310" t="s">
        <v>98</v>
      </c>
      <c r="C310" t="s">
        <v>3067</v>
      </c>
      <c r="D310" t="s">
        <v>3977</v>
      </c>
      <c r="E310" t="s">
        <v>5160</v>
      </c>
      <c r="F310" t="s">
        <v>18</v>
      </c>
      <c r="G310" t="s">
        <v>3866</v>
      </c>
      <c r="H310" t="s">
        <v>3261</v>
      </c>
      <c r="I310" t="s">
        <v>154</v>
      </c>
      <c r="J310" t="s">
        <v>3867</v>
      </c>
      <c r="K310" t="s">
        <v>74</v>
      </c>
      <c r="L310" t="s">
        <v>74</v>
      </c>
    </row>
    <row r="311" spans="1:12">
      <c r="A311" t="s">
        <v>2999</v>
      </c>
      <c r="B311" t="s">
        <v>98</v>
      </c>
      <c r="C311" t="s">
        <v>3068</v>
      </c>
      <c r="D311" t="s">
        <v>3978</v>
      </c>
      <c r="E311" t="s">
        <v>5161</v>
      </c>
      <c r="F311" t="s">
        <v>18</v>
      </c>
      <c r="G311" t="s">
        <v>3866</v>
      </c>
      <c r="H311" t="s">
        <v>3261</v>
      </c>
      <c r="I311" t="s">
        <v>154</v>
      </c>
      <c r="J311" t="s">
        <v>3867</v>
      </c>
      <c r="K311" t="s">
        <v>74</v>
      </c>
      <c r="L311" t="s">
        <v>74</v>
      </c>
    </row>
    <row r="312" spans="1:12">
      <c r="A312" t="s">
        <v>3000</v>
      </c>
      <c r="B312" t="s">
        <v>98</v>
      </c>
      <c r="C312" t="s">
        <v>3069</v>
      </c>
      <c r="D312" t="s">
        <v>3979</v>
      </c>
      <c r="E312" t="s">
        <v>5162</v>
      </c>
      <c r="F312" t="s">
        <v>18</v>
      </c>
      <c r="G312" t="s">
        <v>3866</v>
      </c>
      <c r="H312" t="s">
        <v>3261</v>
      </c>
      <c r="I312" t="s">
        <v>154</v>
      </c>
      <c r="J312" t="s">
        <v>3867</v>
      </c>
      <c r="K312" t="s">
        <v>74</v>
      </c>
      <c r="L312" t="s">
        <v>74</v>
      </c>
    </row>
    <row r="313" spans="1:12">
      <c r="A313" t="s">
        <v>3001</v>
      </c>
      <c r="B313" t="s">
        <v>98</v>
      </c>
      <c r="C313" t="s">
        <v>3070</v>
      </c>
      <c r="D313" t="s">
        <v>3980</v>
      </c>
      <c r="E313" t="s">
        <v>5163</v>
      </c>
      <c r="F313" t="s">
        <v>18</v>
      </c>
      <c r="G313" t="s">
        <v>3866</v>
      </c>
      <c r="H313" t="s">
        <v>3261</v>
      </c>
      <c r="I313" t="s">
        <v>154</v>
      </c>
      <c r="J313" t="s">
        <v>3867</v>
      </c>
      <c r="K313" t="s">
        <v>74</v>
      </c>
      <c r="L313" t="s">
        <v>74</v>
      </c>
    </row>
    <row r="314" spans="1:12">
      <c r="A314" t="s">
        <v>3002</v>
      </c>
      <c r="B314" t="s">
        <v>98</v>
      </c>
      <c r="C314" t="s">
        <v>3071</v>
      </c>
      <c r="D314" t="s">
        <v>3981</v>
      </c>
      <c r="E314" t="s">
        <v>5164</v>
      </c>
      <c r="F314" t="s">
        <v>18</v>
      </c>
      <c r="G314" t="s">
        <v>3866</v>
      </c>
      <c r="H314" t="s">
        <v>3261</v>
      </c>
      <c r="I314" t="s">
        <v>154</v>
      </c>
      <c r="J314" t="s">
        <v>3867</v>
      </c>
      <c r="K314" t="s">
        <v>74</v>
      </c>
      <c r="L314" t="s">
        <v>74</v>
      </c>
    </row>
    <row r="315" spans="1:12">
      <c r="A315" t="s">
        <v>3003</v>
      </c>
      <c r="B315" t="s">
        <v>98</v>
      </c>
      <c r="C315" t="s">
        <v>3072</v>
      </c>
      <c r="D315" t="s">
        <v>3982</v>
      </c>
      <c r="E315" t="s">
        <v>5165</v>
      </c>
      <c r="F315" t="s">
        <v>18</v>
      </c>
      <c r="G315" t="s">
        <v>3866</v>
      </c>
      <c r="H315" t="s">
        <v>3261</v>
      </c>
      <c r="I315" t="s">
        <v>154</v>
      </c>
      <c r="J315" t="s">
        <v>3867</v>
      </c>
      <c r="K315" t="s">
        <v>74</v>
      </c>
      <c r="L315" t="s">
        <v>74</v>
      </c>
    </row>
    <row r="316" spans="1:12">
      <c r="A316" t="s">
        <v>3004</v>
      </c>
      <c r="B316" t="s">
        <v>98</v>
      </c>
      <c r="C316" t="s">
        <v>3073</v>
      </c>
      <c r="D316" t="s">
        <v>3983</v>
      </c>
      <c r="E316" t="s">
        <v>5166</v>
      </c>
      <c r="F316" t="s">
        <v>18</v>
      </c>
      <c r="G316" t="s">
        <v>3866</v>
      </c>
      <c r="H316" t="s">
        <v>3261</v>
      </c>
      <c r="I316" t="s">
        <v>154</v>
      </c>
      <c r="J316" t="s">
        <v>3867</v>
      </c>
      <c r="K316" t="s">
        <v>74</v>
      </c>
      <c r="L316" t="s">
        <v>74</v>
      </c>
    </row>
    <row r="317" spans="1:12">
      <c r="A317" t="s">
        <v>99</v>
      </c>
      <c r="B317" t="s">
        <v>99</v>
      </c>
      <c r="D317" t="s">
        <v>100</v>
      </c>
      <c r="E317" t="s">
        <v>3984</v>
      </c>
      <c r="F317" t="s">
        <v>18</v>
      </c>
      <c r="G317" t="s">
        <v>74</v>
      </c>
      <c r="H317" t="s">
        <v>74</v>
      </c>
      <c r="I317" t="s">
        <v>154</v>
      </c>
      <c r="J317" t="s">
        <v>74</v>
      </c>
      <c r="K317" t="s">
        <v>74</v>
      </c>
      <c r="L317" t="s">
        <v>74</v>
      </c>
    </row>
    <row r="318" spans="1:12">
      <c r="A318" t="s">
        <v>3005</v>
      </c>
      <c r="B318" t="s">
        <v>101</v>
      </c>
      <c r="C318" t="s">
        <v>3074</v>
      </c>
      <c r="D318" t="s">
        <v>226</v>
      </c>
      <c r="E318" t="s">
        <v>3075</v>
      </c>
      <c r="F318" t="s">
        <v>18</v>
      </c>
      <c r="G318" t="s">
        <v>74</v>
      </c>
      <c r="H318" t="s">
        <v>74</v>
      </c>
      <c r="I318" t="s">
        <v>154</v>
      </c>
      <c r="J318" t="s">
        <v>74</v>
      </c>
      <c r="K318" t="s">
        <v>74</v>
      </c>
      <c r="L318" t="s">
        <v>74</v>
      </c>
    </row>
    <row r="319" spans="1:12">
      <c r="A319" t="s">
        <v>3006</v>
      </c>
      <c r="B319" t="s">
        <v>101</v>
      </c>
      <c r="C319" t="s">
        <v>3076</v>
      </c>
      <c r="D319" t="s">
        <v>226</v>
      </c>
      <c r="E319" t="s">
        <v>3077</v>
      </c>
      <c r="F319" t="s">
        <v>18</v>
      </c>
      <c r="G319" t="s">
        <v>74</v>
      </c>
      <c r="H319" t="s">
        <v>74</v>
      </c>
      <c r="I319" t="s">
        <v>154</v>
      </c>
      <c r="J319" t="s">
        <v>74</v>
      </c>
      <c r="K319" t="s">
        <v>74</v>
      </c>
      <c r="L319" t="s">
        <v>74</v>
      </c>
    </row>
    <row r="320" spans="1:12">
      <c r="A320" t="s">
        <v>3007</v>
      </c>
      <c r="B320" t="s">
        <v>101</v>
      </c>
      <c r="C320" t="s">
        <v>3078</v>
      </c>
      <c r="D320" t="s">
        <v>226</v>
      </c>
      <c r="E320" t="s">
        <v>3079</v>
      </c>
      <c r="F320" t="s">
        <v>18</v>
      </c>
      <c r="G320" t="s">
        <v>74</v>
      </c>
      <c r="H320" t="s">
        <v>74</v>
      </c>
      <c r="I320" t="s">
        <v>154</v>
      </c>
      <c r="J320" t="s">
        <v>74</v>
      </c>
      <c r="K320" t="s">
        <v>74</v>
      </c>
      <c r="L320" t="s">
        <v>74</v>
      </c>
    </row>
    <row r="321" spans="1:12">
      <c r="A321" t="s">
        <v>2236</v>
      </c>
      <c r="B321" t="s">
        <v>3080</v>
      </c>
      <c r="C321" t="s">
        <v>2938</v>
      </c>
      <c r="D321" t="s">
        <v>2482</v>
      </c>
      <c r="E321" t="s">
        <v>5167</v>
      </c>
      <c r="F321" t="s">
        <v>18</v>
      </c>
      <c r="G321" t="s">
        <v>74</v>
      </c>
      <c r="H321" t="s">
        <v>74</v>
      </c>
      <c r="I321" t="s">
        <v>154</v>
      </c>
      <c r="J321" t="s">
        <v>74</v>
      </c>
      <c r="K321" t="s">
        <v>74</v>
      </c>
      <c r="L321" t="s">
        <v>74</v>
      </c>
    </row>
    <row r="322" spans="1:12">
      <c r="A322" t="s">
        <v>2237</v>
      </c>
      <c r="B322" t="s">
        <v>3081</v>
      </c>
      <c r="C322" t="s">
        <v>2939</v>
      </c>
      <c r="D322" t="s">
        <v>3985</v>
      </c>
      <c r="E322" t="s">
        <v>5168</v>
      </c>
      <c r="F322" t="s">
        <v>18</v>
      </c>
      <c r="G322" t="s">
        <v>74</v>
      </c>
      <c r="H322" t="s">
        <v>74</v>
      </c>
      <c r="I322" t="s">
        <v>154</v>
      </c>
      <c r="J322" t="s">
        <v>74</v>
      </c>
      <c r="K322" t="s">
        <v>74</v>
      </c>
      <c r="L322" t="s">
        <v>74</v>
      </c>
    </row>
    <row r="323" spans="1:12">
      <c r="A323" t="s">
        <v>160</v>
      </c>
      <c r="B323" t="s">
        <v>3081</v>
      </c>
      <c r="C323" t="s">
        <v>2188</v>
      </c>
      <c r="D323" t="s">
        <v>3985</v>
      </c>
      <c r="E323" t="s">
        <v>5169</v>
      </c>
      <c r="F323" t="s">
        <v>18</v>
      </c>
      <c r="G323" t="s">
        <v>74</v>
      </c>
      <c r="H323" t="s">
        <v>74</v>
      </c>
      <c r="I323" t="s">
        <v>154</v>
      </c>
      <c r="J323" t="s">
        <v>74</v>
      </c>
      <c r="K323" t="s">
        <v>74</v>
      </c>
      <c r="L323" t="s">
        <v>74</v>
      </c>
    </row>
    <row r="324" spans="1:12">
      <c r="A324" t="s">
        <v>3010</v>
      </c>
      <c r="B324" t="s">
        <v>3081</v>
      </c>
      <c r="C324" t="s">
        <v>3083</v>
      </c>
      <c r="D324" t="s">
        <v>3985</v>
      </c>
      <c r="E324" t="s">
        <v>5170</v>
      </c>
      <c r="F324" t="s">
        <v>18</v>
      </c>
      <c r="G324" t="s">
        <v>74</v>
      </c>
      <c r="H324" t="s">
        <v>74</v>
      </c>
      <c r="I324" t="s">
        <v>154</v>
      </c>
      <c r="J324" t="s">
        <v>74</v>
      </c>
      <c r="K324" t="s">
        <v>74</v>
      </c>
      <c r="L324" t="s">
        <v>74</v>
      </c>
    </row>
    <row r="325" spans="1:12">
      <c r="A325" t="s">
        <v>2238</v>
      </c>
      <c r="B325" t="s">
        <v>3081</v>
      </c>
      <c r="C325" t="s">
        <v>2189</v>
      </c>
      <c r="D325" t="s">
        <v>3986</v>
      </c>
      <c r="E325" t="s">
        <v>5171</v>
      </c>
      <c r="F325" t="s">
        <v>18</v>
      </c>
      <c r="G325" t="s">
        <v>74</v>
      </c>
      <c r="H325" t="s">
        <v>74</v>
      </c>
      <c r="I325" t="s">
        <v>154</v>
      </c>
      <c r="J325" t="s">
        <v>74</v>
      </c>
      <c r="K325" t="s">
        <v>74</v>
      </c>
      <c r="L325" t="s">
        <v>74</v>
      </c>
    </row>
    <row r="326" spans="1:12">
      <c r="A326" t="s">
        <v>161</v>
      </c>
      <c r="B326" t="s">
        <v>3081</v>
      </c>
      <c r="C326" t="s">
        <v>2190</v>
      </c>
      <c r="D326" t="s">
        <v>3986</v>
      </c>
      <c r="E326" t="s">
        <v>5172</v>
      </c>
      <c r="F326" t="s">
        <v>18</v>
      </c>
      <c r="G326" t="s">
        <v>74</v>
      </c>
      <c r="H326" t="s">
        <v>74</v>
      </c>
      <c r="I326" t="s">
        <v>154</v>
      </c>
      <c r="J326" t="s">
        <v>74</v>
      </c>
      <c r="K326" t="s">
        <v>74</v>
      </c>
      <c r="L326" t="s">
        <v>74</v>
      </c>
    </row>
    <row r="327" spans="1:12">
      <c r="A327" t="s">
        <v>3008</v>
      </c>
      <c r="B327" t="s">
        <v>3081</v>
      </c>
      <c r="C327" t="s">
        <v>2189</v>
      </c>
      <c r="D327" t="s">
        <v>3986</v>
      </c>
      <c r="E327" t="s">
        <v>5173</v>
      </c>
      <c r="F327" t="s">
        <v>18</v>
      </c>
      <c r="G327" t="s">
        <v>74</v>
      </c>
      <c r="H327" t="s">
        <v>74</v>
      </c>
      <c r="I327" t="s">
        <v>154</v>
      </c>
      <c r="J327" t="s">
        <v>74</v>
      </c>
      <c r="K327" t="s">
        <v>74</v>
      </c>
      <c r="L327" t="s">
        <v>74</v>
      </c>
    </row>
    <row r="328" spans="1:12">
      <c r="A328" t="s">
        <v>3009</v>
      </c>
      <c r="B328" t="s">
        <v>3081</v>
      </c>
      <c r="C328" t="s">
        <v>2190</v>
      </c>
      <c r="D328" t="s">
        <v>3986</v>
      </c>
      <c r="E328" t="s">
        <v>5174</v>
      </c>
      <c r="F328" t="s">
        <v>18</v>
      </c>
      <c r="G328" t="s">
        <v>74</v>
      </c>
      <c r="H328" t="s">
        <v>74</v>
      </c>
      <c r="I328" t="s">
        <v>154</v>
      </c>
      <c r="J328" t="s">
        <v>74</v>
      </c>
      <c r="K328" t="s">
        <v>74</v>
      </c>
      <c r="L328" t="s">
        <v>74</v>
      </c>
    </row>
    <row r="329" spans="1:12">
      <c r="A329" t="s">
        <v>3011</v>
      </c>
      <c r="B329" t="s">
        <v>104</v>
      </c>
      <c r="C329" t="s">
        <v>3084</v>
      </c>
      <c r="D329" t="s">
        <v>227</v>
      </c>
      <c r="E329" t="s">
        <v>3085</v>
      </c>
      <c r="F329" t="s">
        <v>18</v>
      </c>
      <c r="G329" t="s">
        <v>74</v>
      </c>
      <c r="H329" t="s">
        <v>74</v>
      </c>
      <c r="I329" t="s">
        <v>154</v>
      </c>
      <c r="J329" t="s">
        <v>74</v>
      </c>
      <c r="K329" t="s">
        <v>74</v>
      </c>
      <c r="L329" t="s">
        <v>74</v>
      </c>
    </row>
    <row r="330" spans="1:12">
      <c r="A330" t="s">
        <v>105</v>
      </c>
      <c r="B330" t="s">
        <v>105</v>
      </c>
      <c r="D330" t="s">
        <v>106</v>
      </c>
      <c r="E330" t="s">
        <v>3987</v>
      </c>
      <c r="F330" t="s">
        <v>18</v>
      </c>
      <c r="G330" t="s">
        <v>74</v>
      </c>
      <c r="H330" t="s">
        <v>74</v>
      </c>
      <c r="I330" t="s">
        <v>154</v>
      </c>
      <c r="J330" t="s">
        <v>74</v>
      </c>
      <c r="K330" t="s">
        <v>74</v>
      </c>
      <c r="L330" t="s">
        <v>74</v>
      </c>
    </row>
    <row r="331" spans="1:12">
      <c r="A331" t="s">
        <v>3988</v>
      </c>
      <c r="B331" t="s">
        <v>5175</v>
      </c>
      <c r="C331" t="s">
        <v>3989</v>
      </c>
      <c r="D331" t="s">
        <v>3990</v>
      </c>
      <c r="E331" t="s">
        <v>5176</v>
      </c>
      <c r="F331" t="s">
        <v>18</v>
      </c>
      <c r="G331" t="s">
        <v>74</v>
      </c>
      <c r="H331" t="s">
        <v>74</v>
      </c>
      <c r="I331" t="s">
        <v>154</v>
      </c>
      <c r="J331" t="s">
        <v>74</v>
      </c>
      <c r="K331" t="s">
        <v>74</v>
      </c>
      <c r="L331" t="s">
        <v>74</v>
      </c>
    </row>
    <row r="332" spans="1:12">
      <c r="A332" t="s">
        <v>3991</v>
      </c>
      <c r="B332" t="s">
        <v>3991</v>
      </c>
      <c r="D332" t="s">
        <v>3990</v>
      </c>
      <c r="E332" t="s">
        <v>3992</v>
      </c>
      <c r="F332" t="s">
        <v>18</v>
      </c>
      <c r="G332" t="s">
        <v>74</v>
      </c>
      <c r="H332" t="s">
        <v>74</v>
      </c>
      <c r="I332" t="s">
        <v>154</v>
      </c>
      <c r="J332" t="s">
        <v>74</v>
      </c>
      <c r="K332" t="s">
        <v>74</v>
      </c>
      <c r="L332" t="s">
        <v>74</v>
      </c>
    </row>
    <row r="333" spans="1:12">
      <c r="A333" t="s">
        <v>3993</v>
      </c>
      <c r="B333" t="s">
        <v>107</v>
      </c>
      <c r="C333" t="s">
        <v>3994</v>
      </c>
      <c r="D333" t="s">
        <v>3995</v>
      </c>
      <c r="E333" t="s">
        <v>5177</v>
      </c>
      <c r="F333" t="s">
        <v>18</v>
      </c>
      <c r="G333" t="s">
        <v>74</v>
      </c>
      <c r="H333" t="s">
        <v>74</v>
      </c>
      <c r="I333" t="s">
        <v>154</v>
      </c>
      <c r="J333" t="s">
        <v>74</v>
      </c>
      <c r="K333" t="s">
        <v>74</v>
      </c>
      <c r="L333" t="s">
        <v>74</v>
      </c>
    </row>
    <row r="334" spans="1:12">
      <c r="A334" t="s">
        <v>3996</v>
      </c>
      <c r="B334" t="s">
        <v>107</v>
      </c>
      <c r="C334" t="s">
        <v>3997</v>
      </c>
      <c r="D334" t="s">
        <v>3998</v>
      </c>
      <c r="E334" t="s">
        <v>5178</v>
      </c>
      <c r="F334" t="s">
        <v>18</v>
      </c>
      <c r="G334" t="s">
        <v>74</v>
      </c>
      <c r="H334" t="s">
        <v>74</v>
      </c>
      <c r="I334" t="s">
        <v>154</v>
      </c>
      <c r="J334" t="s">
        <v>74</v>
      </c>
      <c r="K334" t="s">
        <v>74</v>
      </c>
      <c r="L334" t="s">
        <v>74</v>
      </c>
    </row>
    <row r="335" spans="1:12">
      <c r="A335" t="s">
        <v>3999</v>
      </c>
      <c r="B335" t="s">
        <v>108</v>
      </c>
      <c r="C335" t="s">
        <v>4000</v>
      </c>
      <c r="D335" t="s">
        <v>109</v>
      </c>
      <c r="E335" t="s">
        <v>5179</v>
      </c>
      <c r="F335" t="s">
        <v>18</v>
      </c>
      <c r="G335" t="s">
        <v>74</v>
      </c>
      <c r="H335" t="s">
        <v>74</v>
      </c>
      <c r="I335" t="s">
        <v>154</v>
      </c>
      <c r="J335" t="s">
        <v>74</v>
      </c>
      <c r="K335" t="s">
        <v>74</v>
      </c>
      <c r="L335" t="s">
        <v>74</v>
      </c>
    </row>
    <row r="336" spans="1:12">
      <c r="A336" t="s">
        <v>2935</v>
      </c>
      <c r="B336" t="s">
        <v>110</v>
      </c>
      <c r="C336" t="s">
        <v>2934</v>
      </c>
      <c r="D336" t="s">
        <v>111</v>
      </c>
      <c r="E336" t="s">
        <v>3086</v>
      </c>
      <c r="F336" t="s">
        <v>18</v>
      </c>
      <c r="G336" t="s">
        <v>74</v>
      </c>
      <c r="H336" t="s">
        <v>74</v>
      </c>
      <c r="I336" t="s">
        <v>154</v>
      </c>
      <c r="J336" t="s">
        <v>74</v>
      </c>
      <c r="K336" t="s">
        <v>74</v>
      </c>
      <c r="L336" t="s">
        <v>74</v>
      </c>
    </row>
    <row r="337" spans="1:12">
      <c r="A337" t="s">
        <v>162</v>
      </c>
      <c r="B337" t="s">
        <v>87</v>
      </c>
      <c r="C337" t="s">
        <v>2193</v>
      </c>
      <c r="D337" t="s">
        <v>2483</v>
      </c>
      <c r="E337" t="s">
        <v>3087</v>
      </c>
      <c r="F337" t="s">
        <v>18</v>
      </c>
      <c r="G337" t="s">
        <v>3283</v>
      </c>
      <c r="H337" t="s">
        <v>3261</v>
      </c>
      <c r="I337" t="s">
        <v>154</v>
      </c>
      <c r="J337" t="s">
        <v>4001</v>
      </c>
      <c r="K337" t="s">
        <v>4002</v>
      </c>
      <c r="L337" t="s">
        <v>63</v>
      </c>
    </row>
    <row r="338" spans="1:12">
      <c r="A338" t="s">
        <v>2523</v>
      </c>
      <c r="B338" t="s">
        <v>87</v>
      </c>
      <c r="C338" t="s">
        <v>2525</v>
      </c>
      <c r="D338" t="s">
        <v>2484</v>
      </c>
      <c r="E338" t="s">
        <v>3088</v>
      </c>
      <c r="F338" t="s">
        <v>18</v>
      </c>
      <c r="G338" t="s">
        <v>3283</v>
      </c>
      <c r="H338" t="s">
        <v>3261</v>
      </c>
      <c r="I338" t="s">
        <v>154</v>
      </c>
      <c r="J338" t="s">
        <v>4001</v>
      </c>
      <c r="K338" t="s">
        <v>4002</v>
      </c>
      <c r="L338" t="s">
        <v>63</v>
      </c>
    </row>
    <row r="339" spans="1:12">
      <c r="A339" t="s">
        <v>2524</v>
      </c>
      <c r="B339" t="s">
        <v>87</v>
      </c>
      <c r="C339" t="s">
        <v>2526</v>
      </c>
      <c r="D339" t="s">
        <v>2484</v>
      </c>
      <c r="E339" t="s">
        <v>3089</v>
      </c>
      <c r="F339" t="s">
        <v>18</v>
      </c>
      <c r="G339" t="s">
        <v>3283</v>
      </c>
      <c r="H339" t="s">
        <v>3261</v>
      </c>
      <c r="I339" t="s">
        <v>154</v>
      </c>
      <c r="J339" t="s">
        <v>4001</v>
      </c>
      <c r="K339" t="s">
        <v>4002</v>
      </c>
      <c r="L339" t="s">
        <v>63</v>
      </c>
    </row>
    <row r="340" spans="1:12">
      <c r="A340" t="s">
        <v>2243</v>
      </c>
      <c r="B340" t="s">
        <v>87</v>
      </c>
      <c r="C340" t="s">
        <v>2199</v>
      </c>
      <c r="D340" t="s">
        <v>2485</v>
      </c>
      <c r="E340" t="s">
        <v>3090</v>
      </c>
      <c r="F340" t="s">
        <v>18</v>
      </c>
      <c r="G340" t="s">
        <v>3283</v>
      </c>
      <c r="H340" t="s">
        <v>3261</v>
      </c>
      <c r="I340" t="s">
        <v>154</v>
      </c>
      <c r="J340" t="s">
        <v>4001</v>
      </c>
      <c r="K340" t="s">
        <v>4002</v>
      </c>
      <c r="L340" t="s">
        <v>63</v>
      </c>
    </row>
    <row r="341" spans="1:12">
      <c r="A341" t="s">
        <v>112</v>
      </c>
      <c r="B341" t="s">
        <v>3034</v>
      </c>
      <c r="C341" t="s">
        <v>3091</v>
      </c>
      <c r="D341" t="s">
        <v>2012</v>
      </c>
      <c r="E341" t="s">
        <v>3092</v>
      </c>
      <c r="F341" t="s">
        <v>74</v>
      </c>
      <c r="G341" t="s">
        <v>74</v>
      </c>
      <c r="H341" t="s">
        <v>74</v>
      </c>
      <c r="I341" t="s">
        <v>74</v>
      </c>
      <c r="J341" t="s">
        <v>74</v>
      </c>
      <c r="K341" t="s">
        <v>74</v>
      </c>
      <c r="L341" t="s">
        <v>74</v>
      </c>
    </row>
    <row r="342" spans="1:12">
      <c r="A342" t="s">
        <v>113</v>
      </c>
      <c r="B342" t="s">
        <v>3034</v>
      </c>
      <c r="C342" t="s">
        <v>3093</v>
      </c>
      <c r="D342" t="s">
        <v>2012</v>
      </c>
      <c r="E342" t="s">
        <v>3094</v>
      </c>
      <c r="F342" t="s">
        <v>74</v>
      </c>
      <c r="G342" t="s">
        <v>74</v>
      </c>
      <c r="H342" t="s">
        <v>74</v>
      </c>
      <c r="I342" t="s">
        <v>74</v>
      </c>
      <c r="J342" t="s">
        <v>74</v>
      </c>
      <c r="K342" t="s">
        <v>74</v>
      </c>
      <c r="L342" t="s">
        <v>74</v>
      </c>
    </row>
    <row r="343" spans="1:12">
      <c r="A343" t="s">
        <v>4003</v>
      </c>
      <c r="B343" t="s">
        <v>3034</v>
      </c>
      <c r="C343" t="s">
        <v>5180</v>
      </c>
      <c r="D343" t="s">
        <v>4004</v>
      </c>
      <c r="E343" t="s">
        <v>4005</v>
      </c>
      <c r="F343" t="s">
        <v>74</v>
      </c>
      <c r="G343" t="s">
        <v>74</v>
      </c>
      <c r="H343" t="s">
        <v>74</v>
      </c>
      <c r="I343" t="s">
        <v>74</v>
      </c>
      <c r="J343" t="s">
        <v>74</v>
      </c>
      <c r="K343" t="s">
        <v>74</v>
      </c>
      <c r="L343" t="s">
        <v>74</v>
      </c>
    </row>
    <row r="344" spans="1:12">
      <c r="A344" t="s">
        <v>114</v>
      </c>
      <c r="B344" t="s">
        <v>3034</v>
      </c>
      <c r="C344" t="s">
        <v>3095</v>
      </c>
      <c r="D344" t="s">
        <v>4004</v>
      </c>
      <c r="E344" t="s">
        <v>4006</v>
      </c>
      <c r="F344" t="s">
        <v>74</v>
      </c>
      <c r="G344" t="s">
        <v>74</v>
      </c>
      <c r="H344" t="s">
        <v>74</v>
      </c>
      <c r="I344" t="s">
        <v>74</v>
      </c>
      <c r="J344" t="s">
        <v>74</v>
      </c>
      <c r="K344" t="s">
        <v>74</v>
      </c>
      <c r="L344" t="s">
        <v>74</v>
      </c>
    </row>
    <row r="345" spans="1:12">
      <c r="A345" t="s">
        <v>1994</v>
      </c>
      <c r="B345" t="s">
        <v>3034</v>
      </c>
      <c r="C345" t="s">
        <v>3096</v>
      </c>
      <c r="D345" t="s">
        <v>115</v>
      </c>
      <c r="E345" t="s">
        <v>3097</v>
      </c>
      <c r="F345" t="s">
        <v>74</v>
      </c>
      <c r="G345" t="s">
        <v>74</v>
      </c>
      <c r="H345" t="s">
        <v>74</v>
      </c>
      <c r="I345" t="s">
        <v>74</v>
      </c>
      <c r="J345" t="s">
        <v>74</v>
      </c>
      <c r="K345" t="s">
        <v>74</v>
      </c>
      <c r="L345" t="s">
        <v>74</v>
      </c>
    </row>
    <row r="346" spans="1:12">
      <c r="A346" t="s">
        <v>4007</v>
      </c>
      <c r="B346" t="s">
        <v>3034</v>
      </c>
      <c r="D346" t="s">
        <v>2486</v>
      </c>
      <c r="E346" t="s">
        <v>4008</v>
      </c>
      <c r="F346" t="s">
        <v>74</v>
      </c>
      <c r="G346" t="s">
        <v>74</v>
      </c>
      <c r="H346" t="s">
        <v>74</v>
      </c>
      <c r="I346" t="s">
        <v>74</v>
      </c>
      <c r="J346" t="s">
        <v>74</v>
      </c>
      <c r="K346" t="s">
        <v>74</v>
      </c>
      <c r="L346" t="s">
        <v>74</v>
      </c>
    </row>
    <row r="347" spans="1:12">
      <c r="A347" t="s">
        <v>2495</v>
      </c>
      <c r="B347" t="s">
        <v>3034</v>
      </c>
      <c r="C347" t="s">
        <v>2496</v>
      </c>
      <c r="D347" t="s">
        <v>2486</v>
      </c>
      <c r="E347" t="s">
        <v>3099</v>
      </c>
      <c r="F347" t="s">
        <v>74</v>
      </c>
      <c r="G347" t="s">
        <v>74</v>
      </c>
      <c r="H347" t="s">
        <v>74</v>
      </c>
      <c r="I347" t="s">
        <v>74</v>
      </c>
      <c r="J347" t="s">
        <v>74</v>
      </c>
      <c r="K347" t="s">
        <v>74</v>
      </c>
      <c r="L347" t="s">
        <v>74</v>
      </c>
    </row>
    <row r="348" spans="1:12">
      <c r="A348" t="s">
        <v>116</v>
      </c>
      <c r="B348" t="s">
        <v>3034</v>
      </c>
      <c r="C348" t="s">
        <v>3100</v>
      </c>
      <c r="D348" t="s">
        <v>228</v>
      </c>
      <c r="E348" t="s">
        <v>3101</v>
      </c>
      <c r="F348" t="s">
        <v>74</v>
      </c>
      <c r="G348" t="s">
        <v>74</v>
      </c>
      <c r="H348" t="s">
        <v>74</v>
      </c>
      <c r="I348" t="s">
        <v>74</v>
      </c>
      <c r="J348" t="s">
        <v>74</v>
      </c>
      <c r="K348" t="s">
        <v>74</v>
      </c>
      <c r="L348" t="s">
        <v>74</v>
      </c>
    </row>
    <row r="349" spans="1:12">
      <c r="A349" t="s">
        <v>117</v>
      </c>
      <c r="B349" t="s">
        <v>3034</v>
      </c>
      <c r="C349" t="s">
        <v>3102</v>
      </c>
      <c r="D349" t="s">
        <v>228</v>
      </c>
      <c r="E349" t="s">
        <v>3103</v>
      </c>
      <c r="F349" t="s">
        <v>74</v>
      </c>
      <c r="G349" t="s">
        <v>74</v>
      </c>
      <c r="H349" t="s">
        <v>74</v>
      </c>
      <c r="I349" t="s">
        <v>74</v>
      </c>
      <c r="J349" t="s">
        <v>74</v>
      </c>
      <c r="K349" t="s">
        <v>74</v>
      </c>
      <c r="L349" t="s">
        <v>74</v>
      </c>
    </row>
    <row r="350" spans="1:12">
      <c r="A350" t="s">
        <v>118</v>
      </c>
      <c r="B350" t="s">
        <v>3034</v>
      </c>
      <c r="C350" t="s">
        <v>3104</v>
      </c>
      <c r="D350" t="s">
        <v>228</v>
      </c>
      <c r="E350" t="s">
        <v>3105</v>
      </c>
      <c r="F350" t="s">
        <v>74</v>
      </c>
      <c r="G350" t="s">
        <v>74</v>
      </c>
      <c r="H350" t="s">
        <v>74</v>
      </c>
      <c r="I350" t="s">
        <v>74</v>
      </c>
      <c r="J350" t="s">
        <v>74</v>
      </c>
      <c r="K350" t="s">
        <v>74</v>
      </c>
      <c r="L350" t="s">
        <v>74</v>
      </c>
    </row>
    <row r="351" spans="1:12">
      <c r="A351" t="s">
        <v>4009</v>
      </c>
      <c r="B351" t="s">
        <v>3034</v>
      </c>
      <c r="C351" t="s">
        <v>5181</v>
      </c>
      <c r="D351" t="s">
        <v>228</v>
      </c>
      <c r="E351" t="s">
        <v>4010</v>
      </c>
      <c r="F351" t="s">
        <v>74</v>
      </c>
      <c r="G351" t="s">
        <v>74</v>
      </c>
      <c r="H351" t="s">
        <v>74</v>
      </c>
      <c r="I351" t="s">
        <v>74</v>
      </c>
      <c r="J351" t="s">
        <v>74</v>
      </c>
      <c r="K351" t="s">
        <v>74</v>
      </c>
      <c r="L351" t="s">
        <v>74</v>
      </c>
    </row>
    <row r="352" spans="1:12">
      <c r="A352" t="s">
        <v>119</v>
      </c>
      <c r="B352" t="s">
        <v>3034</v>
      </c>
      <c r="C352" t="s">
        <v>3106</v>
      </c>
      <c r="D352" t="s">
        <v>228</v>
      </c>
      <c r="E352" t="s">
        <v>3107</v>
      </c>
      <c r="F352" t="s">
        <v>74</v>
      </c>
      <c r="G352" t="s">
        <v>74</v>
      </c>
      <c r="H352" t="s">
        <v>74</v>
      </c>
      <c r="I352" t="s">
        <v>74</v>
      </c>
      <c r="J352" t="s">
        <v>74</v>
      </c>
      <c r="K352" t="s">
        <v>74</v>
      </c>
      <c r="L352" t="s">
        <v>74</v>
      </c>
    </row>
    <row r="353" spans="1:12">
      <c r="A353" t="s">
        <v>120</v>
      </c>
      <c r="B353" t="s">
        <v>3034</v>
      </c>
      <c r="C353" t="s">
        <v>3108</v>
      </c>
      <c r="D353" t="s">
        <v>229</v>
      </c>
      <c r="E353" t="s">
        <v>3109</v>
      </c>
      <c r="F353" t="s">
        <v>74</v>
      </c>
      <c r="G353" t="s">
        <v>74</v>
      </c>
      <c r="H353" t="s">
        <v>74</v>
      </c>
      <c r="I353" t="s">
        <v>74</v>
      </c>
      <c r="J353" t="s">
        <v>74</v>
      </c>
      <c r="K353" t="s">
        <v>74</v>
      </c>
      <c r="L353" t="s">
        <v>74</v>
      </c>
    </row>
    <row r="354" spans="1:12">
      <c r="A354" t="s">
        <v>121</v>
      </c>
      <c r="B354" t="s">
        <v>3034</v>
      </c>
      <c r="C354" t="s">
        <v>3110</v>
      </c>
      <c r="D354" t="s">
        <v>230</v>
      </c>
      <c r="E354" t="s">
        <v>3111</v>
      </c>
      <c r="F354" t="s">
        <v>74</v>
      </c>
      <c r="G354" t="s">
        <v>74</v>
      </c>
      <c r="H354" t="s">
        <v>74</v>
      </c>
      <c r="I354" t="s">
        <v>74</v>
      </c>
      <c r="J354" t="s">
        <v>74</v>
      </c>
      <c r="K354" t="s">
        <v>74</v>
      </c>
      <c r="L354" t="s">
        <v>74</v>
      </c>
    </row>
    <row r="355" spans="1:12">
      <c r="A355" t="s">
        <v>231</v>
      </c>
      <c r="B355" t="s">
        <v>122</v>
      </c>
      <c r="D355" t="s">
        <v>123</v>
      </c>
      <c r="E355" t="s">
        <v>4011</v>
      </c>
      <c r="F355" t="s">
        <v>74</v>
      </c>
      <c r="G355" t="s">
        <v>74</v>
      </c>
      <c r="H355" t="s">
        <v>74</v>
      </c>
      <c r="I355" t="s">
        <v>74</v>
      </c>
      <c r="J355" t="s">
        <v>74</v>
      </c>
      <c r="K355" t="s">
        <v>74</v>
      </c>
      <c r="L355" t="s">
        <v>74</v>
      </c>
    </row>
    <row r="356" spans="1:12">
      <c r="A356" t="s">
        <v>231</v>
      </c>
      <c r="B356" t="s">
        <v>122</v>
      </c>
      <c r="D356" t="s">
        <v>232</v>
      </c>
      <c r="E356" t="s">
        <v>3115</v>
      </c>
      <c r="F356" t="s">
        <v>74</v>
      </c>
      <c r="G356" t="s">
        <v>74</v>
      </c>
      <c r="H356" t="s">
        <v>74</v>
      </c>
      <c r="I356" t="s">
        <v>74</v>
      </c>
      <c r="J356" t="s">
        <v>74</v>
      </c>
      <c r="K356" t="s">
        <v>74</v>
      </c>
      <c r="L356" t="s">
        <v>74</v>
      </c>
    </row>
    <row r="357" spans="1:12">
      <c r="A357" t="s">
        <v>2945</v>
      </c>
      <c r="B357" t="s">
        <v>5182</v>
      </c>
      <c r="D357" t="s">
        <v>4012</v>
      </c>
      <c r="E357" t="s">
        <v>4013</v>
      </c>
      <c r="F357" t="s">
        <v>18</v>
      </c>
      <c r="G357" t="s">
        <v>74</v>
      </c>
      <c r="H357" t="s">
        <v>74</v>
      </c>
      <c r="I357" t="s">
        <v>154</v>
      </c>
      <c r="J357" t="s">
        <v>74</v>
      </c>
      <c r="K357" t="s">
        <v>74</v>
      </c>
      <c r="L357" t="s">
        <v>74</v>
      </c>
    </row>
    <row r="358" spans="1:12">
      <c r="A358" t="s">
        <v>4007</v>
      </c>
      <c r="B358" t="s">
        <v>3034</v>
      </c>
      <c r="D358" t="s">
        <v>2487</v>
      </c>
      <c r="E358" t="s">
        <v>4014</v>
      </c>
      <c r="F358" t="s">
        <v>74</v>
      </c>
      <c r="G358" t="s">
        <v>74</v>
      </c>
      <c r="H358" t="s">
        <v>74</v>
      </c>
      <c r="I358" t="s">
        <v>74</v>
      </c>
      <c r="J358" t="s">
        <v>74</v>
      </c>
      <c r="K358" t="s">
        <v>74</v>
      </c>
      <c r="L358" t="s">
        <v>74</v>
      </c>
    </row>
    <row r="359" spans="1:12">
      <c r="A359" t="s">
        <v>3155</v>
      </c>
      <c r="B359" t="s">
        <v>3034</v>
      </c>
      <c r="C359" t="s">
        <v>3157</v>
      </c>
      <c r="D359" t="s">
        <v>4015</v>
      </c>
      <c r="E359" t="s">
        <v>4016</v>
      </c>
      <c r="F359" t="s">
        <v>74</v>
      </c>
      <c r="G359" t="s">
        <v>74</v>
      </c>
      <c r="H359" t="s">
        <v>74</v>
      </c>
      <c r="I359" t="s">
        <v>74</v>
      </c>
      <c r="J359" t="s">
        <v>74</v>
      </c>
      <c r="K359" t="s">
        <v>74</v>
      </c>
      <c r="L359" t="s">
        <v>74</v>
      </c>
    </row>
    <row r="360" spans="1:12">
      <c r="A360" t="s">
        <v>2493</v>
      </c>
      <c r="B360" t="s">
        <v>3034</v>
      </c>
      <c r="C360" t="s">
        <v>2494</v>
      </c>
      <c r="D360" t="s">
        <v>4017</v>
      </c>
      <c r="E360" t="s">
        <v>4018</v>
      </c>
      <c r="F360" t="s">
        <v>74</v>
      </c>
      <c r="G360" t="s">
        <v>74</v>
      </c>
      <c r="H360" t="s">
        <v>74</v>
      </c>
      <c r="I360" t="s">
        <v>74</v>
      </c>
      <c r="J360" t="s">
        <v>74</v>
      </c>
      <c r="K360" t="s">
        <v>74</v>
      </c>
      <c r="L360" t="s">
        <v>74</v>
      </c>
    </row>
    <row r="361" spans="1:12">
      <c r="A361" t="s">
        <v>231</v>
      </c>
      <c r="B361" t="s">
        <v>122</v>
      </c>
      <c r="D361" t="s">
        <v>2488</v>
      </c>
      <c r="E361" t="s">
        <v>4019</v>
      </c>
      <c r="F361" t="s">
        <v>74</v>
      </c>
      <c r="G361" t="s">
        <v>74</v>
      </c>
      <c r="H361" t="s">
        <v>74</v>
      </c>
      <c r="I361" t="s">
        <v>74</v>
      </c>
      <c r="J361" t="s">
        <v>74</v>
      </c>
      <c r="K361" t="s">
        <v>74</v>
      </c>
      <c r="L361" t="s">
        <v>74</v>
      </c>
    </row>
    <row r="362" spans="1:12">
      <c r="A362" t="s">
        <v>231</v>
      </c>
      <c r="B362" t="s">
        <v>122</v>
      </c>
      <c r="D362" t="s">
        <v>2013</v>
      </c>
      <c r="E362" t="s">
        <v>4020</v>
      </c>
      <c r="F362" t="s">
        <v>74</v>
      </c>
      <c r="G362" t="s">
        <v>74</v>
      </c>
      <c r="H362" t="s">
        <v>74</v>
      </c>
      <c r="I362" t="s">
        <v>74</v>
      </c>
      <c r="J362" t="s">
        <v>74</v>
      </c>
      <c r="K362" t="s">
        <v>74</v>
      </c>
      <c r="L362" t="s">
        <v>74</v>
      </c>
    </row>
    <row r="363" spans="1:12">
      <c r="A363" t="s">
        <v>4021</v>
      </c>
      <c r="B363" t="s">
        <v>2025</v>
      </c>
      <c r="C363" t="s">
        <v>2900</v>
      </c>
      <c r="D363" t="s">
        <v>4022</v>
      </c>
      <c r="E363" t="s">
        <v>4023</v>
      </c>
      <c r="F363" t="s">
        <v>74</v>
      </c>
      <c r="G363" t="s">
        <v>74</v>
      </c>
      <c r="H363" t="s">
        <v>74</v>
      </c>
      <c r="I363" t="s">
        <v>74</v>
      </c>
      <c r="J363" t="s">
        <v>74</v>
      </c>
      <c r="K363" t="s">
        <v>74</v>
      </c>
      <c r="L363" t="s">
        <v>74</v>
      </c>
    </row>
    <row r="364" spans="1:12">
      <c r="A364" t="s">
        <v>4024</v>
      </c>
      <c r="B364" t="s">
        <v>2018</v>
      </c>
      <c r="C364" t="s">
        <v>4025</v>
      </c>
      <c r="D364" t="s">
        <v>4026</v>
      </c>
      <c r="E364" t="s">
        <v>4027</v>
      </c>
      <c r="F364" t="s">
        <v>74</v>
      </c>
      <c r="G364" t="s">
        <v>74</v>
      </c>
      <c r="H364" t="s">
        <v>74</v>
      </c>
      <c r="I364" t="s">
        <v>74</v>
      </c>
      <c r="J364" t="s">
        <v>74</v>
      </c>
      <c r="K364" t="s">
        <v>74</v>
      </c>
      <c r="L364" t="s">
        <v>74</v>
      </c>
    </row>
    <row r="365" spans="1:12">
      <c r="A365" t="s">
        <v>4028</v>
      </c>
      <c r="B365" t="s">
        <v>2024</v>
      </c>
      <c r="C365" t="s">
        <v>4025</v>
      </c>
      <c r="D365" t="s">
        <v>4029</v>
      </c>
      <c r="E365" t="s">
        <v>4030</v>
      </c>
      <c r="F365" t="s">
        <v>74</v>
      </c>
      <c r="G365" t="s">
        <v>74</v>
      </c>
      <c r="H365" t="s">
        <v>74</v>
      </c>
      <c r="I365" t="s">
        <v>74</v>
      </c>
      <c r="J365" t="s">
        <v>74</v>
      </c>
      <c r="K365" t="s">
        <v>74</v>
      </c>
      <c r="L365" t="s">
        <v>74</v>
      </c>
    </row>
    <row r="366" spans="1:12">
      <c r="A366" t="s">
        <v>4031</v>
      </c>
      <c r="B366" t="s">
        <v>2023</v>
      </c>
      <c r="C366" t="s">
        <v>2900</v>
      </c>
      <c r="D366" t="s">
        <v>4032</v>
      </c>
      <c r="E366" t="s">
        <v>4033</v>
      </c>
      <c r="F366" t="s">
        <v>74</v>
      </c>
      <c r="G366" t="s">
        <v>74</v>
      </c>
      <c r="H366" t="s">
        <v>74</v>
      </c>
      <c r="I366" t="s">
        <v>74</v>
      </c>
      <c r="J366" t="s">
        <v>74</v>
      </c>
      <c r="K366" t="s">
        <v>74</v>
      </c>
      <c r="L366" t="s">
        <v>74</v>
      </c>
    </row>
    <row r="367" spans="1:12">
      <c r="A367" t="s">
        <v>4034</v>
      </c>
      <c r="B367" t="s">
        <v>2022</v>
      </c>
      <c r="C367" t="s">
        <v>4035</v>
      </c>
      <c r="D367" t="s">
        <v>4036</v>
      </c>
      <c r="E367" t="s">
        <v>4037</v>
      </c>
      <c r="F367" t="s">
        <v>74</v>
      </c>
      <c r="G367" t="s">
        <v>74</v>
      </c>
      <c r="H367" t="s">
        <v>74</v>
      </c>
      <c r="I367" t="s">
        <v>74</v>
      </c>
      <c r="J367" t="s">
        <v>74</v>
      </c>
      <c r="K367" t="s">
        <v>74</v>
      </c>
      <c r="L367" t="s">
        <v>74</v>
      </c>
    </row>
    <row r="368" spans="1:12">
      <c r="A368" t="s">
        <v>4038</v>
      </c>
      <c r="B368" t="s">
        <v>2022</v>
      </c>
      <c r="C368" t="s">
        <v>4039</v>
      </c>
      <c r="D368" t="s">
        <v>4040</v>
      </c>
      <c r="E368" t="s">
        <v>4041</v>
      </c>
      <c r="F368" t="s">
        <v>74</v>
      </c>
      <c r="G368" t="s">
        <v>74</v>
      </c>
      <c r="H368" t="s">
        <v>74</v>
      </c>
      <c r="I368" t="s">
        <v>74</v>
      </c>
      <c r="J368" t="s">
        <v>74</v>
      </c>
      <c r="K368" t="s">
        <v>74</v>
      </c>
      <c r="L368" t="s">
        <v>74</v>
      </c>
    </row>
    <row r="369" spans="1:12">
      <c r="A369" t="s">
        <v>4042</v>
      </c>
      <c r="B369" t="s">
        <v>2022</v>
      </c>
      <c r="C369" t="s">
        <v>4043</v>
      </c>
      <c r="D369" t="s">
        <v>4044</v>
      </c>
      <c r="E369" t="s">
        <v>4045</v>
      </c>
      <c r="F369" t="s">
        <v>74</v>
      </c>
      <c r="G369" t="s">
        <v>74</v>
      </c>
      <c r="H369" t="s">
        <v>74</v>
      </c>
      <c r="I369" t="s">
        <v>74</v>
      </c>
      <c r="J369" t="s">
        <v>74</v>
      </c>
      <c r="K369" t="s">
        <v>74</v>
      </c>
      <c r="L369" t="s">
        <v>74</v>
      </c>
    </row>
    <row r="370" spans="1:12">
      <c r="A370" t="s">
        <v>4046</v>
      </c>
      <c r="B370" t="s">
        <v>122</v>
      </c>
      <c r="C370" t="s">
        <v>2002</v>
      </c>
      <c r="D370" t="s">
        <v>4047</v>
      </c>
      <c r="E370" t="s">
        <v>4048</v>
      </c>
      <c r="F370" t="s">
        <v>74</v>
      </c>
      <c r="G370" t="s">
        <v>74</v>
      </c>
      <c r="H370" t="s">
        <v>74</v>
      </c>
      <c r="I370" t="s">
        <v>74</v>
      </c>
      <c r="J370" t="s">
        <v>74</v>
      </c>
      <c r="K370" t="s">
        <v>74</v>
      </c>
      <c r="L370" t="s">
        <v>74</v>
      </c>
    </row>
    <row r="371" spans="1:12">
      <c r="A371" t="s">
        <v>2489</v>
      </c>
      <c r="B371" t="s">
        <v>122</v>
      </c>
      <c r="C371" t="s">
        <v>2491</v>
      </c>
      <c r="D371" t="s">
        <v>4049</v>
      </c>
      <c r="E371" t="s">
        <v>4050</v>
      </c>
      <c r="F371" t="s">
        <v>74</v>
      </c>
      <c r="G371" t="s">
        <v>74</v>
      </c>
      <c r="H371" t="s">
        <v>74</v>
      </c>
      <c r="I371" t="s">
        <v>74</v>
      </c>
      <c r="J371" t="s">
        <v>74</v>
      </c>
      <c r="K371" t="s">
        <v>74</v>
      </c>
      <c r="L371" t="s">
        <v>74</v>
      </c>
    </row>
    <row r="372" spans="1:12">
      <c r="A372" t="s">
        <v>4051</v>
      </c>
      <c r="B372" t="s">
        <v>122</v>
      </c>
      <c r="C372" t="s">
        <v>4052</v>
      </c>
      <c r="D372" t="s">
        <v>4053</v>
      </c>
      <c r="E372" t="s">
        <v>4054</v>
      </c>
      <c r="F372" t="s">
        <v>74</v>
      </c>
      <c r="G372" t="s">
        <v>74</v>
      </c>
      <c r="H372" t="s">
        <v>74</v>
      </c>
      <c r="I372" t="s">
        <v>74</v>
      </c>
      <c r="J372" t="s">
        <v>74</v>
      </c>
      <c r="K372" t="s">
        <v>74</v>
      </c>
      <c r="L372" t="s">
        <v>74</v>
      </c>
    </row>
    <row r="373" spans="1:12">
      <c r="A373" t="s">
        <v>2490</v>
      </c>
      <c r="B373" t="s">
        <v>122</v>
      </c>
      <c r="C373" t="s">
        <v>2492</v>
      </c>
      <c r="D373" t="s">
        <v>4055</v>
      </c>
      <c r="E373" t="s">
        <v>4056</v>
      </c>
      <c r="F373" t="s">
        <v>74</v>
      </c>
      <c r="G373" t="s">
        <v>74</v>
      </c>
      <c r="H373" t="s">
        <v>74</v>
      </c>
      <c r="I373" t="s">
        <v>74</v>
      </c>
      <c r="J373" t="s">
        <v>74</v>
      </c>
      <c r="K373" t="s">
        <v>74</v>
      </c>
      <c r="L373" t="s">
        <v>74</v>
      </c>
    </row>
    <row r="374" spans="1:12">
      <c r="A374" t="s">
        <v>3015</v>
      </c>
      <c r="B374" t="s">
        <v>122</v>
      </c>
      <c r="C374" t="s">
        <v>3117</v>
      </c>
      <c r="D374" t="s">
        <v>4057</v>
      </c>
      <c r="E374" t="s">
        <v>4058</v>
      </c>
      <c r="F374" t="s">
        <v>74</v>
      </c>
      <c r="G374" t="s">
        <v>74</v>
      </c>
      <c r="H374" t="s">
        <v>74</v>
      </c>
      <c r="I374" t="s">
        <v>74</v>
      </c>
      <c r="J374" t="s">
        <v>74</v>
      </c>
      <c r="K374" t="s">
        <v>74</v>
      </c>
      <c r="L374" t="s">
        <v>74</v>
      </c>
    </row>
    <row r="375" spans="1:12">
      <c r="A375" t="s">
        <v>4059</v>
      </c>
      <c r="B375" t="s">
        <v>2016</v>
      </c>
      <c r="C375" t="s">
        <v>4060</v>
      </c>
      <c r="D375" t="s">
        <v>4061</v>
      </c>
      <c r="E375" t="s">
        <v>4062</v>
      </c>
      <c r="F375" t="s">
        <v>74</v>
      </c>
      <c r="G375" t="s">
        <v>74</v>
      </c>
      <c r="H375" t="s">
        <v>74</v>
      </c>
      <c r="I375" t="s">
        <v>74</v>
      </c>
      <c r="J375" t="s">
        <v>74</v>
      </c>
      <c r="K375" t="s">
        <v>74</v>
      </c>
      <c r="L375" t="s">
        <v>74</v>
      </c>
    </row>
    <row r="376" spans="1:12">
      <c r="A376" t="s">
        <v>125</v>
      </c>
      <c r="B376" t="s">
        <v>125</v>
      </c>
      <c r="D376" t="s">
        <v>126</v>
      </c>
      <c r="E376" t="s">
        <v>4063</v>
      </c>
      <c r="F376" t="s">
        <v>74</v>
      </c>
      <c r="G376" t="s">
        <v>74</v>
      </c>
      <c r="H376" t="s">
        <v>74</v>
      </c>
      <c r="I376" t="s">
        <v>74</v>
      </c>
      <c r="J376" t="s">
        <v>74</v>
      </c>
      <c r="K376" t="s">
        <v>74</v>
      </c>
      <c r="L376" t="s">
        <v>74</v>
      </c>
    </row>
    <row r="377" spans="1:12">
      <c r="A377" t="s">
        <v>3016</v>
      </c>
      <c r="B377" t="s">
        <v>3119</v>
      </c>
      <c r="C377" t="s">
        <v>3120</v>
      </c>
      <c r="D377" t="s">
        <v>128</v>
      </c>
      <c r="E377" t="s">
        <v>3121</v>
      </c>
      <c r="F377" t="s">
        <v>18</v>
      </c>
      <c r="G377" t="s">
        <v>74</v>
      </c>
      <c r="H377" t="s">
        <v>74</v>
      </c>
      <c r="I377" t="s">
        <v>154</v>
      </c>
      <c r="J377" t="s">
        <v>74</v>
      </c>
      <c r="K377" t="s">
        <v>74</v>
      </c>
      <c r="L377" t="s">
        <v>74</v>
      </c>
    </row>
    <row r="378" spans="1:12">
      <c r="A378" t="s">
        <v>4064</v>
      </c>
      <c r="B378" t="s">
        <v>3118</v>
      </c>
      <c r="D378" t="s">
        <v>128</v>
      </c>
      <c r="E378" t="s">
        <v>4065</v>
      </c>
      <c r="F378" t="s">
        <v>18</v>
      </c>
      <c r="G378" t="s">
        <v>74</v>
      </c>
      <c r="H378" t="s">
        <v>74</v>
      </c>
      <c r="I378" t="s">
        <v>154</v>
      </c>
      <c r="J378" t="s">
        <v>74</v>
      </c>
      <c r="K378" t="s">
        <v>74</v>
      </c>
      <c r="L378" t="s">
        <v>74</v>
      </c>
    </row>
    <row r="379" spans="1:12">
      <c r="A379" t="s">
        <v>4066</v>
      </c>
      <c r="B379" t="s">
        <v>5183</v>
      </c>
      <c r="D379" t="s">
        <v>4067</v>
      </c>
      <c r="E379" t="s">
        <v>4068</v>
      </c>
      <c r="F379" t="s">
        <v>18</v>
      </c>
      <c r="G379" t="s">
        <v>74</v>
      </c>
      <c r="H379" t="s">
        <v>74</v>
      </c>
      <c r="I379" t="s">
        <v>154</v>
      </c>
      <c r="J379" t="s">
        <v>74</v>
      </c>
      <c r="K379" t="s">
        <v>74</v>
      </c>
      <c r="L379" t="s">
        <v>74</v>
      </c>
    </row>
    <row r="380" spans="1:12">
      <c r="A380" t="s">
        <v>4069</v>
      </c>
      <c r="B380" t="s">
        <v>5184</v>
      </c>
      <c r="D380" t="s">
        <v>4070</v>
      </c>
      <c r="E380" t="s">
        <v>4071</v>
      </c>
      <c r="F380" t="s">
        <v>18</v>
      </c>
      <c r="G380" t="s">
        <v>74</v>
      </c>
      <c r="H380" t="s">
        <v>74</v>
      </c>
      <c r="I380" t="s">
        <v>154</v>
      </c>
      <c r="J380" t="s">
        <v>74</v>
      </c>
      <c r="K380" t="s">
        <v>74</v>
      </c>
      <c r="L380" t="s">
        <v>74</v>
      </c>
    </row>
    <row r="381" spans="1:12">
      <c r="A381" t="s">
        <v>2554</v>
      </c>
      <c r="B381" t="s">
        <v>2554</v>
      </c>
      <c r="D381" t="s">
        <v>2555</v>
      </c>
      <c r="E381" t="s">
        <v>4072</v>
      </c>
      <c r="F381" t="s">
        <v>18</v>
      </c>
      <c r="G381" t="s">
        <v>2853</v>
      </c>
      <c r="H381" t="s">
        <v>3261</v>
      </c>
      <c r="I381" t="s">
        <v>154</v>
      </c>
      <c r="J381" t="s">
        <v>4073</v>
      </c>
      <c r="K381" t="s">
        <v>3176</v>
      </c>
      <c r="L381" t="s">
        <v>4074</v>
      </c>
    </row>
    <row r="382" spans="1:12">
      <c r="A382" t="s">
        <v>2869</v>
      </c>
      <c r="B382" t="s">
        <v>2557</v>
      </c>
      <c r="C382" t="s">
        <v>2870</v>
      </c>
      <c r="D382" t="s">
        <v>2555</v>
      </c>
      <c r="E382" t="s">
        <v>4075</v>
      </c>
      <c r="F382" t="s">
        <v>18</v>
      </c>
      <c r="G382" t="s">
        <v>2853</v>
      </c>
      <c r="H382" t="s">
        <v>3261</v>
      </c>
      <c r="I382" t="s">
        <v>154</v>
      </c>
      <c r="J382" t="s">
        <v>4073</v>
      </c>
      <c r="K382" t="s">
        <v>3176</v>
      </c>
      <c r="L382" t="s">
        <v>4074</v>
      </c>
    </row>
    <row r="383" spans="1:12">
      <c r="A383" t="s">
        <v>4076</v>
      </c>
      <c r="B383" t="s">
        <v>2557</v>
      </c>
      <c r="C383" t="s">
        <v>4077</v>
      </c>
      <c r="D383" t="s">
        <v>2555</v>
      </c>
      <c r="E383" t="s">
        <v>4078</v>
      </c>
      <c r="F383" t="s">
        <v>18</v>
      </c>
      <c r="G383" t="s">
        <v>2853</v>
      </c>
      <c r="H383" t="s">
        <v>3261</v>
      </c>
      <c r="I383" t="s">
        <v>154</v>
      </c>
      <c r="J383" t="s">
        <v>4073</v>
      </c>
      <c r="K383" t="s">
        <v>3176</v>
      </c>
      <c r="L383" t="s">
        <v>4074</v>
      </c>
    </row>
    <row r="384" spans="1:12">
      <c r="A384" t="s">
        <v>2559</v>
      </c>
      <c r="B384" t="s">
        <v>2559</v>
      </c>
      <c r="D384" t="s">
        <v>2560</v>
      </c>
      <c r="E384" t="s">
        <v>4079</v>
      </c>
      <c r="F384" t="s">
        <v>18</v>
      </c>
      <c r="G384" t="s">
        <v>74</v>
      </c>
      <c r="H384" t="s">
        <v>74</v>
      </c>
      <c r="I384" t="s">
        <v>154</v>
      </c>
      <c r="J384" t="s">
        <v>74</v>
      </c>
      <c r="K384" t="s">
        <v>74</v>
      </c>
      <c r="L384" t="s">
        <v>74</v>
      </c>
    </row>
    <row r="385" spans="1:12">
      <c r="A385" t="s">
        <v>2561</v>
      </c>
      <c r="B385" t="s">
        <v>2562</v>
      </c>
      <c r="C385" t="s">
        <v>2563</v>
      </c>
      <c r="D385" t="s">
        <v>2564</v>
      </c>
      <c r="E385" t="s">
        <v>4080</v>
      </c>
      <c r="F385" t="s">
        <v>18</v>
      </c>
      <c r="G385" t="s">
        <v>74</v>
      </c>
      <c r="H385" t="s">
        <v>74</v>
      </c>
      <c r="I385" t="s">
        <v>154</v>
      </c>
      <c r="J385" t="s">
        <v>74</v>
      </c>
      <c r="K385" t="s">
        <v>74</v>
      </c>
      <c r="L385" t="s">
        <v>74</v>
      </c>
    </row>
    <row r="386" spans="1:12">
      <c r="A386" t="s">
        <v>2565</v>
      </c>
      <c r="B386" t="s">
        <v>2565</v>
      </c>
      <c r="D386" t="s">
        <v>2566</v>
      </c>
      <c r="E386" t="s">
        <v>4081</v>
      </c>
      <c r="F386" t="s">
        <v>18</v>
      </c>
      <c r="G386" t="s">
        <v>74</v>
      </c>
      <c r="H386" t="s">
        <v>74</v>
      </c>
      <c r="I386" t="s">
        <v>154</v>
      </c>
      <c r="J386" t="s">
        <v>74</v>
      </c>
      <c r="K386" t="s">
        <v>74</v>
      </c>
      <c r="L386" t="s">
        <v>74</v>
      </c>
    </row>
    <row r="387" spans="1:12">
      <c r="A387" t="s">
        <v>4082</v>
      </c>
      <c r="B387" t="s">
        <v>4082</v>
      </c>
      <c r="D387" t="s">
        <v>2555</v>
      </c>
      <c r="E387" t="s">
        <v>4083</v>
      </c>
      <c r="F387" t="s">
        <v>18</v>
      </c>
      <c r="G387" t="s">
        <v>74</v>
      </c>
      <c r="H387" t="s">
        <v>74</v>
      </c>
      <c r="I387" t="s">
        <v>154</v>
      </c>
      <c r="J387" t="s">
        <v>74</v>
      </c>
      <c r="K387" t="s">
        <v>74</v>
      </c>
      <c r="L387" t="s">
        <v>74</v>
      </c>
    </row>
    <row r="388" spans="1:12">
      <c r="A388" t="s">
        <v>2505</v>
      </c>
      <c r="B388" t="s">
        <v>2567</v>
      </c>
      <c r="C388" t="s">
        <v>2888</v>
      </c>
      <c r="D388" t="s">
        <v>2558</v>
      </c>
      <c r="E388" t="s">
        <v>4084</v>
      </c>
      <c r="F388" t="s">
        <v>18</v>
      </c>
      <c r="G388" t="s">
        <v>74</v>
      </c>
      <c r="H388" t="s">
        <v>74</v>
      </c>
      <c r="I388" t="s">
        <v>154</v>
      </c>
      <c r="J388" t="s">
        <v>74</v>
      </c>
      <c r="K388" t="s">
        <v>74</v>
      </c>
      <c r="L388" t="s">
        <v>74</v>
      </c>
    </row>
    <row r="389" spans="1:12">
      <c r="A389" t="s">
        <v>2500</v>
      </c>
      <c r="B389" t="s">
        <v>2568</v>
      </c>
      <c r="C389" t="s">
        <v>2882</v>
      </c>
      <c r="D389" t="s">
        <v>2564</v>
      </c>
      <c r="E389" t="s">
        <v>4085</v>
      </c>
      <c r="F389" t="s">
        <v>18</v>
      </c>
      <c r="G389" t="s">
        <v>63</v>
      </c>
      <c r="H389" t="s">
        <v>3261</v>
      </c>
      <c r="I389" t="s">
        <v>154</v>
      </c>
      <c r="J389" t="s">
        <v>1419</v>
      </c>
      <c r="K389" t="s">
        <v>3262</v>
      </c>
      <c r="L389" t="s">
        <v>63</v>
      </c>
    </row>
    <row r="390" spans="1:12">
      <c r="A390" t="s">
        <v>2502</v>
      </c>
      <c r="B390" t="s">
        <v>2569</v>
      </c>
      <c r="C390" t="s">
        <v>2501</v>
      </c>
      <c r="D390" t="s">
        <v>2570</v>
      </c>
      <c r="E390" t="s">
        <v>4086</v>
      </c>
      <c r="F390" t="s">
        <v>18</v>
      </c>
      <c r="G390" t="s">
        <v>74</v>
      </c>
      <c r="H390" t="s">
        <v>74</v>
      </c>
      <c r="I390" t="s">
        <v>154</v>
      </c>
      <c r="J390" t="s">
        <v>74</v>
      </c>
      <c r="K390" t="s">
        <v>74</v>
      </c>
      <c r="L390" t="s">
        <v>74</v>
      </c>
    </row>
    <row r="391" spans="1:12">
      <c r="A391" t="s">
        <v>2498</v>
      </c>
      <c r="B391" t="s">
        <v>2571</v>
      </c>
      <c r="C391" t="s">
        <v>2572</v>
      </c>
      <c r="D391" t="s">
        <v>2573</v>
      </c>
      <c r="E391" t="s">
        <v>4087</v>
      </c>
      <c r="F391" t="s">
        <v>18</v>
      </c>
      <c r="G391" t="s">
        <v>2853</v>
      </c>
      <c r="H391" t="s">
        <v>3175</v>
      </c>
      <c r="I391" t="s">
        <v>154</v>
      </c>
      <c r="J391" t="s">
        <v>1419</v>
      </c>
      <c r="K391" t="s">
        <v>3176</v>
      </c>
      <c r="L391" t="s">
        <v>4074</v>
      </c>
    </row>
    <row r="392" spans="1:12">
      <c r="A392" t="s">
        <v>4088</v>
      </c>
      <c r="B392" t="s">
        <v>2571</v>
      </c>
      <c r="C392" t="s">
        <v>4089</v>
      </c>
      <c r="D392" t="s">
        <v>2573</v>
      </c>
      <c r="E392" t="s">
        <v>4090</v>
      </c>
      <c r="F392" t="s">
        <v>18</v>
      </c>
      <c r="G392" t="s">
        <v>2853</v>
      </c>
      <c r="H392" t="s">
        <v>3175</v>
      </c>
      <c r="I392" t="s">
        <v>154</v>
      </c>
      <c r="J392" t="s">
        <v>1419</v>
      </c>
      <c r="K392" t="s">
        <v>3176</v>
      </c>
      <c r="L392" t="s">
        <v>4074</v>
      </c>
    </row>
    <row r="393" spans="1:12">
      <c r="A393" t="s">
        <v>2509</v>
      </c>
      <c r="B393" t="s">
        <v>2571</v>
      </c>
      <c r="C393" t="s">
        <v>2877</v>
      </c>
      <c r="D393" t="s">
        <v>2573</v>
      </c>
      <c r="E393" t="s">
        <v>4091</v>
      </c>
      <c r="F393" t="s">
        <v>18</v>
      </c>
      <c r="G393" t="s">
        <v>2853</v>
      </c>
      <c r="H393" t="s">
        <v>3175</v>
      </c>
      <c r="I393" t="s">
        <v>154</v>
      </c>
      <c r="J393" t="s">
        <v>1419</v>
      </c>
      <c r="K393" t="s">
        <v>3176</v>
      </c>
      <c r="L393" t="s">
        <v>4074</v>
      </c>
    </row>
    <row r="394" spans="1:12">
      <c r="A394" t="s">
        <v>2499</v>
      </c>
      <c r="B394" t="s">
        <v>2571</v>
      </c>
      <c r="C394" t="s">
        <v>2574</v>
      </c>
      <c r="D394" t="s">
        <v>2575</v>
      </c>
      <c r="E394" t="s">
        <v>4092</v>
      </c>
      <c r="F394" t="s">
        <v>18</v>
      </c>
      <c r="G394" t="s">
        <v>2853</v>
      </c>
      <c r="H394" t="s">
        <v>3237</v>
      </c>
      <c r="I394" t="s">
        <v>154</v>
      </c>
      <c r="J394" t="s">
        <v>1419</v>
      </c>
      <c r="K394" t="s">
        <v>3176</v>
      </c>
      <c r="L394" t="s">
        <v>4074</v>
      </c>
    </row>
    <row r="395" spans="1:12">
      <c r="A395" t="s">
        <v>4093</v>
      </c>
      <c r="B395">
        <v>5662</v>
      </c>
      <c r="C395" t="s">
        <v>4094</v>
      </c>
      <c r="D395" t="s">
        <v>4095</v>
      </c>
      <c r="E395" t="s">
        <v>4096</v>
      </c>
      <c r="F395" t="s">
        <v>74</v>
      </c>
      <c r="G395" t="s">
        <v>74</v>
      </c>
      <c r="H395" t="s">
        <v>74</v>
      </c>
      <c r="I395" t="s">
        <v>74</v>
      </c>
      <c r="J395" t="s">
        <v>74</v>
      </c>
      <c r="K395" t="s">
        <v>74</v>
      </c>
      <c r="L395" t="s">
        <v>74</v>
      </c>
    </row>
    <row r="396" spans="1:12">
      <c r="A396" t="s">
        <v>4097</v>
      </c>
      <c r="B396">
        <v>5765</v>
      </c>
      <c r="C396" t="s">
        <v>4094</v>
      </c>
      <c r="D396" t="s">
        <v>4098</v>
      </c>
      <c r="E396" t="s">
        <v>4099</v>
      </c>
      <c r="F396" t="s">
        <v>74</v>
      </c>
      <c r="G396" t="s">
        <v>74</v>
      </c>
      <c r="H396" t="s">
        <v>74</v>
      </c>
      <c r="I396" t="s">
        <v>74</v>
      </c>
      <c r="J396" t="s">
        <v>74</v>
      </c>
      <c r="K396" t="s">
        <v>74</v>
      </c>
      <c r="L396" t="s">
        <v>74</v>
      </c>
    </row>
    <row r="397" spans="1:12">
      <c r="A397" t="s">
        <v>4100</v>
      </c>
      <c r="B397">
        <v>5692</v>
      </c>
      <c r="C397" t="s">
        <v>4101</v>
      </c>
      <c r="D397" t="s">
        <v>4102</v>
      </c>
      <c r="E397" t="s">
        <v>4103</v>
      </c>
      <c r="F397" t="s">
        <v>74</v>
      </c>
      <c r="G397" t="s">
        <v>74</v>
      </c>
      <c r="H397" t="s">
        <v>74</v>
      </c>
      <c r="I397" t="s">
        <v>74</v>
      </c>
      <c r="J397" t="s">
        <v>74</v>
      </c>
      <c r="K397" t="s">
        <v>74</v>
      </c>
      <c r="L397" t="s">
        <v>74</v>
      </c>
    </row>
    <row r="398" spans="1:12">
      <c r="A398" t="s">
        <v>4104</v>
      </c>
      <c r="B398" t="s">
        <v>2018</v>
      </c>
      <c r="C398" t="s">
        <v>4105</v>
      </c>
      <c r="D398" t="s">
        <v>4106</v>
      </c>
      <c r="E398" t="s">
        <v>4107</v>
      </c>
      <c r="F398" t="s">
        <v>74</v>
      </c>
      <c r="G398" t="s">
        <v>74</v>
      </c>
      <c r="H398" t="s">
        <v>74</v>
      </c>
      <c r="I398" t="s">
        <v>74</v>
      </c>
      <c r="J398" t="s">
        <v>74</v>
      </c>
      <c r="K398" t="s">
        <v>74</v>
      </c>
      <c r="L398" t="s">
        <v>74</v>
      </c>
    </row>
    <row r="399" spans="1:12">
      <c r="A399" t="s">
        <v>4108</v>
      </c>
      <c r="B399" t="s">
        <v>2016</v>
      </c>
      <c r="C399" t="s">
        <v>4105</v>
      </c>
      <c r="D399" t="s">
        <v>4109</v>
      </c>
      <c r="E399" t="s">
        <v>4110</v>
      </c>
      <c r="F399" t="s">
        <v>74</v>
      </c>
      <c r="G399" t="s">
        <v>74</v>
      </c>
      <c r="H399" t="s">
        <v>74</v>
      </c>
      <c r="I399" t="s">
        <v>74</v>
      </c>
      <c r="J399" t="s">
        <v>74</v>
      </c>
      <c r="K399" t="s">
        <v>74</v>
      </c>
      <c r="L399" t="s">
        <v>74</v>
      </c>
    </row>
    <row r="400" spans="1:12">
      <c r="A400" t="s">
        <v>4111</v>
      </c>
      <c r="B400">
        <v>5765</v>
      </c>
      <c r="C400" t="s">
        <v>4112</v>
      </c>
      <c r="D400" t="s">
        <v>4113</v>
      </c>
      <c r="E400" t="s">
        <v>4114</v>
      </c>
      <c r="F400" t="s">
        <v>74</v>
      </c>
      <c r="G400" t="s">
        <v>74</v>
      </c>
      <c r="H400" t="s">
        <v>74</v>
      </c>
      <c r="I400" t="s">
        <v>74</v>
      </c>
      <c r="J400" t="s">
        <v>74</v>
      </c>
      <c r="K400" t="s">
        <v>74</v>
      </c>
      <c r="L400" t="s">
        <v>74</v>
      </c>
    </row>
    <row r="401" spans="1:12">
      <c r="A401" t="s">
        <v>4115</v>
      </c>
      <c r="B401">
        <v>5765</v>
      </c>
      <c r="C401" t="s">
        <v>4116</v>
      </c>
      <c r="D401" t="s">
        <v>4117</v>
      </c>
      <c r="E401" t="s">
        <v>2313</v>
      </c>
      <c r="F401" t="s">
        <v>74</v>
      </c>
      <c r="G401" t="s">
        <v>74</v>
      </c>
      <c r="H401" t="s">
        <v>74</v>
      </c>
      <c r="I401" t="s">
        <v>74</v>
      </c>
      <c r="J401" t="s">
        <v>74</v>
      </c>
      <c r="K401" t="s">
        <v>74</v>
      </c>
      <c r="L401" t="s">
        <v>74</v>
      </c>
    </row>
    <row r="402" spans="1:12">
      <c r="A402" t="s">
        <v>4118</v>
      </c>
      <c r="B402">
        <v>5765</v>
      </c>
      <c r="C402" t="s">
        <v>4119</v>
      </c>
      <c r="D402" t="s">
        <v>4120</v>
      </c>
      <c r="E402" t="s">
        <v>4121</v>
      </c>
      <c r="F402" t="s">
        <v>74</v>
      </c>
      <c r="G402" t="s">
        <v>74</v>
      </c>
      <c r="H402" t="s">
        <v>74</v>
      </c>
      <c r="I402" t="s">
        <v>74</v>
      </c>
      <c r="J402" t="s">
        <v>74</v>
      </c>
      <c r="K402" t="s">
        <v>74</v>
      </c>
      <c r="L402" t="s">
        <v>74</v>
      </c>
    </row>
    <row r="403" spans="1:12">
      <c r="A403" t="s">
        <v>4122</v>
      </c>
      <c r="B403">
        <v>5773</v>
      </c>
      <c r="C403" t="s">
        <v>4116</v>
      </c>
      <c r="D403" t="s">
        <v>4123</v>
      </c>
      <c r="E403" t="s">
        <v>4124</v>
      </c>
      <c r="F403" t="s">
        <v>74</v>
      </c>
      <c r="G403" t="s">
        <v>74</v>
      </c>
      <c r="H403" t="s">
        <v>74</v>
      </c>
      <c r="I403" t="s">
        <v>74</v>
      </c>
      <c r="J403" t="s">
        <v>74</v>
      </c>
      <c r="K403" t="s">
        <v>74</v>
      </c>
      <c r="L403" t="s">
        <v>74</v>
      </c>
    </row>
    <row r="404" spans="1:12">
      <c r="A404" t="s">
        <v>4125</v>
      </c>
      <c r="B404">
        <v>5773</v>
      </c>
      <c r="C404" t="s">
        <v>4052</v>
      </c>
      <c r="D404" t="s">
        <v>4126</v>
      </c>
      <c r="E404" t="s">
        <v>4127</v>
      </c>
      <c r="F404" t="s">
        <v>74</v>
      </c>
      <c r="G404" t="s">
        <v>74</v>
      </c>
      <c r="H404" t="s">
        <v>74</v>
      </c>
      <c r="I404" t="s">
        <v>74</v>
      </c>
      <c r="J404" t="s">
        <v>74</v>
      </c>
      <c r="K404" t="s">
        <v>74</v>
      </c>
      <c r="L404" t="s">
        <v>74</v>
      </c>
    </row>
    <row r="405" spans="1:12">
      <c r="A405" t="s">
        <v>4128</v>
      </c>
      <c r="B405">
        <v>5660</v>
      </c>
      <c r="C405" t="s">
        <v>4129</v>
      </c>
      <c r="D405" t="s">
        <v>4130</v>
      </c>
      <c r="E405" t="s">
        <v>4131</v>
      </c>
      <c r="F405" t="s">
        <v>74</v>
      </c>
      <c r="G405" t="s">
        <v>74</v>
      </c>
      <c r="H405" t="s">
        <v>74</v>
      </c>
      <c r="I405" t="s">
        <v>74</v>
      </c>
      <c r="J405" t="s">
        <v>74</v>
      </c>
      <c r="K405" t="s">
        <v>74</v>
      </c>
      <c r="L405" t="s">
        <v>74</v>
      </c>
    </row>
    <row r="406" spans="1:12">
      <c r="A406" t="s">
        <v>4132</v>
      </c>
      <c r="B406">
        <v>5662</v>
      </c>
      <c r="C406" t="s">
        <v>4133</v>
      </c>
      <c r="D406" t="s">
        <v>4134</v>
      </c>
      <c r="E406" t="s">
        <v>4135</v>
      </c>
      <c r="F406" t="s">
        <v>74</v>
      </c>
      <c r="G406" t="s">
        <v>74</v>
      </c>
      <c r="H406" t="s">
        <v>74</v>
      </c>
      <c r="I406" t="s">
        <v>74</v>
      </c>
      <c r="J406" t="s">
        <v>74</v>
      </c>
      <c r="K406" t="s">
        <v>74</v>
      </c>
      <c r="L406" t="s">
        <v>74</v>
      </c>
    </row>
    <row r="407" spans="1:12">
      <c r="A407" t="s">
        <v>4136</v>
      </c>
      <c r="B407">
        <v>5722</v>
      </c>
      <c r="C407" t="s">
        <v>4137</v>
      </c>
      <c r="D407" t="s">
        <v>4138</v>
      </c>
      <c r="E407" t="s">
        <v>4139</v>
      </c>
      <c r="F407" t="s">
        <v>74</v>
      </c>
      <c r="G407" t="s">
        <v>74</v>
      </c>
      <c r="H407" t="s">
        <v>74</v>
      </c>
      <c r="I407" t="s">
        <v>74</v>
      </c>
      <c r="J407" t="s">
        <v>74</v>
      </c>
      <c r="K407" t="s">
        <v>74</v>
      </c>
      <c r="L407" t="s">
        <v>74</v>
      </c>
    </row>
    <row r="408" spans="1:12">
      <c r="A408" t="s">
        <v>4140</v>
      </c>
      <c r="B408">
        <v>5733</v>
      </c>
      <c r="C408" t="s">
        <v>4129</v>
      </c>
      <c r="D408" t="s">
        <v>4141</v>
      </c>
      <c r="E408" t="s">
        <v>4142</v>
      </c>
      <c r="F408" t="s">
        <v>74</v>
      </c>
      <c r="G408" t="s">
        <v>74</v>
      </c>
      <c r="H408" t="s">
        <v>74</v>
      </c>
      <c r="I408" t="s">
        <v>74</v>
      </c>
      <c r="J408" t="s">
        <v>74</v>
      </c>
      <c r="K408" t="s">
        <v>74</v>
      </c>
      <c r="L408" t="s">
        <v>74</v>
      </c>
    </row>
    <row r="409" spans="1:12">
      <c r="A409" t="s">
        <v>4143</v>
      </c>
      <c r="B409">
        <v>5733</v>
      </c>
      <c r="C409" t="s">
        <v>4144</v>
      </c>
      <c r="D409" t="s">
        <v>4145</v>
      </c>
      <c r="E409" t="s">
        <v>4146</v>
      </c>
      <c r="F409" t="s">
        <v>74</v>
      </c>
      <c r="G409" t="s">
        <v>74</v>
      </c>
      <c r="H409" t="s">
        <v>74</v>
      </c>
      <c r="I409" t="s">
        <v>74</v>
      </c>
      <c r="J409" t="s">
        <v>74</v>
      </c>
      <c r="K409" t="s">
        <v>74</v>
      </c>
      <c r="L409" t="s">
        <v>74</v>
      </c>
    </row>
    <row r="410" spans="1:12">
      <c r="A410" t="s">
        <v>4147</v>
      </c>
      <c r="B410">
        <v>5733</v>
      </c>
      <c r="C410" t="s">
        <v>4133</v>
      </c>
      <c r="D410" t="s">
        <v>4148</v>
      </c>
      <c r="E410" t="s">
        <v>4149</v>
      </c>
      <c r="F410" t="s">
        <v>74</v>
      </c>
      <c r="G410" t="s">
        <v>74</v>
      </c>
      <c r="H410" t="s">
        <v>74</v>
      </c>
      <c r="I410" t="s">
        <v>74</v>
      </c>
      <c r="J410" t="s">
        <v>74</v>
      </c>
      <c r="K410" t="s">
        <v>74</v>
      </c>
      <c r="L410" t="s">
        <v>74</v>
      </c>
    </row>
    <row r="411" spans="1:12">
      <c r="A411" t="s">
        <v>4150</v>
      </c>
      <c r="B411">
        <v>5733</v>
      </c>
      <c r="C411" t="s">
        <v>4151</v>
      </c>
      <c r="D411" t="s">
        <v>4152</v>
      </c>
      <c r="E411" t="s">
        <v>4153</v>
      </c>
      <c r="F411" t="s">
        <v>74</v>
      </c>
      <c r="G411" t="s">
        <v>74</v>
      </c>
      <c r="H411" t="s">
        <v>74</v>
      </c>
      <c r="I411" t="s">
        <v>74</v>
      </c>
      <c r="J411" t="s">
        <v>74</v>
      </c>
      <c r="K411" t="s">
        <v>74</v>
      </c>
      <c r="L411" t="s">
        <v>74</v>
      </c>
    </row>
    <row r="412" spans="1:12">
      <c r="A412" t="s">
        <v>4154</v>
      </c>
      <c r="B412">
        <v>5761</v>
      </c>
      <c r="C412" t="s">
        <v>4155</v>
      </c>
      <c r="D412" t="s">
        <v>4156</v>
      </c>
      <c r="E412" t="s">
        <v>4157</v>
      </c>
      <c r="F412" t="s">
        <v>74</v>
      </c>
      <c r="G412" t="s">
        <v>74</v>
      </c>
      <c r="H412" t="s">
        <v>74</v>
      </c>
      <c r="I412" t="s">
        <v>74</v>
      </c>
      <c r="J412" t="s">
        <v>74</v>
      </c>
      <c r="K412" t="s">
        <v>74</v>
      </c>
      <c r="L412" t="s">
        <v>74</v>
      </c>
    </row>
    <row r="413" spans="1:12">
      <c r="A413" t="s">
        <v>4158</v>
      </c>
      <c r="B413">
        <v>5770</v>
      </c>
      <c r="C413" t="s">
        <v>4159</v>
      </c>
      <c r="D413" t="s">
        <v>4160</v>
      </c>
      <c r="E413" t="s">
        <v>4161</v>
      </c>
      <c r="F413" t="s">
        <v>74</v>
      </c>
      <c r="G413" t="s">
        <v>74</v>
      </c>
      <c r="H413" t="s">
        <v>74</v>
      </c>
      <c r="I413" t="s">
        <v>74</v>
      </c>
      <c r="J413" t="s">
        <v>74</v>
      </c>
      <c r="K413" t="s">
        <v>74</v>
      </c>
      <c r="L413" t="s">
        <v>74</v>
      </c>
    </row>
    <row r="414" spans="1:12">
      <c r="A414" t="s">
        <v>4162</v>
      </c>
      <c r="B414">
        <v>5770</v>
      </c>
      <c r="C414" t="s">
        <v>4163</v>
      </c>
      <c r="D414" t="s">
        <v>4164</v>
      </c>
      <c r="E414" t="s">
        <v>4165</v>
      </c>
      <c r="F414" t="s">
        <v>74</v>
      </c>
      <c r="G414" t="s">
        <v>74</v>
      </c>
      <c r="H414" t="s">
        <v>74</v>
      </c>
      <c r="I414" t="s">
        <v>74</v>
      </c>
      <c r="J414" t="s">
        <v>74</v>
      </c>
      <c r="K414" t="s">
        <v>74</v>
      </c>
      <c r="L414" t="s">
        <v>74</v>
      </c>
    </row>
    <row r="415" spans="1:12">
      <c r="A415" t="s">
        <v>4166</v>
      </c>
      <c r="B415">
        <v>5770</v>
      </c>
      <c r="C415" t="s">
        <v>4167</v>
      </c>
      <c r="D415" t="s">
        <v>4168</v>
      </c>
      <c r="E415" t="s">
        <v>4169</v>
      </c>
      <c r="F415" t="s">
        <v>74</v>
      </c>
      <c r="G415" t="s">
        <v>74</v>
      </c>
      <c r="H415" t="s">
        <v>74</v>
      </c>
      <c r="I415" t="s">
        <v>74</v>
      </c>
      <c r="J415" t="s">
        <v>74</v>
      </c>
      <c r="K415" t="s">
        <v>74</v>
      </c>
      <c r="L415" t="s">
        <v>74</v>
      </c>
    </row>
    <row r="416" spans="1:12">
      <c r="A416" t="s">
        <v>4170</v>
      </c>
      <c r="B416">
        <v>5770</v>
      </c>
      <c r="C416" t="s">
        <v>4171</v>
      </c>
      <c r="D416" t="s">
        <v>4172</v>
      </c>
      <c r="E416" t="s">
        <v>2314</v>
      </c>
      <c r="F416" t="s">
        <v>74</v>
      </c>
      <c r="G416" t="s">
        <v>74</v>
      </c>
      <c r="H416" t="s">
        <v>74</v>
      </c>
      <c r="I416" t="s">
        <v>74</v>
      </c>
      <c r="J416" t="s">
        <v>74</v>
      </c>
      <c r="K416" t="s">
        <v>74</v>
      </c>
      <c r="L416" t="s">
        <v>74</v>
      </c>
    </row>
    <row r="417" spans="1:12">
      <c r="A417" t="s">
        <v>4173</v>
      </c>
      <c r="B417">
        <v>5770</v>
      </c>
      <c r="C417" t="s">
        <v>3113</v>
      </c>
      <c r="D417" t="s">
        <v>4174</v>
      </c>
      <c r="E417" t="s">
        <v>4175</v>
      </c>
      <c r="F417" t="s">
        <v>74</v>
      </c>
      <c r="G417" t="s">
        <v>74</v>
      </c>
      <c r="H417" t="s">
        <v>74</v>
      </c>
      <c r="I417" t="s">
        <v>74</v>
      </c>
      <c r="J417" t="s">
        <v>74</v>
      </c>
      <c r="K417" t="s">
        <v>74</v>
      </c>
      <c r="L417" t="s">
        <v>74</v>
      </c>
    </row>
    <row r="418" spans="1:12">
      <c r="A418" t="s">
        <v>4176</v>
      </c>
      <c r="B418">
        <v>5770</v>
      </c>
      <c r="C418" t="s">
        <v>4177</v>
      </c>
      <c r="D418" t="s">
        <v>4178</v>
      </c>
      <c r="E418" t="s">
        <v>4179</v>
      </c>
      <c r="F418" t="s">
        <v>74</v>
      </c>
      <c r="G418" t="s">
        <v>74</v>
      </c>
      <c r="H418" t="s">
        <v>74</v>
      </c>
      <c r="I418" t="s">
        <v>74</v>
      </c>
      <c r="J418" t="s">
        <v>74</v>
      </c>
      <c r="K418" t="s">
        <v>74</v>
      </c>
      <c r="L418" t="s">
        <v>74</v>
      </c>
    </row>
    <row r="419" spans="1:12">
      <c r="A419" t="s">
        <v>4180</v>
      </c>
      <c r="B419">
        <v>5770</v>
      </c>
      <c r="C419" t="s">
        <v>4181</v>
      </c>
      <c r="D419" t="s">
        <v>4182</v>
      </c>
      <c r="E419" t="s">
        <v>4183</v>
      </c>
      <c r="F419" t="s">
        <v>74</v>
      </c>
      <c r="G419" t="s">
        <v>74</v>
      </c>
      <c r="H419" t="s">
        <v>74</v>
      </c>
      <c r="I419" t="s">
        <v>74</v>
      </c>
      <c r="J419" t="s">
        <v>74</v>
      </c>
      <c r="K419" t="s">
        <v>74</v>
      </c>
      <c r="L419" t="s">
        <v>74</v>
      </c>
    </row>
    <row r="420" spans="1:12">
      <c r="A420" t="s">
        <v>4184</v>
      </c>
      <c r="B420">
        <v>5770</v>
      </c>
      <c r="C420" t="s">
        <v>4185</v>
      </c>
      <c r="D420" t="s">
        <v>4186</v>
      </c>
      <c r="E420" t="s">
        <v>4187</v>
      </c>
      <c r="F420" t="s">
        <v>74</v>
      </c>
      <c r="G420" t="s">
        <v>74</v>
      </c>
      <c r="H420" t="s">
        <v>74</v>
      </c>
      <c r="I420" t="s">
        <v>74</v>
      </c>
      <c r="J420" t="s">
        <v>74</v>
      </c>
      <c r="K420" t="s">
        <v>74</v>
      </c>
      <c r="L420" t="s">
        <v>74</v>
      </c>
    </row>
    <row r="421" spans="1:12">
      <c r="A421" t="s">
        <v>4188</v>
      </c>
      <c r="B421">
        <v>5770</v>
      </c>
      <c r="C421" t="s">
        <v>4189</v>
      </c>
      <c r="D421" t="s">
        <v>4190</v>
      </c>
      <c r="E421" t="s">
        <v>4191</v>
      </c>
      <c r="F421" t="s">
        <v>74</v>
      </c>
      <c r="G421" t="s">
        <v>74</v>
      </c>
      <c r="H421" t="s">
        <v>74</v>
      </c>
      <c r="I421" t="s">
        <v>74</v>
      </c>
      <c r="J421" t="s">
        <v>74</v>
      </c>
      <c r="K421" t="s">
        <v>74</v>
      </c>
      <c r="L421" t="s">
        <v>74</v>
      </c>
    </row>
    <row r="422" spans="1:12">
      <c r="A422" t="s">
        <v>2039</v>
      </c>
      <c r="D422" t="s">
        <v>4192</v>
      </c>
      <c r="E422" t="s">
        <v>4193</v>
      </c>
      <c r="F422" t="s">
        <v>18</v>
      </c>
      <c r="G422" t="s">
        <v>2853</v>
      </c>
      <c r="H422" t="s">
        <v>3175</v>
      </c>
      <c r="I422" t="s">
        <v>154</v>
      </c>
      <c r="J422" t="s">
        <v>254</v>
      </c>
      <c r="K422" t="s">
        <v>3176</v>
      </c>
      <c r="L422" t="s">
        <v>4194</v>
      </c>
    </row>
    <row r="423" spans="1:12">
      <c r="A423" t="s">
        <v>2041</v>
      </c>
      <c r="D423" t="s">
        <v>4195</v>
      </c>
      <c r="E423" t="s">
        <v>4196</v>
      </c>
      <c r="F423" t="s">
        <v>18</v>
      </c>
      <c r="G423" t="s">
        <v>2853</v>
      </c>
      <c r="H423" t="s">
        <v>3175</v>
      </c>
      <c r="I423" t="s">
        <v>154</v>
      </c>
      <c r="J423" t="s">
        <v>254</v>
      </c>
      <c r="K423" t="s">
        <v>3176</v>
      </c>
      <c r="L423" t="s">
        <v>4194</v>
      </c>
    </row>
    <row r="424" spans="1:12">
      <c r="A424" t="s">
        <v>481</v>
      </c>
      <c r="D424" t="s">
        <v>4197</v>
      </c>
      <c r="E424" t="s">
        <v>4198</v>
      </c>
      <c r="F424" t="s">
        <v>18</v>
      </c>
      <c r="G424" t="s">
        <v>2853</v>
      </c>
      <c r="H424" t="s">
        <v>3175</v>
      </c>
      <c r="I424" t="s">
        <v>154</v>
      </c>
      <c r="J424" t="s">
        <v>254</v>
      </c>
      <c r="K424" t="s">
        <v>3176</v>
      </c>
      <c r="L424" t="s">
        <v>4194</v>
      </c>
    </row>
    <row r="425" spans="1:12">
      <c r="A425" t="s">
        <v>1459</v>
      </c>
      <c r="D425" t="s">
        <v>4199</v>
      </c>
      <c r="E425" t="s">
        <v>4200</v>
      </c>
      <c r="F425" t="s">
        <v>18</v>
      </c>
      <c r="G425" t="s">
        <v>2853</v>
      </c>
      <c r="H425" t="s">
        <v>3175</v>
      </c>
      <c r="I425" t="s">
        <v>154</v>
      </c>
      <c r="J425" t="s">
        <v>254</v>
      </c>
      <c r="K425" t="s">
        <v>3176</v>
      </c>
      <c r="L425" t="s">
        <v>4194</v>
      </c>
    </row>
    <row r="426" spans="1:12">
      <c r="A426" t="s">
        <v>1461</v>
      </c>
      <c r="D426" t="s">
        <v>4201</v>
      </c>
      <c r="E426" t="s">
        <v>4202</v>
      </c>
      <c r="F426" t="s">
        <v>18</v>
      </c>
      <c r="G426" t="s">
        <v>2853</v>
      </c>
      <c r="H426" t="s">
        <v>3175</v>
      </c>
      <c r="I426" t="s">
        <v>154</v>
      </c>
      <c r="J426" t="s">
        <v>254</v>
      </c>
      <c r="K426" t="s">
        <v>3176</v>
      </c>
      <c r="L426" t="s">
        <v>4194</v>
      </c>
    </row>
    <row r="427" spans="1:12">
      <c r="A427" t="s">
        <v>1463</v>
      </c>
      <c r="D427" t="s">
        <v>4203</v>
      </c>
      <c r="E427" t="s">
        <v>4204</v>
      </c>
      <c r="F427" t="s">
        <v>18</v>
      </c>
      <c r="G427" t="s">
        <v>2853</v>
      </c>
      <c r="H427" t="s">
        <v>3175</v>
      </c>
      <c r="I427" t="s">
        <v>154</v>
      </c>
      <c r="J427" t="s">
        <v>254</v>
      </c>
      <c r="K427" t="s">
        <v>3176</v>
      </c>
      <c r="L427" t="s">
        <v>4194</v>
      </c>
    </row>
    <row r="428" spans="1:12">
      <c r="A428" t="s">
        <v>2063</v>
      </c>
      <c r="D428" t="s">
        <v>4205</v>
      </c>
      <c r="E428" t="s">
        <v>4206</v>
      </c>
      <c r="F428" t="s">
        <v>18</v>
      </c>
      <c r="G428" t="s">
        <v>2853</v>
      </c>
      <c r="H428" t="s">
        <v>3175</v>
      </c>
      <c r="I428" t="s">
        <v>154</v>
      </c>
      <c r="J428" t="s">
        <v>254</v>
      </c>
      <c r="K428" t="s">
        <v>3176</v>
      </c>
      <c r="L428" t="s">
        <v>4194</v>
      </c>
    </row>
    <row r="429" spans="1:12">
      <c r="A429" t="s">
        <v>2098</v>
      </c>
      <c r="D429" t="s">
        <v>4207</v>
      </c>
      <c r="E429" t="s">
        <v>4208</v>
      </c>
      <c r="F429" t="s">
        <v>18</v>
      </c>
      <c r="G429" t="s">
        <v>2853</v>
      </c>
      <c r="H429" t="s">
        <v>3175</v>
      </c>
      <c r="I429" t="s">
        <v>154</v>
      </c>
      <c r="J429" t="s">
        <v>254</v>
      </c>
      <c r="K429" t="s">
        <v>3176</v>
      </c>
      <c r="L429" t="s">
        <v>63</v>
      </c>
    </row>
    <row r="430" spans="1:12">
      <c r="A430" t="s">
        <v>544</v>
      </c>
      <c r="D430" t="s">
        <v>4209</v>
      </c>
      <c r="E430" t="s">
        <v>4210</v>
      </c>
      <c r="F430" t="s">
        <v>18</v>
      </c>
      <c r="G430" t="s">
        <v>2853</v>
      </c>
      <c r="H430" t="s">
        <v>3175</v>
      </c>
      <c r="I430" t="s">
        <v>154</v>
      </c>
      <c r="J430" t="s">
        <v>254</v>
      </c>
      <c r="K430" t="s">
        <v>3176</v>
      </c>
      <c r="L430" t="s">
        <v>63</v>
      </c>
    </row>
    <row r="431" spans="1:12">
      <c r="A431" t="s">
        <v>1493</v>
      </c>
      <c r="D431" t="s">
        <v>4211</v>
      </c>
      <c r="E431" t="s">
        <v>4212</v>
      </c>
      <c r="F431" t="s">
        <v>18</v>
      </c>
      <c r="G431" t="s">
        <v>2853</v>
      </c>
      <c r="H431" t="s">
        <v>3175</v>
      </c>
      <c r="I431" t="s">
        <v>154</v>
      </c>
      <c r="J431" t="s">
        <v>254</v>
      </c>
      <c r="K431" t="s">
        <v>3176</v>
      </c>
      <c r="L431" t="s">
        <v>63</v>
      </c>
    </row>
    <row r="432" spans="1:12">
      <c r="A432" t="s">
        <v>1495</v>
      </c>
      <c r="D432" t="s">
        <v>4213</v>
      </c>
      <c r="E432" t="s">
        <v>4214</v>
      </c>
      <c r="F432" t="s">
        <v>18</v>
      </c>
      <c r="G432" t="s">
        <v>2853</v>
      </c>
      <c r="H432" t="s">
        <v>3175</v>
      </c>
      <c r="I432" t="s">
        <v>154</v>
      </c>
      <c r="J432" t="s">
        <v>254</v>
      </c>
      <c r="K432" t="s">
        <v>3176</v>
      </c>
      <c r="L432" t="s">
        <v>63</v>
      </c>
    </row>
    <row r="433" spans="1:12">
      <c r="A433" t="s">
        <v>1497</v>
      </c>
      <c r="D433" t="s">
        <v>4215</v>
      </c>
      <c r="E433" t="s">
        <v>4216</v>
      </c>
      <c r="F433" t="s">
        <v>18</v>
      </c>
      <c r="G433" t="s">
        <v>2853</v>
      </c>
      <c r="H433" t="s">
        <v>3175</v>
      </c>
      <c r="I433" t="s">
        <v>154</v>
      </c>
      <c r="J433" t="s">
        <v>254</v>
      </c>
      <c r="K433" t="s">
        <v>3176</v>
      </c>
      <c r="L433" t="s">
        <v>63</v>
      </c>
    </row>
    <row r="434" spans="1:12">
      <c r="A434" t="s">
        <v>1499</v>
      </c>
      <c r="D434" t="s">
        <v>4217</v>
      </c>
      <c r="E434" t="s">
        <v>4218</v>
      </c>
      <c r="F434" t="s">
        <v>18</v>
      </c>
      <c r="G434" t="s">
        <v>2853</v>
      </c>
      <c r="H434" t="s">
        <v>3175</v>
      </c>
      <c r="I434" t="s">
        <v>154</v>
      </c>
      <c r="J434" t="s">
        <v>254</v>
      </c>
      <c r="K434" t="s">
        <v>3176</v>
      </c>
      <c r="L434" t="s">
        <v>63</v>
      </c>
    </row>
    <row r="435" spans="1:12">
      <c r="A435" t="s">
        <v>2042</v>
      </c>
      <c r="D435" t="s">
        <v>4219</v>
      </c>
      <c r="E435" t="s">
        <v>4220</v>
      </c>
      <c r="F435" t="s">
        <v>18</v>
      </c>
      <c r="G435" t="s">
        <v>2853</v>
      </c>
      <c r="H435" t="s">
        <v>3175</v>
      </c>
      <c r="I435" t="s">
        <v>154</v>
      </c>
      <c r="J435" t="s">
        <v>254</v>
      </c>
      <c r="K435" t="s">
        <v>3176</v>
      </c>
      <c r="L435" t="s">
        <v>63</v>
      </c>
    </row>
    <row r="436" spans="1:12">
      <c r="A436" t="s">
        <v>2404</v>
      </c>
      <c r="D436" t="s">
        <v>4221</v>
      </c>
      <c r="E436" t="s">
        <v>4222</v>
      </c>
      <c r="F436" t="s">
        <v>18</v>
      </c>
      <c r="G436" t="s">
        <v>2853</v>
      </c>
      <c r="H436" t="s">
        <v>3175</v>
      </c>
      <c r="I436" t="s">
        <v>154</v>
      </c>
      <c r="J436" t="s">
        <v>254</v>
      </c>
      <c r="K436" t="s">
        <v>3176</v>
      </c>
      <c r="L436" t="s">
        <v>4194</v>
      </c>
    </row>
    <row r="437" spans="1:12">
      <c r="A437" t="s">
        <v>2403</v>
      </c>
      <c r="D437" t="s">
        <v>4223</v>
      </c>
      <c r="E437" t="s">
        <v>4224</v>
      </c>
      <c r="F437" t="s">
        <v>18</v>
      </c>
      <c r="G437" t="s">
        <v>2853</v>
      </c>
      <c r="H437" t="s">
        <v>3175</v>
      </c>
      <c r="I437" t="s">
        <v>154</v>
      </c>
      <c r="J437" t="s">
        <v>254</v>
      </c>
      <c r="K437" t="s">
        <v>3176</v>
      </c>
      <c r="L437" t="s">
        <v>4194</v>
      </c>
    </row>
    <row r="438" spans="1:12">
      <c r="A438" t="s">
        <v>2084</v>
      </c>
      <c r="D438" t="s">
        <v>4225</v>
      </c>
      <c r="E438" t="s">
        <v>4226</v>
      </c>
      <c r="F438" t="s">
        <v>18</v>
      </c>
      <c r="G438" t="s">
        <v>2853</v>
      </c>
      <c r="H438" t="s">
        <v>3175</v>
      </c>
      <c r="I438" t="s">
        <v>154</v>
      </c>
      <c r="J438" t="s">
        <v>254</v>
      </c>
      <c r="K438" t="s">
        <v>3176</v>
      </c>
      <c r="L438" t="s">
        <v>4194</v>
      </c>
    </row>
    <row r="439" spans="1:12">
      <c r="A439" t="s">
        <v>2086</v>
      </c>
      <c r="D439" t="s">
        <v>4227</v>
      </c>
      <c r="E439" t="s">
        <v>4228</v>
      </c>
      <c r="F439" t="s">
        <v>18</v>
      </c>
      <c r="G439" t="s">
        <v>2853</v>
      </c>
      <c r="H439" t="s">
        <v>3175</v>
      </c>
      <c r="I439" t="s">
        <v>154</v>
      </c>
      <c r="J439" t="s">
        <v>254</v>
      </c>
      <c r="K439" t="s">
        <v>3176</v>
      </c>
      <c r="L439" t="s">
        <v>4194</v>
      </c>
    </row>
    <row r="440" spans="1:12">
      <c r="A440" t="s">
        <v>2088</v>
      </c>
      <c r="D440" t="s">
        <v>4227</v>
      </c>
      <c r="E440" t="s">
        <v>4229</v>
      </c>
      <c r="F440" t="s">
        <v>18</v>
      </c>
      <c r="G440" t="s">
        <v>2853</v>
      </c>
      <c r="H440" t="s">
        <v>3175</v>
      </c>
      <c r="I440" t="s">
        <v>154</v>
      </c>
      <c r="J440" t="s">
        <v>254</v>
      </c>
      <c r="K440" t="s">
        <v>3176</v>
      </c>
      <c r="L440" t="s">
        <v>4194</v>
      </c>
    </row>
    <row r="441" spans="1:12">
      <c r="A441" t="s">
        <v>2090</v>
      </c>
      <c r="D441" t="s">
        <v>4230</v>
      </c>
      <c r="E441" t="s">
        <v>4231</v>
      </c>
      <c r="F441" t="s">
        <v>18</v>
      </c>
      <c r="G441" t="s">
        <v>2853</v>
      </c>
      <c r="H441" t="s">
        <v>3175</v>
      </c>
      <c r="I441" t="s">
        <v>154</v>
      </c>
      <c r="J441" t="s">
        <v>254</v>
      </c>
      <c r="K441" t="s">
        <v>3176</v>
      </c>
      <c r="L441" t="s">
        <v>4194</v>
      </c>
    </row>
    <row r="442" spans="1:12">
      <c r="A442" t="s">
        <v>2092</v>
      </c>
      <c r="D442" t="s">
        <v>4232</v>
      </c>
      <c r="E442" t="s">
        <v>4233</v>
      </c>
      <c r="F442" t="s">
        <v>18</v>
      </c>
      <c r="G442" t="s">
        <v>2853</v>
      </c>
      <c r="H442" t="s">
        <v>3175</v>
      </c>
      <c r="I442" t="s">
        <v>154</v>
      </c>
      <c r="J442" t="s">
        <v>254</v>
      </c>
      <c r="K442" t="s">
        <v>3176</v>
      </c>
      <c r="L442" t="s">
        <v>4194</v>
      </c>
    </row>
    <row r="443" spans="1:12">
      <c r="A443" t="s">
        <v>2094</v>
      </c>
      <c r="D443" t="s">
        <v>4234</v>
      </c>
      <c r="E443" t="s">
        <v>4235</v>
      </c>
      <c r="F443" t="s">
        <v>18</v>
      </c>
      <c r="G443" t="s">
        <v>2853</v>
      </c>
      <c r="H443" t="s">
        <v>3175</v>
      </c>
      <c r="I443" t="s">
        <v>154</v>
      </c>
      <c r="J443" t="s">
        <v>254</v>
      </c>
      <c r="K443" t="s">
        <v>3176</v>
      </c>
      <c r="L443" t="s">
        <v>4194</v>
      </c>
    </row>
    <row r="444" spans="1:12">
      <c r="A444" t="s">
        <v>2096</v>
      </c>
      <c r="D444" t="s">
        <v>4236</v>
      </c>
      <c r="E444" t="s">
        <v>4237</v>
      </c>
      <c r="F444" t="s">
        <v>18</v>
      </c>
      <c r="G444" t="s">
        <v>2853</v>
      </c>
      <c r="H444" t="s">
        <v>3175</v>
      </c>
      <c r="I444" t="s">
        <v>154</v>
      </c>
      <c r="J444" t="s">
        <v>254</v>
      </c>
      <c r="K444" t="s">
        <v>3176</v>
      </c>
      <c r="L444" t="s">
        <v>4194</v>
      </c>
    </row>
    <row r="445" spans="1:12">
      <c r="A445" t="s">
        <v>1364</v>
      </c>
      <c r="D445" t="s">
        <v>4238</v>
      </c>
      <c r="E445" t="s">
        <v>4239</v>
      </c>
      <c r="F445" t="s">
        <v>18</v>
      </c>
      <c r="G445" t="s">
        <v>2853</v>
      </c>
      <c r="H445" t="s">
        <v>3175</v>
      </c>
      <c r="I445" t="s">
        <v>154</v>
      </c>
      <c r="J445" t="s">
        <v>254</v>
      </c>
      <c r="K445" t="s">
        <v>3176</v>
      </c>
      <c r="L445" t="s">
        <v>4194</v>
      </c>
    </row>
    <row r="446" spans="1:12">
      <c r="A446" t="s">
        <v>1366</v>
      </c>
      <c r="D446" t="s">
        <v>4240</v>
      </c>
      <c r="E446" t="s">
        <v>4241</v>
      </c>
      <c r="F446" t="s">
        <v>18</v>
      </c>
      <c r="G446" t="s">
        <v>2853</v>
      </c>
      <c r="H446" t="s">
        <v>3175</v>
      </c>
      <c r="I446" t="s">
        <v>154</v>
      </c>
      <c r="J446" t="s">
        <v>254</v>
      </c>
      <c r="K446" t="s">
        <v>3176</v>
      </c>
      <c r="L446" t="s">
        <v>4194</v>
      </c>
    </row>
    <row r="447" spans="1:12">
      <c r="A447" t="s">
        <v>1469</v>
      </c>
      <c r="D447" t="s">
        <v>4242</v>
      </c>
      <c r="E447" t="s">
        <v>4243</v>
      </c>
      <c r="F447" t="s">
        <v>18</v>
      </c>
      <c r="G447" t="s">
        <v>2853</v>
      </c>
      <c r="H447" t="s">
        <v>3175</v>
      </c>
      <c r="I447" t="s">
        <v>154</v>
      </c>
      <c r="J447" t="s">
        <v>254</v>
      </c>
      <c r="K447" t="s">
        <v>3176</v>
      </c>
      <c r="L447" t="s">
        <v>4194</v>
      </c>
    </row>
    <row r="448" spans="1:12">
      <c r="A448" t="s">
        <v>1471</v>
      </c>
      <c r="D448" t="s">
        <v>4244</v>
      </c>
      <c r="E448" t="s">
        <v>4245</v>
      </c>
      <c r="F448" t="s">
        <v>18</v>
      </c>
      <c r="G448" t="s">
        <v>2853</v>
      </c>
      <c r="H448" t="s">
        <v>3175</v>
      </c>
      <c r="I448" t="s">
        <v>154</v>
      </c>
      <c r="J448" t="s">
        <v>254</v>
      </c>
      <c r="K448" t="s">
        <v>3176</v>
      </c>
      <c r="L448" t="s">
        <v>4194</v>
      </c>
    </row>
    <row r="449" spans="1:12">
      <c r="A449" t="s">
        <v>1365</v>
      </c>
      <c r="D449" t="s">
        <v>4238</v>
      </c>
      <c r="E449" t="s">
        <v>4246</v>
      </c>
      <c r="F449" t="s">
        <v>18</v>
      </c>
      <c r="G449" t="s">
        <v>2853</v>
      </c>
      <c r="H449" t="s">
        <v>3175</v>
      </c>
      <c r="I449" t="s">
        <v>154</v>
      </c>
      <c r="J449" t="s">
        <v>254</v>
      </c>
      <c r="K449" t="s">
        <v>3176</v>
      </c>
      <c r="L449" t="s">
        <v>4194</v>
      </c>
    </row>
    <row r="450" spans="1:12">
      <c r="A450" t="s">
        <v>1475</v>
      </c>
      <c r="D450" t="s">
        <v>4247</v>
      </c>
      <c r="E450" t="s">
        <v>4248</v>
      </c>
      <c r="F450" t="s">
        <v>18</v>
      </c>
      <c r="G450" t="s">
        <v>2853</v>
      </c>
      <c r="H450" t="s">
        <v>3175</v>
      </c>
      <c r="I450" t="s">
        <v>154</v>
      </c>
      <c r="J450" t="s">
        <v>254</v>
      </c>
      <c r="K450" t="s">
        <v>3176</v>
      </c>
      <c r="L450" t="s">
        <v>4194</v>
      </c>
    </row>
    <row r="451" spans="1:12">
      <c r="A451" t="s">
        <v>1477</v>
      </c>
      <c r="D451" t="s">
        <v>4249</v>
      </c>
      <c r="E451" t="s">
        <v>4250</v>
      </c>
      <c r="F451" t="s">
        <v>18</v>
      </c>
      <c r="G451" t="s">
        <v>2853</v>
      </c>
      <c r="H451" t="s">
        <v>3175</v>
      </c>
      <c r="I451" t="s">
        <v>154</v>
      </c>
      <c r="J451" t="s">
        <v>254</v>
      </c>
      <c r="K451" t="s">
        <v>3176</v>
      </c>
      <c r="L451" t="s">
        <v>4194</v>
      </c>
    </row>
    <row r="452" spans="1:12">
      <c r="A452" t="s">
        <v>1479</v>
      </c>
      <c r="D452" t="s">
        <v>4251</v>
      </c>
      <c r="E452" t="s">
        <v>4252</v>
      </c>
      <c r="F452" t="s">
        <v>18</v>
      </c>
      <c r="G452" t="s">
        <v>2853</v>
      </c>
      <c r="H452" t="s">
        <v>3175</v>
      </c>
      <c r="I452" t="s">
        <v>154</v>
      </c>
      <c r="J452" t="s">
        <v>254</v>
      </c>
      <c r="K452" t="s">
        <v>3176</v>
      </c>
      <c r="L452" t="s">
        <v>4194</v>
      </c>
    </row>
    <row r="453" spans="1:12">
      <c r="A453" t="s">
        <v>1481</v>
      </c>
      <c r="D453" t="s">
        <v>4253</v>
      </c>
      <c r="E453" t="s">
        <v>4254</v>
      </c>
      <c r="F453" t="s">
        <v>18</v>
      </c>
      <c r="G453" t="s">
        <v>2853</v>
      </c>
      <c r="H453" t="s">
        <v>3175</v>
      </c>
      <c r="I453" t="s">
        <v>154</v>
      </c>
      <c r="J453" t="s">
        <v>254</v>
      </c>
      <c r="K453" t="s">
        <v>3176</v>
      </c>
      <c r="L453" t="s">
        <v>4194</v>
      </c>
    </row>
    <row r="454" spans="1:12">
      <c r="A454" t="s">
        <v>1484</v>
      </c>
      <c r="D454" t="s">
        <v>4255</v>
      </c>
      <c r="E454" t="s">
        <v>4256</v>
      </c>
      <c r="F454" t="s">
        <v>18</v>
      </c>
      <c r="G454" t="s">
        <v>2853</v>
      </c>
      <c r="H454" t="s">
        <v>3175</v>
      </c>
      <c r="I454" t="s">
        <v>154</v>
      </c>
      <c r="J454" t="s">
        <v>254</v>
      </c>
      <c r="K454" t="s">
        <v>3176</v>
      </c>
      <c r="L454" t="s">
        <v>4194</v>
      </c>
    </row>
    <row r="455" spans="1:12">
      <c r="A455" t="s">
        <v>1486</v>
      </c>
      <c r="D455" t="s">
        <v>4257</v>
      </c>
      <c r="E455" t="s">
        <v>4258</v>
      </c>
      <c r="F455" t="s">
        <v>18</v>
      </c>
      <c r="G455" t="s">
        <v>2853</v>
      </c>
      <c r="H455" t="s">
        <v>3175</v>
      </c>
      <c r="I455" t="s">
        <v>154</v>
      </c>
      <c r="J455" t="s">
        <v>254</v>
      </c>
      <c r="K455" t="s">
        <v>3176</v>
      </c>
      <c r="L455" t="s">
        <v>4194</v>
      </c>
    </row>
    <row r="456" spans="1:12">
      <c r="A456" t="s">
        <v>1488</v>
      </c>
      <c r="D456" t="s">
        <v>4259</v>
      </c>
      <c r="E456" t="s">
        <v>4260</v>
      </c>
      <c r="F456" t="s">
        <v>18</v>
      </c>
      <c r="G456" t="s">
        <v>2853</v>
      </c>
      <c r="H456" t="s">
        <v>3175</v>
      </c>
      <c r="I456" t="s">
        <v>154</v>
      </c>
      <c r="J456" t="s">
        <v>254</v>
      </c>
      <c r="K456" t="s">
        <v>3176</v>
      </c>
      <c r="L456" t="s">
        <v>4194</v>
      </c>
    </row>
    <row r="457" spans="1:12">
      <c r="A457" t="s">
        <v>1490</v>
      </c>
      <c r="D457" t="s">
        <v>4261</v>
      </c>
      <c r="E457" t="s">
        <v>4262</v>
      </c>
      <c r="F457" t="s">
        <v>18</v>
      </c>
      <c r="G457" t="s">
        <v>2853</v>
      </c>
      <c r="H457" t="s">
        <v>3175</v>
      </c>
      <c r="I457" t="s">
        <v>154</v>
      </c>
      <c r="J457" t="s">
        <v>254</v>
      </c>
      <c r="K457" t="s">
        <v>3176</v>
      </c>
      <c r="L457" t="s">
        <v>4194</v>
      </c>
    </row>
    <row r="458" spans="1:12">
      <c r="A458" t="s">
        <v>1509</v>
      </c>
      <c r="D458" t="s">
        <v>4263</v>
      </c>
      <c r="E458" t="s">
        <v>4264</v>
      </c>
      <c r="F458" t="s">
        <v>18</v>
      </c>
      <c r="G458" t="s">
        <v>2853</v>
      </c>
      <c r="H458" t="s">
        <v>3175</v>
      </c>
      <c r="I458" t="s">
        <v>154</v>
      </c>
      <c r="J458" t="s">
        <v>254</v>
      </c>
      <c r="K458" t="s">
        <v>3176</v>
      </c>
      <c r="L458" t="s">
        <v>63</v>
      </c>
    </row>
    <row r="459" spans="1:12">
      <c r="A459" t="s">
        <v>1501</v>
      </c>
      <c r="D459" t="s">
        <v>4265</v>
      </c>
      <c r="E459" t="s">
        <v>4266</v>
      </c>
      <c r="F459" t="s">
        <v>18</v>
      </c>
      <c r="G459" t="s">
        <v>2853</v>
      </c>
      <c r="H459" t="s">
        <v>3175</v>
      </c>
      <c r="I459" t="s">
        <v>154</v>
      </c>
      <c r="J459" t="s">
        <v>254</v>
      </c>
      <c r="K459" t="s">
        <v>3176</v>
      </c>
      <c r="L459" t="s">
        <v>63</v>
      </c>
    </row>
    <row r="460" spans="1:12">
      <c r="A460" t="s">
        <v>1503</v>
      </c>
      <c r="D460" t="s">
        <v>4267</v>
      </c>
      <c r="E460" t="s">
        <v>4268</v>
      </c>
      <c r="F460" t="s">
        <v>18</v>
      </c>
      <c r="G460" t="s">
        <v>2853</v>
      </c>
      <c r="H460" t="s">
        <v>3175</v>
      </c>
      <c r="I460" t="s">
        <v>154</v>
      </c>
      <c r="J460" t="s">
        <v>254</v>
      </c>
      <c r="K460" t="s">
        <v>3176</v>
      </c>
      <c r="L460" t="s">
        <v>63</v>
      </c>
    </row>
    <row r="461" spans="1:12">
      <c r="A461" t="s">
        <v>1505</v>
      </c>
      <c r="D461" t="s">
        <v>4269</v>
      </c>
      <c r="E461" t="s">
        <v>4270</v>
      </c>
      <c r="F461" t="s">
        <v>18</v>
      </c>
      <c r="G461" t="s">
        <v>2853</v>
      </c>
      <c r="H461" t="s">
        <v>3175</v>
      </c>
      <c r="I461" t="s">
        <v>154</v>
      </c>
      <c r="J461" t="s">
        <v>254</v>
      </c>
      <c r="K461" t="s">
        <v>3176</v>
      </c>
      <c r="L461" t="s">
        <v>63</v>
      </c>
    </row>
    <row r="462" spans="1:12">
      <c r="A462" t="s">
        <v>1507</v>
      </c>
      <c r="D462" t="s">
        <v>4271</v>
      </c>
      <c r="E462" t="s">
        <v>4272</v>
      </c>
      <c r="F462" t="s">
        <v>18</v>
      </c>
      <c r="G462" t="s">
        <v>2853</v>
      </c>
      <c r="H462" t="s">
        <v>3175</v>
      </c>
      <c r="I462" t="s">
        <v>154</v>
      </c>
      <c r="J462" t="s">
        <v>254</v>
      </c>
      <c r="K462" t="s">
        <v>3176</v>
      </c>
      <c r="L462" t="s">
        <v>63</v>
      </c>
    </row>
    <row r="463" spans="1:12">
      <c r="A463" t="s">
        <v>1511</v>
      </c>
      <c r="D463" t="s">
        <v>4273</v>
      </c>
      <c r="E463" t="s">
        <v>4274</v>
      </c>
      <c r="F463" t="s">
        <v>18</v>
      </c>
      <c r="G463" t="s">
        <v>2853</v>
      </c>
      <c r="H463" t="s">
        <v>3175</v>
      </c>
      <c r="I463" t="s">
        <v>154</v>
      </c>
      <c r="J463" t="s">
        <v>254</v>
      </c>
      <c r="K463" t="s">
        <v>3176</v>
      </c>
      <c r="L463" t="s">
        <v>63</v>
      </c>
    </row>
    <row r="464" spans="1:12">
      <c r="A464" t="s">
        <v>1513</v>
      </c>
      <c r="D464" t="s">
        <v>4275</v>
      </c>
      <c r="E464" t="s">
        <v>4276</v>
      </c>
      <c r="F464" t="s">
        <v>18</v>
      </c>
      <c r="G464" t="s">
        <v>2853</v>
      </c>
      <c r="H464" t="s">
        <v>3175</v>
      </c>
      <c r="I464" t="s">
        <v>154</v>
      </c>
      <c r="J464" t="s">
        <v>254</v>
      </c>
      <c r="K464" t="s">
        <v>3176</v>
      </c>
      <c r="L464" t="s">
        <v>63</v>
      </c>
    </row>
    <row r="465" spans="1:12">
      <c r="A465" t="s">
        <v>1515</v>
      </c>
      <c r="D465" t="s">
        <v>4277</v>
      </c>
      <c r="E465" t="s">
        <v>4278</v>
      </c>
      <c r="F465" t="s">
        <v>18</v>
      </c>
      <c r="G465" t="s">
        <v>2853</v>
      </c>
      <c r="H465" t="s">
        <v>3175</v>
      </c>
      <c r="I465" t="s">
        <v>154</v>
      </c>
      <c r="J465" t="s">
        <v>254</v>
      </c>
      <c r="K465" t="s">
        <v>3176</v>
      </c>
      <c r="L465" t="s">
        <v>63</v>
      </c>
    </row>
    <row r="466" spans="1:12">
      <c r="A466" t="s">
        <v>1517</v>
      </c>
      <c r="D466" t="s">
        <v>4279</v>
      </c>
      <c r="E466" t="s">
        <v>4280</v>
      </c>
      <c r="F466" t="s">
        <v>18</v>
      </c>
      <c r="G466" t="s">
        <v>2853</v>
      </c>
      <c r="H466" t="s">
        <v>3175</v>
      </c>
      <c r="I466" t="s">
        <v>154</v>
      </c>
      <c r="J466" t="s">
        <v>254</v>
      </c>
      <c r="K466" t="s">
        <v>3176</v>
      </c>
      <c r="L466" t="s">
        <v>63</v>
      </c>
    </row>
    <row r="467" spans="1:12">
      <c r="A467" t="s">
        <v>1519</v>
      </c>
      <c r="D467" t="s">
        <v>4281</v>
      </c>
      <c r="E467" t="s">
        <v>4282</v>
      </c>
      <c r="F467" t="s">
        <v>18</v>
      </c>
      <c r="G467" t="s">
        <v>2853</v>
      </c>
      <c r="H467" t="s">
        <v>3175</v>
      </c>
      <c r="I467" t="s">
        <v>154</v>
      </c>
      <c r="J467" t="s">
        <v>254</v>
      </c>
      <c r="K467" t="s">
        <v>3176</v>
      </c>
      <c r="L467" t="s">
        <v>63</v>
      </c>
    </row>
    <row r="468" spans="1:12">
      <c r="A468" t="s">
        <v>2405</v>
      </c>
      <c r="D468" t="s">
        <v>4283</v>
      </c>
      <c r="E468" t="s">
        <v>4284</v>
      </c>
      <c r="F468" t="s">
        <v>18</v>
      </c>
      <c r="G468" t="s">
        <v>2853</v>
      </c>
      <c r="H468" t="s">
        <v>3175</v>
      </c>
      <c r="I468" t="s">
        <v>154</v>
      </c>
      <c r="J468" t="s">
        <v>254</v>
      </c>
      <c r="K468" t="s">
        <v>3176</v>
      </c>
      <c r="L468" t="s">
        <v>63</v>
      </c>
    </row>
    <row r="469" spans="1:12">
      <c r="A469" t="s">
        <v>4285</v>
      </c>
      <c r="D469" t="s">
        <v>4286</v>
      </c>
      <c r="E469" t="s">
        <v>4287</v>
      </c>
      <c r="F469" t="s">
        <v>18</v>
      </c>
      <c r="G469" t="s">
        <v>2853</v>
      </c>
      <c r="H469" t="s">
        <v>3175</v>
      </c>
      <c r="I469" t="s">
        <v>154</v>
      </c>
      <c r="J469" t="s">
        <v>254</v>
      </c>
      <c r="K469" t="s">
        <v>3176</v>
      </c>
      <c r="L469" t="s">
        <v>63</v>
      </c>
    </row>
    <row r="470" spans="1:12">
      <c r="A470" t="s">
        <v>1538</v>
      </c>
      <c r="D470" t="s">
        <v>4288</v>
      </c>
      <c r="E470" t="s">
        <v>4289</v>
      </c>
      <c r="F470" t="s">
        <v>18</v>
      </c>
      <c r="G470" t="s">
        <v>2853</v>
      </c>
      <c r="H470" t="s">
        <v>3175</v>
      </c>
      <c r="I470" t="s">
        <v>154</v>
      </c>
      <c r="J470" t="s">
        <v>254</v>
      </c>
      <c r="K470" t="s">
        <v>3176</v>
      </c>
      <c r="L470" t="s">
        <v>63</v>
      </c>
    </row>
    <row r="471" spans="1:12">
      <c r="A471" t="s">
        <v>1540</v>
      </c>
      <c r="D471" t="s">
        <v>4290</v>
      </c>
      <c r="E471" t="s">
        <v>4291</v>
      </c>
      <c r="F471" t="s">
        <v>18</v>
      </c>
      <c r="G471" t="s">
        <v>2853</v>
      </c>
      <c r="H471" t="s">
        <v>3175</v>
      </c>
      <c r="I471" t="s">
        <v>154</v>
      </c>
      <c r="J471" t="s">
        <v>254</v>
      </c>
      <c r="K471" t="s">
        <v>3176</v>
      </c>
      <c r="L471" t="s">
        <v>63</v>
      </c>
    </row>
    <row r="472" spans="1:12">
      <c r="A472" t="s">
        <v>1521</v>
      </c>
      <c r="D472" t="s">
        <v>4292</v>
      </c>
      <c r="E472" t="s">
        <v>4293</v>
      </c>
      <c r="F472" t="s">
        <v>18</v>
      </c>
      <c r="G472" t="s">
        <v>2853</v>
      </c>
      <c r="H472" t="s">
        <v>3175</v>
      </c>
      <c r="I472" t="s">
        <v>154</v>
      </c>
      <c r="J472" t="s">
        <v>254</v>
      </c>
      <c r="K472" t="s">
        <v>3176</v>
      </c>
      <c r="L472" t="s">
        <v>63</v>
      </c>
    </row>
    <row r="473" spans="1:12">
      <c r="A473" t="s">
        <v>1523</v>
      </c>
      <c r="D473" t="s">
        <v>4294</v>
      </c>
      <c r="E473" t="s">
        <v>4295</v>
      </c>
      <c r="F473" t="s">
        <v>18</v>
      </c>
      <c r="G473" t="s">
        <v>2853</v>
      </c>
      <c r="H473" t="s">
        <v>3175</v>
      </c>
      <c r="I473" t="s">
        <v>154</v>
      </c>
      <c r="J473" t="s">
        <v>254</v>
      </c>
      <c r="K473" t="s">
        <v>3176</v>
      </c>
      <c r="L473" t="s">
        <v>63</v>
      </c>
    </row>
    <row r="474" spans="1:12">
      <c r="A474" t="s">
        <v>1525</v>
      </c>
      <c r="D474" t="s">
        <v>4296</v>
      </c>
      <c r="E474" t="s">
        <v>4297</v>
      </c>
      <c r="F474" t="s">
        <v>18</v>
      </c>
      <c r="G474" t="s">
        <v>2853</v>
      </c>
      <c r="H474" t="s">
        <v>3175</v>
      </c>
      <c r="I474" t="s">
        <v>154</v>
      </c>
      <c r="J474" t="s">
        <v>254</v>
      </c>
      <c r="K474" t="s">
        <v>3176</v>
      </c>
      <c r="L474" t="s">
        <v>63</v>
      </c>
    </row>
    <row r="475" spans="1:12">
      <c r="A475" t="s">
        <v>1527</v>
      </c>
      <c r="D475" t="s">
        <v>4298</v>
      </c>
      <c r="E475" t="s">
        <v>4299</v>
      </c>
      <c r="F475" t="s">
        <v>18</v>
      </c>
      <c r="G475" t="s">
        <v>2853</v>
      </c>
      <c r="H475" t="s">
        <v>3175</v>
      </c>
      <c r="I475" t="s">
        <v>154</v>
      </c>
      <c r="J475" t="s">
        <v>254</v>
      </c>
      <c r="K475" t="s">
        <v>3176</v>
      </c>
      <c r="L475" t="s">
        <v>63</v>
      </c>
    </row>
    <row r="476" spans="1:12">
      <c r="A476" t="s">
        <v>1367</v>
      </c>
      <c r="D476" t="s">
        <v>4300</v>
      </c>
      <c r="E476" t="s">
        <v>4301</v>
      </c>
      <c r="F476" t="s">
        <v>18</v>
      </c>
      <c r="G476" t="s">
        <v>2853</v>
      </c>
      <c r="H476" t="s">
        <v>3175</v>
      </c>
      <c r="I476" t="s">
        <v>154</v>
      </c>
      <c r="J476" t="s">
        <v>254</v>
      </c>
      <c r="K476" t="s">
        <v>3176</v>
      </c>
      <c r="L476" t="s">
        <v>63</v>
      </c>
    </row>
    <row r="477" spans="1:12">
      <c r="A477" t="s">
        <v>1530</v>
      </c>
      <c r="D477" t="s">
        <v>4300</v>
      </c>
      <c r="E477" t="s">
        <v>4302</v>
      </c>
      <c r="F477" t="s">
        <v>18</v>
      </c>
      <c r="G477" t="s">
        <v>2853</v>
      </c>
      <c r="H477" t="s">
        <v>3175</v>
      </c>
      <c r="I477" t="s">
        <v>154</v>
      </c>
      <c r="J477" t="s">
        <v>254</v>
      </c>
      <c r="K477" t="s">
        <v>3176</v>
      </c>
      <c r="L477" t="s">
        <v>63</v>
      </c>
    </row>
    <row r="478" spans="1:12">
      <c r="A478" t="s">
        <v>1532</v>
      </c>
      <c r="D478" t="s">
        <v>4303</v>
      </c>
      <c r="E478" t="s">
        <v>4304</v>
      </c>
      <c r="F478" t="s">
        <v>18</v>
      </c>
      <c r="G478" t="s">
        <v>2853</v>
      </c>
      <c r="H478" t="s">
        <v>3175</v>
      </c>
      <c r="I478" t="s">
        <v>154</v>
      </c>
      <c r="J478" t="s">
        <v>254</v>
      </c>
      <c r="K478" t="s">
        <v>3176</v>
      </c>
      <c r="L478" t="s">
        <v>63</v>
      </c>
    </row>
    <row r="479" spans="1:12">
      <c r="A479" t="s">
        <v>1534</v>
      </c>
      <c r="D479" t="s">
        <v>4305</v>
      </c>
      <c r="E479" t="s">
        <v>4306</v>
      </c>
      <c r="F479" t="s">
        <v>18</v>
      </c>
      <c r="G479" t="s">
        <v>2853</v>
      </c>
      <c r="H479" t="s">
        <v>3175</v>
      </c>
      <c r="I479" t="s">
        <v>154</v>
      </c>
      <c r="J479" t="s">
        <v>254</v>
      </c>
      <c r="K479" t="s">
        <v>3176</v>
      </c>
      <c r="L479" t="s">
        <v>63</v>
      </c>
    </row>
    <row r="480" spans="1:12">
      <c r="A480" t="s">
        <v>1536</v>
      </c>
      <c r="D480" t="s">
        <v>4307</v>
      </c>
      <c r="E480" t="s">
        <v>4308</v>
      </c>
      <c r="F480" t="s">
        <v>18</v>
      </c>
      <c r="G480" t="s">
        <v>2853</v>
      </c>
      <c r="H480" t="s">
        <v>3175</v>
      </c>
      <c r="I480" t="s">
        <v>154</v>
      </c>
      <c r="J480" t="s">
        <v>254</v>
      </c>
      <c r="K480" t="s">
        <v>3176</v>
      </c>
      <c r="L480" t="s">
        <v>63</v>
      </c>
    </row>
    <row r="481" spans="1:12">
      <c r="A481" t="s">
        <v>1542</v>
      </c>
      <c r="D481" t="s">
        <v>4309</v>
      </c>
      <c r="E481" t="s">
        <v>4310</v>
      </c>
      <c r="F481" t="s">
        <v>18</v>
      </c>
      <c r="G481" t="s">
        <v>2853</v>
      </c>
      <c r="H481" t="s">
        <v>3175</v>
      </c>
      <c r="I481" t="s">
        <v>154</v>
      </c>
      <c r="J481" t="s">
        <v>254</v>
      </c>
      <c r="K481" t="s">
        <v>3176</v>
      </c>
      <c r="L481" t="s">
        <v>63</v>
      </c>
    </row>
    <row r="482" spans="1:12">
      <c r="A482" t="s">
        <v>1368</v>
      </c>
      <c r="D482" t="s">
        <v>4311</v>
      </c>
      <c r="E482" t="s">
        <v>4312</v>
      </c>
      <c r="F482" t="s">
        <v>18</v>
      </c>
      <c r="G482" t="s">
        <v>2853</v>
      </c>
      <c r="H482" t="s">
        <v>3175</v>
      </c>
      <c r="I482" t="s">
        <v>154</v>
      </c>
      <c r="J482" t="s">
        <v>254</v>
      </c>
      <c r="K482" t="s">
        <v>3176</v>
      </c>
      <c r="L482" t="s">
        <v>63</v>
      </c>
    </row>
    <row r="483" spans="1:12">
      <c r="A483" t="s">
        <v>1545</v>
      </c>
      <c r="D483" t="s">
        <v>4313</v>
      </c>
      <c r="E483" t="s">
        <v>4314</v>
      </c>
      <c r="F483" t="s">
        <v>18</v>
      </c>
      <c r="G483" t="s">
        <v>2853</v>
      </c>
      <c r="H483" t="s">
        <v>3175</v>
      </c>
      <c r="I483" t="s">
        <v>154</v>
      </c>
      <c r="J483" t="s">
        <v>254</v>
      </c>
      <c r="K483" t="s">
        <v>3176</v>
      </c>
      <c r="L483" t="s">
        <v>63</v>
      </c>
    </row>
    <row r="484" spans="1:12">
      <c r="A484" t="s">
        <v>1547</v>
      </c>
      <c r="D484" t="s">
        <v>4315</v>
      </c>
      <c r="E484" t="s">
        <v>4316</v>
      </c>
      <c r="F484" t="s">
        <v>18</v>
      </c>
      <c r="G484" t="s">
        <v>2853</v>
      </c>
      <c r="H484" t="s">
        <v>3175</v>
      </c>
      <c r="I484" t="s">
        <v>154</v>
      </c>
      <c r="J484" t="s">
        <v>254</v>
      </c>
      <c r="K484" t="s">
        <v>3176</v>
      </c>
      <c r="L484" t="s">
        <v>63</v>
      </c>
    </row>
    <row r="485" spans="1:12">
      <c r="A485" t="s">
        <v>1549</v>
      </c>
      <c r="D485" t="s">
        <v>4317</v>
      </c>
      <c r="E485" t="s">
        <v>4318</v>
      </c>
      <c r="F485" t="s">
        <v>18</v>
      </c>
      <c r="G485" t="s">
        <v>2853</v>
      </c>
      <c r="H485" t="s">
        <v>3175</v>
      </c>
      <c r="I485" t="s">
        <v>154</v>
      </c>
      <c r="J485" t="s">
        <v>254</v>
      </c>
      <c r="K485" t="s">
        <v>3176</v>
      </c>
      <c r="L485" t="s">
        <v>63</v>
      </c>
    </row>
    <row r="486" spans="1:12">
      <c r="A486" t="s">
        <v>2100</v>
      </c>
      <c r="D486" t="s">
        <v>4319</v>
      </c>
      <c r="E486" t="s">
        <v>4320</v>
      </c>
      <c r="F486" t="s">
        <v>18</v>
      </c>
      <c r="G486" t="s">
        <v>2853</v>
      </c>
      <c r="H486" t="s">
        <v>3175</v>
      </c>
      <c r="I486" t="s">
        <v>154</v>
      </c>
      <c r="J486" t="s">
        <v>254</v>
      </c>
      <c r="K486" t="s">
        <v>3176</v>
      </c>
      <c r="L486" t="s">
        <v>63</v>
      </c>
    </row>
    <row r="487" spans="1:12">
      <c r="A487" t="s">
        <v>2102</v>
      </c>
      <c r="D487" t="s">
        <v>4321</v>
      </c>
      <c r="E487" t="s">
        <v>4322</v>
      </c>
      <c r="F487" t="s">
        <v>18</v>
      </c>
      <c r="G487" t="s">
        <v>2853</v>
      </c>
      <c r="H487" t="s">
        <v>3175</v>
      </c>
      <c r="I487" t="s">
        <v>154</v>
      </c>
      <c r="J487" t="s">
        <v>254</v>
      </c>
      <c r="K487" t="s">
        <v>3176</v>
      </c>
      <c r="L487" t="s">
        <v>63</v>
      </c>
    </row>
    <row r="488" spans="1:12">
      <c r="A488" t="s">
        <v>2104</v>
      </c>
      <c r="D488" t="s">
        <v>4323</v>
      </c>
      <c r="E488" t="s">
        <v>4324</v>
      </c>
      <c r="F488" t="s">
        <v>18</v>
      </c>
      <c r="G488" t="s">
        <v>2853</v>
      </c>
      <c r="H488" t="s">
        <v>3175</v>
      </c>
      <c r="I488" t="s">
        <v>154</v>
      </c>
      <c r="J488" t="s">
        <v>254</v>
      </c>
      <c r="K488" t="s">
        <v>3176</v>
      </c>
      <c r="L488" t="s">
        <v>63</v>
      </c>
    </row>
    <row r="489" spans="1:12">
      <c r="A489" t="s">
        <v>1570</v>
      </c>
      <c r="D489" t="s">
        <v>4325</v>
      </c>
      <c r="E489" t="s">
        <v>4326</v>
      </c>
      <c r="F489" t="s">
        <v>18</v>
      </c>
      <c r="G489" t="s">
        <v>2853</v>
      </c>
      <c r="H489" t="s">
        <v>3175</v>
      </c>
      <c r="I489" t="s">
        <v>154</v>
      </c>
      <c r="J489" t="s">
        <v>254</v>
      </c>
      <c r="K489" t="s">
        <v>3176</v>
      </c>
      <c r="L489" t="s">
        <v>63</v>
      </c>
    </row>
    <row r="490" spans="1:12">
      <c r="A490" t="s">
        <v>1554</v>
      </c>
      <c r="D490" t="s">
        <v>4327</v>
      </c>
      <c r="E490" t="s">
        <v>4328</v>
      </c>
      <c r="F490" t="s">
        <v>18</v>
      </c>
      <c r="G490" t="s">
        <v>2853</v>
      </c>
      <c r="H490" t="s">
        <v>3175</v>
      </c>
      <c r="I490" t="s">
        <v>154</v>
      </c>
      <c r="J490" t="s">
        <v>254</v>
      </c>
      <c r="K490" t="s">
        <v>3176</v>
      </c>
      <c r="L490" t="s">
        <v>63</v>
      </c>
    </row>
    <row r="491" spans="1:12">
      <c r="A491" t="s">
        <v>1556</v>
      </c>
      <c r="D491" t="s">
        <v>4329</v>
      </c>
      <c r="E491" t="s">
        <v>4330</v>
      </c>
      <c r="F491" t="s">
        <v>18</v>
      </c>
      <c r="G491" t="s">
        <v>2853</v>
      </c>
      <c r="H491" t="s">
        <v>3175</v>
      </c>
      <c r="I491" t="s">
        <v>154</v>
      </c>
      <c r="J491" t="s">
        <v>254</v>
      </c>
      <c r="K491" t="s">
        <v>3176</v>
      </c>
      <c r="L491" t="s">
        <v>63</v>
      </c>
    </row>
    <row r="492" spans="1:12">
      <c r="A492" t="s">
        <v>1558</v>
      </c>
      <c r="D492" t="s">
        <v>4331</v>
      </c>
      <c r="E492" t="s">
        <v>4332</v>
      </c>
      <c r="F492" t="s">
        <v>18</v>
      </c>
      <c r="G492" t="s">
        <v>2853</v>
      </c>
      <c r="H492" t="s">
        <v>3175</v>
      </c>
      <c r="I492" t="s">
        <v>154</v>
      </c>
      <c r="J492" t="s">
        <v>254</v>
      </c>
      <c r="K492" t="s">
        <v>3176</v>
      </c>
      <c r="L492" t="s">
        <v>63</v>
      </c>
    </row>
    <row r="493" spans="1:12">
      <c r="A493" t="s">
        <v>1560</v>
      </c>
      <c r="D493" t="s">
        <v>4331</v>
      </c>
      <c r="E493" t="s">
        <v>4333</v>
      </c>
      <c r="F493" t="s">
        <v>18</v>
      </c>
      <c r="G493" t="s">
        <v>2853</v>
      </c>
      <c r="H493" t="s">
        <v>3175</v>
      </c>
      <c r="I493" t="s">
        <v>154</v>
      </c>
      <c r="J493" t="s">
        <v>254</v>
      </c>
      <c r="K493" t="s">
        <v>3176</v>
      </c>
      <c r="L493" t="s">
        <v>63</v>
      </c>
    </row>
    <row r="494" spans="1:12">
      <c r="A494" t="s">
        <v>1562</v>
      </c>
      <c r="D494" t="s">
        <v>4334</v>
      </c>
      <c r="E494" t="s">
        <v>4335</v>
      </c>
      <c r="F494" t="s">
        <v>18</v>
      </c>
      <c r="G494" t="s">
        <v>2853</v>
      </c>
      <c r="H494" t="s">
        <v>3175</v>
      </c>
      <c r="I494" t="s">
        <v>154</v>
      </c>
      <c r="J494" t="s">
        <v>254</v>
      </c>
      <c r="K494" t="s">
        <v>3176</v>
      </c>
      <c r="L494" t="s">
        <v>63</v>
      </c>
    </row>
    <row r="495" spans="1:12">
      <c r="A495" t="s">
        <v>1564</v>
      </c>
      <c r="D495" t="s">
        <v>4336</v>
      </c>
      <c r="E495" t="s">
        <v>4337</v>
      </c>
      <c r="F495" t="s">
        <v>18</v>
      </c>
      <c r="G495" t="s">
        <v>2853</v>
      </c>
      <c r="H495" t="s">
        <v>3175</v>
      </c>
      <c r="I495" t="s">
        <v>154</v>
      </c>
      <c r="J495" t="s">
        <v>254</v>
      </c>
      <c r="K495" t="s">
        <v>3176</v>
      </c>
      <c r="L495" t="s">
        <v>63</v>
      </c>
    </row>
    <row r="496" spans="1:12">
      <c r="A496" t="s">
        <v>1566</v>
      </c>
      <c r="D496" t="s">
        <v>4336</v>
      </c>
      <c r="E496" t="s">
        <v>4338</v>
      </c>
      <c r="F496" t="s">
        <v>18</v>
      </c>
      <c r="G496" t="s">
        <v>2853</v>
      </c>
      <c r="H496" t="s">
        <v>3175</v>
      </c>
      <c r="I496" t="s">
        <v>154</v>
      </c>
      <c r="J496" t="s">
        <v>254</v>
      </c>
      <c r="K496" t="s">
        <v>3176</v>
      </c>
      <c r="L496" t="s">
        <v>63</v>
      </c>
    </row>
    <row r="497" spans="1:12">
      <c r="A497" t="s">
        <v>1568</v>
      </c>
      <c r="D497" t="s">
        <v>4339</v>
      </c>
      <c r="E497" t="s">
        <v>4340</v>
      </c>
      <c r="F497" t="s">
        <v>18</v>
      </c>
      <c r="G497" t="s">
        <v>2853</v>
      </c>
      <c r="H497" t="s">
        <v>3175</v>
      </c>
      <c r="I497" t="s">
        <v>154</v>
      </c>
      <c r="J497" t="s">
        <v>254</v>
      </c>
      <c r="K497" t="s">
        <v>3176</v>
      </c>
      <c r="L497" t="s">
        <v>63</v>
      </c>
    </row>
    <row r="498" spans="1:12">
      <c r="A498" t="s">
        <v>1572</v>
      </c>
      <c r="D498" t="s">
        <v>4341</v>
      </c>
      <c r="E498" t="s">
        <v>4342</v>
      </c>
      <c r="F498" t="s">
        <v>18</v>
      </c>
      <c r="G498" t="s">
        <v>2853</v>
      </c>
      <c r="H498" t="s">
        <v>3175</v>
      </c>
      <c r="I498" t="s">
        <v>154</v>
      </c>
      <c r="J498" t="s">
        <v>254</v>
      </c>
      <c r="K498" t="s">
        <v>3176</v>
      </c>
      <c r="L498" t="s">
        <v>63</v>
      </c>
    </row>
    <row r="499" spans="1:12">
      <c r="A499" t="s">
        <v>1574</v>
      </c>
      <c r="D499" t="s">
        <v>4343</v>
      </c>
      <c r="E499" t="s">
        <v>4344</v>
      </c>
      <c r="F499" t="s">
        <v>18</v>
      </c>
      <c r="G499" t="s">
        <v>2853</v>
      </c>
      <c r="H499" t="s">
        <v>3175</v>
      </c>
      <c r="I499" t="s">
        <v>154</v>
      </c>
      <c r="J499" t="s">
        <v>254</v>
      </c>
      <c r="K499" t="s">
        <v>3176</v>
      </c>
      <c r="L499" t="s">
        <v>63</v>
      </c>
    </row>
    <row r="500" spans="1:12">
      <c r="A500" t="s">
        <v>1576</v>
      </c>
      <c r="D500" t="s">
        <v>4345</v>
      </c>
      <c r="E500" t="s">
        <v>4346</v>
      </c>
      <c r="F500" t="s">
        <v>18</v>
      </c>
      <c r="G500" t="s">
        <v>2853</v>
      </c>
      <c r="H500" t="s">
        <v>3175</v>
      </c>
      <c r="I500" t="s">
        <v>154</v>
      </c>
      <c r="J500" t="s">
        <v>254</v>
      </c>
      <c r="K500" t="s">
        <v>3176</v>
      </c>
      <c r="L500" t="s">
        <v>63</v>
      </c>
    </row>
    <row r="501" spans="1:12">
      <c r="A501" t="s">
        <v>1578</v>
      </c>
      <c r="D501" t="s">
        <v>4345</v>
      </c>
      <c r="E501" t="s">
        <v>4347</v>
      </c>
      <c r="F501" t="s">
        <v>18</v>
      </c>
      <c r="G501" t="s">
        <v>2853</v>
      </c>
      <c r="H501" t="s">
        <v>3175</v>
      </c>
      <c r="I501" t="s">
        <v>154</v>
      </c>
      <c r="J501" t="s">
        <v>254</v>
      </c>
      <c r="K501" t="s">
        <v>3176</v>
      </c>
      <c r="L501" t="s">
        <v>63</v>
      </c>
    </row>
    <row r="502" spans="1:12">
      <c r="A502" t="s">
        <v>1580</v>
      </c>
      <c r="D502" t="s">
        <v>4348</v>
      </c>
      <c r="E502" t="s">
        <v>4349</v>
      </c>
      <c r="F502" t="s">
        <v>18</v>
      </c>
      <c r="G502" t="s">
        <v>2853</v>
      </c>
      <c r="H502" t="s">
        <v>3175</v>
      </c>
      <c r="I502" t="s">
        <v>154</v>
      </c>
      <c r="J502" t="s">
        <v>254</v>
      </c>
      <c r="K502" t="s">
        <v>3176</v>
      </c>
      <c r="L502" t="s">
        <v>63</v>
      </c>
    </row>
    <row r="503" spans="1:12">
      <c r="A503" t="s">
        <v>1582</v>
      </c>
      <c r="D503" t="s">
        <v>4350</v>
      </c>
      <c r="E503" t="s">
        <v>4351</v>
      </c>
      <c r="F503" t="s">
        <v>18</v>
      </c>
      <c r="G503" t="s">
        <v>2853</v>
      </c>
      <c r="H503" t="s">
        <v>3175</v>
      </c>
      <c r="I503" t="s">
        <v>154</v>
      </c>
      <c r="J503" t="s">
        <v>254</v>
      </c>
      <c r="K503" t="s">
        <v>3176</v>
      </c>
      <c r="L503" t="s">
        <v>63</v>
      </c>
    </row>
    <row r="504" spans="1:12">
      <c r="A504" t="s">
        <v>1584</v>
      </c>
      <c r="D504" t="s">
        <v>4352</v>
      </c>
      <c r="E504" t="s">
        <v>4353</v>
      </c>
      <c r="F504" t="s">
        <v>18</v>
      </c>
      <c r="G504" t="s">
        <v>2853</v>
      </c>
      <c r="H504" t="s">
        <v>3175</v>
      </c>
      <c r="I504" t="s">
        <v>154</v>
      </c>
      <c r="J504" t="s">
        <v>254</v>
      </c>
      <c r="K504" t="s">
        <v>3176</v>
      </c>
      <c r="L504" t="s">
        <v>63</v>
      </c>
    </row>
    <row r="505" spans="1:12">
      <c r="A505" t="s">
        <v>1370</v>
      </c>
      <c r="D505" t="s">
        <v>4354</v>
      </c>
      <c r="E505" t="s">
        <v>4355</v>
      </c>
      <c r="F505" t="s">
        <v>18</v>
      </c>
      <c r="G505" t="s">
        <v>2853</v>
      </c>
      <c r="H505" t="s">
        <v>3175</v>
      </c>
      <c r="I505" t="s">
        <v>154</v>
      </c>
      <c r="J505" t="s">
        <v>254</v>
      </c>
      <c r="K505" t="s">
        <v>3176</v>
      </c>
      <c r="L505" t="s">
        <v>63</v>
      </c>
    </row>
    <row r="506" spans="1:12">
      <c r="A506" t="s">
        <v>1608</v>
      </c>
      <c r="D506" t="s">
        <v>4356</v>
      </c>
      <c r="E506" t="s">
        <v>4357</v>
      </c>
      <c r="F506" t="s">
        <v>18</v>
      </c>
      <c r="G506" t="s">
        <v>2853</v>
      </c>
      <c r="H506" t="s">
        <v>3175</v>
      </c>
      <c r="I506" t="s">
        <v>154</v>
      </c>
      <c r="J506" t="s">
        <v>254</v>
      </c>
      <c r="K506" t="s">
        <v>3176</v>
      </c>
      <c r="L506" t="s">
        <v>63</v>
      </c>
    </row>
    <row r="507" spans="1:12">
      <c r="A507" t="s">
        <v>1618</v>
      </c>
      <c r="D507" t="s">
        <v>4358</v>
      </c>
      <c r="E507" t="s">
        <v>4359</v>
      </c>
      <c r="F507" t="s">
        <v>18</v>
      </c>
      <c r="G507" t="s">
        <v>2853</v>
      </c>
      <c r="H507" t="s">
        <v>3175</v>
      </c>
      <c r="I507" t="s">
        <v>154</v>
      </c>
      <c r="J507" t="s">
        <v>254</v>
      </c>
      <c r="K507" t="s">
        <v>3176</v>
      </c>
      <c r="L507" t="s">
        <v>63</v>
      </c>
    </row>
    <row r="508" spans="1:12">
      <c r="A508" t="s">
        <v>1588</v>
      </c>
      <c r="D508" t="s">
        <v>4360</v>
      </c>
      <c r="E508" t="s">
        <v>4361</v>
      </c>
      <c r="F508" t="s">
        <v>18</v>
      </c>
      <c r="G508" t="s">
        <v>2853</v>
      </c>
      <c r="H508" t="s">
        <v>3175</v>
      </c>
      <c r="I508" t="s">
        <v>154</v>
      </c>
      <c r="J508" t="s">
        <v>254</v>
      </c>
      <c r="K508" t="s">
        <v>3176</v>
      </c>
      <c r="L508" t="s">
        <v>63</v>
      </c>
    </row>
    <row r="509" spans="1:12">
      <c r="A509" t="s">
        <v>1590</v>
      </c>
      <c r="D509" t="s">
        <v>4362</v>
      </c>
      <c r="E509" t="s">
        <v>4363</v>
      </c>
      <c r="F509" t="s">
        <v>18</v>
      </c>
      <c r="G509" t="s">
        <v>2853</v>
      </c>
      <c r="H509" t="s">
        <v>3175</v>
      </c>
      <c r="I509" t="s">
        <v>154</v>
      </c>
      <c r="J509" t="s">
        <v>254</v>
      </c>
      <c r="K509" t="s">
        <v>3176</v>
      </c>
      <c r="L509" t="s">
        <v>63</v>
      </c>
    </row>
    <row r="510" spans="1:12">
      <c r="A510" t="s">
        <v>1592</v>
      </c>
      <c r="D510" t="s">
        <v>4364</v>
      </c>
      <c r="E510" t="s">
        <v>4365</v>
      </c>
      <c r="F510" t="s">
        <v>18</v>
      </c>
      <c r="G510" t="s">
        <v>2853</v>
      </c>
      <c r="H510" t="s">
        <v>3175</v>
      </c>
      <c r="I510" t="s">
        <v>154</v>
      </c>
      <c r="J510" t="s">
        <v>254</v>
      </c>
      <c r="K510" t="s">
        <v>3176</v>
      </c>
      <c r="L510" t="s">
        <v>63</v>
      </c>
    </row>
    <row r="511" spans="1:12">
      <c r="A511" t="s">
        <v>1594</v>
      </c>
      <c r="D511" t="s">
        <v>4366</v>
      </c>
      <c r="E511" t="s">
        <v>4367</v>
      </c>
      <c r="F511" t="s">
        <v>18</v>
      </c>
      <c r="G511" t="s">
        <v>2853</v>
      </c>
      <c r="H511" t="s">
        <v>3175</v>
      </c>
      <c r="I511" t="s">
        <v>154</v>
      </c>
      <c r="J511" t="s">
        <v>254</v>
      </c>
      <c r="K511" t="s">
        <v>3176</v>
      </c>
      <c r="L511" t="s">
        <v>63</v>
      </c>
    </row>
    <row r="512" spans="1:12">
      <c r="A512" t="s">
        <v>1597</v>
      </c>
      <c r="D512" t="s">
        <v>4354</v>
      </c>
      <c r="E512" t="s">
        <v>4368</v>
      </c>
      <c r="F512" t="s">
        <v>18</v>
      </c>
      <c r="G512" t="s">
        <v>2853</v>
      </c>
      <c r="H512" t="s">
        <v>3175</v>
      </c>
      <c r="I512" t="s">
        <v>154</v>
      </c>
      <c r="J512" t="s">
        <v>254</v>
      </c>
      <c r="K512" t="s">
        <v>3176</v>
      </c>
      <c r="L512" t="s">
        <v>63</v>
      </c>
    </row>
    <row r="513" spans="1:12">
      <c r="A513" t="s">
        <v>1599</v>
      </c>
      <c r="D513" t="s">
        <v>4369</v>
      </c>
      <c r="E513" t="s">
        <v>4370</v>
      </c>
      <c r="F513" t="s">
        <v>18</v>
      </c>
      <c r="G513" t="s">
        <v>2853</v>
      </c>
      <c r="H513" t="s">
        <v>3175</v>
      </c>
      <c r="I513" t="s">
        <v>154</v>
      </c>
      <c r="J513" t="s">
        <v>254</v>
      </c>
      <c r="K513" t="s">
        <v>3176</v>
      </c>
      <c r="L513" t="s">
        <v>63</v>
      </c>
    </row>
    <row r="514" spans="1:12">
      <c r="A514" t="s">
        <v>1601</v>
      </c>
      <c r="D514" t="s">
        <v>4371</v>
      </c>
      <c r="E514" t="s">
        <v>4372</v>
      </c>
      <c r="F514" t="s">
        <v>18</v>
      </c>
      <c r="G514" t="s">
        <v>2853</v>
      </c>
      <c r="H514" t="s">
        <v>3175</v>
      </c>
      <c r="I514" t="s">
        <v>154</v>
      </c>
      <c r="J514" t="s">
        <v>254</v>
      </c>
      <c r="K514" t="s">
        <v>3176</v>
      </c>
      <c r="L514" t="s">
        <v>63</v>
      </c>
    </row>
    <row r="515" spans="1:12">
      <c r="A515" t="s">
        <v>1603</v>
      </c>
      <c r="D515" t="s">
        <v>4373</v>
      </c>
      <c r="E515" t="s">
        <v>4374</v>
      </c>
      <c r="F515" t="s">
        <v>18</v>
      </c>
      <c r="G515" t="s">
        <v>2853</v>
      </c>
      <c r="H515" t="s">
        <v>3175</v>
      </c>
      <c r="I515" t="s">
        <v>154</v>
      </c>
      <c r="J515" t="s">
        <v>254</v>
      </c>
      <c r="K515" t="s">
        <v>3176</v>
      </c>
      <c r="L515" t="s">
        <v>63</v>
      </c>
    </row>
    <row r="516" spans="1:12">
      <c r="A516" t="s">
        <v>1605</v>
      </c>
      <c r="D516" t="s">
        <v>4375</v>
      </c>
      <c r="E516" t="s">
        <v>4376</v>
      </c>
      <c r="F516" t="s">
        <v>18</v>
      </c>
      <c r="G516" t="s">
        <v>2853</v>
      </c>
      <c r="H516" t="s">
        <v>3175</v>
      </c>
      <c r="I516" t="s">
        <v>154</v>
      </c>
      <c r="J516" t="s">
        <v>254</v>
      </c>
      <c r="K516" t="s">
        <v>3176</v>
      </c>
      <c r="L516" t="s">
        <v>63</v>
      </c>
    </row>
    <row r="517" spans="1:12">
      <c r="A517" t="s">
        <v>1371</v>
      </c>
      <c r="D517" t="s">
        <v>4377</v>
      </c>
      <c r="E517" t="s">
        <v>4378</v>
      </c>
      <c r="F517" t="s">
        <v>18</v>
      </c>
      <c r="G517" t="s">
        <v>2853</v>
      </c>
      <c r="H517" t="s">
        <v>3175</v>
      </c>
      <c r="I517" t="s">
        <v>154</v>
      </c>
      <c r="J517" t="s">
        <v>254</v>
      </c>
      <c r="K517" t="s">
        <v>3176</v>
      </c>
      <c r="L517" t="s">
        <v>63</v>
      </c>
    </row>
    <row r="518" spans="1:12">
      <c r="A518" t="s">
        <v>1610</v>
      </c>
      <c r="D518" t="s">
        <v>4379</v>
      </c>
      <c r="E518" t="s">
        <v>4380</v>
      </c>
      <c r="F518" t="s">
        <v>18</v>
      </c>
      <c r="G518" t="s">
        <v>2853</v>
      </c>
      <c r="H518" t="s">
        <v>3175</v>
      </c>
      <c r="I518" t="s">
        <v>154</v>
      </c>
      <c r="J518" t="s">
        <v>254</v>
      </c>
      <c r="K518" t="s">
        <v>3176</v>
      </c>
      <c r="L518" t="s">
        <v>63</v>
      </c>
    </row>
    <row r="519" spans="1:12">
      <c r="A519" t="s">
        <v>1612</v>
      </c>
      <c r="D519" t="s">
        <v>4381</v>
      </c>
      <c r="E519" t="s">
        <v>4382</v>
      </c>
      <c r="F519" t="s">
        <v>18</v>
      </c>
      <c r="G519" t="s">
        <v>2853</v>
      </c>
      <c r="H519" t="s">
        <v>3175</v>
      </c>
      <c r="I519" t="s">
        <v>154</v>
      </c>
      <c r="J519" t="s">
        <v>254</v>
      </c>
      <c r="K519" t="s">
        <v>3176</v>
      </c>
      <c r="L519" t="s">
        <v>63</v>
      </c>
    </row>
    <row r="520" spans="1:12">
      <c r="A520" t="s">
        <v>1614</v>
      </c>
      <c r="D520" t="s">
        <v>4383</v>
      </c>
      <c r="E520" t="s">
        <v>4384</v>
      </c>
      <c r="F520" t="s">
        <v>18</v>
      </c>
      <c r="G520" t="s">
        <v>2853</v>
      </c>
      <c r="H520" t="s">
        <v>3175</v>
      </c>
      <c r="I520" t="s">
        <v>154</v>
      </c>
      <c r="J520" t="s">
        <v>254</v>
      </c>
      <c r="K520" t="s">
        <v>3176</v>
      </c>
      <c r="L520" t="s">
        <v>63</v>
      </c>
    </row>
    <row r="521" spans="1:12">
      <c r="A521" t="s">
        <v>1616</v>
      </c>
      <c r="D521" t="s">
        <v>4385</v>
      </c>
      <c r="E521" t="s">
        <v>4386</v>
      </c>
      <c r="F521" t="s">
        <v>18</v>
      </c>
      <c r="G521" t="s">
        <v>2853</v>
      </c>
      <c r="H521" t="s">
        <v>3175</v>
      </c>
      <c r="I521" t="s">
        <v>154</v>
      </c>
      <c r="J521" t="s">
        <v>254</v>
      </c>
      <c r="K521" t="s">
        <v>3176</v>
      </c>
      <c r="L521" t="s">
        <v>63</v>
      </c>
    </row>
    <row r="522" spans="1:12">
      <c r="A522" t="s">
        <v>2406</v>
      </c>
      <c r="D522" t="s">
        <v>4381</v>
      </c>
      <c r="E522" t="s">
        <v>4387</v>
      </c>
      <c r="F522" t="s">
        <v>18</v>
      </c>
      <c r="G522" t="s">
        <v>2853</v>
      </c>
      <c r="H522" t="s">
        <v>3175</v>
      </c>
      <c r="I522" t="s">
        <v>154</v>
      </c>
      <c r="J522" t="s">
        <v>254</v>
      </c>
      <c r="K522" t="s">
        <v>3176</v>
      </c>
      <c r="L522" t="s">
        <v>63</v>
      </c>
    </row>
    <row r="523" spans="1:12">
      <c r="A523" t="s">
        <v>2110</v>
      </c>
      <c r="D523" t="s">
        <v>4388</v>
      </c>
      <c r="E523" t="s">
        <v>4389</v>
      </c>
      <c r="F523" t="s">
        <v>18</v>
      </c>
      <c r="G523" t="s">
        <v>2853</v>
      </c>
      <c r="H523" t="s">
        <v>3237</v>
      </c>
      <c r="I523" t="s">
        <v>154</v>
      </c>
      <c r="J523" t="s">
        <v>254</v>
      </c>
      <c r="K523" t="s">
        <v>3176</v>
      </c>
      <c r="L523" t="s">
        <v>63</v>
      </c>
    </row>
    <row r="524" spans="1:12">
      <c r="A524" t="s">
        <v>2106</v>
      </c>
      <c r="D524" t="s">
        <v>4390</v>
      </c>
      <c r="E524" t="s">
        <v>4391</v>
      </c>
      <c r="F524" t="s">
        <v>18</v>
      </c>
      <c r="G524" t="s">
        <v>2853</v>
      </c>
      <c r="H524" t="s">
        <v>3237</v>
      </c>
      <c r="I524" t="s">
        <v>154</v>
      </c>
      <c r="J524" t="s">
        <v>254</v>
      </c>
      <c r="K524" t="s">
        <v>3176</v>
      </c>
      <c r="L524" t="s">
        <v>63</v>
      </c>
    </row>
    <row r="525" spans="1:12">
      <c r="A525" t="s">
        <v>648</v>
      </c>
      <c r="D525" t="s">
        <v>4392</v>
      </c>
      <c r="E525" t="s">
        <v>4393</v>
      </c>
      <c r="F525" t="s">
        <v>18</v>
      </c>
      <c r="G525" t="s">
        <v>2853</v>
      </c>
      <c r="H525" t="s">
        <v>3237</v>
      </c>
      <c r="I525" t="s">
        <v>154</v>
      </c>
      <c r="J525" t="s">
        <v>254</v>
      </c>
      <c r="K525" t="s">
        <v>3176</v>
      </c>
      <c r="L525" t="s">
        <v>63</v>
      </c>
    </row>
    <row r="526" spans="1:12">
      <c r="A526" t="s">
        <v>650</v>
      </c>
      <c r="D526" t="s">
        <v>4394</v>
      </c>
      <c r="E526" t="s">
        <v>4395</v>
      </c>
      <c r="F526" t="s">
        <v>18</v>
      </c>
      <c r="G526" t="s">
        <v>2853</v>
      </c>
      <c r="H526" t="s">
        <v>3237</v>
      </c>
      <c r="I526" t="s">
        <v>154</v>
      </c>
      <c r="J526" t="s">
        <v>254</v>
      </c>
      <c r="K526" t="s">
        <v>3176</v>
      </c>
      <c r="L526" t="s">
        <v>63</v>
      </c>
    </row>
    <row r="527" spans="1:12">
      <c r="A527" t="s">
        <v>652</v>
      </c>
      <c r="D527" t="s">
        <v>4396</v>
      </c>
      <c r="E527" t="s">
        <v>4397</v>
      </c>
      <c r="F527" t="s">
        <v>18</v>
      </c>
      <c r="G527" t="s">
        <v>2853</v>
      </c>
      <c r="H527" t="s">
        <v>3237</v>
      </c>
      <c r="I527" t="s">
        <v>154</v>
      </c>
      <c r="J527" t="s">
        <v>254</v>
      </c>
      <c r="K527" t="s">
        <v>3176</v>
      </c>
      <c r="L527" t="s">
        <v>63</v>
      </c>
    </row>
    <row r="528" spans="1:12">
      <c r="A528" t="s">
        <v>654</v>
      </c>
      <c r="D528" t="s">
        <v>4398</v>
      </c>
      <c r="E528" t="s">
        <v>4399</v>
      </c>
      <c r="F528" t="s">
        <v>18</v>
      </c>
      <c r="G528" t="s">
        <v>2853</v>
      </c>
      <c r="H528" t="s">
        <v>3237</v>
      </c>
      <c r="I528" t="s">
        <v>154</v>
      </c>
      <c r="J528" t="s">
        <v>254</v>
      </c>
      <c r="K528" t="s">
        <v>3176</v>
      </c>
      <c r="L528" t="s">
        <v>63</v>
      </c>
    </row>
    <row r="529" spans="1:12">
      <c r="A529" t="s">
        <v>656</v>
      </c>
      <c r="D529" t="s">
        <v>4400</v>
      </c>
      <c r="E529" t="s">
        <v>4401</v>
      </c>
      <c r="F529" t="s">
        <v>18</v>
      </c>
      <c r="G529" t="s">
        <v>2853</v>
      </c>
      <c r="H529" t="s">
        <v>3237</v>
      </c>
      <c r="I529" t="s">
        <v>154</v>
      </c>
      <c r="J529" t="s">
        <v>254</v>
      </c>
      <c r="K529" t="s">
        <v>3176</v>
      </c>
      <c r="L529" t="s">
        <v>63</v>
      </c>
    </row>
    <row r="530" spans="1:12">
      <c r="A530" t="s">
        <v>658</v>
      </c>
      <c r="D530" t="s">
        <v>4402</v>
      </c>
      <c r="E530" t="s">
        <v>4403</v>
      </c>
      <c r="F530" t="s">
        <v>18</v>
      </c>
      <c r="G530" t="s">
        <v>2853</v>
      </c>
      <c r="H530" t="s">
        <v>3237</v>
      </c>
      <c r="I530" t="s">
        <v>154</v>
      </c>
      <c r="J530" t="s">
        <v>254</v>
      </c>
      <c r="K530" t="s">
        <v>3176</v>
      </c>
      <c r="L530" t="s">
        <v>63</v>
      </c>
    </row>
    <row r="531" spans="1:12">
      <c r="A531" t="s">
        <v>660</v>
      </c>
      <c r="D531" t="s">
        <v>4404</v>
      </c>
      <c r="E531" t="s">
        <v>4405</v>
      </c>
      <c r="F531" t="s">
        <v>18</v>
      </c>
      <c r="G531" t="s">
        <v>2853</v>
      </c>
      <c r="H531" t="s">
        <v>3237</v>
      </c>
      <c r="I531" t="s">
        <v>154</v>
      </c>
      <c r="J531" t="s">
        <v>254</v>
      </c>
      <c r="K531" t="s">
        <v>3176</v>
      </c>
      <c r="L531" t="s">
        <v>63</v>
      </c>
    </row>
    <row r="532" spans="1:12">
      <c r="A532" t="s">
        <v>1638</v>
      </c>
      <c r="D532" t="s">
        <v>4406</v>
      </c>
      <c r="E532" t="s">
        <v>4407</v>
      </c>
      <c r="F532" t="s">
        <v>18</v>
      </c>
      <c r="G532" t="s">
        <v>2853</v>
      </c>
      <c r="H532" t="s">
        <v>3252</v>
      </c>
      <c r="I532" t="s">
        <v>154</v>
      </c>
      <c r="J532" t="s">
        <v>254</v>
      </c>
      <c r="K532" t="s">
        <v>3176</v>
      </c>
      <c r="L532" t="s">
        <v>63</v>
      </c>
    </row>
    <row r="533" spans="1:12">
      <c r="A533" t="s">
        <v>1640</v>
      </c>
      <c r="D533" t="s">
        <v>4408</v>
      </c>
      <c r="E533" t="s">
        <v>4409</v>
      </c>
      <c r="F533" t="s">
        <v>18</v>
      </c>
      <c r="G533" t="s">
        <v>2853</v>
      </c>
      <c r="H533" t="s">
        <v>3252</v>
      </c>
      <c r="I533" t="s">
        <v>154</v>
      </c>
      <c r="J533" t="s">
        <v>254</v>
      </c>
      <c r="K533" t="s">
        <v>3176</v>
      </c>
      <c r="L533" t="s">
        <v>63</v>
      </c>
    </row>
    <row r="534" spans="1:12">
      <c r="A534" t="s">
        <v>1642</v>
      </c>
      <c r="D534" t="s">
        <v>4410</v>
      </c>
      <c r="E534" t="s">
        <v>4411</v>
      </c>
      <c r="F534" t="s">
        <v>18</v>
      </c>
      <c r="G534" t="s">
        <v>2853</v>
      </c>
      <c r="H534" t="s">
        <v>3252</v>
      </c>
      <c r="I534" t="s">
        <v>154</v>
      </c>
      <c r="J534" t="s">
        <v>254</v>
      </c>
      <c r="K534" t="s">
        <v>3176</v>
      </c>
      <c r="L534" t="s">
        <v>63</v>
      </c>
    </row>
    <row r="535" spans="1:12">
      <c r="A535" t="s">
        <v>1644</v>
      </c>
      <c r="D535" t="s">
        <v>4412</v>
      </c>
      <c r="E535" t="s">
        <v>4413</v>
      </c>
      <c r="F535" t="s">
        <v>18</v>
      </c>
      <c r="G535" t="s">
        <v>2853</v>
      </c>
      <c r="H535" t="s">
        <v>3252</v>
      </c>
      <c r="I535" t="s">
        <v>154</v>
      </c>
      <c r="J535" t="s">
        <v>254</v>
      </c>
      <c r="K535" t="s">
        <v>3176</v>
      </c>
      <c r="L535" t="s">
        <v>63</v>
      </c>
    </row>
    <row r="536" spans="1:12">
      <c r="A536" t="s">
        <v>1646</v>
      </c>
      <c r="D536" t="s">
        <v>4414</v>
      </c>
      <c r="E536" t="s">
        <v>4415</v>
      </c>
      <c r="F536" t="s">
        <v>18</v>
      </c>
      <c r="G536" t="s">
        <v>2853</v>
      </c>
      <c r="H536" t="s">
        <v>3252</v>
      </c>
      <c r="I536" t="s">
        <v>154</v>
      </c>
      <c r="J536" t="s">
        <v>254</v>
      </c>
      <c r="K536" t="s">
        <v>3176</v>
      </c>
      <c r="L536" t="s">
        <v>63</v>
      </c>
    </row>
    <row r="537" spans="1:12">
      <c r="A537" t="s">
        <v>1648</v>
      </c>
      <c r="D537" t="s">
        <v>4416</v>
      </c>
      <c r="E537" t="s">
        <v>4417</v>
      </c>
      <c r="F537" t="s">
        <v>18</v>
      </c>
      <c r="G537" t="s">
        <v>2853</v>
      </c>
      <c r="H537" t="s">
        <v>3252</v>
      </c>
      <c r="I537" t="s">
        <v>154</v>
      </c>
      <c r="J537" t="s">
        <v>254</v>
      </c>
      <c r="K537" t="s">
        <v>3176</v>
      </c>
      <c r="L537" t="s">
        <v>63</v>
      </c>
    </row>
    <row r="538" spans="1:12">
      <c r="A538" t="s">
        <v>1626</v>
      </c>
      <c r="D538" t="s">
        <v>4418</v>
      </c>
      <c r="E538" t="s">
        <v>4419</v>
      </c>
      <c r="F538" t="s">
        <v>18</v>
      </c>
      <c r="G538" t="s">
        <v>2853</v>
      </c>
      <c r="H538" t="s">
        <v>3252</v>
      </c>
      <c r="I538" t="s">
        <v>154</v>
      </c>
      <c r="J538" t="s">
        <v>254</v>
      </c>
      <c r="K538" t="s">
        <v>3176</v>
      </c>
      <c r="L538" t="s">
        <v>63</v>
      </c>
    </row>
    <row r="539" spans="1:12">
      <c r="A539" t="s">
        <v>1620</v>
      </c>
      <c r="D539" t="s">
        <v>4420</v>
      </c>
      <c r="E539" t="s">
        <v>4421</v>
      </c>
      <c r="F539" t="s">
        <v>18</v>
      </c>
      <c r="G539" t="s">
        <v>2853</v>
      </c>
      <c r="H539" t="s">
        <v>3252</v>
      </c>
      <c r="I539" t="s">
        <v>154</v>
      </c>
      <c r="J539" t="s">
        <v>254</v>
      </c>
      <c r="K539" t="s">
        <v>3176</v>
      </c>
      <c r="L539" t="s">
        <v>63</v>
      </c>
    </row>
    <row r="540" spans="1:12">
      <c r="A540" t="s">
        <v>1622</v>
      </c>
      <c r="D540" t="s">
        <v>4422</v>
      </c>
      <c r="E540" t="s">
        <v>4423</v>
      </c>
      <c r="F540" t="s">
        <v>18</v>
      </c>
      <c r="G540" t="s">
        <v>2853</v>
      </c>
      <c r="H540" t="s">
        <v>3252</v>
      </c>
      <c r="I540" t="s">
        <v>154</v>
      </c>
      <c r="J540" t="s">
        <v>254</v>
      </c>
      <c r="K540" t="s">
        <v>3176</v>
      </c>
      <c r="L540" t="s">
        <v>63</v>
      </c>
    </row>
    <row r="541" spans="1:12">
      <c r="A541" t="s">
        <v>1624</v>
      </c>
      <c r="D541" t="s">
        <v>4424</v>
      </c>
      <c r="E541" t="s">
        <v>4425</v>
      </c>
      <c r="F541" t="s">
        <v>18</v>
      </c>
      <c r="G541" t="s">
        <v>2853</v>
      </c>
      <c r="H541" t="s">
        <v>3252</v>
      </c>
      <c r="I541" t="s">
        <v>154</v>
      </c>
      <c r="J541" t="s">
        <v>254</v>
      </c>
      <c r="K541" t="s">
        <v>3176</v>
      </c>
      <c r="L541" t="s">
        <v>63</v>
      </c>
    </row>
    <row r="542" spans="1:12">
      <c r="A542" t="s">
        <v>1628</v>
      </c>
      <c r="D542" t="s">
        <v>4426</v>
      </c>
      <c r="E542" t="s">
        <v>4427</v>
      </c>
      <c r="F542" t="s">
        <v>18</v>
      </c>
      <c r="G542" t="s">
        <v>2853</v>
      </c>
      <c r="H542" t="s">
        <v>3252</v>
      </c>
      <c r="I542" t="s">
        <v>154</v>
      </c>
      <c r="J542" t="s">
        <v>254</v>
      </c>
      <c r="K542" t="s">
        <v>3176</v>
      </c>
      <c r="L542" t="s">
        <v>63</v>
      </c>
    </row>
    <row r="543" spans="1:12">
      <c r="A543" t="s">
        <v>1630</v>
      </c>
      <c r="D543" t="s">
        <v>4428</v>
      </c>
      <c r="E543" t="s">
        <v>4429</v>
      </c>
      <c r="F543" t="s">
        <v>18</v>
      </c>
      <c r="G543" t="s">
        <v>2853</v>
      </c>
      <c r="H543" t="s">
        <v>3252</v>
      </c>
      <c r="I543" t="s">
        <v>154</v>
      </c>
      <c r="J543" t="s">
        <v>254</v>
      </c>
      <c r="K543" t="s">
        <v>3176</v>
      </c>
      <c r="L543" t="s">
        <v>63</v>
      </c>
    </row>
    <row r="544" spans="1:12">
      <c r="A544" t="s">
        <v>1632</v>
      </c>
      <c r="D544" t="s">
        <v>4430</v>
      </c>
      <c r="E544" t="s">
        <v>4431</v>
      </c>
      <c r="F544" t="s">
        <v>18</v>
      </c>
      <c r="G544" t="s">
        <v>2853</v>
      </c>
      <c r="H544" t="s">
        <v>3252</v>
      </c>
      <c r="I544" t="s">
        <v>154</v>
      </c>
      <c r="J544" t="s">
        <v>254</v>
      </c>
      <c r="K544" t="s">
        <v>3176</v>
      </c>
      <c r="L544" t="s">
        <v>63</v>
      </c>
    </row>
    <row r="545" spans="1:12">
      <c r="A545" t="s">
        <v>1634</v>
      </c>
      <c r="D545" t="s">
        <v>4432</v>
      </c>
      <c r="E545" t="s">
        <v>4433</v>
      </c>
      <c r="F545" t="s">
        <v>18</v>
      </c>
      <c r="G545" t="s">
        <v>2853</v>
      </c>
      <c r="H545" t="s">
        <v>3252</v>
      </c>
      <c r="I545" t="s">
        <v>154</v>
      </c>
      <c r="J545" t="s">
        <v>254</v>
      </c>
      <c r="K545" t="s">
        <v>3176</v>
      </c>
      <c r="L545" t="s">
        <v>63</v>
      </c>
    </row>
    <row r="546" spans="1:12">
      <c r="A546" t="s">
        <v>1636</v>
      </c>
      <c r="D546" t="s">
        <v>4434</v>
      </c>
      <c r="E546" t="s">
        <v>4435</v>
      </c>
      <c r="F546" t="s">
        <v>18</v>
      </c>
      <c r="G546" t="s">
        <v>2853</v>
      </c>
      <c r="H546" t="s">
        <v>3252</v>
      </c>
      <c r="I546" t="s">
        <v>154</v>
      </c>
      <c r="J546" t="s">
        <v>254</v>
      </c>
      <c r="K546" t="s">
        <v>3176</v>
      </c>
      <c r="L546" t="s">
        <v>63</v>
      </c>
    </row>
    <row r="547" spans="1:12">
      <c r="A547" t="s">
        <v>668</v>
      </c>
      <c r="D547" t="s">
        <v>4436</v>
      </c>
      <c r="E547" t="s">
        <v>4437</v>
      </c>
      <c r="F547" t="s">
        <v>18</v>
      </c>
      <c r="G547" t="s">
        <v>2853</v>
      </c>
      <c r="H547" t="s">
        <v>3252</v>
      </c>
      <c r="I547" t="s">
        <v>154</v>
      </c>
      <c r="J547" t="s">
        <v>254</v>
      </c>
      <c r="K547" t="s">
        <v>3176</v>
      </c>
      <c r="L547" t="s">
        <v>63</v>
      </c>
    </row>
    <row r="548" spans="1:12">
      <c r="A548" t="s">
        <v>670</v>
      </c>
      <c r="D548" t="s">
        <v>4438</v>
      </c>
      <c r="E548" t="s">
        <v>4439</v>
      </c>
      <c r="F548" t="s">
        <v>18</v>
      </c>
      <c r="G548" t="s">
        <v>2853</v>
      </c>
      <c r="H548" t="s">
        <v>3252</v>
      </c>
      <c r="I548" t="s">
        <v>154</v>
      </c>
      <c r="J548" t="s">
        <v>254</v>
      </c>
      <c r="K548" t="s">
        <v>3176</v>
      </c>
      <c r="L548" t="s">
        <v>63</v>
      </c>
    </row>
    <row r="549" spans="1:12">
      <c r="A549" t="s">
        <v>672</v>
      </c>
      <c r="D549" t="s">
        <v>4440</v>
      </c>
      <c r="E549" t="s">
        <v>4441</v>
      </c>
      <c r="F549" t="s">
        <v>18</v>
      </c>
      <c r="G549" t="s">
        <v>2853</v>
      </c>
      <c r="H549" t="s">
        <v>3252</v>
      </c>
      <c r="I549" t="s">
        <v>154</v>
      </c>
      <c r="J549" t="s">
        <v>254</v>
      </c>
      <c r="K549" t="s">
        <v>3176</v>
      </c>
      <c r="L549" t="s">
        <v>63</v>
      </c>
    </row>
    <row r="550" spans="1:12">
      <c r="A550" t="s">
        <v>674</v>
      </c>
      <c r="D550" t="s">
        <v>4442</v>
      </c>
      <c r="E550" t="s">
        <v>4443</v>
      </c>
      <c r="F550" t="s">
        <v>18</v>
      </c>
      <c r="G550" t="s">
        <v>2853</v>
      </c>
      <c r="H550" t="s">
        <v>3252</v>
      </c>
      <c r="I550" t="s">
        <v>154</v>
      </c>
      <c r="J550" t="s">
        <v>254</v>
      </c>
      <c r="K550" t="s">
        <v>3176</v>
      </c>
      <c r="L550" t="s">
        <v>63</v>
      </c>
    </row>
    <row r="551" spans="1:12">
      <c r="A551" t="s">
        <v>676</v>
      </c>
      <c r="D551" t="s">
        <v>4444</v>
      </c>
      <c r="E551" t="s">
        <v>4445</v>
      </c>
      <c r="F551" t="s">
        <v>18</v>
      </c>
      <c r="G551" t="s">
        <v>2853</v>
      </c>
      <c r="H551" t="s">
        <v>3252</v>
      </c>
      <c r="I551" t="s">
        <v>154</v>
      </c>
      <c r="J551" t="s">
        <v>254</v>
      </c>
      <c r="K551" t="s">
        <v>3176</v>
      </c>
      <c r="L551" t="s">
        <v>63</v>
      </c>
    </row>
    <row r="552" spans="1:12">
      <c r="A552" t="s">
        <v>678</v>
      </c>
      <c r="D552" t="s">
        <v>4446</v>
      </c>
      <c r="E552" t="s">
        <v>4447</v>
      </c>
      <c r="F552" t="s">
        <v>18</v>
      </c>
      <c r="G552" t="s">
        <v>2853</v>
      </c>
      <c r="H552" t="s">
        <v>3252</v>
      </c>
      <c r="I552" t="s">
        <v>154</v>
      </c>
      <c r="J552" t="s">
        <v>254</v>
      </c>
      <c r="K552" t="s">
        <v>3176</v>
      </c>
      <c r="L552" t="s">
        <v>63</v>
      </c>
    </row>
    <row r="553" spans="1:12">
      <c r="A553" t="s">
        <v>680</v>
      </c>
      <c r="D553" t="s">
        <v>4448</v>
      </c>
      <c r="E553" t="s">
        <v>4449</v>
      </c>
      <c r="F553" t="s">
        <v>18</v>
      </c>
      <c r="G553" t="s">
        <v>2853</v>
      </c>
      <c r="H553" t="s">
        <v>3252</v>
      </c>
      <c r="I553" t="s">
        <v>154</v>
      </c>
      <c r="J553" t="s">
        <v>254</v>
      </c>
      <c r="K553" t="s">
        <v>3176</v>
      </c>
      <c r="L553" t="s">
        <v>63</v>
      </c>
    </row>
    <row r="554" spans="1:12">
      <c r="A554" t="s">
        <v>682</v>
      </c>
      <c r="D554" t="s">
        <v>4450</v>
      </c>
      <c r="E554" t="s">
        <v>4451</v>
      </c>
      <c r="F554" t="s">
        <v>18</v>
      </c>
      <c r="G554" t="s">
        <v>2853</v>
      </c>
      <c r="H554" t="s">
        <v>3252</v>
      </c>
      <c r="I554" t="s">
        <v>154</v>
      </c>
      <c r="J554" t="s">
        <v>254</v>
      </c>
      <c r="K554" t="s">
        <v>3176</v>
      </c>
      <c r="L554" t="s">
        <v>63</v>
      </c>
    </row>
    <row r="555" spans="1:12">
      <c r="A555" t="s">
        <v>1650</v>
      </c>
      <c r="D555" t="s">
        <v>4452</v>
      </c>
      <c r="E555" t="s">
        <v>4453</v>
      </c>
      <c r="F555" t="s">
        <v>18</v>
      </c>
      <c r="G555" t="s">
        <v>2853</v>
      </c>
      <c r="H555" t="s">
        <v>3252</v>
      </c>
      <c r="I555" t="s">
        <v>154</v>
      </c>
      <c r="J555" t="s">
        <v>254</v>
      </c>
      <c r="K555" t="s">
        <v>3176</v>
      </c>
      <c r="L555" t="s">
        <v>63</v>
      </c>
    </row>
    <row r="556" spans="1:12">
      <c r="A556" t="s">
        <v>4454</v>
      </c>
      <c r="D556" t="s">
        <v>4455</v>
      </c>
      <c r="E556" t="s">
        <v>4456</v>
      </c>
      <c r="F556" t="s">
        <v>18</v>
      </c>
      <c r="G556" t="s">
        <v>2853</v>
      </c>
      <c r="H556" t="s">
        <v>3175</v>
      </c>
      <c r="I556" t="s">
        <v>154</v>
      </c>
      <c r="J556" t="s">
        <v>4457</v>
      </c>
      <c r="K556" t="s">
        <v>3176</v>
      </c>
      <c r="L556" t="s">
        <v>3177</v>
      </c>
    </row>
    <row r="557" spans="1:12">
      <c r="A557" t="s">
        <v>4458</v>
      </c>
      <c r="D557" t="s">
        <v>4459</v>
      </c>
      <c r="E557" t="s">
        <v>4460</v>
      </c>
      <c r="F557" t="s">
        <v>18</v>
      </c>
      <c r="G557" t="s">
        <v>2853</v>
      </c>
      <c r="H557" t="s">
        <v>3175</v>
      </c>
      <c r="I557" t="s">
        <v>154</v>
      </c>
      <c r="J557" t="s">
        <v>4457</v>
      </c>
      <c r="K557" t="s">
        <v>3176</v>
      </c>
      <c r="L557" t="s">
        <v>3177</v>
      </c>
    </row>
    <row r="558" spans="1:12">
      <c r="A558" t="s">
        <v>1654</v>
      </c>
      <c r="D558" t="s">
        <v>4461</v>
      </c>
      <c r="E558" t="s">
        <v>4462</v>
      </c>
      <c r="F558" t="s">
        <v>18</v>
      </c>
      <c r="G558" t="s">
        <v>2853</v>
      </c>
      <c r="H558" t="s">
        <v>3175</v>
      </c>
      <c r="I558" t="s">
        <v>154</v>
      </c>
      <c r="J558" t="s">
        <v>4457</v>
      </c>
      <c r="K558" t="s">
        <v>3176</v>
      </c>
      <c r="L558" t="s">
        <v>3177</v>
      </c>
    </row>
    <row r="559" spans="1:12">
      <c r="A559" t="s">
        <v>4463</v>
      </c>
      <c r="D559" t="s">
        <v>4464</v>
      </c>
      <c r="E559" t="s">
        <v>4465</v>
      </c>
      <c r="F559" t="s">
        <v>18</v>
      </c>
      <c r="G559" t="s">
        <v>2853</v>
      </c>
      <c r="H559" t="s">
        <v>3175</v>
      </c>
      <c r="I559" t="s">
        <v>154</v>
      </c>
      <c r="J559" t="s">
        <v>4457</v>
      </c>
      <c r="K559" t="s">
        <v>3176</v>
      </c>
      <c r="L559" t="s">
        <v>3177</v>
      </c>
    </row>
    <row r="560" spans="1:12">
      <c r="A560" t="s">
        <v>4466</v>
      </c>
      <c r="D560" t="s">
        <v>4467</v>
      </c>
      <c r="E560" t="s">
        <v>4468</v>
      </c>
      <c r="F560" t="s">
        <v>18</v>
      </c>
      <c r="G560" t="s">
        <v>2853</v>
      </c>
      <c r="H560" t="s">
        <v>3175</v>
      </c>
      <c r="I560" t="s">
        <v>154</v>
      </c>
      <c r="J560" t="s">
        <v>4457</v>
      </c>
      <c r="K560" t="s">
        <v>3176</v>
      </c>
      <c r="L560" t="s">
        <v>3177</v>
      </c>
    </row>
    <row r="561" spans="1:12">
      <c r="A561" t="s">
        <v>4469</v>
      </c>
      <c r="D561" t="s">
        <v>4470</v>
      </c>
      <c r="E561" t="s">
        <v>4471</v>
      </c>
      <c r="F561" t="s">
        <v>18</v>
      </c>
      <c r="G561" t="s">
        <v>2853</v>
      </c>
      <c r="H561" t="s">
        <v>3175</v>
      </c>
      <c r="I561" t="s">
        <v>154</v>
      </c>
      <c r="J561" t="s">
        <v>4457</v>
      </c>
      <c r="K561" t="s">
        <v>3176</v>
      </c>
      <c r="L561" t="s">
        <v>3177</v>
      </c>
    </row>
    <row r="562" spans="1:12">
      <c r="A562" t="s">
        <v>4472</v>
      </c>
      <c r="D562" t="s">
        <v>4473</v>
      </c>
      <c r="E562" t="s">
        <v>4474</v>
      </c>
      <c r="F562" t="s">
        <v>18</v>
      </c>
      <c r="G562" t="s">
        <v>2853</v>
      </c>
      <c r="H562" t="s">
        <v>3175</v>
      </c>
      <c r="I562" t="s">
        <v>154</v>
      </c>
      <c r="J562" t="s">
        <v>4457</v>
      </c>
      <c r="K562" t="s">
        <v>3176</v>
      </c>
      <c r="L562" t="s">
        <v>3177</v>
      </c>
    </row>
    <row r="563" spans="1:12">
      <c r="A563" t="s">
        <v>4475</v>
      </c>
      <c r="D563" t="s">
        <v>4476</v>
      </c>
      <c r="E563" t="s">
        <v>4477</v>
      </c>
      <c r="F563" t="s">
        <v>18</v>
      </c>
      <c r="G563" t="s">
        <v>2853</v>
      </c>
      <c r="H563" t="s">
        <v>3175</v>
      </c>
      <c r="I563" t="s">
        <v>154</v>
      </c>
      <c r="J563" t="s">
        <v>4457</v>
      </c>
      <c r="K563" t="s">
        <v>3176</v>
      </c>
      <c r="L563" t="s">
        <v>3177</v>
      </c>
    </row>
    <row r="564" spans="1:12">
      <c r="A564" t="s">
        <v>4478</v>
      </c>
      <c r="D564" t="s">
        <v>4479</v>
      </c>
      <c r="E564" t="s">
        <v>4480</v>
      </c>
      <c r="F564" t="s">
        <v>18</v>
      </c>
      <c r="G564" t="s">
        <v>2853</v>
      </c>
      <c r="H564" t="s">
        <v>3175</v>
      </c>
      <c r="I564" t="s">
        <v>154</v>
      </c>
      <c r="J564" t="s">
        <v>4457</v>
      </c>
      <c r="K564" t="s">
        <v>3176</v>
      </c>
      <c r="L564" t="s">
        <v>3177</v>
      </c>
    </row>
    <row r="565" spans="1:12">
      <c r="A565" t="s">
        <v>1655</v>
      </c>
      <c r="D565" t="s">
        <v>4481</v>
      </c>
      <c r="E565" t="s">
        <v>4482</v>
      </c>
      <c r="F565" t="s">
        <v>18</v>
      </c>
      <c r="G565" t="s">
        <v>2853</v>
      </c>
      <c r="H565" t="s">
        <v>3175</v>
      </c>
      <c r="I565" t="s">
        <v>154</v>
      </c>
      <c r="J565" t="s">
        <v>4457</v>
      </c>
      <c r="K565" t="s">
        <v>3176</v>
      </c>
      <c r="L565" t="s">
        <v>3177</v>
      </c>
    </row>
    <row r="566" spans="1:12">
      <c r="A566" t="s">
        <v>4483</v>
      </c>
      <c r="D566" t="s">
        <v>4467</v>
      </c>
      <c r="E566" t="s">
        <v>4484</v>
      </c>
      <c r="F566" t="s">
        <v>18</v>
      </c>
      <c r="G566" t="s">
        <v>2853</v>
      </c>
      <c r="H566" t="s">
        <v>3175</v>
      </c>
      <c r="I566" t="s">
        <v>154</v>
      </c>
      <c r="J566" t="s">
        <v>4457</v>
      </c>
      <c r="K566" t="s">
        <v>3176</v>
      </c>
      <c r="L566" t="s">
        <v>3177</v>
      </c>
    </row>
    <row r="567" spans="1:12">
      <c r="A567" t="s">
        <v>4485</v>
      </c>
      <c r="D567" t="s">
        <v>4476</v>
      </c>
      <c r="E567" t="s">
        <v>4486</v>
      </c>
      <c r="F567" t="s">
        <v>18</v>
      </c>
      <c r="G567" t="s">
        <v>2853</v>
      </c>
      <c r="H567" t="s">
        <v>3175</v>
      </c>
      <c r="I567" t="s">
        <v>154</v>
      </c>
      <c r="J567" t="s">
        <v>4457</v>
      </c>
      <c r="K567" t="s">
        <v>3176</v>
      </c>
      <c r="L567" t="s">
        <v>3177</v>
      </c>
    </row>
    <row r="568" spans="1:12">
      <c r="A568" t="s">
        <v>4487</v>
      </c>
      <c r="D568" t="s">
        <v>4470</v>
      </c>
      <c r="E568" t="s">
        <v>4488</v>
      </c>
      <c r="F568" t="s">
        <v>18</v>
      </c>
      <c r="G568" t="s">
        <v>2853</v>
      </c>
      <c r="H568" t="s">
        <v>3175</v>
      </c>
      <c r="I568" t="s">
        <v>154</v>
      </c>
      <c r="J568" t="s">
        <v>4457</v>
      </c>
      <c r="K568" t="s">
        <v>3176</v>
      </c>
      <c r="L568" t="s">
        <v>3177</v>
      </c>
    </row>
    <row r="569" spans="1:12">
      <c r="A569" t="s">
        <v>4489</v>
      </c>
      <c r="D569" t="s">
        <v>4470</v>
      </c>
      <c r="E569" t="s">
        <v>4490</v>
      </c>
      <c r="F569" t="s">
        <v>18</v>
      </c>
      <c r="G569" t="s">
        <v>2853</v>
      </c>
      <c r="H569" t="s">
        <v>3175</v>
      </c>
      <c r="I569" t="s">
        <v>154</v>
      </c>
      <c r="J569" t="s">
        <v>4457</v>
      </c>
      <c r="K569" t="s">
        <v>3176</v>
      </c>
      <c r="L569" t="s">
        <v>3177</v>
      </c>
    </row>
    <row r="570" spans="1:12">
      <c r="A570" t="s">
        <v>4491</v>
      </c>
      <c r="D570" t="s">
        <v>4492</v>
      </c>
      <c r="E570" t="s">
        <v>4493</v>
      </c>
      <c r="F570" t="s">
        <v>18</v>
      </c>
      <c r="G570" t="s">
        <v>2853</v>
      </c>
      <c r="H570" t="s">
        <v>3175</v>
      </c>
      <c r="I570" t="s">
        <v>154</v>
      </c>
      <c r="J570" t="s">
        <v>4457</v>
      </c>
      <c r="K570" t="s">
        <v>3176</v>
      </c>
      <c r="L570" t="s">
        <v>3177</v>
      </c>
    </row>
    <row r="571" spans="1:12">
      <c r="A571" t="s">
        <v>4494</v>
      </c>
      <c r="D571" t="s">
        <v>4495</v>
      </c>
      <c r="E571" t="s">
        <v>4496</v>
      </c>
      <c r="F571" t="s">
        <v>18</v>
      </c>
      <c r="G571" t="s">
        <v>2853</v>
      </c>
      <c r="H571" t="s">
        <v>3175</v>
      </c>
      <c r="I571" t="s">
        <v>154</v>
      </c>
      <c r="J571" t="s">
        <v>4457</v>
      </c>
      <c r="K571" t="s">
        <v>3176</v>
      </c>
      <c r="L571" t="s">
        <v>3177</v>
      </c>
    </row>
    <row r="572" spans="1:12">
      <c r="A572" t="s">
        <v>4497</v>
      </c>
      <c r="D572" t="s">
        <v>4498</v>
      </c>
      <c r="E572" t="s">
        <v>4499</v>
      </c>
      <c r="F572" t="s">
        <v>18</v>
      </c>
      <c r="G572" t="s">
        <v>2853</v>
      </c>
      <c r="H572" t="s">
        <v>3175</v>
      </c>
      <c r="I572" t="s">
        <v>154</v>
      </c>
      <c r="J572" t="s">
        <v>4457</v>
      </c>
      <c r="K572" t="s">
        <v>3176</v>
      </c>
      <c r="L572" t="s">
        <v>3177</v>
      </c>
    </row>
    <row r="573" spans="1:12">
      <c r="A573" t="s">
        <v>4500</v>
      </c>
      <c r="D573" t="s">
        <v>4501</v>
      </c>
      <c r="E573" t="s">
        <v>4502</v>
      </c>
      <c r="F573" t="s">
        <v>18</v>
      </c>
      <c r="G573" t="s">
        <v>2853</v>
      </c>
      <c r="H573" t="s">
        <v>3175</v>
      </c>
      <c r="I573" t="s">
        <v>154</v>
      </c>
      <c r="J573" t="s">
        <v>4457</v>
      </c>
      <c r="K573" t="s">
        <v>3176</v>
      </c>
      <c r="L573" t="s">
        <v>3177</v>
      </c>
    </row>
    <row r="574" spans="1:12">
      <c r="A574" t="s">
        <v>4503</v>
      </c>
      <c r="D574" t="s">
        <v>4504</v>
      </c>
      <c r="E574" t="s">
        <v>4505</v>
      </c>
      <c r="F574" t="s">
        <v>18</v>
      </c>
      <c r="G574" t="s">
        <v>2853</v>
      </c>
      <c r="H574" t="s">
        <v>3175</v>
      </c>
      <c r="I574" t="s">
        <v>154</v>
      </c>
      <c r="J574" t="s">
        <v>4457</v>
      </c>
      <c r="K574" t="s">
        <v>3176</v>
      </c>
      <c r="L574" t="s">
        <v>3177</v>
      </c>
    </row>
    <row r="575" spans="1:12">
      <c r="A575" t="s">
        <v>691</v>
      </c>
      <c r="D575" t="s">
        <v>4506</v>
      </c>
      <c r="E575" t="s">
        <v>4507</v>
      </c>
      <c r="F575" t="s">
        <v>18</v>
      </c>
      <c r="G575" t="s">
        <v>2853</v>
      </c>
      <c r="H575" t="s">
        <v>3237</v>
      </c>
      <c r="I575" t="s">
        <v>154</v>
      </c>
      <c r="J575" t="s">
        <v>4457</v>
      </c>
      <c r="K575" t="s">
        <v>3176</v>
      </c>
      <c r="L575" t="s">
        <v>3177</v>
      </c>
    </row>
    <row r="576" spans="1:12">
      <c r="A576" t="s">
        <v>692</v>
      </c>
      <c r="D576" t="s">
        <v>4508</v>
      </c>
      <c r="E576" t="s">
        <v>4509</v>
      </c>
      <c r="F576" t="s">
        <v>18</v>
      </c>
      <c r="G576" t="s">
        <v>2853</v>
      </c>
      <c r="H576" t="s">
        <v>3237</v>
      </c>
      <c r="I576" t="s">
        <v>154</v>
      </c>
      <c r="J576" t="s">
        <v>4457</v>
      </c>
      <c r="K576" t="s">
        <v>3176</v>
      </c>
      <c r="L576" t="s">
        <v>3177</v>
      </c>
    </row>
    <row r="577" spans="1:12">
      <c r="A577" t="s">
        <v>693</v>
      </c>
      <c r="D577" t="s">
        <v>4510</v>
      </c>
      <c r="E577" t="s">
        <v>4511</v>
      </c>
      <c r="F577" t="s">
        <v>18</v>
      </c>
      <c r="G577" t="s">
        <v>2853</v>
      </c>
      <c r="H577" t="s">
        <v>3237</v>
      </c>
      <c r="I577" t="s">
        <v>154</v>
      </c>
      <c r="J577" t="s">
        <v>4457</v>
      </c>
      <c r="K577" t="s">
        <v>3176</v>
      </c>
      <c r="L577" t="s">
        <v>3177</v>
      </c>
    </row>
    <row r="578" spans="1:12">
      <c r="A578" t="s">
        <v>694</v>
      </c>
      <c r="D578" t="s">
        <v>4512</v>
      </c>
      <c r="E578" t="s">
        <v>4513</v>
      </c>
      <c r="F578" t="s">
        <v>18</v>
      </c>
      <c r="G578" t="s">
        <v>2853</v>
      </c>
      <c r="H578" t="s">
        <v>3237</v>
      </c>
      <c r="I578" t="s">
        <v>154</v>
      </c>
      <c r="J578" t="s">
        <v>4457</v>
      </c>
      <c r="K578" t="s">
        <v>3176</v>
      </c>
      <c r="L578" t="s">
        <v>3177</v>
      </c>
    </row>
    <row r="579" spans="1:12">
      <c r="A579" t="s">
        <v>695</v>
      </c>
      <c r="D579" t="s">
        <v>4514</v>
      </c>
      <c r="E579" t="s">
        <v>4515</v>
      </c>
      <c r="F579" t="s">
        <v>18</v>
      </c>
      <c r="G579" t="s">
        <v>2853</v>
      </c>
      <c r="H579" t="s">
        <v>3237</v>
      </c>
      <c r="I579" t="s">
        <v>154</v>
      </c>
      <c r="J579" t="s">
        <v>4457</v>
      </c>
      <c r="K579" t="s">
        <v>3176</v>
      </c>
      <c r="L579" t="s">
        <v>3177</v>
      </c>
    </row>
    <row r="580" spans="1:12">
      <c r="A580" t="s">
        <v>696</v>
      </c>
      <c r="D580" t="s">
        <v>4516</v>
      </c>
      <c r="E580" t="s">
        <v>4517</v>
      </c>
      <c r="F580" t="s">
        <v>18</v>
      </c>
      <c r="G580" t="s">
        <v>2853</v>
      </c>
      <c r="H580" t="s">
        <v>3237</v>
      </c>
      <c r="I580" t="s">
        <v>154</v>
      </c>
      <c r="J580" t="s">
        <v>4457</v>
      </c>
      <c r="K580" t="s">
        <v>3176</v>
      </c>
      <c r="L580" t="s">
        <v>3177</v>
      </c>
    </row>
    <row r="581" spans="1:12">
      <c r="A581" t="s">
        <v>697</v>
      </c>
      <c r="D581" t="s">
        <v>4518</v>
      </c>
      <c r="E581" t="s">
        <v>4519</v>
      </c>
      <c r="F581" t="s">
        <v>18</v>
      </c>
      <c r="G581" t="s">
        <v>2853</v>
      </c>
      <c r="H581" t="s">
        <v>3237</v>
      </c>
      <c r="I581" t="s">
        <v>154</v>
      </c>
      <c r="J581" t="s">
        <v>4457</v>
      </c>
      <c r="K581" t="s">
        <v>3176</v>
      </c>
      <c r="L581" t="s">
        <v>3177</v>
      </c>
    </row>
    <row r="582" spans="1:12">
      <c r="A582" t="s">
        <v>4520</v>
      </c>
      <c r="D582" t="s">
        <v>4514</v>
      </c>
      <c r="E582" t="s">
        <v>4521</v>
      </c>
      <c r="F582" t="s">
        <v>18</v>
      </c>
      <c r="G582" t="s">
        <v>2853</v>
      </c>
      <c r="H582" t="s">
        <v>3237</v>
      </c>
      <c r="I582" t="s">
        <v>154</v>
      </c>
      <c r="J582" t="s">
        <v>4457</v>
      </c>
      <c r="K582" t="s">
        <v>3176</v>
      </c>
      <c r="L582" t="s">
        <v>3177</v>
      </c>
    </row>
    <row r="583" spans="1:12">
      <c r="A583" t="s">
        <v>4522</v>
      </c>
      <c r="D583" t="s">
        <v>4523</v>
      </c>
      <c r="E583" t="s">
        <v>4524</v>
      </c>
      <c r="F583" t="s">
        <v>18</v>
      </c>
      <c r="G583" t="s">
        <v>2853</v>
      </c>
      <c r="H583" t="s">
        <v>3237</v>
      </c>
      <c r="I583" t="s">
        <v>154</v>
      </c>
      <c r="J583" t="s">
        <v>4457</v>
      </c>
      <c r="K583" t="s">
        <v>3176</v>
      </c>
      <c r="L583" t="s">
        <v>3177</v>
      </c>
    </row>
    <row r="584" spans="1:12">
      <c r="A584" t="s">
        <v>4525</v>
      </c>
      <c r="D584" t="s">
        <v>4526</v>
      </c>
      <c r="E584" t="s">
        <v>4527</v>
      </c>
      <c r="F584" t="s">
        <v>18</v>
      </c>
      <c r="G584" t="s">
        <v>2853</v>
      </c>
      <c r="H584" t="s">
        <v>3237</v>
      </c>
      <c r="I584" t="s">
        <v>154</v>
      </c>
      <c r="J584" t="s">
        <v>4457</v>
      </c>
      <c r="K584" t="s">
        <v>3176</v>
      </c>
      <c r="L584" t="s">
        <v>3177</v>
      </c>
    </row>
    <row r="585" spans="1:12">
      <c r="A585" t="s">
        <v>4528</v>
      </c>
      <c r="D585" t="s">
        <v>4529</v>
      </c>
      <c r="E585" t="s">
        <v>4530</v>
      </c>
      <c r="F585" t="s">
        <v>18</v>
      </c>
      <c r="G585" t="s">
        <v>2853</v>
      </c>
      <c r="H585" t="s">
        <v>3237</v>
      </c>
      <c r="I585" t="s">
        <v>154</v>
      </c>
      <c r="J585" t="s">
        <v>4457</v>
      </c>
      <c r="K585" t="s">
        <v>3176</v>
      </c>
      <c r="L585" t="s">
        <v>3177</v>
      </c>
    </row>
    <row r="586" spans="1:12">
      <c r="A586" t="s">
        <v>4531</v>
      </c>
      <c r="D586" t="s">
        <v>4529</v>
      </c>
      <c r="E586" t="s">
        <v>4532</v>
      </c>
      <c r="F586" t="s">
        <v>18</v>
      </c>
      <c r="G586" t="s">
        <v>2853</v>
      </c>
      <c r="H586" t="s">
        <v>3237</v>
      </c>
      <c r="I586" t="s">
        <v>154</v>
      </c>
      <c r="J586" t="s">
        <v>4457</v>
      </c>
      <c r="K586" t="s">
        <v>3176</v>
      </c>
      <c r="L586" t="s">
        <v>3177</v>
      </c>
    </row>
    <row r="587" spans="1:12">
      <c r="A587" t="s">
        <v>4533</v>
      </c>
      <c r="D587" t="s">
        <v>4534</v>
      </c>
      <c r="E587" t="s">
        <v>4535</v>
      </c>
      <c r="F587" t="s">
        <v>18</v>
      </c>
      <c r="G587" t="s">
        <v>2853</v>
      </c>
      <c r="H587" t="s">
        <v>3237</v>
      </c>
      <c r="I587" t="s">
        <v>154</v>
      </c>
      <c r="J587" t="s">
        <v>4457</v>
      </c>
      <c r="K587" t="s">
        <v>3176</v>
      </c>
      <c r="L587" t="s">
        <v>3177</v>
      </c>
    </row>
    <row r="588" spans="1:12">
      <c r="A588" t="s">
        <v>4536</v>
      </c>
      <c r="D588" t="s">
        <v>4534</v>
      </c>
      <c r="E588" t="s">
        <v>4537</v>
      </c>
      <c r="F588" t="s">
        <v>18</v>
      </c>
      <c r="G588" t="s">
        <v>2853</v>
      </c>
      <c r="H588" t="s">
        <v>3237</v>
      </c>
      <c r="I588" t="s">
        <v>154</v>
      </c>
      <c r="J588" t="s">
        <v>4457</v>
      </c>
      <c r="K588" t="s">
        <v>3176</v>
      </c>
      <c r="L588" t="s">
        <v>3177</v>
      </c>
    </row>
    <row r="589" spans="1:12">
      <c r="A589" t="s">
        <v>4538</v>
      </c>
      <c r="D589" t="s">
        <v>4539</v>
      </c>
      <c r="E589" t="s">
        <v>4540</v>
      </c>
      <c r="F589" t="s">
        <v>18</v>
      </c>
      <c r="G589" t="s">
        <v>2853</v>
      </c>
      <c r="H589" t="s">
        <v>3237</v>
      </c>
      <c r="I589" t="s">
        <v>154</v>
      </c>
      <c r="J589" t="s">
        <v>4457</v>
      </c>
      <c r="K589" t="s">
        <v>3176</v>
      </c>
      <c r="L589" t="s">
        <v>3177</v>
      </c>
    </row>
    <row r="590" spans="1:12">
      <c r="A590" t="s">
        <v>4541</v>
      </c>
      <c r="D590" t="s">
        <v>4539</v>
      </c>
      <c r="E590" t="s">
        <v>4542</v>
      </c>
      <c r="F590" t="s">
        <v>18</v>
      </c>
      <c r="G590" t="s">
        <v>2853</v>
      </c>
      <c r="H590" t="s">
        <v>3237</v>
      </c>
      <c r="I590" t="s">
        <v>154</v>
      </c>
      <c r="J590" t="s">
        <v>4457</v>
      </c>
      <c r="K590" t="s">
        <v>3176</v>
      </c>
      <c r="L590" t="s">
        <v>3177</v>
      </c>
    </row>
    <row r="591" spans="1:12">
      <c r="A591" t="s">
        <v>4543</v>
      </c>
      <c r="D591" t="s">
        <v>4539</v>
      </c>
      <c r="E591" t="s">
        <v>4544</v>
      </c>
      <c r="F591" t="s">
        <v>18</v>
      </c>
      <c r="G591" t="s">
        <v>2853</v>
      </c>
      <c r="H591" t="s">
        <v>3237</v>
      </c>
      <c r="I591" t="s">
        <v>154</v>
      </c>
      <c r="J591" t="s">
        <v>4457</v>
      </c>
      <c r="K591" t="s">
        <v>3176</v>
      </c>
      <c r="L591" t="s">
        <v>3177</v>
      </c>
    </row>
    <row r="592" spans="1:12">
      <c r="A592" t="s">
        <v>4545</v>
      </c>
      <c r="D592" t="s">
        <v>4539</v>
      </c>
      <c r="E592" t="s">
        <v>4546</v>
      </c>
      <c r="F592" t="s">
        <v>18</v>
      </c>
      <c r="G592" t="s">
        <v>2853</v>
      </c>
      <c r="H592" t="s">
        <v>3237</v>
      </c>
      <c r="I592" t="s">
        <v>154</v>
      </c>
      <c r="J592" t="s">
        <v>4457</v>
      </c>
      <c r="K592" t="s">
        <v>3176</v>
      </c>
      <c r="L592" t="s">
        <v>3177</v>
      </c>
    </row>
    <row r="593" spans="1:12">
      <c r="A593" t="s">
        <v>2535</v>
      </c>
      <c r="D593" t="s">
        <v>4514</v>
      </c>
      <c r="E593" t="s">
        <v>4547</v>
      </c>
      <c r="F593" t="s">
        <v>18</v>
      </c>
      <c r="G593" t="s">
        <v>2853</v>
      </c>
      <c r="H593" t="s">
        <v>3237</v>
      </c>
      <c r="I593" t="s">
        <v>154</v>
      </c>
      <c r="J593" t="s">
        <v>4457</v>
      </c>
      <c r="K593" t="s">
        <v>3176</v>
      </c>
      <c r="L593" t="s">
        <v>3177</v>
      </c>
    </row>
    <row r="594" spans="1:12">
      <c r="A594" t="s">
        <v>2536</v>
      </c>
      <c r="D594" t="s">
        <v>4523</v>
      </c>
      <c r="E594" t="s">
        <v>4548</v>
      </c>
      <c r="F594" t="s">
        <v>18</v>
      </c>
      <c r="G594" t="s">
        <v>2853</v>
      </c>
      <c r="H594" t="s">
        <v>3237</v>
      </c>
      <c r="I594" t="s">
        <v>154</v>
      </c>
      <c r="J594" t="s">
        <v>4457</v>
      </c>
      <c r="K594" t="s">
        <v>3176</v>
      </c>
      <c r="L594" t="s">
        <v>3177</v>
      </c>
    </row>
    <row r="595" spans="1:12">
      <c r="A595" t="s">
        <v>2537</v>
      </c>
      <c r="D595" t="s">
        <v>4526</v>
      </c>
      <c r="E595" t="s">
        <v>4549</v>
      </c>
      <c r="F595" t="s">
        <v>18</v>
      </c>
      <c r="G595" t="s">
        <v>2853</v>
      </c>
      <c r="H595" t="s">
        <v>3237</v>
      </c>
      <c r="I595" t="s">
        <v>154</v>
      </c>
      <c r="J595" t="s">
        <v>4457</v>
      </c>
      <c r="K595" t="s">
        <v>3176</v>
      </c>
      <c r="L595" t="s">
        <v>3177</v>
      </c>
    </row>
    <row r="596" spans="1:12">
      <c r="A596" t="s">
        <v>4550</v>
      </c>
      <c r="D596" t="s">
        <v>4551</v>
      </c>
      <c r="E596" t="s">
        <v>4552</v>
      </c>
      <c r="F596" t="s">
        <v>18</v>
      </c>
      <c r="G596" t="s">
        <v>2853</v>
      </c>
      <c r="H596" t="s">
        <v>3175</v>
      </c>
      <c r="I596" t="s">
        <v>154</v>
      </c>
      <c r="J596" t="s">
        <v>4457</v>
      </c>
      <c r="K596" t="s">
        <v>3176</v>
      </c>
      <c r="L596" t="s">
        <v>3177</v>
      </c>
    </row>
    <row r="597" spans="1:12">
      <c r="A597" t="s">
        <v>4553</v>
      </c>
      <c r="D597" t="s">
        <v>4554</v>
      </c>
      <c r="E597" t="s">
        <v>4555</v>
      </c>
      <c r="F597" t="s">
        <v>18</v>
      </c>
      <c r="G597" t="s">
        <v>2853</v>
      </c>
      <c r="H597" t="s">
        <v>3175</v>
      </c>
      <c r="I597" t="s">
        <v>154</v>
      </c>
      <c r="J597" t="s">
        <v>4457</v>
      </c>
      <c r="K597" t="s">
        <v>3176</v>
      </c>
      <c r="L597" t="s">
        <v>3177</v>
      </c>
    </row>
    <row r="598" spans="1:12">
      <c r="A598" t="s">
        <v>4556</v>
      </c>
      <c r="D598" t="s">
        <v>4557</v>
      </c>
      <c r="E598" t="s">
        <v>4558</v>
      </c>
      <c r="F598" t="s">
        <v>18</v>
      </c>
      <c r="G598" t="s">
        <v>2853</v>
      </c>
      <c r="H598" t="s">
        <v>3175</v>
      </c>
      <c r="I598" t="s">
        <v>154</v>
      </c>
      <c r="J598" t="s">
        <v>4457</v>
      </c>
      <c r="K598" t="s">
        <v>3176</v>
      </c>
      <c r="L598" t="s">
        <v>3177</v>
      </c>
    </row>
    <row r="599" spans="1:12">
      <c r="A599" t="s">
        <v>4559</v>
      </c>
      <c r="D599" t="s">
        <v>4560</v>
      </c>
      <c r="E599" t="s">
        <v>4561</v>
      </c>
      <c r="F599" t="s">
        <v>18</v>
      </c>
      <c r="G599" t="s">
        <v>2853</v>
      </c>
      <c r="H599" t="s">
        <v>3175</v>
      </c>
      <c r="I599" t="s">
        <v>154</v>
      </c>
      <c r="J599" t="s">
        <v>4457</v>
      </c>
      <c r="K599" t="s">
        <v>3176</v>
      </c>
      <c r="L599" t="s">
        <v>3177</v>
      </c>
    </row>
    <row r="600" spans="1:12">
      <c r="A600" t="s">
        <v>4562</v>
      </c>
      <c r="D600" t="s">
        <v>4563</v>
      </c>
      <c r="E600" t="s">
        <v>4564</v>
      </c>
      <c r="F600" t="s">
        <v>18</v>
      </c>
      <c r="G600" t="s">
        <v>2853</v>
      </c>
      <c r="H600" t="s">
        <v>3175</v>
      </c>
      <c r="I600" t="s">
        <v>154</v>
      </c>
      <c r="J600" t="s">
        <v>4457</v>
      </c>
      <c r="K600" t="s">
        <v>3176</v>
      </c>
      <c r="L600" t="s">
        <v>3177</v>
      </c>
    </row>
    <row r="601" spans="1:12">
      <c r="A601" t="s">
        <v>4565</v>
      </c>
      <c r="D601" t="s">
        <v>4566</v>
      </c>
      <c r="E601" t="s">
        <v>4567</v>
      </c>
      <c r="F601" t="s">
        <v>18</v>
      </c>
      <c r="G601" t="s">
        <v>2853</v>
      </c>
      <c r="H601" t="s">
        <v>3175</v>
      </c>
      <c r="I601" t="s">
        <v>154</v>
      </c>
      <c r="J601" t="s">
        <v>4457</v>
      </c>
      <c r="K601" t="s">
        <v>3176</v>
      </c>
      <c r="L601" t="s">
        <v>3177</v>
      </c>
    </row>
    <row r="602" spans="1:12">
      <c r="A602" t="s">
        <v>4568</v>
      </c>
      <c r="D602" t="s">
        <v>4557</v>
      </c>
      <c r="E602" t="s">
        <v>4569</v>
      </c>
      <c r="F602" t="s">
        <v>18</v>
      </c>
      <c r="G602" t="s">
        <v>2853</v>
      </c>
      <c r="H602" t="s">
        <v>3175</v>
      </c>
      <c r="I602" t="s">
        <v>154</v>
      </c>
      <c r="J602" t="s">
        <v>4457</v>
      </c>
      <c r="K602" t="s">
        <v>3176</v>
      </c>
      <c r="L602" t="s">
        <v>3177</v>
      </c>
    </row>
    <row r="603" spans="1:12">
      <c r="A603" t="s">
        <v>4570</v>
      </c>
      <c r="D603" t="s">
        <v>4571</v>
      </c>
      <c r="E603" t="s">
        <v>4572</v>
      </c>
      <c r="F603" t="s">
        <v>18</v>
      </c>
      <c r="G603" t="s">
        <v>2853</v>
      </c>
      <c r="H603" t="s">
        <v>3175</v>
      </c>
      <c r="I603" t="s">
        <v>154</v>
      </c>
      <c r="J603" t="s">
        <v>4457</v>
      </c>
      <c r="K603" t="s">
        <v>3176</v>
      </c>
      <c r="L603" t="s">
        <v>3177</v>
      </c>
    </row>
    <row r="604" spans="1:12">
      <c r="A604" t="s">
        <v>4573</v>
      </c>
      <c r="D604" t="s">
        <v>4574</v>
      </c>
      <c r="E604" t="s">
        <v>4575</v>
      </c>
      <c r="F604" t="s">
        <v>18</v>
      </c>
      <c r="G604" t="s">
        <v>2853</v>
      </c>
      <c r="H604" t="s">
        <v>3175</v>
      </c>
      <c r="I604" t="s">
        <v>154</v>
      </c>
      <c r="J604" t="s">
        <v>4457</v>
      </c>
      <c r="K604" t="s">
        <v>3176</v>
      </c>
      <c r="L604" t="s">
        <v>3177</v>
      </c>
    </row>
    <row r="605" spans="1:12">
      <c r="A605" t="s">
        <v>4576</v>
      </c>
      <c r="D605" t="s">
        <v>4577</v>
      </c>
      <c r="E605" t="s">
        <v>4578</v>
      </c>
      <c r="F605" t="s">
        <v>18</v>
      </c>
      <c r="G605" t="s">
        <v>2853</v>
      </c>
      <c r="H605" t="s">
        <v>3175</v>
      </c>
      <c r="I605" t="s">
        <v>154</v>
      </c>
      <c r="J605" t="s">
        <v>4457</v>
      </c>
      <c r="K605" t="s">
        <v>3176</v>
      </c>
      <c r="L605" t="s">
        <v>3177</v>
      </c>
    </row>
    <row r="606" spans="1:12">
      <c r="A606" t="s">
        <v>4579</v>
      </c>
      <c r="D606" t="s">
        <v>4580</v>
      </c>
      <c r="E606" t="s">
        <v>4581</v>
      </c>
      <c r="F606" t="s">
        <v>18</v>
      </c>
      <c r="G606" t="s">
        <v>2853</v>
      </c>
      <c r="H606" t="s">
        <v>3175</v>
      </c>
      <c r="I606" t="s">
        <v>154</v>
      </c>
      <c r="J606" t="s">
        <v>4457</v>
      </c>
      <c r="K606" t="s">
        <v>3176</v>
      </c>
      <c r="L606" t="s">
        <v>3177</v>
      </c>
    </row>
    <row r="607" spans="1:12">
      <c r="A607" t="s">
        <v>4582</v>
      </c>
      <c r="D607" t="s">
        <v>4583</v>
      </c>
      <c r="E607" t="s">
        <v>4584</v>
      </c>
      <c r="F607" t="s">
        <v>18</v>
      </c>
      <c r="G607" t="s">
        <v>2853</v>
      </c>
      <c r="H607" t="s">
        <v>3175</v>
      </c>
      <c r="I607" t="s">
        <v>154</v>
      </c>
      <c r="J607" t="s">
        <v>4457</v>
      </c>
      <c r="K607" t="s">
        <v>3176</v>
      </c>
      <c r="L607" t="s">
        <v>3177</v>
      </c>
    </row>
    <row r="608" spans="1:12">
      <c r="A608" t="s">
        <v>4585</v>
      </c>
      <c r="D608" t="s">
        <v>4586</v>
      </c>
      <c r="E608" t="s">
        <v>4587</v>
      </c>
      <c r="F608" t="s">
        <v>18</v>
      </c>
      <c r="G608" t="s">
        <v>2853</v>
      </c>
      <c r="H608" t="s">
        <v>3175</v>
      </c>
      <c r="I608" t="s">
        <v>154</v>
      </c>
      <c r="J608" t="s">
        <v>4073</v>
      </c>
      <c r="K608" t="s">
        <v>3176</v>
      </c>
      <c r="L608" t="s">
        <v>4074</v>
      </c>
    </row>
    <row r="609" spans="1:12">
      <c r="A609" t="s">
        <v>4588</v>
      </c>
      <c r="D609" t="s">
        <v>4589</v>
      </c>
      <c r="E609" t="s">
        <v>4590</v>
      </c>
      <c r="F609" t="s">
        <v>18</v>
      </c>
      <c r="G609" t="s">
        <v>2853</v>
      </c>
      <c r="H609" t="s">
        <v>3175</v>
      </c>
      <c r="I609" t="s">
        <v>154</v>
      </c>
      <c r="J609" t="s">
        <v>4073</v>
      </c>
      <c r="K609" t="s">
        <v>3176</v>
      </c>
      <c r="L609" t="s">
        <v>4074</v>
      </c>
    </row>
    <row r="610" spans="1:12">
      <c r="A610" t="s">
        <v>4591</v>
      </c>
      <c r="D610" t="s">
        <v>4592</v>
      </c>
      <c r="E610" t="s">
        <v>4593</v>
      </c>
      <c r="F610" t="s">
        <v>18</v>
      </c>
      <c r="G610" t="s">
        <v>2853</v>
      </c>
      <c r="H610" t="s">
        <v>3175</v>
      </c>
      <c r="I610" t="s">
        <v>154</v>
      </c>
      <c r="J610" t="s">
        <v>4073</v>
      </c>
      <c r="K610" t="s">
        <v>3176</v>
      </c>
      <c r="L610" t="s">
        <v>4074</v>
      </c>
    </row>
    <row r="611" spans="1:12">
      <c r="A611" t="s">
        <v>4594</v>
      </c>
      <c r="D611" t="s">
        <v>4595</v>
      </c>
      <c r="E611" t="s">
        <v>4596</v>
      </c>
      <c r="F611" t="s">
        <v>18</v>
      </c>
      <c r="G611" t="s">
        <v>2853</v>
      </c>
      <c r="H611" t="s">
        <v>3175</v>
      </c>
      <c r="I611" t="s">
        <v>154</v>
      </c>
      <c r="J611" t="s">
        <v>4073</v>
      </c>
      <c r="K611" t="s">
        <v>3176</v>
      </c>
      <c r="L611" t="s">
        <v>4074</v>
      </c>
    </row>
    <row r="612" spans="1:12">
      <c r="A612" t="s">
        <v>4597</v>
      </c>
      <c r="D612" t="s">
        <v>4595</v>
      </c>
      <c r="E612" t="s">
        <v>4598</v>
      </c>
      <c r="F612" t="s">
        <v>18</v>
      </c>
      <c r="G612" t="s">
        <v>2853</v>
      </c>
      <c r="H612" t="s">
        <v>3175</v>
      </c>
      <c r="I612" t="s">
        <v>154</v>
      </c>
      <c r="J612" t="s">
        <v>4073</v>
      </c>
      <c r="K612" t="s">
        <v>3176</v>
      </c>
      <c r="L612" t="s">
        <v>4074</v>
      </c>
    </row>
    <row r="613" spans="1:12">
      <c r="A613" t="s">
        <v>4599</v>
      </c>
      <c r="D613" t="s">
        <v>4600</v>
      </c>
      <c r="E613" t="s">
        <v>4601</v>
      </c>
      <c r="F613" t="s">
        <v>18</v>
      </c>
      <c r="G613" t="s">
        <v>2853</v>
      </c>
      <c r="H613" t="s">
        <v>3175</v>
      </c>
      <c r="I613" t="s">
        <v>154</v>
      </c>
      <c r="J613" t="s">
        <v>4073</v>
      </c>
      <c r="K613" t="s">
        <v>3176</v>
      </c>
      <c r="L613" t="s">
        <v>4074</v>
      </c>
    </row>
    <row r="614" spans="1:12">
      <c r="A614" t="s">
        <v>4602</v>
      </c>
      <c r="D614" t="s">
        <v>4603</v>
      </c>
      <c r="E614" t="s">
        <v>4604</v>
      </c>
      <c r="F614" t="s">
        <v>18</v>
      </c>
      <c r="G614" t="s">
        <v>2853</v>
      </c>
      <c r="H614" t="s">
        <v>3175</v>
      </c>
      <c r="I614" t="s">
        <v>154</v>
      </c>
      <c r="J614" t="s">
        <v>4073</v>
      </c>
      <c r="K614" t="s">
        <v>3176</v>
      </c>
      <c r="L614" t="s">
        <v>4074</v>
      </c>
    </row>
    <row r="615" spans="1:12">
      <c r="A615" t="s">
        <v>4605</v>
      </c>
      <c r="D615" t="s">
        <v>4606</v>
      </c>
      <c r="E615" t="s">
        <v>4607</v>
      </c>
      <c r="F615" t="s">
        <v>18</v>
      </c>
      <c r="G615" t="s">
        <v>2853</v>
      </c>
      <c r="H615" t="s">
        <v>3175</v>
      </c>
      <c r="I615" t="s">
        <v>154</v>
      </c>
      <c r="J615" t="s">
        <v>4073</v>
      </c>
      <c r="K615" t="s">
        <v>3176</v>
      </c>
      <c r="L615" t="s">
        <v>4074</v>
      </c>
    </row>
    <row r="616" spans="1:12">
      <c r="A616" t="s">
        <v>4608</v>
      </c>
      <c r="D616" t="s">
        <v>4606</v>
      </c>
      <c r="E616" t="s">
        <v>4609</v>
      </c>
      <c r="F616" t="s">
        <v>18</v>
      </c>
      <c r="G616" t="s">
        <v>2853</v>
      </c>
      <c r="H616" t="s">
        <v>3175</v>
      </c>
      <c r="I616" t="s">
        <v>154</v>
      </c>
      <c r="J616" t="s">
        <v>4073</v>
      </c>
      <c r="K616" t="s">
        <v>3176</v>
      </c>
      <c r="L616" t="s">
        <v>4074</v>
      </c>
    </row>
    <row r="617" spans="1:12">
      <c r="A617" t="s">
        <v>4610</v>
      </c>
      <c r="D617" t="s">
        <v>4611</v>
      </c>
      <c r="E617" t="s">
        <v>4612</v>
      </c>
      <c r="F617" t="s">
        <v>18</v>
      </c>
      <c r="G617" t="s">
        <v>2853</v>
      </c>
      <c r="H617" t="s">
        <v>3175</v>
      </c>
      <c r="I617" t="s">
        <v>154</v>
      </c>
      <c r="J617" t="s">
        <v>4073</v>
      </c>
      <c r="K617" t="s">
        <v>3176</v>
      </c>
      <c r="L617" t="s">
        <v>4074</v>
      </c>
    </row>
    <row r="618" spans="1:12">
      <c r="A618" t="s">
        <v>2062</v>
      </c>
      <c r="D618" t="s">
        <v>4613</v>
      </c>
      <c r="E618" t="s">
        <v>4614</v>
      </c>
      <c r="F618" t="s">
        <v>18</v>
      </c>
      <c r="G618" t="s">
        <v>2853</v>
      </c>
      <c r="H618" t="s">
        <v>3175</v>
      </c>
      <c r="I618" t="s">
        <v>154</v>
      </c>
      <c r="J618" t="s">
        <v>4073</v>
      </c>
      <c r="K618" t="s">
        <v>3176</v>
      </c>
      <c r="L618" t="s">
        <v>4074</v>
      </c>
    </row>
    <row r="619" spans="1:12">
      <c r="A619" t="s">
        <v>4615</v>
      </c>
      <c r="D619" t="s">
        <v>4616</v>
      </c>
      <c r="E619" t="s">
        <v>4617</v>
      </c>
      <c r="F619" t="s">
        <v>18</v>
      </c>
      <c r="G619" t="s">
        <v>2853</v>
      </c>
      <c r="H619" t="s">
        <v>3175</v>
      </c>
      <c r="I619" t="s">
        <v>154</v>
      </c>
      <c r="J619" t="s">
        <v>4073</v>
      </c>
      <c r="K619" t="s">
        <v>3176</v>
      </c>
      <c r="L619" t="s">
        <v>4074</v>
      </c>
    </row>
    <row r="620" spans="1:12">
      <c r="A620" t="s">
        <v>4618</v>
      </c>
      <c r="D620" t="s">
        <v>4619</v>
      </c>
      <c r="E620" t="s">
        <v>4620</v>
      </c>
      <c r="F620" t="s">
        <v>18</v>
      </c>
      <c r="G620" t="s">
        <v>2853</v>
      </c>
      <c r="H620" t="s">
        <v>3175</v>
      </c>
      <c r="I620" t="s">
        <v>154</v>
      </c>
      <c r="J620" t="s">
        <v>4073</v>
      </c>
      <c r="K620" t="s">
        <v>3176</v>
      </c>
      <c r="L620" t="s">
        <v>4074</v>
      </c>
    </row>
    <row r="621" spans="1:12">
      <c r="A621" t="s">
        <v>4621</v>
      </c>
      <c r="D621" t="s">
        <v>4622</v>
      </c>
      <c r="E621" t="s">
        <v>4623</v>
      </c>
      <c r="F621" t="s">
        <v>18</v>
      </c>
      <c r="G621" t="s">
        <v>2853</v>
      </c>
      <c r="H621" t="s">
        <v>3175</v>
      </c>
      <c r="I621" t="s">
        <v>154</v>
      </c>
      <c r="J621" t="s">
        <v>4073</v>
      </c>
      <c r="K621" t="s">
        <v>3176</v>
      </c>
      <c r="L621" t="s">
        <v>4074</v>
      </c>
    </row>
    <row r="622" spans="1:12">
      <c r="A622" t="s">
        <v>2052</v>
      </c>
      <c r="D622" t="s">
        <v>4624</v>
      </c>
      <c r="E622" t="s">
        <v>4625</v>
      </c>
      <c r="F622" t="s">
        <v>18</v>
      </c>
      <c r="G622" t="s">
        <v>2853</v>
      </c>
      <c r="H622" t="s">
        <v>3175</v>
      </c>
      <c r="I622" t="s">
        <v>154</v>
      </c>
      <c r="J622" t="s">
        <v>4073</v>
      </c>
      <c r="K622" t="s">
        <v>3176</v>
      </c>
      <c r="L622" t="s">
        <v>4074</v>
      </c>
    </row>
    <row r="623" spans="1:12">
      <c r="A623" t="s">
        <v>2053</v>
      </c>
      <c r="D623" t="s">
        <v>4626</v>
      </c>
      <c r="E623" t="s">
        <v>4627</v>
      </c>
      <c r="F623" t="s">
        <v>18</v>
      </c>
      <c r="G623" t="s">
        <v>2853</v>
      </c>
      <c r="H623" t="s">
        <v>3175</v>
      </c>
      <c r="I623" t="s">
        <v>154</v>
      </c>
      <c r="J623" t="s">
        <v>4073</v>
      </c>
      <c r="K623" t="s">
        <v>3176</v>
      </c>
      <c r="L623" t="s">
        <v>4074</v>
      </c>
    </row>
    <row r="624" spans="1:12">
      <c r="A624" t="s">
        <v>2054</v>
      </c>
      <c r="D624" t="s">
        <v>4628</v>
      </c>
      <c r="E624" t="s">
        <v>4629</v>
      </c>
      <c r="F624" t="s">
        <v>18</v>
      </c>
      <c r="G624" t="s">
        <v>2853</v>
      </c>
      <c r="H624" t="s">
        <v>3175</v>
      </c>
      <c r="I624" t="s">
        <v>154</v>
      </c>
      <c r="J624" t="s">
        <v>4073</v>
      </c>
      <c r="K624" t="s">
        <v>3176</v>
      </c>
      <c r="L624" t="s">
        <v>4074</v>
      </c>
    </row>
    <row r="625" spans="1:12">
      <c r="A625" t="s">
        <v>2055</v>
      </c>
      <c r="D625" t="s">
        <v>4630</v>
      </c>
      <c r="E625" t="s">
        <v>4631</v>
      </c>
      <c r="F625" t="s">
        <v>18</v>
      </c>
      <c r="G625" t="s">
        <v>2853</v>
      </c>
      <c r="H625" t="s">
        <v>3175</v>
      </c>
      <c r="I625" t="s">
        <v>154</v>
      </c>
      <c r="J625" t="s">
        <v>4073</v>
      </c>
      <c r="K625" t="s">
        <v>3176</v>
      </c>
      <c r="L625" t="s">
        <v>4074</v>
      </c>
    </row>
    <row r="626" spans="1:12">
      <c r="A626" t="s">
        <v>2056</v>
      </c>
      <c r="D626" t="s">
        <v>4632</v>
      </c>
      <c r="E626" t="s">
        <v>4633</v>
      </c>
      <c r="F626" t="s">
        <v>18</v>
      </c>
      <c r="G626" t="s">
        <v>2853</v>
      </c>
      <c r="H626" t="s">
        <v>3175</v>
      </c>
      <c r="I626" t="s">
        <v>154</v>
      </c>
      <c r="J626" t="s">
        <v>4073</v>
      </c>
      <c r="K626" t="s">
        <v>3176</v>
      </c>
      <c r="L626" t="s">
        <v>4074</v>
      </c>
    </row>
    <row r="627" spans="1:12">
      <c r="A627" t="s">
        <v>2057</v>
      </c>
      <c r="D627" t="s">
        <v>4632</v>
      </c>
      <c r="E627" t="s">
        <v>4634</v>
      </c>
      <c r="F627" t="s">
        <v>18</v>
      </c>
      <c r="G627" t="s">
        <v>2853</v>
      </c>
      <c r="H627" t="s">
        <v>3175</v>
      </c>
      <c r="I627" t="s">
        <v>154</v>
      </c>
      <c r="J627" t="s">
        <v>4073</v>
      </c>
      <c r="K627" t="s">
        <v>3176</v>
      </c>
      <c r="L627" t="s">
        <v>4074</v>
      </c>
    </row>
    <row r="628" spans="1:12">
      <c r="A628" t="s">
        <v>2058</v>
      </c>
      <c r="D628" t="s">
        <v>4635</v>
      </c>
      <c r="E628" t="s">
        <v>4636</v>
      </c>
      <c r="F628" t="s">
        <v>18</v>
      </c>
      <c r="G628" t="s">
        <v>2853</v>
      </c>
      <c r="H628" t="s">
        <v>3175</v>
      </c>
      <c r="I628" t="s">
        <v>154</v>
      </c>
      <c r="J628" t="s">
        <v>4073</v>
      </c>
      <c r="K628" t="s">
        <v>3176</v>
      </c>
      <c r="L628" t="s">
        <v>4074</v>
      </c>
    </row>
    <row r="629" spans="1:12">
      <c r="A629" t="s">
        <v>2059</v>
      </c>
      <c r="D629" t="s">
        <v>4637</v>
      </c>
      <c r="E629" t="s">
        <v>4638</v>
      </c>
      <c r="F629" t="s">
        <v>18</v>
      </c>
      <c r="G629" t="s">
        <v>2853</v>
      </c>
      <c r="H629" t="s">
        <v>3175</v>
      </c>
      <c r="I629" t="s">
        <v>154</v>
      </c>
      <c r="J629" t="s">
        <v>4073</v>
      </c>
      <c r="K629" t="s">
        <v>3176</v>
      </c>
      <c r="L629" t="s">
        <v>4074</v>
      </c>
    </row>
    <row r="630" spans="1:12">
      <c r="A630" t="s">
        <v>2060</v>
      </c>
      <c r="D630" t="s">
        <v>4639</v>
      </c>
      <c r="E630" t="s">
        <v>4640</v>
      </c>
      <c r="F630" t="s">
        <v>18</v>
      </c>
      <c r="G630" t="s">
        <v>2853</v>
      </c>
      <c r="H630" t="s">
        <v>3175</v>
      </c>
      <c r="I630" t="s">
        <v>154</v>
      </c>
      <c r="J630" t="s">
        <v>4073</v>
      </c>
      <c r="K630" t="s">
        <v>3176</v>
      </c>
      <c r="L630" t="s">
        <v>4074</v>
      </c>
    </row>
    <row r="631" spans="1:12">
      <c r="A631" t="s">
        <v>2061</v>
      </c>
      <c r="D631" t="s">
        <v>4641</v>
      </c>
      <c r="E631" t="s">
        <v>4642</v>
      </c>
      <c r="F631" t="s">
        <v>18</v>
      </c>
      <c r="G631" t="s">
        <v>2853</v>
      </c>
      <c r="H631" t="s">
        <v>3175</v>
      </c>
      <c r="I631" t="s">
        <v>154</v>
      </c>
      <c r="J631" t="s">
        <v>4073</v>
      </c>
      <c r="K631" t="s">
        <v>3176</v>
      </c>
      <c r="L631" t="s">
        <v>4074</v>
      </c>
    </row>
    <row r="632" spans="1:12">
      <c r="A632" t="s">
        <v>2538</v>
      </c>
      <c r="D632" t="s">
        <v>4643</v>
      </c>
      <c r="E632" t="s">
        <v>4644</v>
      </c>
      <c r="F632" t="s">
        <v>18</v>
      </c>
      <c r="G632" t="s">
        <v>2853</v>
      </c>
      <c r="H632" t="s">
        <v>3175</v>
      </c>
      <c r="I632" t="s">
        <v>154</v>
      </c>
      <c r="J632" t="s">
        <v>4073</v>
      </c>
      <c r="K632" t="s">
        <v>3176</v>
      </c>
      <c r="L632" t="s">
        <v>4074</v>
      </c>
    </row>
    <row r="633" spans="1:12">
      <c r="A633" t="s">
        <v>2393</v>
      </c>
      <c r="D633" t="s">
        <v>4645</v>
      </c>
      <c r="E633" t="s">
        <v>4646</v>
      </c>
      <c r="F633" t="s">
        <v>18</v>
      </c>
      <c r="G633" t="s">
        <v>2853</v>
      </c>
      <c r="H633" t="s">
        <v>3237</v>
      </c>
      <c r="I633" t="s">
        <v>154</v>
      </c>
      <c r="J633" t="s">
        <v>4073</v>
      </c>
      <c r="K633" t="s">
        <v>3176</v>
      </c>
      <c r="L633" t="s">
        <v>4074</v>
      </c>
    </row>
    <row r="634" spans="1:12">
      <c r="A634" t="s">
        <v>2394</v>
      </c>
      <c r="D634" t="s">
        <v>4645</v>
      </c>
      <c r="E634" t="s">
        <v>4647</v>
      </c>
      <c r="F634" t="s">
        <v>18</v>
      </c>
      <c r="G634" t="s">
        <v>2853</v>
      </c>
      <c r="H634" t="s">
        <v>3237</v>
      </c>
      <c r="I634" t="s">
        <v>154</v>
      </c>
      <c r="J634" t="s">
        <v>4073</v>
      </c>
      <c r="K634" t="s">
        <v>3176</v>
      </c>
      <c r="L634" t="s">
        <v>4074</v>
      </c>
    </row>
    <row r="635" spans="1:12">
      <c r="A635" t="s">
        <v>2395</v>
      </c>
      <c r="D635" t="s">
        <v>4648</v>
      </c>
      <c r="E635" t="s">
        <v>4649</v>
      </c>
      <c r="F635" t="s">
        <v>18</v>
      </c>
      <c r="G635" t="s">
        <v>2853</v>
      </c>
      <c r="H635" t="s">
        <v>3237</v>
      </c>
      <c r="I635" t="s">
        <v>154</v>
      </c>
      <c r="J635" t="s">
        <v>4073</v>
      </c>
      <c r="K635" t="s">
        <v>3176</v>
      </c>
      <c r="L635" t="s">
        <v>4074</v>
      </c>
    </row>
    <row r="636" spans="1:12">
      <c r="A636" t="s">
        <v>2396</v>
      </c>
      <c r="D636" t="s">
        <v>4648</v>
      </c>
      <c r="E636" t="s">
        <v>4650</v>
      </c>
      <c r="F636" t="s">
        <v>18</v>
      </c>
      <c r="G636" t="s">
        <v>2853</v>
      </c>
      <c r="H636" t="s">
        <v>3237</v>
      </c>
      <c r="I636" t="s">
        <v>154</v>
      </c>
      <c r="J636" t="s">
        <v>4073</v>
      </c>
      <c r="K636" t="s">
        <v>3176</v>
      </c>
      <c r="L636" t="s">
        <v>4074</v>
      </c>
    </row>
    <row r="637" spans="1:12">
      <c r="A637" t="s">
        <v>2397</v>
      </c>
      <c r="D637" t="s">
        <v>4651</v>
      </c>
      <c r="E637" t="s">
        <v>4652</v>
      </c>
      <c r="F637" t="s">
        <v>18</v>
      </c>
      <c r="G637" t="s">
        <v>2853</v>
      </c>
      <c r="H637" t="s">
        <v>3237</v>
      </c>
      <c r="I637" t="s">
        <v>154</v>
      </c>
      <c r="J637" t="s">
        <v>4073</v>
      </c>
      <c r="K637" t="s">
        <v>3176</v>
      </c>
      <c r="L637" t="s">
        <v>4074</v>
      </c>
    </row>
    <row r="638" spans="1:12">
      <c r="A638" t="s">
        <v>2398</v>
      </c>
      <c r="D638" t="s">
        <v>4651</v>
      </c>
      <c r="E638" t="s">
        <v>4653</v>
      </c>
      <c r="F638" t="s">
        <v>18</v>
      </c>
      <c r="G638" t="s">
        <v>2853</v>
      </c>
      <c r="H638" t="s">
        <v>3237</v>
      </c>
      <c r="I638" t="s">
        <v>154</v>
      </c>
      <c r="J638" t="s">
        <v>4073</v>
      </c>
      <c r="K638" t="s">
        <v>3176</v>
      </c>
      <c r="L638" t="s">
        <v>4074</v>
      </c>
    </row>
    <row r="639" spans="1:12">
      <c r="A639" t="s">
        <v>2399</v>
      </c>
      <c r="D639" t="s">
        <v>4654</v>
      </c>
      <c r="E639" t="s">
        <v>4655</v>
      </c>
      <c r="F639" t="s">
        <v>18</v>
      </c>
      <c r="G639" t="s">
        <v>2853</v>
      </c>
      <c r="H639" t="s">
        <v>3237</v>
      </c>
      <c r="I639" t="s">
        <v>154</v>
      </c>
      <c r="J639" t="s">
        <v>4073</v>
      </c>
      <c r="K639" t="s">
        <v>3176</v>
      </c>
      <c r="L639" t="s">
        <v>4074</v>
      </c>
    </row>
    <row r="640" spans="1:12">
      <c r="A640" t="s">
        <v>2400</v>
      </c>
      <c r="D640" t="s">
        <v>4654</v>
      </c>
      <c r="E640" t="s">
        <v>4656</v>
      </c>
      <c r="F640" t="s">
        <v>18</v>
      </c>
      <c r="G640" t="s">
        <v>2853</v>
      </c>
      <c r="H640" t="s">
        <v>3237</v>
      </c>
      <c r="I640" t="s">
        <v>154</v>
      </c>
      <c r="J640" t="s">
        <v>4073</v>
      </c>
      <c r="K640" t="s">
        <v>3176</v>
      </c>
      <c r="L640" t="s">
        <v>4074</v>
      </c>
    </row>
    <row r="641" spans="1:12">
      <c r="A641" t="s">
        <v>2401</v>
      </c>
      <c r="D641" t="s">
        <v>4657</v>
      </c>
      <c r="E641" t="s">
        <v>4658</v>
      </c>
      <c r="F641" t="s">
        <v>18</v>
      </c>
      <c r="G641" t="s">
        <v>2853</v>
      </c>
      <c r="H641" t="s">
        <v>3237</v>
      </c>
      <c r="I641" t="s">
        <v>154</v>
      </c>
      <c r="J641" t="s">
        <v>4073</v>
      </c>
      <c r="K641" t="s">
        <v>3176</v>
      </c>
      <c r="L641" t="s">
        <v>4074</v>
      </c>
    </row>
    <row r="642" spans="1:12">
      <c r="A642" t="s">
        <v>2402</v>
      </c>
      <c r="D642" t="s">
        <v>4657</v>
      </c>
      <c r="E642" t="s">
        <v>4659</v>
      </c>
      <c r="F642" t="s">
        <v>18</v>
      </c>
      <c r="G642" t="s">
        <v>2853</v>
      </c>
      <c r="H642" t="s">
        <v>3237</v>
      </c>
      <c r="I642" t="s">
        <v>154</v>
      </c>
      <c r="J642" t="s">
        <v>4073</v>
      </c>
      <c r="K642" t="s">
        <v>3176</v>
      </c>
      <c r="L642" t="s">
        <v>4074</v>
      </c>
    </row>
    <row r="643" spans="1:12">
      <c r="A643" t="s">
        <v>480</v>
      </c>
      <c r="D643" t="s">
        <v>4660</v>
      </c>
      <c r="E643" t="s">
        <v>4661</v>
      </c>
      <c r="F643" t="s">
        <v>18</v>
      </c>
      <c r="G643" t="s">
        <v>2851</v>
      </c>
      <c r="H643" t="s">
        <v>3175</v>
      </c>
      <c r="I643" t="s">
        <v>154</v>
      </c>
      <c r="J643" t="s">
        <v>4457</v>
      </c>
      <c r="K643" t="s">
        <v>74</v>
      </c>
      <c r="L643" t="s">
        <v>63</v>
      </c>
    </row>
    <row r="644" spans="1:12">
      <c r="A644" t="s">
        <v>2412</v>
      </c>
      <c r="D644" t="s">
        <v>4662</v>
      </c>
      <c r="E644" t="s">
        <v>4663</v>
      </c>
      <c r="F644" t="s">
        <v>18</v>
      </c>
      <c r="G644" t="s">
        <v>2851</v>
      </c>
      <c r="H644" t="s">
        <v>3175</v>
      </c>
      <c r="I644" t="s">
        <v>154</v>
      </c>
      <c r="J644" t="s">
        <v>4457</v>
      </c>
      <c r="K644" t="s">
        <v>74</v>
      </c>
      <c r="L644" t="s">
        <v>63</v>
      </c>
    </row>
    <row r="645" spans="1:12">
      <c r="A645" t="s">
        <v>4664</v>
      </c>
      <c r="D645" t="s">
        <v>4665</v>
      </c>
      <c r="E645" t="s">
        <v>4666</v>
      </c>
      <c r="F645" t="s">
        <v>18</v>
      </c>
      <c r="G645" t="s">
        <v>2851</v>
      </c>
      <c r="H645" t="s">
        <v>3175</v>
      </c>
      <c r="I645" t="s">
        <v>154</v>
      </c>
      <c r="J645" t="s">
        <v>4457</v>
      </c>
      <c r="K645" t="s">
        <v>74</v>
      </c>
      <c r="L645" t="s">
        <v>63</v>
      </c>
    </row>
    <row r="646" spans="1:12">
      <c r="A646" t="s">
        <v>4667</v>
      </c>
      <c r="D646" t="s">
        <v>4668</v>
      </c>
      <c r="E646" t="s">
        <v>4669</v>
      </c>
      <c r="F646" t="s">
        <v>18</v>
      </c>
      <c r="G646" t="s">
        <v>2851</v>
      </c>
      <c r="H646" t="s">
        <v>3175</v>
      </c>
      <c r="I646" t="s">
        <v>154</v>
      </c>
      <c r="J646" t="s">
        <v>4457</v>
      </c>
      <c r="K646" t="s">
        <v>74</v>
      </c>
      <c r="L646" t="s">
        <v>63</v>
      </c>
    </row>
    <row r="647" spans="1:12">
      <c r="A647" t="s">
        <v>4670</v>
      </c>
      <c r="D647" t="s">
        <v>4671</v>
      </c>
      <c r="E647" t="s">
        <v>4672</v>
      </c>
      <c r="F647" t="s">
        <v>18</v>
      </c>
      <c r="G647" t="s">
        <v>2851</v>
      </c>
      <c r="H647" t="s">
        <v>3175</v>
      </c>
      <c r="I647" t="s">
        <v>154</v>
      </c>
      <c r="J647" t="s">
        <v>4457</v>
      </c>
      <c r="K647" t="s">
        <v>74</v>
      </c>
      <c r="L647" t="s">
        <v>63</v>
      </c>
    </row>
    <row r="648" spans="1:12">
      <c r="A648" t="s">
        <v>686</v>
      </c>
      <c r="D648" t="s">
        <v>4673</v>
      </c>
      <c r="E648" t="s">
        <v>4674</v>
      </c>
      <c r="F648" t="s">
        <v>18</v>
      </c>
      <c r="G648" t="s">
        <v>2851</v>
      </c>
      <c r="H648" t="s">
        <v>3175</v>
      </c>
      <c r="I648" t="s">
        <v>154</v>
      </c>
      <c r="J648" t="s">
        <v>4457</v>
      </c>
      <c r="K648" t="s">
        <v>74</v>
      </c>
      <c r="L648" t="s">
        <v>63</v>
      </c>
    </row>
    <row r="649" spans="1:12">
      <c r="A649" t="s">
        <v>687</v>
      </c>
      <c r="D649" t="s">
        <v>4675</v>
      </c>
      <c r="E649" t="s">
        <v>4676</v>
      </c>
      <c r="F649" t="s">
        <v>18</v>
      </c>
      <c r="G649" t="s">
        <v>2851</v>
      </c>
      <c r="H649" t="s">
        <v>3175</v>
      </c>
      <c r="I649" t="s">
        <v>154</v>
      </c>
      <c r="J649" t="s">
        <v>4457</v>
      </c>
      <c r="K649" t="s">
        <v>74</v>
      </c>
      <c r="L649" t="s">
        <v>63</v>
      </c>
    </row>
    <row r="650" spans="1:12">
      <c r="A650" t="s">
        <v>4677</v>
      </c>
      <c r="D650" t="s">
        <v>4678</v>
      </c>
      <c r="E650" t="s">
        <v>4679</v>
      </c>
      <c r="F650" t="s">
        <v>18</v>
      </c>
      <c r="G650" t="s">
        <v>2851</v>
      </c>
      <c r="H650" t="s">
        <v>3175</v>
      </c>
      <c r="I650" t="s">
        <v>154</v>
      </c>
      <c r="J650" t="s">
        <v>4457</v>
      </c>
      <c r="K650" t="s">
        <v>74</v>
      </c>
      <c r="L650" t="s">
        <v>63</v>
      </c>
    </row>
    <row r="651" spans="1:12">
      <c r="A651" t="s">
        <v>4680</v>
      </c>
      <c r="D651" t="s">
        <v>4681</v>
      </c>
      <c r="E651" t="s">
        <v>4682</v>
      </c>
      <c r="F651" t="s">
        <v>18</v>
      </c>
      <c r="G651" t="s">
        <v>2851</v>
      </c>
      <c r="H651" t="s">
        <v>3175</v>
      </c>
      <c r="I651" t="s">
        <v>154</v>
      </c>
      <c r="J651" t="s">
        <v>4457</v>
      </c>
      <c r="K651" t="s">
        <v>74</v>
      </c>
      <c r="L651" t="s">
        <v>63</v>
      </c>
    </row>
    <row r="652" spans="1:12">
      <c r="A652" t="s">
        <v>688</v>
      </c>
      <c r="D652" t="s">
        <v>4683</v>
      </c>
      <c r="E652" t="s">
        <v>4684</v>
      </c>
      <c r="F652" t="s">
        <v>18</v>
      </c>
      <c r="G652" t="s">
        <v>2851</v>
      </c>
      <c r="H652" t="s">
        <v>3175</v>
      </c>
      <c r="I652" t="s">
        <v>154</v>
      </c>
      <c r="J652" t="s">
        <v>4457</v>
      </c>
      <c r="K652" t="s">
        <v>74</v>
      </c>
      <c r="L652" t="s">
        <v>63</v>
      </c>
    </row>
    <row r="653" spans="1:12">
      <c r="A653" t="s">
        <v>689</v>
      </c>
      <c r="D653" t="s">
        <v>4685</v>
      </c>
      <c r="E653" t="s">
        <v>4686</v>
      </c>
      <c r="F653" t="s">
        <v>18</v>
      </c>
      <c r="G653" t="s">
        <v>2851</v>
      </c>
      <c r="H653" t="s">
        <v>3175</v>
      </c>
      <c r="I653" t="s">
        <v>154</v>
      </c>
      <c r="J653" t="s">
        <v>4457</v>
      </c>
      <c r="K653" t="s">
        <v>74</v>
      </c>
      <c r="L653" t="s">
        <v>63</v>
      </c>
    </row>
    <row r="654" spans="1:12">
      <c r="A654" t="s">
        <v>4687</v>
      </c>
      <c r="D654" t="s">
        <v>4688</v>
      </c>
      <c r="E654" t="s">
        <v>4689</v>
      </c>
      <c r="F654" t="s">
        <v>18</v>
      </c>
      <c r="G654" t="s">
        <v>2851</v>
      </c>
      <c r="H654" t="s">
        <v>3175</v>
      </c>
      <c r="I654" t="s">
        <v>154</v>
      </c>
      <c r="J654" t="s">
        <v>4457</v>
      </c>
      <c r="K654" t="s">
        <v>74</v>
      </c>
      <c r="L654" t="s">
        <v>63</v>
      </c>
    </row>
    <row r="655" spans="1:12">
      <c r="A655" t="s">
        <v>4690</v>
      </c>
      <c r="D655" t="s">
        <v>4691</v>
      </c>
      <c r="E655" t="s">
        <v>4692</v>
      </c>
      <c r="F655" t="s">
        <v>18</v>
      </c>
      <c r="G655" t="s">
        <v>2851</v>
      </c>
      <c r="H655" t="s">
        <v>3175</v>
      </c>
      <c r="I655" t="s">
        <v>154</v>
      </c>
      <c r="J655" t="s">
        <v>4457</v>
      </c>
      <c r="K655" t="s">
        <v>74</v>
      </c>
      <c r="L655" t="s">
        <v>63</v>
      </c>
    </row>
    <row r="656" spans="1:12">
      <c r="A656" t="s">
        <v>4693</v>
      </c>
      <c r="D656" t="s">
        <v>4694</v>
      </c>
      <c r="E656" t="s">
        <v>4695</v>
      </c>
      <c r="F656" t="s">
        <v>18</v>
      </c>
      <c r="G656" t="s">
        <v>2851</v>
      </c>
      <c r="H656" t="s">
        <v>3175</v>
      </c>
      <c r="I656" t="s">
        <v>154</v>
      </c>
      <c r="J656" t="s">
        <v>4457</v>
      </c>
      <c r="K656" t="s">
        <v>74</v>
      </c>
      <c r="L656" t="s">
        <v>63</v>
      </c>
    </row>
    <row r="657" spans="1:12">
      <c r="A657" t="s">
        <v>2050</v>
      </c>
      <c r="D657" t="s">
        <v>4696</v>
      </c>
      <c r="E657" t="s">
        <v>4697</v>
      </c>
      <c r="F657" t="s">
        <v>18</v>
      </c>
      <c r="G657" t="s">
        <v>2851</v>
      </c>
      <c r="H657" t="s">
        <v>3175</v>
      </c>
      <c r="I657" t="s">
        <v>154</v>
      </c>
      <c r="J657" t="s">
        <v>4073</v>
      </c>
      <c r="K657" t="s">
        <v>74</v>
      </c>
      <c r="L657" t="s">
        <v>63</v>
      </c>
    </row>
    <row r="658" spans="1:12">
      <c r="A658" t="s">
        <v>4698</v>
      </c>
      <c r="D658" t="s">
        <v>4699</v>
      </c>
      <c r="E658" t="s">
        <v>4700</v>
      </c>
      <c r="F658" t="s">
        <v>18</v>
      </c>
      <c r="G658" t="s">
        <v>3687</v>
      </c>
      <c r="H658" t="s">
        <v>3175</v>
      </c>
      <c r="I658" t="s">
        <v>154</v>
      </c>
      <c r="J658" t="s">
        <v>3688</v>
      </c>
      <c r="K658" t="s">
        <v>3724</v>
      </c>
      <c r="L658" t="s">
        <v>63</v>
      </c>
    </row>
    <row r="659" spans="1:12">
      <c r="A659" t="s">
        <v>4701</v>
      </c>
      <c r="D659" t="s">
        <v>4702</v>
      </c>
      <c r="E659" t="s">
        <v>4703</v>
      </c>
      <c r="F659" t="s">
        <v>18</v>
      </c>
      <c r="G659" t="s">
        <v>3687</v>
      </c>
      <c r="H659" t="s">
        <v>3175</v>
      </c>
      <c r="I659" t="s">
        <v>154</v>
      </c>
      <c r="J659" t="s">
        <v>3688</v>
      </c>
      <c r="K659" t="s">
        <v>3689</v>
      </c>
      <c r="L659" t="s">
        <v>63</v>
      </c>
    </row>
    <row r="660" spans="1:12">
      <c r="A660" t="s">
        <v>4704</v>
      </c>
      <c r="D660" t="s">
        <v>4705</v>
      </c>
      <c r="E660" t="s">
        <v>2451</v>
      </c>
      <c r="F660" t="s">
        <v>18</v>
      </c>
      <c r="G660" t="s">
        <v>3687</v>
      </c>
      <c r="H660" t="s">
        <v>3175</v>
      </c>
      <c r="I660" t="s">
        <v>154</v>
      </c>
      <c r="J660" t="s">
        <v>3688</v>
      </c>
      <c r="K660" t="s">
        <v>3689</v>
      </c>
      <c r="L660" t="s">
        <v>63</v>
      </c>
    </row>
    <row r="661" spans="1:12">
      <c r="A661" t="s">
        <v>4706</v>
      </c>
      <c r="D661" t="s">
        <v>4707</v>
      </c>
      <c r="E661" t="s">
        <v>2506</v>
      </c>
      <c r="F661" t="s">
        <v>18</v>
      </c>
      <c r="G661" t="s">
        <v>3687</v>
      </c>
      <c r="H661" t="s">
        <v>3175</v>
      </c>
      <c r="I661" t="s">
        <v>154</v>
      </c>
      <c r="J661" t="s">
        <v>3688</v>
      </c>
      <c r="K661" t="s">
        <v>3689</v>
      </c>
      <c r="L661" t="s">
        <v>63</v>
      </c>
    </row>
    <row r="662" spans="1:12">
      <c r="A662" t="s">
        <v>472</v>
      </c>
      <c r="D662" t="s">
        <v>473</v>
      </c>
      <c r="E662" t="s">
        <v>4708</v>
      </c>
      <c r="F662" t="s">
        <v>74</v>
      </c>
      <c r="G662" t="s">
        <v>74</v>
      </c>
      <c r="H662" t="s">
        <v>74</v>
      </c>
      <c r="I662" t="s">
        <v>74</v>
      </c>
      <c r="J662" t="s">
        <v>74</v>
      </c>
      <c r="K662" t="s">
        <v>74</v>
      </c>
      <c r="L662" t="s">
        <v>74</v>
      </c>
    </row>
    <row r="663" spans="1:12">
      <c r="A663" t="s">
        <v>474</v>
      </c>
      <c r="D663" t="s">
        <v>475</v>
      </c>
      <c r="E663" t="s">
        <v>4709</v>
      </c>
      <c r="F663" t="s">
        <v>74</v>
      </c>
      <c r="G663" t="s">
        <v>74</v>
      </c>
      <c r="H663" t="s">
        <v>74</v>
      </c>
      <c r="I663" t="s">
        <v>74</v>
      </c>
      <c r="J663" t="s">
        <v>74</v>
      </c>
      <c r="K663" t="s">
        <v>74</v>
      </c>
      <c r="L663" t="s">
        <v>74</v>
      </c>
    </row>
    <row r="664" spans="1:12">
      <c r="A664" t="s">
        <v>4710</v>
      </c>
      <c r="D664" t="s">
        <v>4711</v>
      </c>
      <c r="E664" t="s">
        <v>4712</v>
      </c>
      <c r="F664" t="s">
        <v>74</v>
      </c>
      <c r="G664" t="s">
        <v>74</v>
      </c>
      <c r="H664" t="s">
        <v>74</v>
      </c>
      <c r="I664" t="s">
        <v>74</v>
      </c>
      <c r="J664" t="s">
        <v>74</v>
      </c>
      <c r="K664" t="s">
        <v>74</v>
      </c>
      <c r="L664" t="s">
        <v>74</v>
      </c>
    </row>
    <row r="665" spans="1:12">
      <c r="A665" t="s">
        <v>4713</v>
      </c>
      <c r="D665" t="s">
        <v>4714</v>
      </c>
      <c r="E665" t="s">
        <v>4715</v>
      </c>
      <c r="F665" t="s">
        <v>74</v>
      </c>
      <c r="G665" t="s">
        <v>74</v>
      </c>
      <c r="H665" t="s">
        <v>74</v>
      </c>
      <c r="I665" t="s">
        <v>74</v>
      </c>
      <c r="J665" t="s">
        <v>74</v>
      </c>
      <c r="K665" t="s">
        <v>74</v>
      </c>
      <c r="L665" t="s">
        <v>74</v>
      </c>
    </row>
    <row r="666" spans="1:12">
      <c r="A666" t="s">
        <v>1132</v>
      </c>
      <c r="D666" t="s">
        <v>1133</v>
      </c>
      <c r="E666" t="s">
        <v>4716</v>
      </c>
      <c r="F666" t="s">
        <v>74</v>
      </c>
      <c r="G666" t="s">
        <v>74</v>
      </c>
      <c r="H666" t="s">
        <v>74</v>
      </c>
      <c r="I666" t="s">
        <v>74</v>
      </c>
      <c r="J666" t="s">
        <v>74</v>
      </c>
      <c r="K666" t="s">
        <v>74</v>
      </c>
      <c r="L666" t="s">
        <v>74</v>
      </c>
    </row>
    <row r="667" spans="1:12">
      <c r="A667" t="s">
        <v>1134</v>
      </c>
      <c r="D667" t="s">
        <v>1135</v>
      </c>
      <c r="E667" t="s">
        <v>4717</v>
      </c>
      <c r="F667" t="s">
        <v>74</v>
      </c>
      <c r="G667" t="s">
        <v>74</v>
      </c>
      <c r="H667" t="s">
        <v>74</v>
      </c>
      <c r="I667" t="s">
        <v>74</v>
      </c>
      <c r="J667" t="s">
        <v>74</v>
      </c>
      <c r="K667" t="s">
        <v>74</v>
      </c>
      <c r="L667" t="s">
        <v>74</v>
      </c>
    </row>
    <row r="668" spans="1:12">
      <c r="A668" t="s">
        <v>1136</v>
      </c>
      <c r="D668" t="s">
        <v>1137</v>
      </c>
      <c r="E668" t="s">
        <v>4718</v>
      </c>
      <c r="F668" t="s">
        <v>74</v>
      </c>
      <c r="G668" t="s">
        <v>74</v>
      </c>
      <c r="H668" t="s">
        <v>74</v>
      </c>
      <c r="I668" t="s">
        <v>74</v>
      </c>
      <c r="J668" t="s">
        <v>74</v>
      </c>
      <c r="K668" t="s">
        <v>74</v>
      </c>
      <c r="L668" t="s">
        <v>74</v>
      </c>
    </row>
    <row r="669" spans="1:12">
      <c r="A669" t="s">
        <v>1138</v>
      </c>
      <c r="D669" t="s">
        <v>1139</v>
      </c>
      <c r="E669" t="s">
        <v>4719</v>
      </c>
      <c r="F669" t="s">
        <v>74</v>
      </c>
      <c r="G669" t="s">
        <v>74</v>
      </c>
      <c r="H669" t="s">
        <v>74</v>
      </c>
      <c r="I669" t="s">
        <v>74</v>
      </c>
      <c r="J669" t="s">
        <v>74</v>
      </c>
      <c r="K669" t="s">
        <v>74</v>
      </c>
      <c r="L669" t="s">
        <v>74</v>
      </c>
    </row>
    <row r="670" spans="1:12">
      <c r="A670" t="s">
        <v>1140</v>
      </c>
      <c r="D670" t="s">
        <v>1141</v>
      </c>
      <c r="E670" t="s">
        <v>4720</v>
      </c>
      <c r="F670" t="s">
        <v>74</v>
      </c>
      <c r="G670" t="s">
        <v>74</v>
      </c>
      <c r="H670" t="s">
        <v>74</v>
      </c>
      <c r="I670" t="s">
        <v>74</v>
      </c>
      <c r="J670" t="s">
        <v>74</v>
      </c>
      <c r="K670" t="s">
        <v>74</v>
      </c>
      <c r="L670" t="s">
        <v>74</v>
      </c>
    </row>
    <row r="671" spans="1:12">
      <c r="A671" t="s">
        <v>1142</v>
      </c>
      <c r="D671" t="s">
        <v>1143</v>
      </c>
      <c r="E671" t="s">
        <v>4721</v>
      </c>
      <c r="F671" t="s">
        <v>74</v>
      </c>
      <c r="G671" t="s">
        <v>74</v>
      </c>
      <c r="H671" t="s">
        <v>74</v>
      </c>
      <c r="I671" t="s">
        <v>74</v>
      </c>
      <c r="J671" t="s">
        <v>74</v>
      </c>
      <c r="K671" t="s">
        <v>74</v>
      </c>
      <c r="L671" t="s">
        <v>74</v>
      </c>
    </row>
    <row r="672" spans="1:12">
      <c r="A672" t="s">
        <v>1144</v>
      </c>
      <c r="D672" t="s">
        <v>1145</v>
      </c>
      <c r="E672" t="s">
        <v>4722</v>
      </c>
      <c r="F672" t="s">
        <v>74</v>
      </c>
      <c r="G672" t="s">
        <v>74</v>
      </c>
      <c r="H672" t="s">
        <v>74</v>
      </c>
      <c r="I672" t="s">
        <v>74</v>
      </c>
      <c r="J672" t="s">
        <v>74</v>
      </c>
      <c r="K672" t="s">
        <v>74</v>
      </c>
      <c r="L672" t="s">
        <v>74</v>
      </c>
    </row>
    <row r="673" spans="1:12">
      <c r="A673" t="s">
        <v>1146</v>
      </c>
      <c r="D673" t="s">
        <v>1147</v>
      </c>
      <c r="E673" t="s">
        <v>4723</v>
      </c>
      <c r="F673" t="s">
        <v>74</v>
      </c>
      <c r="G673" t="s">
        <v>74</v>
      </c>
      <c r="H673" t="s">
        <v>74</v>
      </c>
      <c r="I673" t="s">
        <v>74</v>
      </c>
      <c r="J673" t="s">
        <v>74</v>
      </c>
      <c r="K673" t="s">
        <v>74</v>
      </c>
      <c r="L673" t="s">
        <v>74</v>
      </c>
    </row>
    <row r="674" spans="1:12">
      <c r="A674" t="s">
        <v>1968</v>
      </c>
      <c r="D674" t="s">
        <v>1969</v>
      </c>
      <c r="E674" t="s">
        <v>4724</v>
      </c>
      <c r="F674" t="s">
        <v>74</v>
      </c>
      <c r="G674" t="s">
        <v>74</v>
      </c>
      <c r="H674" t="s">
        <v>74</v>
      </c>
      <c r="I674" t="s">
        <v>74</v>
      </c>
      <c r="J674" t="s">
        <v>74</v>
      </c>
      <c r="K674" t="s">
        <v>74</v>
      </c>
      <c r="L674" t="s">
        <v>74</v>
      </c>
    </row>
    <row r="675" spans="1:12">
      <c r="A675" t="s">
        <v>1970</v>
      </c>
      <c r="D675" t="s">
        <v>1971</v>
      </c>
      <c r="E675" t="s">
        <v>4725</v>
      </c>
      <c r="F675" t="s">
        <v>74</v>
      </c>
      <c r="G675" t="s">
        <v>74</v>
      </c>
      <c r="H675" t="s">
        <v>74</v>
      </c>
      <c r="I675" t="s">
        <v>74</v>
      </c>
      <c r="J675" t="s">
        <v>74</v>
      </c>
      <c r="K675" t="s">
        <v>74</v>
      </c>
      <c r="L675" t="s">
        <v>74</v>
      </c>
    </row>
    <row r="676" spans="1:12">
      <c r="A676" t="s">
        <v>1972</v>
      </c>
      <c r="D676" t="s">
        <v>1973</v>
      </c>
      <c r="E676" t="s">
        <v>4726</v>
      </c>
      <c r="F676" t="s">
        <v>74</v>
      </c>
      <c r="G676" t="s">
        <v>74</v>
      </c>
      <c r="H676" t="s">
        <v>74</v>
      </c>
      <c r="I676" t="s">
        <v>74</v>
      </c>
      <c r="J676" t="s">
        <v>74</v>
      </c>
      <c r="K676" t="s">
        <v>74</v>
      </c>
      <c r="L676" t="s">
        <v>74</v>
      </c>
    </row>
    <row r="677" spans="1:12">
      <c r="A677" t="s">
        <v>2732</v>
      </c>
      <c r="D677" t="s">
        <v>2733</v>
      </c>
      <c r="E677" t="s">
        <v>4727</v>
      </c>
      <c r="F677" t="s">
        <v>74</v>
      </c>
      <c r="G677" t="s">
        <v>74</v>
      </c>
      <c r="H677" t="s">
        <v>74</v>
      </c>
      <c r="I677" t="s">
        <v>74</v>
      </c>
      <c r="J677" t="s">
        <v>74</v>
      </c>
      <c r="K677" t="s">
        <v>74</v>
      </c>
      <c r="L677" t="s">
        <v>74</v>
      </c>
    </row>
    <row r="678" spans="1:12">
      <c r="A678" t="s">
        <v>2734</v>
      </c>
      <c r="D678" t="s">
        <v>2735</v>
      </c>
      <c r="E678" t="s">
        <v>4728</v>
      </c>
      <c r="F678" t="s">
        <v>74</v>
      </c>
      <c r="G678" t="s">
        <v>74</v>
      </c>
      <c r="H678" t="s">
        <v>74</v>
      </c>
      <c r="I678" t="s">
        <v>74</v>
      </c>
      <c r="J678" t="s">
        <v>74</v>
      </c>
      <c r="K678" t="s">
        <v>74</v>
      </c>
      <c r="L678" t="s">
        <v>74</v>
      </c>
    </row>
    <row r="679" spans="1:12">
      <c r="A679" t="s">
        <v>2578</v>
      </c>
      <c r="D679" t="s">
        <v>2579</v>
      </c>
      <c r="E679" t="s">
        <v>4729</v>
      </c>
      <c r="F679" t="s">
        <v>74</v>
      </c>
      <c r="G679" t="s">
        <v>74</v>
      </c>
      <c r="H679" t="s">
        <v>74</v>
      </c>
      <c r="I679" t="s">
        <v>74</v>
      </c>
      <c r="J679" t="s">
        <v>74</v>
      </c>
      <c r="K679" t="s">
        <v>74</v>
      </c>
      <c r="L679" t="s">
        <v>74</v>
      </c>
    </row>
    <row r="680" spans="1:12">
      <c r="A680" t="s">
        <v>2580</v>
      </c>
      <c r="D680" t="s">
        <v>2581</v>
      </c>
      <c r="E680" t="s">
        <v>4730</v>
      </c>
      <c r="F680" t="s">
        <v>74</v>
      </c>
      <c r="G680" t="s">
        <v>74</v>
      </c>
      <c r="H680" t="s">
        <v>74</v>
      </c>
      <c r="I680" t="s">
        <v>74</v>
      </c>
      <c r="J680" t="s">
        <v>74</v>
      </c>
      <c r="K680" t="s">
        <v>74</v>
      </c>
      <c r="L680" t="s">
        <v>74</v>
      </c>
    </row>
    <row r="681" spans="1:12">
      <c r="A681" t="s">
        <v>2583</v>
      </c>
      <c r="D681" t="s">
        <v>2584</v>
      </c>
      <c r="E681" t="s">
        <v>4731</v>
      </c>
      <c r="F681" t="s">
        <v>74</v>
      </c>
      <c r="G681" t="s">
        <v>74</v>
      </c>
      <c r="H681" t="s">
        <v>74</v>
      </c>
      <c r="I681" t="s">
        <v>74</v>
      </c>
      <c r="J681" t="s">
        <v>74</v>
      </c>
      <c r="K681" t="s">
        <v>74</v>
      </c>
      <c r="L681" t="s">
        <v>74</v>
      </c>
    </row>
    <row r="682" spans="1:12">
      <c r="A682" t="s">
        <v>2585</v>
      </c>
      <c r="D682" t="s">
        <v>2586</v>
      </c>
      <c r="E682" t="s">
        <v>4732</v>
      </c>
      <c r="F682" t="s">
        <v>74</v>
      </c>
      <c r="G682" t="s">
        <v>74</v>
      </c>
      <c r="H682" t="s">
        <v>74</v>
      </c>
      <c r="I682" t="s">
        <v>74</v>
      </c>
      <c r="J682" t="s">
        <v>74</v>
      </c>
      <c r="K682" t="s">
        <v>74</v>
      </c>
      <c r="L682" t="s">
        <v>74</v>
      </c>
    </row>
    <row r="683" spans="1:12">
      <c r="A683" t="s">
        <v>2587</v>
      </c>
      <c r="D683" t="s">
        <v>2588</v>
      </c>
      <c r="E683" t="s">
        <v>4733</v>
      </c>
      <c r="F683" t="s">
        <v>74</v>
      </c>
      <c r="G683" t="s">
        <v>74</v>
      </c>
      <c r="H683" t="s">
        <v>74</v>
      </c>
      <c r="I683" t="s">
        <v>74</v>
      </c>
      <c r="J683" t="s">
        <v>74</v>
      </c>
      <c r="K683" t="s">
        <v>74</v>
      </c>
      <c r="L683" t="s">
        <v>74</v>
      </c>
    </row>
    <row r="684" spans="1:12">
      <c r="A684" t="s">
        <v>2589</v>
      </c>
      <c r="D684" t="s">
        <v>2590</v>
      </c>
      <c r="E684" t="s">
        <v>4734</v>
      </c>
      <c r="F684" t="s">
        <v>74</v>
      </c>
      <c r="G684" t="s">
        <v>74</v>
      </c>
      <c r="H684" t="s">
        <v>74</v>
      </c>
      <c r="I684" t="s">
        <v>74</v>
      </c>
      <c r="J684" t="s">
        <v>74</v>
      </c>
      <c r="K684" t="s">
        <v>74</v>
      </c>
      <c r="L684" t="s">
        <v>74</v>
      </c>
    </row>
    <row r="685" spans="1:12">
      <c r="A685" t="s">
        <v>2591</v>
      </c>
      <c r="D685" t="s">
        <v>2592</v>
      </c>
      <c r="E685" t="s">
        <v>4735</v>
      </c>
      <c r="F685" t="s">
        <v>74</v>
      </c>
      <c r="G685" t="s">
        <v>74</v>
      </c>
      <c r="H685" t="s">
        <v>74</v>
      </c>
      <c r="I685" t="s">
        <v>74</v>
      </c>
      <c r="J685" t="s">
        <v>74</v>
      </c>
      <c r="K685" t="s">
        <v>74</v>
      </c>
      <c r="L685" t="s">
        <v>74</v>
      </c>
    </row>
    <row r="686" spans="1:12">
      <c r="A686" t="s">
        <v>2724</v>
      </c>
      <c r="B686" t="s">
        <v>2557</v>
      </c>
      <c r="C686" t="s">
        <v>5185</v>
      </c>
      <c r="D686" t="s">
        <v>2555</v>
      </c>
      <c r="E686" t="s">
        <v>5186</v>
      </c>
      <c r="F686" t="s">
        <v>18</v>
      </c>
      <c r="G686" t="s">
        <v>2853</v>
      </c>
      <c r="H686" t="s">
        <v>3175</v>
      </c>
      <c r="I686" t="s">
        <v>154</v>
      </c>
      <c r="J686" t="s">
        <v>4073</v>
      </c>
      <c r="K686" t="s">
        <v>3176</v>
      </c>
      <c r="L686" t="s">
        <v>4074</v>
      </c>
    </row>
    <row r="687" spans="1:12">
      <c r="A687" t="s">
        <v>2723</v>
      </c>
      <c r="B687" t="s">
        <v>2557</v>
      </c>
      <c r="C687" t="s">
        <v>5187</v>
      </c>
      <c r="D687" t="s">
        <v>2555</v>
      </c>
      <c r="E687" t="s">
        <v>4736</v>
      </c>
      <c r="F687" t="s">
        <v>18</v>
      </c>
      <c r="G687" t="s">
        <v>2853</v>
      </c>
      <c r="H687" t="s">
        <v>3175</v>
      </c>
      <c r="I687" t="s">
        <v>154</v>
      </c>
      <c r="J687" t="s">
        <v>4073</v>
      </c>
      <c r="K687" t="s">
        <v>3176</v>
      </c>
      <c r="L687" t="s">
        <v>4074</v>
      </c>
    </row>
    <row r="688" spans="1:12">
      <c r="A688" t="s">
        <v>2726</v>
      </c>
      <c r="B688" t="s">
        <v>2557</v>
      </c>
      <c r="C688" t="s">
        <v>5188</v>
      </c>
      <c r="D688" t="s">
        <v>2555</v>
      </c>
      <c r="E688" t="s">
        <v>4737</v>
      </c>
      <c r="F688" t="s">
        <v>18</v>
      </c>
      <c r="G688" t="s">
        <v>2853</v>
      </c>
      <c r="H688" t="s">
        <v>3175</v>
      </c>
      <c r="I688" t="s">
        <v>154</v>
      </c>
      <c r="J688" t="s">
        <v>4073</v>
      </c>
      <c r="K688" t="s">
        <v>3176</v>
      </c>
      <c r="L688" t="s">
        <v>4074</v>
      </c>
    </row>
    <row r="689" spans="1:12">
      <c r="A689" t="s">
        <v>2725</v>
      </c>
      <c r="B689" t="s">
        <v>2557</v>
      </c>
      <c r="C689" t="s">
        <v>5189</v>
      </c>
      <c r="D689" t="s">
        <v>2555</v>
      </c>
      <c r="E689" t="s">
        <v>4738</v>
      </c>
      <c r="F689" t="s">
        <v>18</v>
      </c>
      <c r="G689" t="s">
        <v>2853</v>
      </c>
      <c r="H689" t="s">
        <v>3175</v>
      </c>
      <c r="I689" t="s">
        <v>154</v>
      </c>
      <c r="J689" t="s">
        <v>4073</v>
      </c>
      <c r="K689" t="s">
        <v>3176</v>
      </c>
      <c r="L689" t="s">
        <v>4074</v>
      </c>
    </row>
    <row r="690" spans="1:12">
      <c r="A690" t="s">
        <v>2701</v>
      </c>
      <c r="B690" t="s">
        <v>2557</v>
      </c>
      <c r="C690" t="s">
        <v>5190</v>
      </c>
      <c r="D690" t="s">
        <v>2555</v>
      </c>
      <c r="E690" t="s">
        <v>4739</v>
      </c>
      <c r="F690" t="s">
        <v>18</v>
      </c>
      <c r="G690" t="s">
        <v>2853</v>
      </c>
      <c r="H690" t="s">
        <v>3175</v>
      </c>
      <c r="I690" t="s">
        <v>154</v>
      </c>
      <c r="J690" t="s">
        <v>4073</v>
      </c>
      <c r="K690" t="s">
        <v>3176</v>
      </c>
      <c r="L690" t="s">
        <v>4074</v>
      </c>
    </row>
    <row r="691" spans="1:12">
      <c r="A691" t="s">
        <v>2700</v>
      </c>
      <c r="B691" t="s">
        <v>2557</v>
      </c>
      <c r="C691" t="s">
        <v>5191</v>
      </c>
      <c r="D691" t="s">
        <v>2555</v>
      </c>
      <c r="E691" t="s">
        <v>4740</v>
      </c>
      <c r="F691" t="s">
        <v>18</v>
      </c>
      <c r="G691" t="s">
        <v>2853</v>
      </c>
      <c r="H691" t="s">
        <v>3175</v>
      </c>
      <c r="I691" t="s">
        <v>154</v>
      </c>
      <c r="J691" t="s">
        <v>4073</v>
      </c>
      <c r="K691" t="s">
        <v>3176</v>
      </c>
      <c r="L691" t="s">
        <v>4074</v>
      </c>
    </row>
    <row r="692" spans="1:12">
      <c r="A692" t="s">
        <v>2704</v>
      </c>
      <c r="B692" t="s">
        <v>2557</v>
      </c>
      <c r="C692" t="s">
        <v>5192</v>
      </c>
      <c r="D692" t="s">
        <v>2555</v>
      </c>
      <c r="E692" t="s">
        <v>4741</v>
      </c>
      <c r="F692" t="s">
        <v>18</v>
      </c>
      <c r="G692" t="s">
        <v>2853</v>
      </c>
      <c r="H692" t="s">
        <v>3175</v>
      </c>
      <c r="I692" t="s">
        <v>154</v>
      </c>
      <c r="J692" t="s">
        <v>4073</v>
      </c>
      <c r="K692" t="s">
        <v>3176</v>
      </c>
      <c r="L692" t="s">
        <v>4074</v>
      </c>
    </row>
    <row r="693" spans="1:12">
      <c r="A693" t="s">
        <v>2702</v>
      </c>
      <c r="B693" t="s">
        <v>2557</v>
      </c>
      <c r="C693" t="s">
        <v>5193</v>
      </c>
      <c r="D693" t="s">
        <v>2555</v>
      </c>
      <c r="E693" t="s">
        <v>4742</v>
      </c>
      <c r="F693" t="s">
        <v>18</v>
      </c>
      <c r="G693" t="s">
        <v>2853</v>
      </c>
      <c r="H693" t="s">
        <v>3175</v>
      </c>
      <c r="I693" t="s">
        <v>154</v>
      </c>
      <c r="J693" t="s">
        <v>4073</v>
      </c>
      <c r="K693" t="s">
        <v>3176</v>
      </c>
      <c r="L693" t="s">
        <v>4074</v>
      </c>
    </row>
    <row r="694" spans="1:12">
      <c r="A694" t="s">
        <v>2703</v>
      </c>
      <c r="B694" t="s">
        <v>2557</v>
      </c>
      <c r="C694" t="s">
        <v>5194</v>
      </c>
      <c r="D694" t="s">
        <v>2555</v>
      </c>
      <c r="E694" t="s">
        <v>4743</v>
      </c>
      <c r="F694" t="s">
        <v>18</v>
      </c>
      <c r="G694" t="s">
        <v>2853</v>
      </c>
      <c r="H694" t="s">
        <v>3175</v>
      </c>
      <c r="I694" t="s">
        <v>154</v>
      </c>
      <c r="J694" t="s">
        <v>4073</v>
      </c>
      <c r="K694" t="s">
        <v>3176</v>
      </c>
      <c r="L694" t="s">
        <v>4074</v>
      </c>
    </row>
    <row r="695" spans="1:12">
      <c r="A695" t="s">
        <v>2706</v>
      </c>
      <c r="B695" t="s">
        <v>2557</v>
      </c>
      <c r="C695" t="s">
        <v>5195</v>
      </c>
      <c r="D695" t="s">
        <v>2555</v>
      </c>
      <c r="E695" t="s">
        <v>4744</v>
      </c>
      <c r="F695" t="s">
        <v>18</v>
      </c>
      <c r="G695" t="s">
        <v>2853</v>
      </c>
      <c r="H695" t="s">
        <v>3175</v>
      </c>
      <c r="I695" t="s">
        <v>154</v>
      </c>
      <c r="J695" t="s">
        <v>4073</v>
      </c>
      <c r="K695" t="s">
        <v>3176</v>
      </c>
      <c r="L695" t="s">
        <v>4074</v>
      </c>
    </row>
    <row r="696" spans="1:12">
      <c r="A696" t="s">
        <v>2705</v>
      </c>
      <c r="B696" t="s">
        <v>2557</v>
      </c>
      <c r="C696" t="s">
        <v>5196</v>
      </c>
      <c r="D696" t="s">
        <v>2555</v>
      </c>
      <c r="E696" t="s">
        <v>4745</v>
      </c>
      <c r="F696" t="s">
        <v>18</v>
      </c>
      <c r="G696" t="s">
        <v>2853</v>
      </c>
      <c r="H696" t="s">
        <v>3175</v>
      </c>
      <c r="I696" t="s">
        <v>154</v>
      </c>
      <c r="J696" t="s">
        <v>4073</v>
      </c>
      <c r="K696" t="s">
        <v>3176</v>
      </c>
      <c r="L696" t="s">
        <v>4074</v>
      </c>
    </row>
    <row r="697" spans="1:12">
      <c r="A697" t="s">
        <v>2709</v>
      </c>
      <c r="B697" t="s">
        <v>2557</v>
      </c>
      <c r="C697" t="s">
        <v>5197</v>
      </c>
      <c r="D697" t="s">
        <v>2555</v>
      </c>
      <c r="E697" t="s">
        <v>4746</v>
      </c>
      <c r="F697" t="s">
        <v>18</v>
      </c>
      <c r="G697" t="s">
        <v>2853</v>
      </c>
      <c r="H697" t="s">
        <v>3175</v>
      </c>
      <c r="I697" t="s">
        <v>154</v>
      </c>
      <c r="J697" t="s">
        <v>4073</v>
      </c>
      <c r="K697" t="s">
        <v>3176</v>
      </c>
      <c r="L697" t="s">
        <v>4074</v>
      </c>
    </row>
    <row r="698" spans="1:12">
      <c r="A698" t="s">
        <v>2707</v>
      </c>
      <c r="B698" t="s">
        <v>2557</v>
      </c>
      <c r="C698" t="s">
        <v>5198</v>
      </c>
      <c r="D698" t="s">
        <v>2555</v>
      </c>
      <c r="E698" t="s">
        <v>4747</v>
      </c>
      <c r="F698" t="s">
        <v>18</v>
      </c>
      <c r="G698" t="s">
        <v>2853</v>
      </c>
      <c r="H698" t="s">
        <v>3175</v>
      </c>
      <c r="I698" t="s">
        <v>154</v>
      </c>
      <c r="J698" t="s">
        <v>4073</v>
      </c>
      <c r="K698" t="s">
        <v>3176</v>
      </c>
      <c r="L698" t="s">
        <v>4074</v>
      </c>
    </row>
    <row r="699" spans="1:12">
      <c r="A699" t="s">
        <v>2708</v>
      </c>
      <c r="B699" t="s">
        <v>2557</v>
      </c>
      <c r="C699" t="s">
        <v>5199</v>
      </c>
      <c r="D699" t="s">
        <v>2555</v>
      </c>
      <c r="E699" t="s">
        <v>4748</v>
      </c>
      <c r="F699" t="s">
        <v>18</v>
      </c>
      <c r="G699" t="s">
        <v>2853</v>
      </c>
      <c r="H699" t="s">
        <v>3175</v>
      </c>
      <c r="I699" t="s">
        <v>154</v>
      </c>
      <c r="J699" t="s">
        <v>4073</v>
      </c>
      <c r="K699" t="s">
        <v>3176</v>
      </c>
      <c r="L699" t="s">
        <v>4074</v>
      </c>
    </row>
    <row r="700" spans="1:12">
      <c r="A700" t="s">
        <v>2711</v>
      </c>
      <c r="B700" t="s">
        <v>2557</v>
      </c>
      <c r="C700" t="s">
        <v>5200</v>
      </c>
      <c r="D700" t="s">
        <v>2555</v>
      </c>
      <c r="E700" t="s">
        <v>4749</v>
      </c>
      <c r="F700" t="s">
        <v>18</v>
      </c>
      <c r="G700" t="s">
        <v>2853</v>
      </c>
      <c r="H700" t="s">
        <v>3175</v>
      </c>
      <c r="I700" t="s">
        <v>154</v>
      </c>
      <c r="J700" t="s">
        <v>4073</v>
      </c>
      <c r="K700" t="s">
        <v>3176</v>
      </c>
      <c r="L700" t="s">
        <v>4074</v>
      </c>
    </row>
    <row r="701" spans="1:12">
      <c r="A701" t="s">
        <v>2710</v>
      </c>
      <c r="B701" t="s">
        <v>2557</v>
      </c>
      <c r="C701" t="s">
        <v>5201</v>
      </c>
      <c r="D701" t="s">
        <v>2555</v>
      </c>
      <c r="E701" t="s">
        <v>4750</v>
      </c>
      <c r="F701" t="s">
        <v>18</v>
      </c>
      <c r="G701" t="s">
        <v>2853</v>
      </c>
      <c r="H701" t="s">
        <v>3175</v>
      </c>
      <c r="I701" t="s">
        <v>154</v>
      </c>
      <c r="J701" t="s">
        <v>4073</v>
      </c>
      <c r="K701" t="s">
        <v>3176</v>
      </c>
      <c r="L701" t="s">
        <v>4074</v>
      </c>
    </row>
    <row r="702" spans="1:12">
      <c r="A702" t="s">
        <v>2714</v>
      </c>
      <c r="B702" t="s">
        <v>2557</v>
      </c>
      <c r="C702" t="s">
        <v>5202</v>
      </c>
      <c r="D702" t="s">
        <v>2555</v>
      </c>
      <c r="E702" t="s">
        <v>4751</v>
      </c>
      <c r="F702" t="s">
        <v>18</v>
      </c>
      <c r="G702" t="s">
        <v>2853</v>
      </c>
      <c r="H702" t="s">
        <v>3175</v>
      </c>
      <c r="I702" t="s">
        <v>154</v>
      </c>
      <c r="J702" t="s">
        <v>4073</v>
      </c>
      <c r="K702" t="s">
        <v>3176</v>
      </c>
      <c r="L702" t="s">
        <v>4074</v>
      </c>
    </row>
    <row r="703" spans="1:12">
      <c r="A703" t="s">
        <v>2712</v>
      </c>
      <c r="B703" t="s">
        <v>2557</v>
      </c>
      <c r="C703" t="s">
        <v>5203</v>
      </c>
      <c r="D703" t="s">
        <v>2555</v>
      </c>
      <c r="E703" t="s">
        <v>4752</v>
      </c>
      <c r="F703" t="s">
        <v>18</v>
      </c>
      <c r="G703" t="s">
        <v>2853</v>
      </c>
      <c r="H703" t="s">
        <v>3175</v>
      </c>
      <c r="I703" t="s">
        <v>154</v>
      </c>
      <c r="J703" t="s">
        <v>4073</v>
      </c>
      <c r="K703" t="s">
        <v>3176</v>
      </c>
      <c r="L703" t="s">
        <v>4074</v>
      </c>
    </row>
    <row r="704" spans="1:12">
      <c r="A704" t="s">
        <v>2713</v>
      </c>
      <c r="B704" t="s">
        <v>2557</v>
      </c>
      <c r="C704" t="s">
        <v>5204</v>
      </c>
      <c r="D704" t="s">
        <v>2555</v>
      </c>
      <c r="E704" t="s">
        <v>4753</v>
      </c>
      <c r="F704" t="s">
        <v>18</v>
      </c>
      <c r="G704" t="s">
        <v>2853</v>
      </c>
      <c r="H704" t="s">
        <v>3175</v>
      </c>
      <c r="I704" t="s">
        <v>154</v>
      </c>
      <c r="J704" t="s">
        <v>4073</v>
      </c>
      <c r="K704" t="s">
        <v>3176</v>
      </c>
      <c r="L704" t="s">
        <v>4074</v>
      </c>
    </row>
    <row r="705" spans="1:12">
      <c r="A705" t="s">
        <v>2717</v>
      </c>
      <c r="B705" t="s">
        <v>2557</v>
      </c>
      <c r="C705" t="s">
        <v>5205</v>
      </c>
      <c r="D705" t="s">
        <v>2555</v>
      </c>
      <c r="E705" t="s">
        <v>4754</v>
      </c>
      <c r="F705" t="s">
        <v>18</v>
      </c>
      <c r="G705" t="s">
        <v>2853</v>
      </c>
      <c r="H705" t="s">
        <v>3175</v>
      </c>
      <c r="I705" t="s">
        <v>154</v>
      </c>
      <c r="J705" t="s">
        <v>4073</v>
      </c>
      <c r="K705" t="s">
        <v>3176</v>
      </c>
      <c r="L705" t="s">
        <v>4074</v>
      </c>
    </row>
    <row r="706" spans="1:12">
      <c r="A706" t="s">
        <v>2715</v>
      </c>
      <c r="B706" t="s">
        <v>2557</v>
      </c>
      <c r="C706" t="s">
        <v>5206</v>
      </c>
      <c r="D706" t="s">
        <v>2555</v>
      </c>
      <c r="E706" t="s">
        <v>4755</v>
      </c>
      <c r="F706" t="s">
        <v>18</v>
      </c>
      <c r="G706" t="s">
        <v>2853</v>
      </c>
      <c r="H706" t="s">
        <v>3175</v>
      </c>
      <c r="I706" t="s">
        <v>154</v>
      </c>
      <c r="J706" t="s">
        <v>4073</v>
      </c>
      <c r="K706" t="s">
        <v>3176</v>
      </c>
      <c r="L706" t="s">
        <v>4074</v>
      </c>
    </row>
    <row r="707" spans="1:12">
      <c r="A707" t="s">
        <v>2716</v>
      </c>
      <c r="B707" t="s">
        <v>2557</v>
      </c>
      <c r="C707" t="s">
        <v>5207</v>
      </c>
      <c r="D707" t="s">
        <v>2555</v>
      </c>
      <c r="E707" t="s">
        <v>4756</v>
      </c>
      <c r="F707" t="s">
        <v>18</v>
      </c>
      <c r="G707" t="s">
        <v>2853</v>
      </c>
      <c r="H707" t="s">
        <v>3175</v>
      </c>
      <c r="I707" t="s">
        <v>154</v>
      </c>
      <c r="J707" t="s">
        <v>4073</v>
      </c>
      <c r="K707" t="s">
        <v>3176</v>
      </c>
      <c r="L707" t="s">
        <v>4074</v>
      </c>
    </row>
    <row r="708" spans="1:12">
      <c r="A708" t="s">
        <v>2719</v>
      </c>
      <c r="B708" t="s">
        <v>2557</v>
      </c>
      <c r="C708" t="s">
        <v>5208</v>
      </c>
      <c r="D708" t="s">
        <v>2555</v>
      </c>
      <c r="E708" t="s">
        <v>4757</v>
      </c>
      <c r="F708" t="s">
        <v>18</v>
      </c>
      <c r="G708" t="s">
        <v>2853</v>
      </c>
      <c r="H708" t="s">
        <v>3175</v>
      </c>
      <c r="I708" t="s">
        <v>154</v>
      </c>
      <c r="J708" t="s">
        <v>4073</v>
      </c>
      <c r="K708" t="s">
        <v>3176</v>
      </c>
      <c r="L708" t="s">
        <v>4074</v>
      </c>
    </row>
    <row r="709" spans="1:12">
      <c r="A709" t="s">
        <v>2720</v>
      </c>
      <c r="B709" t="s">
        <v>2557</v>
      </c>
      <c r="C709" t="s">
        <v>5209</v>
      </c>
      <c r="D709" t="s">
        <v>2555</v>
      </c>
      <c r="E709" t="s">
        <v>4758</v>
      </c>
      <c r="F709" t="s">
        <v>18</v>
      </c>
      <c r="G709" t="s">
        <v>2853</v>
      </c>
      <c r="H709" t="s">
        <v>3175</v>
      </c>
      <c r="I709" t="s">
        <v>154</v>
      </c>
      <c r="J709" t="s">
        <v>4073</v>
      </c>
      <c r="K709" t="s">
        <v>3176</v>
      </c>
      <c r="L709" t="s">
        <v>4074</v>
      </c>
    </row>
    <row r="710" spans="1:12">
      <c r="A710" t="s">
        <v>2718</v>
      </c>
      <c r="B710" t="s">
        <v>2557</v>
      </c>
      <c r="C710" t="s">
        <v>5210</v>
      </c>
      <c r="D710" t="s">
        <v>2555</v>
      </c>
      <c r="E710" t="s">
        <v>4759</v>
      </c>
      <c r="F710" t="s">
        <v>18</v>
      </c>
      <c r="G710" t="s">
        <v>2853</v>
      </c>
      <c r="H710" t="s">
        <v>3175</v>
      </c>
      <c r="I710" t="s">
        <v>154</v>
      </c>
      <c r="J710" t="s">
        <v>4073</v>
      </c>
      <c r="K710" t="s">
        <v>3176</v>
      </c>
      <c r="L710" t="s">
        <v>4074</v>
      </c>
    </row>
    <row r="711" spans="1:12">
      <c r="A711" t="s">
        <v>2722</v>
      </c>
      <c r="B711" t="s">
        <v>2557</v>
      </c>
      <c r="C711" t="s">
        <v>5211</v>
      </c>
      <c r="D711" t="s">
        <v>2555</v>
      </c>
      <c r="E711" t="s">
        <v>4760</v>
      </c>
      <c r="F711" t="s">
        <v>18</v>
      </c>
      <c r="G711" t="s">
        <v>2853</v>
      </c>
      <c r="H711" t="s">
        <v>3175</v>
      </c>
      <c r="I711" t="s">
        <v>154</v>
      </c>
      <c r="J711" t="s">
        <v>4073</v>
      </c>
      <c r="K711" t="s">
        <v>3176</v>
      </c>
      <c r="L711" t="s">
        <v>4074</v>
      </c>
    </row>
    <row r="712" spans="1:12">
      <c r="A712" t="s">
        <v>2721</v>
      </c>
      <c r="B712" t="s">
        <v>2557</v>
      </c>
      <c r="C712" t="s">
        <v>5212</v>
      </c>
      <c r="D712" t="s">
        <v>2555</v>
      </c>
      <c r="E712" t="s">
        <v>4761</v>
      </c>
      <c r="F712" t="s">
        <v>18</v>
      </c>
      <c r="G712" t="s">
        <v>2853</v>
      </c>
      <c r="H712" t="s">
        <v>3175</v>
      </c>
      <c r="I712" t="s">
        <v>154</v>
      </c>
      <c r="J712" t="s">
        <v>4073</v>
      </c>
      <c r="K712" t="s">
        <v>3176</v>
      </c>
      <c r="L712" t="s">
        <v>4074</v>
      </c>
    </row>
    <row r="713" spans="1:12">
      <c r="A713" t="s">
        <v>2640</v>
      </c>
      <c r="B713" t="s">
        <v>2477</v>
      </c>
      <c r="C713" t="s">
        <v>4762</v>
      </c>
      <c r="D713" t="s">
        <v>4763</v>
      </c>
      <c r="E713" t="s">
        <v>4764</v>
      </c>
      <c r="F713" t="s">
        <v>18</v>
      </c>
      <c r="G713" t="s">
        <v>2853</v>
      </c>
      <c r="H713" t="s">
        <v>3175</v>
      </c>
      <c r="I713" t="s">
        <v>154</v>
      </c>
      <c r="J713" t="s">
        <v>4765</v>
      </c>
      <c r="K713" t="s">
        <v>3176</v>
      </c>
      <c r="L713" t="s">
        <v>63</v>
      </c>
    </row>
    <row r="714" spans="1:12">
      <c r="A714" t="s">
        <v>2641</v>
      </c>
      <c r="B714" t="s">
        <v>2477</v>
      </c>
      <c r="C714" t="s">
        <v>4766</v>
      </c>
      <c r="D714" t="s">
        <v>4767</v>
      </c>
      <c r="E714" t="s">
        <v>4768</v>
      </c>
      <c r="F714" t="s">
        <v>18</v>
      </c>
      <c r="G714" t="s">
        <v>2853</v>
      </c>
      <c r="H714" t="s">
        <v>3175</v>
      </c>
      <c r="I714" t="s">
        <v>154</v>
      </c>
      <c r="J714" t="s">
        <v>4765</v>
      </c>
      <c r="K714" t="s">
        <v>3176</v>
      </c>
      <c r="L714" t="s">
        <v>63</v>
      </c>
    </row>
    <row r="715" spans="1:12">
      <c r="A715" t="s">
        <v>2642</v>
      </c>
      <c r="B715" t="s">
        <v>2477</v>
      </c>
      <c r="C715" t="s">
        <v>4769</v>
      </c>
      <c r="D715" t="s">
        <v>4770</v>
      </c>
      <c r="E715" t="s">
        <v>4771</v>
      </c>
      <c r="F715" t="s">
        <v>18</v>
      </c>
      <c r="G715" t="s">
        <v>2853</v>
      </c>
      <c r="H715" t="s">
        <v>3175</v>
      </c>
      <c r="I715" t="s">
        <v>154</v>
      </c>
      <c r="J715" t="s">
        <v>4765</v>
      </c>
      <c r="K715" t="s">
        <v>3176</v>
      </c>
      <c r="L715" t="s">
        <v>63</v>
      </c>
    </row>
    <row r="716" spans="1:12">
      <c r="A716" t="s">
        <v>2643</v>
      </c>
      <c r="B716" t="s">
        <v>2477</v>
      </c>
      <c r="C716" t="s">
        <v>4772</v>
      </c>
      <c r="D716" t="s">
        <v>4773</v>
      </c>
      <c r="E716" t="s">
        <v>4774</v>
      </c>
      <c r="F716" t="s">
        <v>18</v>
      </c>
      <c r="G716" t="s">
        <v>2853</v>
      </c>
      <c r="H716" t="s">
        <v>3175</v>
      </c>
      <c r="I716" t="s">
        <v>154</v>
      </c>
      <c r="J716" t="s">
        <v>4765</v>
      </c>
      <c r="K716" t="s">
        <v>3176</v>
      </c>
      <c r="L716" t="s">
        <v>63</v>
      </c>
    </row>
    <row r="717" spans="1:12">
      <c r="A717" t="s">
        <v>2644</v>
      </c>
      <c r="B717" t="s">
        <v>2477</v>
      </c>
      <c r="C717" t="s">
        <v>4775</v>
      </c>
      <c r="D717" t="s">
        <v>4776</v>
      </c>
      <c r="E717" t="s">
        <v>4777</v>
      </c>
      <c r="F717" t="s">
        <v>18</v>
      </c>
      <c r="G717" t="s">
        <v>2853</v>
      </c>
      <c r="H717" t="s">
        <v>3175</v>
      </c>
      <c r="I717" t="s">
        <v>154</v>
      </c>
      <c r="J717" t="s">
        <v>4765</v>
      </c>
      <c r="K717" t="s">
        <v>3176</v>
      </c>
      <c r="L717" t="s">
        <v>63</v>
      </c>
    </row>
    <row r="718" spans="1:12">
      <c r="A718" t="s">
        <v>2645</v>
      </c>
      <c r="B718" t="s">
        <v>2477</v>
      </c>
      <c r="C718" t="s">
        <v>4778</v>
      </c>
      <c r="D718" t="s">
        <v>4779</v>
      </c>
      <c r="E718" t="s">
        <v>4780</v>
      </c>
      <c r="F718" t="s">
        <v>18</v>
      </c>
      <c r="G718" t="s">
        <v>2853</v>
      </c>
      <c r="H718" t="s">
        <v>3175</v>
      </c>
      <c r="I718" t="s">
        <v>154</v>
      </c>
      <c r="J718" t="s">
        <v>4765</v>
      </c>
      <c r="K718" t="s">
        <v>3176</v>
      </c>
      <c r="L718" t="s">
        <v>63</v>
      </c>
    </row>
    <row r="719" spans="1:12">
      <c r="A719" t="s">
        <v>2646</v>
      </c>
      <c r="B719" t="s">
        <v>2477</v>
      </c>
      <c r="C719" t="s">
        <v>4781</v>
      </c>
      <c r="D719" t="s">
        <v>4782</v>
      </c>
      <c r="E719" t="s">
        <v>4783</v>
      </c>
      <c r="F719" t="s">
        <v>18</v>
      </c>
      <c r="G719" t="s">
        <v>2853</v>
      </c>
      <c r="H719" t="s">
        <v>3175</v>
      </c>
      <c r="I719" t="s">
        <v>154</v>
      </c>
      <c r="J719" t="s">
        <v>4765</v>
      </c>
      <c r="K719" t="s">
        <v>3176</v>
      </c>
      <c r="L719" t="s">
        <v>63</v>
      </c>
    </row>
    <row r="720" spans="1:12">
      <c r="A720" t="s">
        <v>2647</v>
      </c>
      <c r="B720" t="s">
        <v>2477</v>
      </c>
      <c r="C720" t="s">
        <v>4784</v>
      </c>
      <c r="D720" t="s">
        <v>4785</v>
      </c>
      <c r="E720" t="s">
        <v>4786</v>
      </c>
      <c r="F720" t="s">
        <v>18</v>
      </c>
      <c r="G720" t="s">
        <v>2853</v>
      </c>
      <c r="H720" t="s">
        <v>3175</v>
      </c>
      <c r="I720" t="s">
        <v>154</v>
      </c>
      <c r="J720" t="s">
        <v>4765</v>
      </c>
      <c r="K720" t="s">
        <v>3176</v>
      </c>
      <c r="L720" t="s">
        <v>63</v>
      </c>
    </row>
    <row r="721" spans="1:12">
      <c r="A721" t="s">
        <v>2648</v>
      </c>
      <c r="B721" t="s">
        <v>2477</v>
      </c>
      <c r="C721" t="s">
        <v>4787</v>
      </c>
      <c r="D721" t="s">
        <v>4788</v>
      </c>
      <c r="E721" t="s">
        <v>4789</v>
      </c>
      <c r="F721" t="s">
        <v>18</v>
      </c>
      <c r="G721" t="s">
        <v>2853</v>
      </c>
      <c r="H721" t="s">
        <v>3175</v>
      </c>
      <c r="I721" t="s">
        <v>154</v>
      </c>
      <c r="J721" t="s">
        <v>4765</v>
      </c>
      <c r="K721" t="s">
        <v>3176</v>
      </c>
      <c r="L721" t="s">
        <v>63</v>
      </c>
    </row>
    <row r="722" spans="1:12">
      <c r="A722" t="s">
        <v>2649</v>
      </c>
      <c r="B722" t="s">
        <v>2477</v>
      </c>
      <c r="C722" t="s">
        <v>4790</v>
      </c>
      <c r="D722" t="s">
        <v>4791</v>
      </c>
      <c r="E722" t="s">
        <v>4792</v>
      </c>
      <c r="F722" t="s">
        <v>18</v>
      </c>
      <c r="G722" t="s">
        <v>2853</v>
      </c>
      <c r="H722" t="s">
        <v>3175</v>
      </c>
      <c r="I722" t="s">
        <v>154</v>
      </c>
      <c r="J722" t="s">
        <v>4765</v>
      </c>
      <c r="K722" t="s">
        <v>3176</v>
      </c>
      <c r="L722" t="s">
        <v>63</v>
      </c>
    </row>
    <row r="723" spans="1:12">
      <c r="A723" t="s">
        <v>2650</v>
      </c>
      <c r="B723" t="s">
        <v>2477</v>
      </c>
      <c r="C723" t="s">
        <v>4793</v>
      </c>
      <c r="D723" t="s">
        <v>4794</v>
      </c>
      <c r="E723" t="s">
        <v>4795</v>
      </c>
      <c r="F723" t="s">
        <v>18</v>
      </c>
      <c r="G723" t="s">
        <v>2853</v>
      </c>
      <c r="H723" t="s">
        <v>3175</v>
      </c>
      <c r="I723" t="s">
        <v>154</v>
      </c>
      <c r="J723" t="s">
        <v>4765</v>
      </c>
      <c r="K723" t="s">
        <v>3176</v>
      </c>
      <c r="L723" t="s">
        <v>63</v>
      </c>
    </row>
    <row r="724" spans="1:12">
      <c r="A724" t="s">
        <v>2651</v>
      </c>
      <c r="B724" t="s">
        <v>2477</v>
      </c>
      <c r="C724" t="s">
        <v>4796</v>
      </c>
      <c r="D724" t="s">
        <v>4797</v>
      </c>
      <c r="E724" t="s">
        <v>4798</v>
      </c>
      <c r="F724" t="s">
        <v>18</v>
      </c>
      <c r="G724" t="s">
        <v>2853</v>
      </c>
      <c r="H724" t="s">
        <v>3175</v>
      </c>
      <c r="I724" t="s">
        <v>154</v>
      </c>
      <c r="J724" t="s">
        <v>4765</v>
      </c>
      <c r="K724" t="s">
        <v>3176</v>
      </c>
      <c r="L724" t="s">
        <v>63</v>
      </c>
    </row>
    <row r="725" spans="1:12">
      <c r="A725" t="s">
        <v>2652</v>
      </c>
      <c r="B725" t="s">
        <v>2477</v>
      </c>
      <c r="C725" t="s">
        <v>4799</v>
      </c>
      <c r="D725" t="s">
        <v>4800</v>
      </c>
      <c r="E725" t="s">
        <v>4801</v>
      </c>
      <c r="F725" t="s">
        <v>18</v>
      </c>
      <c r="G725" t="s">
        <v>2853</v>
      </c>
      <c r="H725" t="s">
        <v>3175</v>
      </c>
      <c r="I725" t="s">
        <v>154</v>
      </c>
      <c r="J725" t="s">
        <v>4765</v>
      </c>
      <c r="K725" t="s">
        <v>3176</v>
      </c>
      <c r="L725" t="s">
        <v>63</v>
      </c>
    </row>
    <row r="726" spans="1:12">
      <c r="A726" t="s">
        <v>2653</v>
      </c>
      <c r="B726" t="s">
        <v>2477</v>
      </c>
      <c r="C726" t="s">
        <v>4802</v>
      </c>
      <c r="D726" t="s">
        <v>4803</v>
      </c>
      <c r="E726" t="s">
        <v>4804</v>
      </c>
      <c r="F726" t="s">
        <v>18</v>
      </c>
      <c r="G726" t="s">
        <v>2853</v>
      </c>
      <c r="H726" t="s">
        <v>3175</v>
      </c>
      <c r="I726" t="s">
        <v>154</v>
      </c>
      <c r="J726" t="s">
        <v>4765</v>
      </c>
      <c r="K726" t="s">
        <v>3176</v>
      </c>
      <c r="L726" t="s">
        <v>63</v>
      </c>
    </row>
    <row r="727" spans="1:12">
      <c r="A727" t="s">
        <v>2867</v>
      </c>
      <c r="B727" t="s">
        <v>2565</v>
      </c>
      <c r="C727" t="s">
        <v>2868</v>
      </c>
      <c r="D727" t="s">
        <v>2566</v>
      </c>
      <c r="E727" t="s">
        <v>4805</v>
      </c>
      <c r="F727" t="s">
        <v>18</v>
      </c>
      <c r="G727" t="s">
        <v>2853</v>
      </c>
      <c r="H727" t="s">
        <v>3175</v>
      </c>
      <c r="I727" t="s">
        <v>154</v>
      </c>
      <c r="J727" t="s">
        <v>4073</v>
      </c>
      <c r="K727" t="s">
        <v>3176</v>
      </c>
      <c r="L727" t="s">
        <v>4074</v>
      </c>
    </row>
    <row r="728" spans="1:12">
      <c r="A728" t="s">
        <v>4806</v>
      </c>
      <c r="B728" t="s">
        <v>4807</v>
      </c>
      <c r="C728" t="s">
        <v>4808</v>
      </c>
      <c r="D728" t="s">
        <v>4809</v>
      </c>
      <c r="E728" t="s">
        <v>4810</v>
      </c>
      <c r="F728" t="s">
        <v>18</v>
      </c>
      <c r="G728" t="s">
        <v>2853</v>
      </c>
      <c r="H728" t="s">
        <v>3175</v>
      </c>
      <c r="I728" t="s">
        <v>154</v>
      </c>
      <c r="J728" t="s">
        <v>4073</v>
      </c>
      <c r="K728" t="s">
        <v>3176</v>
      </c>
      <c r="L728" t="s">
        <v>4074</v>
      </c>
    </row>
    <row r="729" spans="1:12">
      <c r="A729" t="s">
        <v>4811</v>
      </c>
      <c r="B729" t="s">
        <v>2871</v>
      </c>
      <c r="C729" t="s">
        <v>4812</v>
      </c>
      <c r="D729" t="s">
        <v>2872</v>
      </c>
      <c r="E729" t="s">
        <v>4813</v>
      </c>
      <c r="F729" t="s">
        <v>18</v>
      </c>
      <c r="G729" t="s">
        <v>2853</v>
      </c>
      <c r="H729" t="s">
        <v>3175</v>
      </c>
      <c r="I729" t="s">
        <v>154</v>
      </c>
      <c r="J729" t="s">
        <v>4073</v>
      </c>
      <c r="K729" t="s">
        <v>3176</v>
      </c>
      <c r="L729" t="s">
        <v>4074</v>
      </c>
    </row>
    <row r="730" spans="1:12">
      <c r="A730" t="s">
        <v>4814</v>
      </c>
      <c r="B730" t="s">
        <v>2873</v>
      </c>
      <c r="C730" t="s">
        <v>4815</v>
      </c>
      <c r="D730" t="s">
        <v>2875</v>
      </c>
      <c r="E730" t="s">
        <v>4816</v>
      </c>
      <c r="F730" t="s">
        <v>18</v>
      </c>
      <c r="G730" t="s">
        <v>2853</v>
      </c>
      <c r="H730" t="s">
        <v>3175</v>
      </c>
      <c r="I730" t="s">
        <v>154</v>
      </c>
      <c r="J730" t="s">
        <v>4073</v>
      </c>
      <c r="K730" t="s">
        <v>3176</v>
      </c>
      <c r="L730" t="s">
        <v>4074</v>
      </c>
    </row>
    <row r="731" spans="1:12">
      <c r="A731" t="s">
        <v>4817</v>
      </c>
      <c r="B731" t="s">
        <v>2876</v>
      </c>
      <c r="C731" t="s">
        <v>4818</v>
      </c>
      <c r="D731" t="s">
        <v>2874</v>
      </c>
      <c r="E731" t="s">
        <v>4819</v>
      </c>
      <c r="F731" t="s">
        <v>18</v>
      </c>
      <c r="G731" t="s">
        <v>2853</v>
      </c>
      <c r="H731" t="s">
        <v>3237</v>
      </c>
      <c r="I731" t="s">
        <v>154</v>
      </c>
      <c r="J731" t="s">
        <v>4073</v>
      </c>
      <c r="K731" t="s">
        <v>3176</v>
      </c>
      <c r="L731" t="s">
        <v>4074</v>
      </c>
    </row>
    <row r="732" spans="1:12">
      <c r="A732" t="s">
        <v>4820</v>
      </c>
      <c r="B732" t="s">
        <v>2569</v>
      </c>
      <c r="C732" t="s">
        <v>2885</v>
      </c>
      <c r="D732" t="s">
        <v>2886</v>
      </c>
      <c r="E732" t="s">
        <v>4821</v>
      </c>
      <c r="F732" t="s">
        <v>18</v>
      </c>
      <c r="G732" t="s">
        <v>2853</v>
      </c>
      <c r="H732" t="s">
        <v>3175</v>
      </c>
      <c r="I732" t="s">
        <v>154</v>
      </c>
      <c r="J732" t="s">
        <v>4073</v>
      </c>
      <c r="K732" t="s">
        <v>3176</v>
      </c>
      <c r="L732" t="s">
        <v>4074</v>
      </c>
    </row>
    <row r="733" spans="1:12">
      <c r="A733" t="s">
        <v>2953</v>
      </c>
      <c r="B733" t="s">
        <v>4822</v>
      </c>
      <c r="C733" t="s">
        <v>2952</v>
      </c>
      <c r="D733" t="s">
        <v>4823</v>
      </c>
      <c r="E733" t="s">
        <v>4824</v>
      </c>
      <c r="F733" t="s">
        <v>18</v>
      </c>
      <c r="G733" t="s">
        <v>3687</v>
      </c>
      <c r="H733" t="s">
        <v>3237</v>
      </c>
      <c r="I733" t="s">
        <v>154</v>
      </c>
      <c r="J733" t="s">
        <v>3688</v>
      </c>
      <c r="K733" t="s">
        <v>3724</v>
      </c>
      <c r="L733" t="s">
        <v>4074</v>
      </c>
    </row>
    <row r="734" spans="1:12">
      <c r="A734" t="s">
        <v>2956</v>
      </c>
      <c r="B734" t="s">
        <v>4822</v>
      </c>
      <c r="C734" t="s">
        <v>2955</v>
      </c>
      <c r="D734" t="s">
        <v>4823</v>
      </c>
      <c r="E734" t="s">
        <v>4825</v>
      </c>
      <c r="F734" t="s">
        <v>18</v>
      </c>
      <c r="G734" t="s">
        <v>3687</v>
      </c>
      <c r="H734" t="s">
        <v>3237</v>
      </c>
      <c r="I734" t="s">
        <v>154</v>
      </c>
      <c r="J734" t="s">
        <v>3688</v>
      </c>
      <c r="K734" t="s">
        <v>3724</v>
      </c>
      <c r="L734" t="s">
        <v>4074</v>
      </c>
    </row>
    <row r="735" spans="1:12">
      <c r="A735" t="s">
        <v>2879</v>
      </c>
      <c r="B735" t="s">
        <v>2571</v>
      </c>
      <c r="C735" t="s">
        <v>2574</v>
      </c>
      <c r="D735" t="s">
        <v>2881</v>
      </c>
      <c r="E735" t="s">
        <v>4826</v>
      </c>
      <c r="F735" t="s">
        <v>18</v>
      </c>
      <c r="G735" t="s">
        <v>2853</v>
      </c>
      <c r="H735" t="s">
        <v>3237</v>
      </c>
      <c r="I735" t="s">
        <v>154</v>
      </c>
      <c r="J735" t="s">
        <v>4073</v>
      </c>
      <c r="K735" t="s">
        <v>3176</v>
      </c>
      <c r="L735" t="s">
        <v>4074</v>
      </c>
    </row>
    <row r="736" spans="1:12">
      <c r="A736" t="s">
        <v>4827</v>
      </c>
      <c r="B736" t="s">
        <v>2024</v>
      </c>
      <c r="C736" t="s">
        <v>2900</v>
      </c>
      <c r="D736" t="s">
        <v>4828</v>
      </c>
      <c r="E736" t="s">
        <v>5213</v>
      </c>
      <c r="F736" t="s">
        <v>21</v>
      </c>
      <c r="G736" t="s">
        <v>4829</v>
      </c>
    </row>
    <row r="737" spans="1:7">
      <c r="A737" t="s">
        <v>4830</v>
      </c>
      <c r="B737" t="s">
        <v>2024</v>
      </c>
      <c r="C737" t="s">
        <v>4831</v>
      </c>
      <c r="D737" t="s">
        <v>4832</v>
      </c>
      <c r="E737" t="s">
        <v>5214</v>
      </c>
      <c r="F737" t="s">
        <v>21</v>
      </c>
      <c r="G737" t="s">
        <v>2853</v>
      </c>
    </row>
    <row r="738" spans="1:7">
      <c r="A738" t="s">
        <v>2740</v>
      </c>
      <c r="D738" t="s">
        <v>4833</v>
      </c>
      <c r="E738" t="s">
        <v>5215</v>
      </c>
      <c r="F738" t="s">
        <v>18</v>
      </c>
      <c r="G738" t="s">
        <v>2853</v>
      </c>
    </row>
    <row r="739" spans="1:7">
      <c r="A739" t="s">
        <v>2626</v>
      </c>
      <c r="D739" t="s">
        <v>4834</v>
      </c>
      <c r="E739" t="s">
        <v>5216</v>
      </c>
      <c r="F739" t="s">
        <v>18</v>
      </c>
      <c r="G739" t="s">
        <v>2853</v>
      </c>
    </row>
    <row r="740" spans="1:7">
      <c r="A740" t="s">
        <v>2741</v>
      </c>
      <c r="D740" t="s">
        <v>4835</v>
      </c>
      <c r="E740" t="s">
        <v>5217</v>
      </c>
      <c r="F740" t="s">
        <v>18</v>
      </c>
      <c r="G740" t="s">
        <v>2853</v>
      </c>
    </row>
    <row r="741" spans="1:7">
      <c r="A741" t="s">
        <v>476</v>
      </c>
      <c r="D741" t="s">
        <v>477</v>
      </c>
      <c r="E741" t="s">
        <v>2453</v>
      </c>
      <c r="F741" t="s">
        <v>18</v>
      </c>
      <c r="G741" t="s">
        <v>2853</v>
      </c>
    </row>
    <row r="742" spans="1:7">
      <c r="A742" t="s">
        <v>464</v>
      </c>
      <c r="D742" t="s">
        <v>465</v>
      </c>
      <c r="E742" t="s">
        <v>5218</v>
      </c>
      <c r="F742" t="s">
        <v>18</v>
      </c>
      <c r="G742" t="s">
        <v>2853</v>
      </c>
    </row>
    <row r="743" spans="1:7">
      <c r="A743" t="s">
        <v>416</v>
      </c>
      <c r="D743" t="s">
        <v>417</v>
      </c>
      <c r="E743" t="s">
        <v>5219</v>
      </c>
      <c r="F743" t="s">
        <v>18</v>
      </c>
      <c r="G743" t="s">
        <v>2853</v>
      </c>
    </row>
    <row r="744" spans="1:7">
      <c r="A744" t="s">
        <v>2593</v>
      </c>
      <c r="D744" t="s">
        <v>4836</v>
      </c>
      <c r="E744" t="s">
        <v>5220</v>
      </c>
      <c r="F744" t="s">
        <v>18</v>
      </c>
      <c r="G744" t="s">
        <v>2853</v>
      </c>
    </row>
    <row r="745" spans="1:7">
      <c r="A745" t="s">
        <v>2594</v>
      </c>
      <c r="D745" t="s">
        <v>4837</v>
      </c>
      <c r="E745" t="s">
        <v>5221</v>
      </c>
      <c r="F745" t="s">
        <v>18</v>
      </c>
      <c r="G745" t="s">
        <v>2853</v>
      </c>
    </row>
    <row r="746" spans="1:7">
      <c r="A746" t="s">
        <v>2595</v>
      </c>
      <c r="D746" t="s">
        <v>4838</v>
      </c>
      <c r="E746" t="s">
        <v>5222</v>
      </c>
      <c r="F746" t="s">
        <v>18</v>
      </c>
      <c r="G746" t="s">
        <v>2853</v>
      </c>
    </row>
    <row r="747" spans="1:7">
      <c r="A747" t="s">
        <v>2596</v>
      </c>
      <c r="D747" t="s">
        <v>4838</v>
      </c>
      <c r="E747" t="s">
        <v>5223</v>
      </c>
      <c r="F747" t="s">
        <v>18</v>
      </c>
      <c r="G747" t="s">
        <v>2853</v>
      </c>
    </row>
    <row r="748" spans="1:7">
      <c r="A748" t="s">
        <v>2597</v>
      </c>
      <c r="D748" t="s">
        <v>4839</v>
      </c>
      <c r="E748" t="s">
        <v>5224</v>
      </c>
      <c r="F748" t="s">
        <v>18</v>
      </c>
      <c r="G748" t="s">
        <v>2853</v>
      </c>
    </row>
    <row r="749" spans="1:7">
      <c r="A749" t="s">
        <v>2598</v>
      </c>
      <c r="D749" t="s">
        <v>4840</v>
      </c>
      <c r="E749" t="s">
        <v>5225</v>
      </c>
      <c r="F749" t="s">
        <v>18</v>
      </c>
      <c r="G749" t="s">
        <v>2853</v>
      </c>
    </row>
    <row r="750" spans="1:7">
      <c r="A750" t="s">
        <v>2599</v>
      </c>
      <c r="D750" t="s">
        <v>4841</v>
      </c>
      <c r="E750" t="s">
        <v>5226</v>
      </c>
      <c r="F750" t="s">
        <v>18</v>
      </c>
      <c r="G750" t="s">
        <v>2853</v>
      </c>
    </row>
    <row r="751" spans="1:7">
      <c r="A751" t="s">
        <v>2600</v>
      </c>
      <c r="D751" t="s">
        <v>4842</v>
      </c>
      <c r="E751" t="s">
        <v>5227</v>
      </c>
      <c r="F751" t="s">
        <v>18</v>
      </c>
      <c r="G751" t="s">
        <v>2853</v>
      </c>
    </row>
    <row r="752" spans="1:7">
      <c r="A752" t="s">
        <v>2601</v>
      </c>
      <c r="D752" t="s">
        <v>4843</v>
      </c>
      <c r="E752" t="s">
        <v>5228</v>
      </c>
      <c r="F752" t="s">
        <v>18</v>
      </c>
      <c r="G752" t="s">
        <v>2853</v>
      </c>
    </row>
    <row r="753" spans="1:7">
      <c r="A753" t="s">
        <v>2602</v>
      </c>
      <c r="D753" t="s">
        <v>4844</v>
      </c>
      <c r="E753" t="s">
        <v>5229</v>
      </c>
      <c r="F753" t="s">
        <v>18</v>
      </c>
      <c r="G753" t="s">
        <v>2853</v>
      </c>
    </row>
    <row r="754" spans="1:7">
      <c r="A754" t="s">
        <v>2603</v>
      </c>
      <c r="D754" t="s">
        <v>4844</v>
      </c>
      <c r="E754" t="s">
        <v>5230</v>
      </c>
      <c r="F754" t="s">
        <v>18</v>
      </c>
      <c r="G754" t="s">
        <v>2853</v>
      </c>
    </row>
    <row r="755" spans="1:7">
      <c r="A755" t="s">
        <v>2604</v>
      </c>
      <c r="D755" t="s">
        <v>4845</v>
      </c>
      <c r="E755" t="s">
        <v>5231</v>
      </c>
      <c r="F755" t="s">
        <v>18</v>
      </c>
      <c r="G755" t="s">
        <v>2853</v>
      </c>
    </row>
    <row r="756" spans="1:7">
      <c r="A756" t="s">
        <v>2605</v>
      </c>
      <c r="D756" t="s">
        <v>4846</v>
      </c>
      <c r="E756" t="s">
        <v>5232</v>
      </c>
      <c r="F756" t="s">
        <v>18</v>
      </c>
      <c r="G756" t="s">
        <v>2853</v>
      </c>
    </row>
    <row r="757" spans="1:7">
      <c r="A757" t="s">
        <v>2606</v>
      </c>
      <c r="D757" t="s">
        <v>4847</v>
      </c>
      <c r="E757" t="s">
        <v>5233</v>
      </c>
      <c r="F757" t="s">
        <v>18</v>
      </c>
      <c r="G757" t="s">
        <v>2853</v>
      </c>
    </row>
    <row r="758" spans="1:7">
      <c r="A758" t="s">
        <v>2607</v>
      </c>
      <c r="D758" t="s">
        <v>4848</v>
      </c>
      <c r="E758" t="s">
        <v>5234</v>
      </c>
      <c r="F758" t="s">
        <v>18</v>
      </c>
      <c r="G758" t="s">
        <v>2853</v>
      </c>
    </row>
    <row r="759" spans="1:7">
      <c r="A759" t="s">
        <v>2608</v>
      </c>
      <c r="D759" t="s">
        <v>4849</v>
      </c>
      <c r="E759" t="s">
        <v>5235</v>
      </c>
      <c r="F759" t="s">
        <v>18</v>
      </c>
      <c r="G759" t="s">
        <v>2853</v>
      </c>
    </row>
    <row r="760" spans="1:7">
      <c r="A760" t="s">
        <v>2609</v>
      </c>
      <c r="D760" t="s">
        <v>4849</v>
      </c>
      <c r="E760" t="s">
        <v>5236</v>
      </c>
      <c r="F760" t="s">
        <v>18</v>
      </c>
      <c r="G760" t="s">
        <v>2853</v>
      </c>
    </row>
    <row r="761" spans="1:7">
      <c r="A761" t="s">
        <v>2610</v>
      </c>
      <c r="D761" t="s">
        <v>4850</v>
      </c>
      <c r="E761" t="s">
        <v>5237</v>
      </c>
      <c r="F761" t="s">
        <v>18</v>
      </c>
      <c r="G761" t="s">
        <v>2853</v>
      </c>
    </row>
    <row r="762" spans="1:7">
      <c r="A762" t="s">
        <v>2611</v>
      </c>
      <c r="D762" t="s">
        <v>4851</v>
      </c>
      <c r="E762" t="s">
        <v>5238</v>
      </c>
      <c r="F762" t="s">
        <v>18</v>
      </c>
      <c r="G762" t="s">
        <v>2853</v>
      </c>
    </row>
    <row r="763" spans="1:7">
      <c r="A763" t="s">
        <v>2582</v>
      </c>
      <c r="D763" t="s">
        <v>4852</v>
      </c>
      <c r="E763" t="s">
        <v>5239</v>
      </c>
      <c r="F763" t="s">
        <v>18</v>
      </c>
      <c r="G763" t="s">
        <v>2853</v>
      </c>
    </row>
    <row r="764" spans="1:7">
      <c r="A764" t="s">
        <v>2612</v>
      </c>
      <c r="D764" t="s">
        <v>4853</v>
      </c>
      <c r="E764" t="s">
        <v>5240</v>
      </c>
      <c r="F764" t="s">
        <v>18</v>
      </c>
      <c r="G764" t="s">
        <v>2853</v>
      </c>
    </row>
    <row r="765" spans="1:7">
      <c r="A765" t="s">
        <v>2613</v>
      </c>
      <c r="D765" t="s">
        <v>4854</v>
      </c>
      <c r="E765" t="s">
        <v>5241</v>
      </c>
      <c r="F765" t="s">
        <v>18</v>
      </c>
      <c r="G765" t="s">
        <v>2853</v>
      </c>
    </row>
    <row r="766" spans="1:7">
      <c r="A766" t="s">
        <v>2742</v>
      </c>
      <c r="D766" t="s">
        <v>4855</v>
      </c>
      <c r="E766" t="s">
        <v>5242</v>
      </c>
      <c r="F766" t="s">
        <v>18</v>
      </c>
      <c r="G766" t="s">
        <v>2853</v>
      </c>
    </row>
    <row r="767" spans="1:7">
      <c r="A767" t="s">
        <v>2743</v>
      </c>
      <c r="D767" t="s">
        <v>4855</v>
      </c>
      <c r="E767" t="s">
        <v>5243</v>
      </c>
      <c r="F767" t="s">
        <v>18</v>
      </c>
      <c r="G767" t="s">
        <v>2853</v>
      </c>
    </row>
    <row r="768" spans="1:7">
      <c r="A768" t="s">
        <v>2744</v>
      </c>
      <c r="D768" t="s">
        <v>4855</v>
      </c>
      <c r="E768" t="s">
        <v>5244</v>
      </c>
      <c r="F768" t="s">
        <v>18</v>
      </c>
      <c r="G768" t="s">
        <v>2853</v>
      </c>
    </row>
    <row r="769" spans="1:7">
      <c r="A769" t="s">
        <v>2745</v>
      </c>
      <c r="D769" t="s">
        <v>4833</v>
      </c>
      <c r="E769" t="s">
        <v>5245</v>
      </c>
      <c r="F769" t="s">
        <v>18</v>
      </c>
      <c r="G769" t="s">
        <v>2853</v>
      </c>
    </row>
    <row r="770" spans="1:7">
      <c r="A770" t="s">
        <v>2746</v>
      </c>
      <c r="D770" t="s">
        <v>4833</v>
      </c>
      <c r="E770" t="s">
        <v>5246</v>
      </c>
      <c r="F770" t="s">
        <v>18</v>
      </c>
      <c r="G770" t="s">
        <v>2853</v>
      </c>
    </row>
    <row r="771" spans="1:7">
      <c r="A771" t="s">
        <v>2747</v>
      </c>
      <c r="D771" t="s">
        <v>4856</v>
      </c>
      <c r="E771" t="s">
        <v>5247</v>
      </c>
      <c r="F771" t="s">
        <v>18</v>
      </c>
      <c r="G771" t="s">
        <v>2853</v>
      </c>
    </row>
    <row r="772" spans="1:7">
      <c r="A772" t="s">
        <v>2748</v>
      </c>
      <c r="D772" t="s">
        <v>4857</v>
      </c>
      <c r="E772" t="s">
        <v>5248</v>
      </c>
      <c r="F772" t="s">
        <v>18</v>
      </c>
      <c r="G772" t="s">
        <v>2853</v>
      </c>
    </row>
    <row r="773" spans="1:7">
      <c r="A773" t="s">
        <v>2749</v>
      </c>
      <c r="D773" t="s">
        <v>4858</v>
      </c>
      <c r="E773" t="s">
        <v>5249</v>
      </c>
      <c r="F773" t="s">
        <v>18</v>
      </c>
      <c r="G773" t="s">
        <v>2853</v>
      </c>
    </row>
    <row r="774" spans="1:7">
      <c r="A774" t="s">
        <v>2750</v>
      </c>
      <c r="D774" t="s">
        <v>4859</v>
      </c>
      <c r="E774" t="s">
        <v>5250</v>
      </c>
      <c r="F774" t="s">
        <v>18</v>
      </c>
      <c r="G774" t="s">
        <v>2853</v>
      </c>
    </row>
    <row r="775" spans="1:7">
      <c r="A775" t="s">
        <v>2751</v>
      </c>
      <c r="D775" t="s">
        <v>4860</v>
      </c>
      <c r="E775" t="s">
        <v>5251</v>
      </c>
      <c r="F775" t="s">
        <v>18</v>
      </c>
      <c r="G775" t="s">
        <v>2853</v>
      </c>
    </row>
    <row r="776" spans="1:7">
      <c r="A776" t="s">
        <v>2752</v>
      </c>
      <c r="D776" t="s">
        <v>4861</v>
      </c>
      <c r="E776" t="s">
        <v>5252</v>
      </c>
      <c r="F776" t="s">
        <v>18</v>
      </c>
      <c r="G776" t="s">
        <v>2853</v>
      </c>
    </row>
    <row r="777" spans="1:7">
      <c r="A777" t="s">
        <v>2753</v>
      </c>
      <c r="D777" t="s">
        <v>4858</v>
      </c>
      <c r="E777" t="s">
        <v>5253</v>
      </c>
      <c r="F777" t="s">
        <v>18</v>
      </c>
      <c r="G777" t="s">
        <v>2853</v>
      </c>
    </row>
    <row r="778" spans="1:7">
      <c r="A778" t="s">
        <v>2754</v>
      </c>
      <c r="D778" t="s">
        <v>4858</v>
      </c>
      <c r="E778" t="s">
        <v>5254</v>
      </c>
      <c r="F778" t="s">
        <v>18</v>
      </c>
      <c r="G778" t="s">
        <v>2853</v>
      </c>
    </row>
    <row r="779" spans="1:7">
      <c r="A779" t="s">
        <v>2755</v>
      </c>
      <c r="D779" t="s">
        <v>4859</v>
      </c>
      <c r="E779" t="s">
        <v>5255</v>
      </c>
      <c r="F779" t="s">
        <v>18</v>
      </c>
      <c r="G779" t="s">
        <v>2853</v>
      </c>
    </row>
    <row r="780" spans="1:7">
      <c r="A780" t="s">
        <v>2756</v>
      </c>
      <c r="D780" t="s">
        <v>4859</v>
      </c>
      <c r="E780" t="s">
        <v>5256</v>
      </c>
      <c r="F780" t="s">
        <v>18</v>
      </c>
      <c r="G780" t="s">
        <v>2853</v>
      </c>
    </row>
    <row r="781" spans="1:7">
      <c r="A781" t="s">
        <v>2614</v>
      </c>
      <c r="D781" t="s">
        <v>4862</v>
      </c>
      <c r="E781" t="s">
        <v>5257</v>
      </c>
      <c r="F781" t="s">
        <v>18</v>
      </c>
      <c r="G781" t="s">
        <v>2853</v>
      </c>
    </row>
    <row r="782" spans="1:7">
      <c r="A782" t="s">
        <v>2615</v>
      </c>
      <c r="D782" t="s">
        <v>4863</v>
      </c>
      <c r="E782" t="s">
        <v>5258</v>
      </c>
      <c r="F782" t="s">
        <v>18</v>
      </c>
      <c r="G782" t="s">
        <v>2853</v>
      </c>
    </row>
    <row r="783" spans="1:7">
      <c r="A783" t="s">
        <v>2616</v>
      </c>
      <c r="D783" t="s">
        <v>4864</v>
      </c>
      <c r="E783" t="s">
        <v>5259</v>
      </c>
      <c r="F783" t="s">
        <v>18</v>
      </c>
      <c r="G783" t="s">
        <v>2853</v>
      </c>
    </row>
    <row r="784" spans="1:7">
      <c r="A784" t="s">
        <v>2617</v>
      </c>
      <c r="D784" t="s">
        <v>4865</v>
      </c>
      <c r="E784" t="s">
        <v>5260</v>
      </c>
      <c r="F784" t="s">
        <v>18</v>
      </c>
      <c r="G784" t="s">
        <v>2853</v>
      </c>
    </row>
    <row r="785" spans="1:7">
      <c r="A785" t="s">
        <v>2618</v>
      </c>
      <c r="D785" t="s">
        <v>4866</v>
      </c>
      <c r="E785" t="s">
        <v>5261</v>
      </c>
      <c r="F785" t="s">
        <v>18</v>
      </c>
      <c r="G785" t="s">
        <v>2853</v>
      </c>
    </row>
    <row r="786" spans="1:7">
      <c r="A786" t="s">
        <v>2619</v>
      </c>
      <c r="D786" t="s">
        <v>4867</v>
      </c>
      <c r="E786" t="s">
        <v>5262</v>
      </c>
      <c r="F786" t="s">
        <v>18</v>
      </c>
      <c r="G786" t="s">
        <v>2853</v>
      </c>
    </row>
    <row r="787" spans="1:7">
      <c r="A787" t="s">
        <v>2620</v>
      </c>
      <c r="D787" t="s">
        <v>4868</v>
      </c>
      <c r="E787" t="s">
        <v>5263</v>
      </c>
      <c r="F787" t="s">
        <v>18</v>
      </c>
      <c r="G787" t="s">
        <v>2853</v>
      </c>
    </row>
    <row r="788" spans="1:7">
      <c r="A788" t="s">
        <v>2621</v>
      </c>
      <c r="D788" t="s">
        <v>4869</v>
      </c>
      <c r="E788" t="s">
        <v>5264</v>
      </c>
      <c r="F788" t="s">
        <v>18</v>
      </c>
      <c r="G788" t="s">
        <v>2853</v>
      </c>
    </row>
    <row r="789" spans="1:7">
      <c r="A789" t="s">
        <v>2622</v>
      </c>
      <c r="D789" t="s">
        <v>4870</v>
      </c>
      <c r="E789" t="s">
        <v>5265</v>
      </c>
      <c r="F789" t="s">
        <v>18</v>
      </c>
      <c r="G789" t="s">
        <v>2853</v>
      </c>
    </row>
    <row r="790" spans="1:7">
      <c r="A790" t="s">
        <v>2623</v>
      </c>
      <c r="D790" t="s">
        <v>4870</v>
      </c>
      <c r="E790" t="s">
        <v>5266</v>
      </c>
      <c r="F790" t="s">
        <v>18</v>
      </c>
      <c r="G790" t="s">
        <v>2853</v>
      </c>
    </row>
    <row r="791" spans="1:7">
      <c r="A791" t="s">
        <v>2624</v>
      </c>
      <c r="D791" t="s">
        <v>4871</v>
      </c>
      <c r="E791" t="s">
        <v>5267</v>
      </c>
      <c r="F791" t="s">
        <v>18</v>
      </c>
      <c r="G791" t="s">
        <v>2853</v>
      </c>
    </row>
    <row r="792" spans="1:7">
      <c r="A792" t="s">
        <v>2625</v>
      </c>
      <c r="D792" t="s">
        <v>4872</v>
      </c>
      <c r="E792" t="s">
        <v>5268</v>
      </c>
      <c r="F792" t="s">
        <v>18</v>
      </c>
      <c r="G792" t="s">
        <v>2853</v>
      </c>
    </row>
    <row r="793" spans="1:7">
      <c r="A793" t="s">
        <v>2627</v>
      </c>
      <c r="D793" t="s">
        <v>4834</v>
      </c>
      <c r="E793" t="s">
        <v>5269</v>
      </c>
      <c r="F793" t="s">
        <v>18</v>
      </c>
      <c r="G793" t="s">
        <v>2853</v>
      </c>
    </row>
    <row r="794" spans="1:7">
      <c r="A794" t="s">
        <v>2628</v>
      </c>
      <c r="D794" t="s">
        <v>4873</v>
      </c>
      <c r="E794" t="s">
        <v>5270</v>
      </c>
      <c r="F794" t="s">
        <v>18</v>
      </c>
      <c r="G794" t="s">
        <v>2853</v>
      </c>
    </row>
    <row r="795" spans="1:7">
      <c r="A795" t="s">
        <v>2629</v>
      </c>
      <c r="D795" t="s">
        <v>4874</v>
      </c>
      <c r="E795" t="s">
        <v>5271</v>
      </c>
      <c r="F795" t="s">
        <v>18</v>
      </c>
      <c r="G795" t="s">
        <v>2853</v>
      </c>
    </row>
    <row r="796" spans="1:7">
      <c r="A796" t="s">
        <v>2630</v>
      </c>
      <c r="D796" t="s">
        <v>4875</v>
      </c>
      <c r="E796" t="s">
        <v>5272</v>
      </c>
      <c r="F796" t="s">
        <v>18</v>
      </c>
      <c r="G796" t="s">
        <v>2853</v>
      </c>
    </row>
    <row r="797" spans="1:7">
      <c r="A797" t="s">
        <v>2631</v>
      </c>
      <c r="D797" t="s">
        <v>4876</v>
      </c>
      <c r="E797" t="s">
        <v>5273</v>
      </c>
      <c r="F797" t="s">
        <v>18</v>
      </c>
      <c r="G797" t="s">
        <v>2853</v>
      </c>
    </row>
    <row r="798" spans="1:7">
      <c r="A798" t="s">
        <v>2632</v>
      </c>
      <c r="D798" t="s">
        <v>4877</v>
      </c>
      <c r="E798" t="s">
        <v>5274</v>
      </c>
      <c r="F798" t="s">
        <v>18</v>
      </c>
      <c r="G798" t="s">
        <v>2853</v>
      </c>
    </row>
    <row r="799" spans="1:7">
      <c r="A799" t="s">
        <v>2633</v>
      </c>
      <c r="D799" t="s">
        <v>4878</v>
      </c>
      <c r="E799" t="s">
        <v>5275</v>
      </c>
      <c r="F799" t="s">
        <v>18</v>
      </c>
      <c r="G799" t="s">
        <v>2853</v>
      </c>
    </row>
    <row r="800" spans="1:7">
      <c r="A800" t="s">
        <v>2634</v>
      </c>
      <c r="D800" t="s">
        <v>4878</v>
      </c>
      <c r="E800" t="s">
        <v>5276</v>
      </c>
      <c r="F800" t="s">
        <v>18</v>
      </c>
      <c r="G800" t="s">
        <v>2853</v>
      </c>
    </row>
    <row r="801" spans="1:7">
      <c r="A801" t="s">
        <v>2757</v>
      </c>
      <c r="D801" t="s">
        <v>4879</v>
      </c>
      <c r="E801" t="s">
        <v>5277</v>
      </c>
      <c r="F801" t="s">
        <v>18</v>
      </c>
      <c r="G801" t="s">
        <v>2853</v>
      </c>
    </row>
    <row r="802" spans="1:7">
      <c r="A802" t="s">
        <v>2758</v>
      </c>
      <c r="D802" t="s">
        <v>4879</v>
      </c>
      <c r="E802" t="s">
        <v>5278</v>
      </c>
      <c r="F802" t="s">
        <v>18</v>
      </c>
      <c r="G802" t="s">
        <v>2853</v>
      </c>
    </row>
    <row r="803" spans="1:7">
      <c r="A803" t="s">
        <v>2759</v>
      </c>
      <c r="D803" t="s">
        <v>4880</v>
      </c>
      <c r="E803" t="s">
        <v>5279</v>
      </c>
      <c r="F803" t="s">
        <v>18</v>
      </c>
      <c r="G803" t="s">
        <v>2853</v>
      </c>
    </row>
    <row r="804" spans="1:7">
      <c r="A804" t="s">
        <v>2760</v>
      </c>
      <c r="D804" t="s">
        <v>4880</v>
      </c>
      <c r="E804" t="s">
        <v>5280</v>
      </c>
      <c r="F804" t="s">
        <v>18</v>
      </c>
      <c r="G804" t="s">
        <v>2853</v>
      </c>
    </row>
    <row r="805" spans="1:7">
      <c r="A805" t="s">
        <v>2761</v>
      </c>
      <c r="D805" t="s">
        <v>4881</v>
      </c>
      <c r="E805" t="s">
        <v>5281</v>
      </c>
      <c r="F805" t="s">
        <v>18</v>
      </c>
      <c r="G805" t="s">
        <v>2853</v>
      </c>
    </row>
    <row r="806" spans="1:7">
      <c r="A806" t="s">
        <v>2762</v>
      </c>
      <c r="D806" t="s">
        <v>4882</v>
      </c>
      <c r="E806" t="s">
        <v>5282</v>
      </c>
      <c r="F806" t="s">
        <v>18</v>
      </c>
      <c r="G806" t="s">
        <v>2853</v>
      </c>
    </row>
    <row r="807" spans="1:7">
      <c r="A807" t="s">
        <v>2763</v>
      </c>
      <c r="D807" t="s">
        <v>4883</v>
      </c>
      <c r="E807" t="s">
        <v>5283</v>
      </c>
      <c r="F807" t="s">
        <v>18</v>
      </c>
      <c r="G807" t="s">
        <v>2853</v>
      </c>
    </row>
    <row r="808" spans="1:7">
      <c r="A808" t="s">
        <v>2764</v>
      </c>
      <c r="D808" t="s">
        <v>4884</v>
      </c>
      <c r="E808" t="s">
        <v>5284</v>
      </c>
      <c r="F808" t="s">
        <v>18</v>
      </c>
      <c r="G808" t="s">
        <v>2853</v>
      </c>
    </row>
    <row r="809" spans="1:7">
      <c r="A809" t="s">
        <v>4885</v>
      </c>
      <c r="D809" t="s">
        <v>4883</v>
      </c>
      <c r="E809" t="s">
        <v>5285</v>
      </c>
      <c r="F809" t="s">
        <v>18</v>
      </c>
      <c r="G809" t="s">
        <v>2853</v>
      </c>
    </row>
    <row r="810" spans="1:7">
      <c r="A810" t="s">
        <v>4886</v>
      </c>
      <c r="D810" t="s">
        <v>4883</v>
      </c>
      <c r="E810" t="s">
        <v>5286</v>
      </c>
      <c r="F810" t="s">
        <v>18</v>
      </c>
      <c r="G810" t="s">
        <v>2853</v>
      </c>
    </row>
    <row r="811" spans="1:7">
      <c r="A811" t="s">
        <v>2765</v>
      </c>
      <c r="D811" t="s">
        <v>4884</v>
      </c>
      <c r="E811" t="s">
        <v>5287</v>
      </c>
      <c r="F811" t="s">
        <v>18</v>
      </c>
      <c r="G811" t="s">
        <v>2853</v>
      </c>
    </row>
    <row r="812" spans="1:7">
      <c r="A812" t="s">
        <v>2766</v>
      </c>
      <c r="D812" t="s">
        <v>4884</v>
      </c>
      <c r="E812" t="s">
        <v>5288</v>
      </c>
      <c r="F812" t="s">
        <v>18</v>
      </c>
      <c r="G812" t="s">
        <v>2853</v>
      </c>
    </row>
    <row r="813" spans="1:7">
      <c r="A813" t="s">
        <v>2767</v>
      </c>
      <c r="D813" t="s">
        <v>4887</v>
      </c>
      <c r="E813" t="s">
        <v>5289</v>
      </c>
      <c r="F813" t="s">
        <v>18</v>
      </c>
      <c r="G813" t="s">
        <v>2853</v>
      </c>
    </row>
    <row r="814" spans="1:7">
      <c r="A814" t="s">
        <v>2768</v>
      </c>
      <c r="D814" t="s">
        <v>4888</v>
      </c>
      <c r="E814" t="s">
        <v>5290</v>
      </c>
      <c r="F814" t="s">
        <v>18</v>
      </c>
      <c r="G814" t="s">
        <v>2853</v>
      </c>
    </row>
    <row r="815" spans="1:7">
      <c r="A815" t="s">
        <v>2654</v>
      </c>
      <c r="D815" t="s">
        <v>4889</v>
      </c>
      <c r="E815" t="s">
        <v>5291</v>
      </c>
      <c r="F815" t="s">
        <v>18</v>
      </c>
      <c r="G815" t="s">
        <v>2853</v>
      </c>
    </row>
    <row r="816" spans="1:7">
      <c r="A816" t="s">
        <v>2655</v>
      </c>
      <c r="D816" t="s">
        <v>4890</v>
      </c>
      <c r="E816" t="s">
        <v>5292</v>
      </c>
      <c r="F816" t="s">
        <v>18</v>
      </c>
      <c r="G816" t="s">
        <v>2853</v>
      </c>
    </row>
    <row r="817" spans="1:7">
      <c r="A817" t="s">
        <v>2656</v>
      </c>
      <c r="D817" t="s">
        <v>4891</v>
      </c>
      <c r="E817" t="s">
        <v>5293</v>
      </c>
      <c r="F817" t="s">
        <v>18</v>
      </c>
      <c r="G817" t="s">
        <v>2853</v>
      </c>
    </row>
    <row r="818" spans="1:7">
      <c r="A818" t="s">
        <v>2657</v>
      </c>
      <c r="D818" t="s">
        <v>4892</v>
      </c>
      <c r="E818" t="s">
        <v>5294</v>
      </c>
      <c r="F818" t="s">
        <v>18</v>
      </c>
      <c r="G818" t="s">
        <v>2853</v>
      </c>
    </row>
    <row r="819" spans="1:7">
      <c r="A819" t="s">
        <v>2658</v>
      </c>
      <c r="D819" t="s">
        <v>4893</v>
      </c>
      <c r="E819" t="s">
        <v>5295</v>
      </c>
      <c r="F819" t="s">
        <v>18</v>
      </c>
      <c r="G819" t="s">
        <v>2853</v>
      </c>
    </row>
    <row r="820" spans="1:7">
      <c r="A820" t="s">
        <v>2659</v>
      </c>
      <c r="D820" t="s">
        <v>4894</v>
      </c>
      <c r="E820" t="s">
        <v>5296</v>
      </c>
      <c r="F820" t="s">
        <v>18</v>
      </c>
      <c r="G820" t="s">
        <v>2853</v>
      </c>
    </row>
    <row r="821" spans="1:7">
      <c r="A821" t="s">
        <v>2660</v>
      </c>
      <c r="D821" t="s">
        <v>4895</v>
      </c>
      <c r="E821" t="s">
        <v>5297</v>
      </c>
      <c r="F821" t="s">
        <v>18</v>
      </c>
      <c r="G821" t="s">
        <v>2853</v>
      </c>
    </row>
    <row r="822" spans="1:7">
      <c r="A822" t="s">
        <v>2661</v>
      </c>
      <c r="D822" t="s">
        <v>4896</v>
      </c>
      <c r="E822" t="s">
        <v>5298</v>
      </c>
      <c r="F822" t="s">
        <v>18</v>
      </c>
      <c r="G822" t="s">
        <v>2853</v>
      </c>
    </row>
    <row r="823" spans="1:7">
      <c r="A823" t="s">
        <v>2662</v>
      </c>
      <c r="D823" t="s">
        <v>4897</v>
      </c>
      <c r="E823" t="s">
        <v>5299</v>
      </c>
      <c r="F823" t="s">
        <v>18</v>
      </c>
      <c r="G823" t="s">
        <v>2853</v>
      </c>
    </row>
    <row r="824" spans="1:7">
      <c r="A824" t="s">
        <v>2663</v>
      </c>
      <c r="D824" t="s">
        <v>4898</v>
      </c>
      <c r="E824" t="s">
        <v>5300</v>
      </c>
      <c r="F824" t="s">
        <v>18</v>
      </c>
      <c r="G824" t="s">
        <v>2853</v>
      </c>
    </row>
    <row r="825" spans="1:7">
      <c r="A825" t="s">
        <v>2664</v>
      </c>
      <c r="D825" t="s">
        <v>4899</v>
      </c>
      <c r="E825" t="s">
        <v>5301</v>
      </c>
      <c r="F825" t="s">
        <v>18</v>
      </c>
      <c r="G825" t="s">
        <v>2853</v>
      </c>
    </row>
    <row r="826" spans="1:7">
      <c r="A826" t="s">
        <v>2635</v>
      </c>
      <c r="D826" t="s">
        <v>4900</v>
      </c>
      <c r="E826" t="s">
        <v>5302</v>
      </c>
      <c r="F826" t="s">
        <v>18</v>
      </c>
      <c r="G826" t="s">
        <v>2853</v>
      </c>
    </row>
    <row r="827" spans="1:7">
      <c r="A827" t="s">
        <v>2636</v>
      </c>
      <c r="D827" t="s">
        <v>4901</v>
      </c>
      <c r="E827" t="s">
        <v>5303</v>
      </c>
      <c r="F827" t="s">
        <v>18</v>
      </c>
      <c r="G827" t="s">
        <v>2853</v>
      </c>
    </row>
    <row r="828" spans="1:7">
      <c r="A828" t="s">
        <v>2637</v>
      </c>
      <c r="D828" t="s">
        <v>4902</v>
      </c>
      <c r="E828" t="s">
        <v>5304</v>
      </c>
      <c r="F828" t="s">
        <v>18</v>
      </c>
      <c r="G828" t="s">
        <v>2853</v>
      </c>
    </row>
    <row r="829" spans="1:7">
      <c r="A829" t="s">
        <v>2638</v>
      </c>
      <c r="D829" t="s">
        <v>4903</v>
      </c>
      <c r="E829" t="s">
        <v>5305</v>
      </c>
      <c r="F829" t="s">
        <v>18</v>
      </c>
      <c r="G829" t="s">
        <v>2853</v>
      </c>
    </row>
    <row r="830" spans="1:7">
      <c r="A830" t="s">
        <v>2639</v>
      </c>
      <c r="D830" t="s">
        <v>4904</v>
      </c>
      <c r="E830" t="s">
        <v>5306</v>
      </c>
      <c r="F830" t="s">
        <v>18</v>
      </c>
      <c r="G830" t="s">
        <v>2853</v>
      </c>
    </row>
    <row r="831" spans="1:7">
      <c r="A831" t="s">
        <v>2769</v>
      </c>
      <c r="D831" t="s">
        <v>4905</v>
      </c>
      <c r="E831" t="s">
        <v>5307</v>
      </c>
      <c r="F831" t="s">
        <v>18</v>
      </c>
      <c r="G831" t="s">
        <v>2853</v>
      </c>
    </row>
    <row r="832" spans="1:7">
      <c r="A832" t="s">
        <v>2770</v>
      </c>
      <c r="D832" t="s">
        <v>4905</v>
      </c>
      <c r="E832" t="s">
        <v>5308</v>
      </c>
      <c r="F832" t="s">
        <v>18</v>
      </c>
      <c r="G832" t="s">
        <v>2853</v>
      </c>
    </row>
    <row r="833" spans="1:7">
      <c r="A833" t="s">
        <v>2771</v>
      </c>
      <c r="D833" t="s">
        <v>4906</v>
      </c>
      <c r="E833" t="s">
        <v>5309</v>
      </c>
      <c r="F833" t="s">
        <v>18</v>
      </c>
      <c r="G833" t="s">
        <v>2853</v>
      </c>
    </row>
    <row r="834" spans="1:7">
      <c r="A834" t="s">
        <v>2772</v>
      </c>
      <c r="D834" t="s">
        <v>4907</v>
      </c>
      <c r="E834" t="s">
        <v>5310</v>
      </c>
      <c r="F834" t="s">
        <v>18</v>
      </c>
      <c r="G834" t="s">
        <v>2853</v>
      </c>
    </row>
    <row r="835" spans="1:7">
      <c r="A835" t="s">
        <v>2773</v>
      </c>
      <c r="D835" t="s">
        <v>4907</v>
      </c>
      <c r="E835" t="s">
        <v>5311</v>
      </c>
      <c r="F835" t="s">
        <v>18</v>
      </c>
      <c r="G835" t="s">
        <v>2853</v>
      </c>
    </row>
    <row r="836" spans="1:7">
      <c r="A836" t="s">
        <v>2774</v>
      </c>
      <c r="D836" t="s">
        <v>4908</v>
      </c>
      <c r="E836" t="s">
        <v>5312</v>
      </c>
      <c r="F836" t="s">
        <v>18</v>
      </c>
      <c r="G836" t="s">
        <v>2853</v>
      </c>
    </row>
    <row r="837" spans="1:7">
      <c r="A837" t="s">
        <v>2775</v>
      </c>
      <c r="D837" t="s">
        <v>4909</v>
      </c>
      <c r="E837" t="s">
        <v>5313</v>
      </c>
      <c r="F837" t="s">
        <v>18</v>
      </c>
      <c r="G837" t="s">
        <v>2853</v>
      </c>
    </row>
    <row r="838" spans="1:7">
      <c r="A838" t="s">
        <v>2776</v>
      </c>
      <c r="D838" t="s">
        <v>4909</v>
      </c>
      <c r="E838" t="s">
        <v>5314</v>
      </c>
      <c r="F838" t="s">
        <v>18</v>
      </c>
      <c r="G838" t="s">
        <v>2853</v>
      </c>
    </row>
    <row r="839" spans="1:7">
      <c r="A839" t="s">
        <v>2777</v>
      </c>
      <c r="D839" t="s">
        <v>4910</v>
      </c>
      <c r="E839" t="s">
        <v>5315</v>
      </c>
      <c r="F839" t="s">
        <v>18</v>
      </c>
      <c r="G839" t="s">
        <v>2853</v>
      </c>
    </row>
    <row r="840" spans="1:7">
      <c r="A840" t="s">
        <v>2778</v>
      </c>
      <c r="D840" t="s">
        <v>4911</v>
      </c>
      <c r="E840" t="s">
        <v>5316</v>
      </c>
      <c r="F840" t="s">
        <v>18</v>
      </c>
      <c r="G840" t="s">
        <v>2853</v>
      </c>
    </row>
    <row r="841" spans="1:7">
      <c r="A841" t="s">
        <v>2779</v>
      </c>
      <c r="D841" t="s">
        <v>4782</v>
      </c>
      <c r="E841" t="s">
        <v>5317</v>
      </c>
      <c r="F841" t="s">
        <v>18</v>
      </c>
      <c r="G841" t="s">
        <v>2853</v>
      </c>
    </row>
    <row r="842" spans="1:7">
      <c r="A842" t="s">
        <v>4912</v>
      </c>
      <c r="D842" t="s">
        <v>4913</v>
      </c>
      <c r="E842" t="s">
        <v>5318</v>
      </c>
      <c r="F842" t="s">
        <v>18</v>
      </c>
      <c r="G842" t="s">
        <v>2853</v>
      </c>
    </row>
    <row r="843" spans="1:7">
      <c r="A843" t="s">
        <v>2780</v>
      </c>
      <c r="D843" t="s">
        <v>4914</v>
      </c>
      <c r="E843" t="s">
        <v>5319</v>
      </c>
      <c r="F843" t="s">
        <v>18</v>
      </c>
      <c r="G843" t="s">
        <v>2853</v>
      </c>
    </row>
    <row r="844" spans="1:7">
      <c r="A844" t="s">
        <v>2781</v>
      </c>
      <c r="D844" t="s">
        <v>4915</v>
      </c>
      <c r="E844" t="s">
        <v>5320</v>
      </c>
      <c r="F844" t="s">
        <v>18</v>
      </c>
      <c r="G844" t="s">
        <v>2853</v>
      </c>
    </row>
    <row r="845" spans="1:7">
      <c r="A845" t="s">
        <v>2782</v>
      </c>
      <c r="D845" t="s">
        <v>4916</v>
      </c>
      <c r="E845" t="s">
        <v>5321</v>
      </c>
      <c r="F845" t="s">
        <v>18</v>
      </c>
      <c r="G845" t="s">
        <v>2853</v>
      </c>
    </row>
    <row r="846" spans="1:7">
      <c r="A846" t="s">
        <v>2783</v>
      </c>
      <c r="D846" t="s">
        <v>4917</v>
      </c>
      <c r="E846" t="s">
        <v>5322</v>
      </c>
      <c r="F846" t="s">
        <v>18</v>
      </c>
      <c r="G846" t="s">
        <v>2853</v>
      </c>
    </row>
    <row r="847" spans="1:7">
      <c r="A847" t="s">
        <v>2784</v>
      </c>
      <c r="D847" t="s">
        <v>4918</v>
      </c>
      <c r="E847" t="s">
        <v>5323</v>
      </c>
      <c r="F847" t="s">
        <v>18</v>
      </c>
      <c r="G847" t="s">
        <v>2853</v>
      </c>
    </row>
    <row r="848" spans="1:7">
      <c r="A848" t="s">
        <v>2785</v>
      </c>
      <c r="D848" t="s">
        <v>4919</v>
      </c>
      <c r="E848" t="s">
        <v>5324</v>
      </c>
      <c r="F848" t="s">
        <v>18</v>
      </c>
      <c r="G848" t="s">
        <v>2853</v>
      </c>
    </row>
    <row r="849" spans="1:7">
      <c r="A849" t="s">
        <v>2786</v>
      </c>
      <c r="D849" t="s">
        <v>4920</v>
      </c>
      <c r="E849" t="s">
        <v>5325</v>
      </c>
      <c r="F849" t="s">
        <v>18</v>
      </c>
      <c r="G849" t="s">
        <v>2853</v>
      </c>
    </row>
    <row r="850" spans="1:7">
      <c r="A850" t="s">
        <v>2787</v>
      </c>
      <c r="D850" t="s">
        <v>4921</v>
      </c>
      <c r="E850" t="s">
        <v>5326</v>
      </c>
      <c r="F850" t="s">
        <v>18</v>
      </c>
      <c r="G850" t="s">
        <v>2853</v>
      </c>
    </row>
    <row r="851" spans="1:7">
      <c r="A851" t="s">
        <v>2788</v>
      </c>
      <c r="D851" t="s">
        <v>4922</v>
      </c>
      <c r="E851" t="s">
        <v>5327</v>
      </c>
      <c r="F851" t="s">
        <v>18</v>
      </c>
      <c r="G851" t="s">
        <v>2853</v>
      </c>
    </row>
    <row r="852" spans="1:7">
      <c r="A852" t="s">
        <v>2789</v>
      </c>
      <c r="D852" t="s">
        <v>4922</v>
      </c>
      <c r="E852" t="s">
        <v>5328</v>
      </c>
      <c r="F852" t="s">
        <v>18</v>
      </c>
      <c r="G852" t="s">
        <v>2853</v>
      </c>
    </row>
    <row r="853" spans="1:7">
      <c r="A853" t="s">
        <v>2790</v>
      </c>
      <c r="D853" t="s">
        <v>4922</v>
      </c>
      <c r="E853" t="s">
        <v>5329</v>
      </c>
      <c r="F853" t="s">
        <v>18</v>
      </c>
      <c r="G853" t="s">
        <v>2853</v>
      </c>
    </row>
    <row r="854" spans="1:7">
      <c r="A854" t="s">
        <v>2791</v>
      </c>
      <c r="D854" t="s">
        <v>4923</v>
      </c>
      <c r="E854" t="s">
        <v>5330</v>
      </c>
      <c r="F854" t="s">
        <v>18</v>
      </c>
      <c r="G854" t="s">
        <v>2853</v>
      </c>
    </row>
    <row r="855" spans="1:7">
      <c r="A855" t="s">
        <v>2792</v>
      </c>
      <c r="D855" t="s">
        <v>4924</v>
      </c>
      <c r="E855" t="s">
        <v>5331</v>
      </c>
      <c r="F855" t="s">
        <v>18</v>
      </c>
      <c r="G855" t="s">
        <v>2853</v>
      </c>
    </row>
    <row r="856" spans="1:7">
      <c r="A856" t="s">
        <v>2793</v>
      </c>
      <c r="D856" t="s">
        <v>4925</v>
      </c>
      <c r="E856" t="s">
        <v>5332</v>
      </c>
      <c r="F856" t="s">
        <v>18</v>
      </c>
      <c r="G856" t="s">
        <v>2853</v>
      </c>
    </row>
    <row r="857" spans="1:7">
      <c r="A857" t="s">
        <v>2794</v>
      </c>
      <c r="D857" t="s">
        <v>4926</v>
      </c>
      <c r="E857" t="s">
        <v>5333</v>
      </c>
      <c r="F857" t="s">
        <v>18</v>
      </c>
      <c r="G857" t="s">
        <v>2853</v>
      </c>
    </row>
    <row r="858" spans="1:7">
      <c r="A858" t="s">
        <v>2795</v>
      </c>
      <c r="D858" t="s">
        <v>4927</v>
      </c>
      <c r="E858" t="s">
        <v>5334</v>
      </c>
      <c r="F858" t="s">
        <v>18</v>
      </c>
      <c r="G858" t="s">
        <v>2853</v>
      </c>
    </row>
    <row r="859" spans="1:7">
      <c r="A859" t="s">
        <v>2796</v>
      </c>
      <c r="D859" t="s">
        <v>4928</v>
      </c>
      <c r="E859" t="s">
        <v>5335</v>
      </c>
      <c r="F859" t="s">
        <v>18</v>
      </c>
      <c r="G859" t="s">
        <v>2853</v>
      </c>
    </row>
    <row r="860" spans="1:7">
      <c r="A860" t="s">
        <v>2797</v>
      </c>
      <c r="D860" t="s">
        <v>4929</v>
      </c>
      <c r="E860" t="s">
        <v>5336</v>
      </c>
      <c r="F860" t="s">
        <v>18</v>
      </c>
      <c r="G860" t="s">
        <v>2853</v>
      </c>
    </row>
    <row r="861" spans="1:7">
      <c r="A861" t="s">
        <v>2798</v>
      </c>
      <c r="D861" t="s">
        <v>4922</v>
      </c>
      <c r="E861" t="s">
        <v>5337</v>
      </c>
      <c r="F861" t="s">
        <v>18</v>
      </c>
      <c r="G861" t="s">
        <v>2853</v>
      </c>
    </row>
    <row r="862" spans="1:7">
      <c r="A862" t="s">
        <v>2799</v>
      </c>
      <c r="D862" t="s">
        <v>4922</v>
      </c>
      <c r="E862" t="s">
        <v>5338</v>
      </c>
      <c r="F862" t="s">
        <v>18</v>
      </c>
      <c r="G862" t="s">
        <v>2853</v>
      </c>
    </row>
    <row r="863" spans="1:7">
      <c r="A863" t="s">
        <v>2800</v>
      </c>
      <c r="D863" t="s">
        <v>4922</v>
      </c>
      <c r="E863" t="s">
        <v>5339</v>
      </c>
      <c r="F863" t="s">
        <v>18</v>
      </c>
      <c r="G863" t="s">
        <v>2853</v>
      </c>
    </row>
    <row r="864" spans="1:7">
      <c r="A864" t="s">
        <v>2407</v>
      </c>
      <c r="D864" t="s">
        <v>4930</v>
      </c>
      <c r="E864" t="s">
        <v>5340</v>
      </c>
      <c r="F864" t="s">
        <v>18</v>
      </c>
    </row>
    <row r="865" spans="1:6">
      <c r="A865" t="s">
        <v>2408</v>
      </c>
      <c r="D865" t="s">
        <v>4931</v>
      </c>
      <c r="E865" t="s">
        <v>5341</v>
      </c>
      <c r="F865" t="s">
        <v>18</v>
      </c>
    </row>
    <row r="866" spans="1:6">
      <c r="A866" t="s">
        <v>2409</v>
      </c>
      <c r="D866" t="s">
        <v>4931</v>
      </c>
      <c r="E866" t="s">
        <v>5342</v>
      </c>
      <c r="F866" t="s">
        <v>18</v>
      </c>
    </row>
    <row r="867" spans="1:6">
      <c r="A867" t="s">
        <v>2410</v>
      </c>
      <c r="D867" t="s">
        <v>4932</v>
      </c>
      <c r="E867" t="s">
        <v>5343</v>
      </c>
      <c r="F867" t="s">
        <v>18</v>
      </c>
    </row>
    <row r="868" spans="1:6">
      <c r="A868" t="s">
        <v>2411</v>
      </c>
      <c r="D868" t="s">
        <v>4932</v>
      </c>
      <c r="E868" t="s">
        <v>5344</v>
      </c>
      <c r="F868" t="s">
        <v>18</v>
      </c>
    </row>
    <row r="869" spans="1:6">
      <c r="A869" t="s">
        <v>4933</v>
      </c>
      <c r="D869" t="s">
        <v>4934</v>
      </c>
      <c r="E869" t="s">
        <v>5345</v>
      </c>
      <c r="F869" t="s">
        <v>18</v>
      </c>
    </row>
    <row r="870" spans="1:6">
      <c r="A870" t="s">
        <v>684</v>
      </c>
      <c r="D870" t="s">
        <v>4935</v>
      </c>
      <c r="E870" t="s">
        <v>5346</v>
      </c>
      <c r="F870" t="s">
        <v>18</v>
      </c>
    </row>
    <row r="871" spans="1:6">
      <c r="A871" t="s">
        <v>685</v>
      </c>
      <c r="D871" t="s">
        <v>4936</v>
      </c>
      <c r="E871" t="s">
        <v>5347</v>
      </c>
      <c r="F871" t="s">
        <v>18</v>
      </c>
    </row>
    <row r="872" spans="1:6">
      <c r="A872" t="s">
        <v>2665</v>
      </c>
      <c r="D872" t="s">
        <v>4937</v>
      </c>
      <c r="E872" t="s">
        <v>5348</v>
      </c>
      <c r="F872" t="s">
        <v>18</v>
      </c>
    </row>
    <row r="873" spans="1:6">
      <c r="A873" t="s">
        <v>1652</v>
      </c>
      <c r="D873" t="s">
        <v>4938</v>
      </c>
      <c r="E873" t="s">
        <v>5349</v>
      </c>
      <c r="F873" t="s">
        <v>18</v>
      </c>
    </row>
    <row r="874" spans="1:6">
      <c r="A874" t="s">
        <v>1653</v>
      </c>
      <c r="D874" t="s">
        <v>4939</v>
      </c>
      <c r="E874" t="s">
        <v>5350</v>
      </c>
      <c r="F874" t="s">
        <v>18</v>
      </c>
    </row>
    <row r="875" spans="1:6">
      <c r="A875" t="s">
        <v>2527</v>
      </c>
      <c r="D875" t="s">
        <v>4940</v>
      </c>
      <c r="E875" t="s">
        <v>5351</v>
      </c>
      <c r="F875" t="s">
        <v>18</v>
      </c>
    </row>
    <row r="876" spans="1:6">
      <c r="A876" t="s">
        <v>2528</v>
      </c>
      <c r="D876" t="s">
        <v>4940</v>
      </c>
      <c r="E876" t="s">
        <v>5352</v>
      </c>
      <c r="F876" t="s">
        <v>18</v>
      </c>
    </row>
    <row r="877" spans="1:6">
      <c r="A877" t="s">
        <v>2529</v>
      </c>
      <c r="D877" t="s">
        <v>4941</v>
      </c>
      <c r="E877" t="s">
        <v>5353</v>
      </c>
      <c r="F877" t="s">
        <v>18</v>
      </c>
    </row>
    <row r="878" spans="1:6">
      <c r="A878" t="s">
        <v>2530</v>
      </c>
      <c r="D878" t="s">
        <v>4941</v>
      </c>
      <c r="E878" t="s">
        <v>5354</v>
      </c>
      <c r="F878" t="s">
        <v>18</v>
      </c>
    </row>
    <row r="879" spans="1:6">
      <c r="A879" t="s">
        <v>2666</v>
      </c>
      <c r="D879" t="s">
        <v>4931</v>
      </c>
      <c r="E879" t="s">
        <v>5355</v>
      </c>
      <c r="F879" t="s">
        <v>18</v>
      </c>
    </row>
    <row r="880" spans="1:6">
      <c r="A880" t="s">
        <v>2667</v>
      </c>
      <c r="D880" t="s">
        <v>4931</v>
      </c>
      <c r="E880" t="s">
        <v>5356</v>
      </c>
      <c r="F880" t="s">
        <v>18</v>
      </c>
    </row>
    <row r="881" spans="1:7">
      <c r="A881" t="s">
        <v>4942</v>
      </c>
      <c r="D881" t="s">
        <v>4943</v>
      </c>
      <c r="E881" t="s">
        <v>5357</v>
      </c>
      <c r="F881" t="s">
        <v>18</v>
      </c>
      <c r="G881" t="s">
        <v>2853</v>
      </c>
    </row>
    <row r="882" spans="1:7">
      <c r="A882" t="s">
        <v>2668</v>
      </c>
      <c r="D882" t="s">
        <v>4944</v>
      </c>
      <c r="E882" t="s">
        <v>5358</v>
      </c>
      <c r="F882" t="s">
        <v>18</v>
      </c>
      <c r="G882" t="s">
        <v>2853</v>
      </c>
    </row>
    <row r="883" spans="1:7">
      <c r="A883" t="s">
        <v>2669</v>
      </c>
      <c r="D883" t="s">
        <v>4945</v>
      </c>
      <c r="E883" t="s">
        <v>5359</v>
      </c>
      <c r="F883" t="s">
        <v>18</v>
      </c>
      <c r="G883" t="s">
        <v>2853</v>
      </c>
    </row>
    <row r="884" spans="1:7">
      <c r="A884" t="s">
        <v>2670</v>
      </c>
      <c r="D884" t="s">
        <v>4946</v>
      </c>
      <c r="E884" t="s">
        <v>5360</v>
      </c>
      <c r="F884" t="s">
        <v>18</v>
      </c>
      <c r="G884" t="s">
        <v>2853</v>
      </c>
    </row>
    <row r="885" spans="1:7">
      <c r="A885" t="s">
        <v>2671</v>
      </c>
      <c r="D885" t="s">
        <v>4947</v>
      </c>
      <c r="E885" t="s">
        <v>5361</v>
      </c>
      <c r="F885" t="s">
        <v>18</v>
      </c>
      <c r="G885" t="s">
        <v>2853</v>
      </c>
    </row>
    <row r="886" spans="1:7">
      <c r="A886" t="s">
        <v>2672</v>
      </c>
      <c r="D886" t="s">
        <v>4948</v>
      </c>
      <c r="E886" t="s">
        <v>5362</v>
      </c>
      <c r="F886" t="s">
        <v>18</v>
      </c>
      <c r="G886" t="s">
        <v>2853</v>
      </c>
    </row>
    <row r="887" spans="1:7">
      <c r="A887" t="s">
        <v>2673</v>
      </c>
      <c r="D887" t="s">
        <v>4949</v>
      </c>
      <c r="E887" t="s">
        <v>5363</v>
      </c>
      <c r="F887" t="s">
        <v>18</v>
      </c>
      <c r="G887" t="s">
        <v>2853</v>
      </c>
    </row>
    <row r="888" spans="1:7">
      <c r="A888" t="s">
        <v>2674</v>
      </c>
      <c r="D888" t="s">
        <v>4950</v>
      </c>
      <c r="E888" t="s">
        <v>5364</v>
      </c>
      <c r="F888" t="s">
        <v>18</v>
      </c>
      <c r="G888" t="s">
        <v>2853</v>
      </c>
    </row>
    <row r="889" spans="1:7">
      <c r="A889" t="s">
        <v>2675</v>
      </c>
      <c r="D889" t="s">
        <v>4951</v>
      </c>
      <c r="E889" t="s">
        <v>5365</v>
      </c>
      <c r="F889" t="s">
        <v>18</v>
      </c>
      <c r="G889" t="s">
        <v>2853</v>
      </c>
    </row>
    <row r="890" spans="1:7">
      <c r="A890" t="s">
        <v>2676</v>
      </c>
      <c r="D890" t="s">
        <v>4952</v>
      </c>
      <c r="E890" t="s">
        <v>5366</v>
      </c>
      <c r="F890" t="s">
        <v>18</v>
      </c>
      <c r="G890" t="s">
        <v>2853</v>
      </c>
    </row>
    <row r="891" spans="1:7">
      <c r="A891" t="s">
        <v>2677</v>
      </c>
      <c r="D891" t="s">
        <v>4953</v>
      </c>
      <c r="E891" t="s">
        <v>5367</v>
      </c>
      <c r="F891" t="s">
        <v>18</v>
      </c>
      <c r="G891" t="s">
        <v>2853</v>
      </c>
    </row>
    <row r="892" spans="1:7">
      <c r="A892" t="s">
        <v>2678</v>
      </c>
      <c r="D892" t="s">
        <v>4954</v>
      </c>
      <c r="E892" t="s">
        <v>5368</v>
      </c>
      <c r="F892" t="s">
        <v>18</v>
      </c>
      <c r="G892" t="s">
        <v>2853</v>
      </c>
    </row>
    <row r="893" spans="1:7">
      <c r="A893" t="s">
        <v>2679</v>
      </c>
      <c r="D893" t="s">
        <v>4955</v>
      </c>
      <c r="E893" t="s">
        <v>5369</v>
      </c>
      <c r="F893" t="s">
        <v>18</v>
      </c>
      <c r="G893" t="s">
        <v>2853</v>
      </c>
    </row>
    <row r="894" spans="1:7">
      <c r="A894" t="s">
        <v>2680</v>
      </c>
      <c r="D894" t="s">
        <v>4956</v>
      </c>
      <c r="E894" t="s">
        <v>5370</v>
      </c>
      <c r="F894" t="s">
        <v>18</v>
      </c>
      <c r="G894" t="s">
        <v>2853</v>
      </c>
    </row>
    <row r="895" spans="1:7">
      <c r="A895" t="s">
        <v>2681</v>
      </c>
      <c r="D895" t="s">
        <v>4957</v>
      </c>
      <c r="E895" t="s">
        <v>5371</v>
      </c>
      <c r="F895" t="s">
        <v>18</v>
      </c>
      <c r="G895" t="s">
        <v>2853</v>
      </c>
    </row>
    <row r="896" spans="1:7">
      <c r="A896" t="s">
        <v>2682</v>
      </c>
      <c r="D896" t="s">
        <v>4958</v>
      </c>
      <c r="E896" t="s">
        <v>5372</v>
      </c>
      <c r="F896" t="s">
        <v>18</v>
      </c>
      <c r="G896" t="s">
        <v>2853</v>
      </c>
    </row>
    <row r="897" spans="1:7">
      <c r="A897" t="s">
        <v>2683</v>
      </c>
      <c r="D897" t="s">
        <v>4959</v>
      </c>
      <c r="E897" t="s">
        <v>5373</v>
      </c>
      <c r="F897" t="s">
        <v>18</v>
      </c>
      <c r="G897" t="s">
        <v>2853</v>
      </c>
    </row>
    <row r="898" spans="1:7">
      <c r="A898" t="s">
        <v>2801</v>
      </c>
      <c r="D898" t="s">
        <v>4960</v>
      </c>
      <c r="E898" t="s">
        <v>5374</v>
      </c>
      <c r="F898" t="s">
        <v>18</v>
      </c>
      <c r="G898" t="s">
        <v>2853</v>
      </c>
    </row>
    <row r="899" spans="1:7">
      <c r="A899" t="s">
        <v>2802</v>
      </c>
      <c r="D899" t="s">
        <v>4960</v>
      </c>
      <c r="E899" t="s">
        <v>5375</v>
      </c>
      <c r="F899" t="s">
        <v>18</v>
      </c>
      <c r="G899" t="s">
        <v>2853</v>
      </c>
    </row>
    <row r="900" spans="1:7">
      <c r="A900" t="s">
        <v>2803</v>
      </c>
      <c r="D900" t="s">
        <v>4960</v>
      </c>
      <c r="E900" t="s">
        <v>5376</v>
      </c>
      <c r="F900" t="s">
        <v>18</v>
      </c>
      <c r="G900" t="s">
        <v>2853</v>
      </c>
    </row>
    <row r="901" spans="1:7">
      <c r="A901" t="s">
        <v>2804</v>
      </c>
      <c r="D901" t="s">
        <v>4960</v>
      </c>
      <c r="E901" t="s">
        <v>5377</v>
      </c>
      <c r="F901" t="s">
        <v>18</v>
      </c>
      <c r="G901" t="s">
        <v>2853</v>
      </c>
    </row>
    <row r="902" spans="1:7">
      <c r="A902" t="s">
        <v>4961</v>
      </c>
      <c r="D902" t="s">
        <v>4962</v>
      </c>
      <c r="E902" t="s">
        <v>5378</v>
      </c>
      <c r="F902" t="s">
        <v>18</v>
      </c>
    </row>
    <row r="903" spans="1:7">
      <c r="A903" t="s">
        <v>4963</v>
      </c>
      <c r="D903" t="s">
        <v>4964</v>
      </c>
      <c r="E903" t="s">
        <v>5379</v>
      </c>
      <c r="F903" t="s">
        <v>18</v>
      </c>
    </row>
    <row r="904" spans="1:7">
      <c r="A904" t="s">
        <v>4965</v>
      </c>
      <c r="D904" t="s">
        <v>4966</v>
      </c>
      <c r="E904" t="s">
        <v>5380</v>
      </c>
      <c r="F904" t="s">
        <v>18</v>
      </c>
    </row>
    <row r="905" spans="1:7">
      <c r="A905" t="s">
        <v>1656</v>
      </c>
      <c r="D905" t="s">
        <v>1657</v>
      </c>
      <c r="E905" t="s">
        <v>5381</v>
      </c>
      <c r="F905" t="s">
        <v>18</v>
      </c>
    </row>
    <row r="906" spans="1:7">
      <c r="A906" t="s">
        <v>2684</v>
      </c>
      <c r="D906" t="s">
        <v>4967</v>
      </c>
      <c r="E906" t="s">
        <v>5382</v>
      </c>
      <c r="F906" t="s">
        <v>18</v>
      </c>
    </row>
    <row r="907" spans="1:7">
      <c r="A907" t="s">
        <v>2685</v>
      </c>
      <c r="D907" t="s">
        <v>4968</v>
      </c>
      <c r="E907" t="s">
        <v>5383</v>
      </c>
      <c r="F907" t="s">
        <v>18</v>
      </c>
    </row>
    <row r="908" spans="1:7">
      <c r="A908" t="s">
        <v>2686</v>
      </c>
      <c r="D908" t="s">
        <v>4969</v>
      </c>
      <c r="E908" t="s">
        <v>5384</v>
      </c>
      <c r="F908" t="s">
        <v>18</v>
      </c>
    </row>
    <row r="909" spans="1:7">
      <c r="A909" t="s">
        <v>2687</v>
      </c>
      <c r="D909" t="s">
        <v>2688</v>
      </c>
      <c r="E909" t="s">
        <v>5385</v>
      </c>
      <c r="F909" t="s">
        <v>18</v>
      </c>
    </row>
    <row r="910" spans="1:7">
      <c r="A910" t="s">
        <v>2051</v>
      </c>
      <c r="D910" t="s">
        <v>4970</v>
      </c>
      <c r="E910" t="s">
        <v>5386</v>
      </c>
      <c r="F910" t="s">
        <v>18</v>
      </c>
    </row>
    <row r="911" spans="1:7">
      <c r="A911" t="s">
        <v>2689</v>
      </c>
      <c r="D911" t="s">
        <v>4971</v>
      </c>
      <c r="E911" t="s">
        <v>5387</v>
      </c>
      <c r="F911" t="s">
        <v>18</v>
      </c>
      <c r="G911" t="s">
        <v>2853</v>
      </c>
    </row>
    <row r="912" spans="1:7">
      <c r="A912" t="s">
        <v>2690</v>
      </c>
      <c r="D912" t="s">
        <v>4972</v>
      </c>
      <c r="E912" t="s">
        <v>5388</v>
      </c>
      <c r="F912" t="s">
        <v>18</v>
      </c>
      <c r="G912" t="s">
        <v>2853</v>
      </c>
    </row>
    <row r="913" spans="1:7">
      <c r="A913" t="s">
        <v>2691</v>
      </c>
      <c r="D913" t="s">
        <v>4973</v>
      </c>
      <c r="E913" t="s">
        <v>5389</v>
      </c>
      <c r="F913" t="s">
        <v>18</v>
      </c>
      <c r="G913" t="s">
        <v>2853</v>
      </c>
    </row>
    <row r="914" spans="1:7">
      <c r="A914" t="s">
        <v>2692</v>
      </c>
      <c r="D914" t="s">
        <v>4974</v>
      </c>
      <c r="E914" t="s">
        <v>5390</v>
      </c>
      <c r="F914" t="s">
        <v>18</v>
      </c>
      <c r="G914" t="s">
        <v>2853</v>
      </c>
    </row>
    <row r="915" spans="1:7">
      <c r="A915" t="s">
        <v>2693</v>
      </c>
      <c r="D915" t="s">
        <v>4975</v>
      </c>
      <c r="E915" t="s">
        <v>5391</v>
      </c>
      <c r="F915" t="s">
        <v>18</v>
      </c>
      <c r="G915" t="s">
        <v>2853</v>
      </c>
    </row>
    <row r="916" spans="1:7">
      <c r="A916" t="s">
        <v>2694</v>
      </c>
      <c r="D916" t="s">
        <v>4976</v>
      </c>
      <c r="E916" t="s">
        <v>5392</v>
      </c>
      <c r="F916" t="s">
        <v>18</v>
      </c>
      <c r="G916" t="s">
        <v>2853</v>
      </c>
    </row>
    <row r="917" spans="1:7">
      <c r="A917" t="s">
        <v>2695</v>
      </c>
      <c r="D917" t="s">
        <v>4977</v>
      </c>
      <c r="E917" t="s">
        <v>5393</v>
      </c>
      <c r="F917" t="s">
        <v>18</v>
      </c>
      <c r="G917" t="s">
        <v>2853</v>
      </c>
    </row>
    <row r="918" spans="1:7">
      <c r="A918" t="s">
        <v>2696</v>
      </c>
      <c r="D918" t="s">
        <v>4977</v>
      </c>
      <c r="E918" t="s">
        <v>5394</v>
      </c>
      <c r="F918" t="s">
        <v>18</v>
      </c>
      <c r="G918" t="s">
        <v>2853</v>
      </c>
    </row>
    <row r="919" spans="1:7">
      <c r="A919" t="s">
        <v>2697</v>
      </c>
      <c r="D919" t="s">
        <v>4978</v>
      </c>
      <c r="E919" t="s">
        <v>5395</v>
      </c>
      <c r="F919" t="s">
        <v>18</v>
      </c>
      <c r="G919" t="s">
        <v>2853</v>
      </c>
    </row>
    <row r="920" spans="1:7">
      <c r="A920" t="s">
        <v>2698</v>
      </c>
      <c r="D920" t="s">
        <v>4979</v>
      </c>
      <c r="E920" t="s">
        <v>5396</v>
      </c>
      <c r="F920" t="s">
        <v>18</v>
      </c>
      <c r="G920" t="s">
        <v>2853</v>
      </c>
    </row>
    <row r="921" spans="1:7">
      <c r="A921" t="s">
        <v>2699</v>
      </c>
      <c r="D921" t="s">
        <v>4980</v>
      </c>
      <c r="E921" t="s">
        <v>5397</v>
      </c>
      <c r="F921" t="s">
        <v>18</v>
      </c>
      <c r="G921" t="s">
        <v>2853</v>
      </c>
    </row>
    <row r="922" spans="1:7">
      <c r="A922" t="s">
        <v>2727</v>
      </c>
      <c r="D922" t="s">
        <v>2728</v>
      </c>
      <c r="E922" t="s">
        <v>5398</v>
      </c>
      <c r="F922" t="s">
        <v>18</v>
      </c>
    </row>
    <row r="923" spans="1:7">
      <c r="A923" t="s">
        <v>2729</v>
      </c>
      <c r="D923" t="s">
        <v>4981</v>
      </c>
      <c r="E923" t="s">
        <v>5399</v>
      </c>
      <c r="F923" t="s">
        <v>18</v>
      </c>
    </row>
    <row r="924" spans="1:7">
      <c r="A924" t="s">
        <v>2730</v>
      </c>
      <c r="D924" t="s">
        <v>4982</v>
      </c>
      <c r="E924" t="s">
        <v>5400</v>
      </c>
      <c r="F924" t="s">
        <v>18</v>
      </c>
    </row>
    <row r="925" spans="1:7">
      <c r="A925" t="s">
        <v>2731</v>
      </c>
      <c r="D925" t="s">
        <v>4983</v>
      </c>
      <c r="E925" t="s">
        <v>5401</v>
      </c>
      <c r="F925" t="s">
        <v>18</v>
      </c>
    </row>
    <row r="926" spans="1:7">
      <c r="A926" t="s">
        <v>1064</v>
      </c>
      <c r="D926" t="s">
        <v>2539</v>
      </c>
      <c r="E926" t="s">
        <v>5402</v>
      </c>
      <c r="F926" t="s">
        <v>18</v>
      </c>
    </row>
    <row r="927" spans="1:7">
      <c r="A927" t="s">
        <v>1065</v>
      </c>
      <c r="D927" t="s">
        <v>2540</v>
      </c>
      <c r="E927" t="s">
        <v>5403</v>
      </c>
      <c r="F927" t="s">
        <v>18</v>
      </c>
    </row>
    <row r="928" spans="1:7">
      <c r="A928" t="s">
        <v>1066</v>
      </c>
      <c r="D928" t="s">
        <v>2541</v>
      </c>
      <c r="E928" t="s">
        <v>5404</v>
      </c>
      <c r="F928" t="s">
        <v>18</v>
      </c>
    </row>
    <row r="929" spans="1:6">
      <c r="A929" t="s">
        <v>1067</v>
      </c>
      <c r="D929" t="s">
        <v>2542</v>
      </c>
      <c r="E929" t="s">
        <v>5405</v>
      </c>
      <c r="F929" t="s">
        <v>18</v>
      </c>
    </row>
    <row r="930" spans="1:6">
      <c r="A930" t="s">
        <v>4984</v>
      </c>
      <c r="D930" t="s">
        <v>4985</v>
      </c>
      <c r="E930" t="s">
        <v>5406</v>
      </c>
      <c r="F930" t="s">
        <v>18</v>
      </c>
    </row>
    <row r="931" spans="1:6">
      <c r="A931" t="s">
        <v>4986</v>
      </c>
      <c r="D931" t="s">
        <v>4987</v>
      </c>
      <c r="E931" t="s">
        <v>5407</v>
      </c>
      <c r="F931" t="s">
        <v>18</v>
      </c>
    </row>
    <row r="932" spans="1:6">
      <c r="A932" t="s">
        <v>4988</v>
      </c>
      <c r="D932" t="s">
        <v>4989</v>
      </c>
      <c r="E932" t="s">
        <v>5408</v>
      </c>
      <c r="F932" t="s">
        <v>18</v>
      </c>
    </row>
    <row r="933" spans="1:6">
      <c r="A933" t="s">
        <v>4990</v>
      </c>
      <c r="D933" t="s">
        <v>4991</v>
      </c>
      <c r="E933" t="s">
        <v>5409</v>
      </c>
      <c r="F933" t="s">
        <v>18</v>
      </c>
    </row>
    <row r="934" spans="1:6">
      <c r="A934" t="s">
        <v>1068</v>
      </c>
      <c r="D934" t="s">
        <v>2543</v>
      </c>
      <c r="E934" t="s">
        <v>5410</v>
      </c>
      <c r="F934" t="s">
        <v>18</v>
      </c>
    </row>
    <row r="935" spans="1:6">
      <c r="A935" t="s">
        <v>1069</v>
      </c>
      <c r="D935" t="s">
        <v>2544</v>
      </c>
      <c r="E935" t="s">
        <v>5411</v>
      </c>
      <c r="F935" t="s">
        <v>18</v>
      </c>
    </row>
    <row r="936" spans="1:6">
      <c r="A936" t="s">
        <v>1070</v>
      </c>
      <c r="D936" t="s">
        <v>2545</v>
      </c>
      <c r="E936" t="s">
        <v>5412</v>
      </c>
      <c r="F936" t="s">
        <v>18</v>
      </c>
    </row>
    <row r="937" spans="1:6">
      <c r="A937" t="s">
        <v>1071</v>
      </c>
      <c r="D937" t="s">
        <v>2546</v>
      </c>
      <c r="E937" t="s">
        <v>5413</v>
      </c>
      <c r="F937" t="s">
        <v>18</v>
      </c>
    </row>
    <row r="938" spans="1:6">
      <c r="A938" t="s">
        <v>1072</v>
      </c>
      <c r="D938" t="s">
        <v>2547</v>
      </c>
      <c r="E938" t="s">
        <v>5414</v>
      </c>
      <c r="F938" t="s">
        <v>18</v>
      </c>
    </row>
    <row r="939" spans="1:6">
      <c r="A939" t="s">
        <v>4992</v>
      </c>
      <c r="D939" t="s">
        <v>4993</v>
      </c>
      <c r="E939" t="s">
        <v>5415</v>
      </c>
      <c r="F939" t="s">
        <v>18</v>
      </c>
    </row>
    <row r="940" spans="1:6">
      <c r="A940" t="s">
        <v>4994</v>
      </c>
      <c r="D940" t="s">
        <v>4995</v>
      </c>
      <c r="E940" t="s">
        <v>5416</v>
      </c>
      <c r="F940" t="s">
        <v>18</v>
      </c>
    </row>
    <row r="941" spans="1:6">
      <c r="A941" t="s">
        <v>1956</v>
      </c>
      <c r="D941" t="s">
        <v>1957</v>
      </c>
      <c r="E941" t="s">
        <v>5417</v>
      </c>
      <c r="F941" t="s">
        <v>18</v>
      </c>
    </row>
    <row r="942" spans="1:6">
      <c r="A942" t="s">
        <v>1958</v>
      </c>
      <c r="D942" t="s">
        <v>1959</v>
      </c>
      <c r="E942" t="s">
        <v>5418</v>
      </c>
      <c r="F942" t="s">
        <v>18</v>
      </c>
    </row>
    <row r="943" spans="1:6">
      <c r="A943" t="s">
        <v>1960</v>
      </c>
      <c r="D943" t="s">
        <v>2548</v>
      </c>
      <c r="E943" t="s">
        <v>5419</v>
      </c>
      <c r="F943" t="s">
        <v>18</v>
      </c>
    </row>
    <row r="944" spans="1:6">
      <c r="A944" t="s">
        <v>1961</v>
      </c>
      <c r="D944" t="s">
        <v>2549</v>
      </c>
      <c r="E944" t="s">
        <v>5420</v>
      </c>
      <c r="F944" t="s">
        <v>18</v>
      </c>
    </row>
    <row r="945" spans="1:6">
      <c r="A945" t="s">
        <v>4996</v>
      </c>
      <c r="D945" t="s">
        <v>4997</v>
      </c>
      <c r="E945" t="s">
        <v>5421</v>
      </c>
      <c r="F945" t="s">
        <v>18</v>
      </c>
    </row>
    <row r="946" spans="1:6">
      <c r="A946" t="s">
        <v>2550</v>
      </c>
      <c r="D946" t="s">
        <v>2551</v>
      </c>
      <c r="E946" t="s">
        <v>5422</v>
      </c>
      <c r="F946" t="s">
        <v>18</v>
      </c>
    </row>
    <row r="947" spans="1:6">
      <c r="A947" t="s">
        <v>2552</v>
      </c>
      <c r="D947" t="s">
        <v>2553</v>
      </c>
      <c r="E947" t="s">
        <v>5423</v>
      </c>
      <c r="F947" t="s">
        <v>18</v>
      </c>
    </row>
    <row r="948" spans="1:6">
      <c r="A948" t="s">
        <v>2805</v>
      </c>
      <c r="D948" t="s">
        <v>2806</v>
      </c>
      <c r="E948" t="s">
        <v>5424</v>
      </c>
      <c r="F948" t="s">
        <v>18</v>
      </c>
    </row>
    <row r="949" spans="1:6">
      <c r="A949" t="s">
        <v>2807</v>
      </c>
      <c r="D949" t="s">
        <v>2808</v>
      </c>
      <c r="E949" t="s">
        <v>5425</v>
      </c>
      <c r="F949" t="s">
        <v>18</v>
      </c>
    </row>
    <row r="950" spans="1:6">
      <c r="A950" t="s">
        <v>2809</v>
      </c>
      <c r="D950" t="s">
        <v>2810</v>
      </c>
      <c r="E950" t="s">
        <v>5426</v>
      </c>
      <c r="F950" t="s">
        <v>18</v>
      </c>
    </row>
    <row r="951" spans="1:6">
      <c r="A951" t="s">
        <v>4998</v>
      </c>
      <c r="D951" t="s">
        <v>4999</v>
      </c>
      <c r="E951" t="s">
        <v>5427</v>
      </c>
      <c r="F951" t="s">
        <v>18</v>
      </c>
    </row>
    <row r="952" spans="1:6">
      <c r="A952" t="s">
        <v>1098</v>
      </c>
      <c r="D952" t="s">
        <v>1099</v>
      </c>
      <c r="E952" t="s">
        <v>5428</v>
      </c>
      <c r="F952" t="s">
        <v>18</v>
      </c>
    </row>
    <row r="953" spans="1:6">
      <c r="A953" t="s">
        <v>1100</v>
      </c>
      <c r="D953" t="s">
        <v>1101</v>
      </c>
      <c r="E953" t="s">
        <v>5429</v>
      </c>
      <c r="F953" t="s">
        <v>18</v>
      </c>
    </row>
    <row r="954" spans="1:6">
      <c r="A954" t="s">
        <v>1102</v>
      </c>
      <c r="D954" t="s">
        <v>1103</v>
      </c>
      <c r="E954" t="s">
        <v>5430</v>
      </c>
      <c r="F954" t="s">
        <v>18</v>
      </c>
    </row>
    <row r="955" spans="1:6">
      <c r="A955" t="s">
        <v>1104</v>
      </c>
      <c r="D955" t="s">
        <v>1105</v>
      </c>
      <c r="E955" t="s">
        <v>5431</v>
      </c>
      <c r="F955" t="s">
        <v>18</v>
      </c>
    </row>
    <row r="956" spans="1:6">
      <c r="A956" t="s">
        <v>1116</v>
      </c>
      <c r="D956" t="s">
        <v>1117</v>
      </c>
      <c r="E956" t="s">
        <v>5432</v>
      </c>
      <c r="F956" t="s">
        <v>18</v>
      </c>
    </row>
    <row r="957" spans="1:6">
      <c r="A957" t="s">
        <v>1106</v>
      </c>
      <c r="D957" t="s">
        <v>1107</v>
      </c>
      <c r="E957" t="s">
        <v>5433</v>
      </c>
      <c r="F957" t="s">
        <v>18</v>
      </c>
    </row>
    <row r="958" spans="1:6">
      <c r="A958" t="s">
        <v>1108</v>
      </c>
      <c r="D958" t="s">
        <v>1109</v>
      </c>
      <c r="E958" t="s">
        <v>5434</v>
      </c>
      <c r="F958" t="s">
        <v>18</v>
      </c>
    </row>
    <row r="959" spans="1:6">
      <c r="A959" t="s">
        <v>1110</v>
      </c>
      <c r="D959" t="s">
        <v>1111</v>
      </c>
      <c r="E959" t="s">
        <v>5435</v>
      </c>
      <c r="F959" t="s">
        <v>18</v>
      </c>
    </row>
    <row r="960" spans="1:6">
      <c r="A960" t="s">
        <v>1112</v>
      </c>
      <c r="D960" t="s">
        <v>1113</v>
      </c>
      <c r="E960" t="s">
        <v>5436</v>
      </c>
      <c r="F960" t="s">
        <v>18</v>
      </c>
    </row>
    <row r="961" spans="1:6">
      <c r="A961" t="s">
        <v>1118</v>
      </c>
      <c r="D961" t="s">
        <v>1119</v>
      </c>
      <c r="E961" t="s">
        <v>5437</v>
      </c>
      <c r="F961" t="s">
        <v>18</v>
      </c>
    </row>
    <row r="962" spans="1:6">
      <c r="A962" t="s">
        <v>1114</v>
      </c>
      <c r="D962" t="s">
        <v>1115</v>
      </c>
      <c r="E962" t="s">
        <v>5438</v>
      </c>
      <c r="F962" t="s">
        <v>18</v>
      </c>
    </row>
    <row r="963" spans="1:6">
      <c r="A963" t="s">
        <v>1120</v>
      </c>
      <c r="D963" t="s">
        <v>1121</v>
      </c>
      <c r="E963" t="s">
        <v>5439</v>
      </c>
      <c r="F963" t="s">
        <v>18</v>
      </c>
    </row>
    <row r="964" spans="1:6">
      <c r="A964" t="s">
        <v>1122</v>
      </c>
      <c r="D964" t="s">
        <v>1123</v>
      </c>
      <c r="E964" t="s">
        <v>5440</v>
      </c>
      <c r="F964" t="s">
        <v>18</v>
      </c>
    </row>
    <row r="965" spans="1:6">
      <c r="A965" t="s">
        <v>470</v>
      </c>
      <c r="D965" t="s">
        <v>471</v>
      </c>
      <c r="E965" t="s">
        <v>5441</v>
      </c>
      <c r="F965" t="s">
        <v>18</v>
      </c>
    </row>
    <row r="966" spans="1:6">
      <c r="A966" t="s">
        <v>1124</v>
      </c>
      <c r="D966" t="s">
        <v>1125</v>
      </c>
      <c r="E966" t="s">
        <v>5442</v>
      </c>
      <c r="F966" t="s">
        <v>18</v>
      </c>
    </row>
    <row r="967" spans="1:6">
      <c r="A967" t="s">
        <v>1126</v>
      </c>
      <c r="D967" t="s">
        <v>1127</v>
      </c>
      <c r="E967" t="s">
        <v>5443</v>
      </c>
      <c r="F967" t="s">
        <v>18</v>
      </c>
    </row>
    <row r="968" spans="1:6">
      <c r="A968" t="s">
        <v>1128</v>
      </c>
      <c r="D968" t="s">
        <v>1129</v>
      </c>
      <c r="E968" t="s">
        <v>5444</v>
      </c>
      <c r="F968" t="s">
        <v>18</v>
      </c>
    </row>
    <row r="969" spans="1:6">
      <c r="A969" t="s">
        <v>1130</v>
      </c>
      <c r="D969" t="s">
        <v>1131</v>
      </c>
      <c r="E969" t="s">
        <v>5445</v>
      </c>
      <c r="F969" t="s">
        <v>18</v>
      </c>
    </row>
    <row r="970" spans="1:6">
      <c r="A970" t="s">
        <v>2811</v>
      </c>
      <c r="D970" t="s">
        <v>2812</v>
      </c>
      <c r="E970" t="s">
        <v>5446</v>
      </c>
      <c r="F970" t="s">
        <v>18</v>
      </c>
    </row>
    <row r="971" spans="1:6">
      <c r="A971" t="s">
        <v>1215</v>
      </c>
      <c r="D971" t="s">
        <v>1216</v>
      </c>
      <c r="E971" t="s">
        <v>5447</v>
      </c>
    </row>
    <row r="972" spans="1:6">
      <c r="A972" t="s">
        <v>1217</v>
      </c>
      <c r="D972" t="s">
        <v>1218</v>
      </c>
      <c r="E972" t="s">
        <v>5448</v>
      </c>
    </row>
    <row r="973" spans="1:6">
      <c r="A973" t="s">
        <v>5000</v>
      </c>
      <c r="D973" t="s">
        <v>5001</v>
      </c>
      <c r="E973" t="s">
        <v>5449</v>
      </c>
    </row>
    <row r="974" spans="1:6">
      <c r="A974" t="s">
        <v>1295</v>
      </c>
      <c r="D974" t="s">
        <v>1296</v>
      </c>
      <c r="E974" t="s">
        <v>2315</v>
      </c>
    </row>
    <row r="975" spans="1:6">
      <c r="A975" t="s">
        <v>1297</v>
      </c>
      <c r="D975" t="s">
        <v>1298</v>
      </c>
      <c r="E975" t="s">
        <v>5450</v>
      </c>
    </row>
    <row r="976" spans="1:6">
      <c r="A976" t="s">
        <v>1299</v>
      </c>
      <c r="D976" t="s">
        <v>1300</v>
      </c>
      <c r="E976" t="s">
        <v>2316</v>
      </c>
    </row>
    <row r="977" spans="1:5">
      <c r="A977" t="s">
        <v>1301</v>
      </c>
      <c r="D977" t="s">
        <v>1302</v>
      </c>
      <c r="E977" t="s">
        <v>5451</v>
      </c>
    </row>
    <row r="978" spans="1:5">
      <c r="A978" t="s">
        <v>5002</v>
      </c>
      <c r="D978" t="s">
        <v>5003</v>
      </c>
      <c r="E978" t="s">
        <v>5452</v>
      </c>
    </row>
    <row r="979" spans="1:5">
      <c r="A979" t="s">
        <v>1209</v>
      </c>
      <c r="D979" t="s">
        <v>1210</v>
      </c>
      <c r="E979" t="s">
        <v>2320</v>
      </c>
    </row>
    <row r="980" spans="1:5">
      <c r="A980" t="s">
        <v>1211</v>
      </c>
      <c r="D980" t="s">
        <v>1212</v>
      </c>
      <c r="E980" t="s">
        <v>2321</v>
      </c>
    </row>
    <row r="981" spans="1:5">
      <c r="A981" t="s">
        <v>5004</v>
      </c>
      <c r="D981" t="s">
        <v>5005</v>
      </c>
      <c r="E981" t="s">
        <v>2323</v>
      </c>
    </row>
    <row r="982" spans="1:5">
      <c r="A982" t="s">
        <v>5006</v>
      </c>
      <c r="D982" t="s">
        <v>5007</v>
      </c>
      <c r="E982" t="s">
        <v>5453</v>
      </c>
    </row>
    <row r="983" spans="1:5">
      <c r="A983" t="s">
        <v>5008</v>
      </c>
      <c r="D983" t="s">
        <v>5009</v>
      </c>
      <c r="E983" t="s">
        <v>5454</v>
      </c>
    </row>
    <row r="984" spans="1:5">
      <c r="A984" t="s">
        <v>5010</v>
      </c>
      <c r="D984" t="s">
        <v>5011</v>
      </c>
      <c r="E984" t="s">
        <v>5455</v>
      </c>
    </row>
    <row r="985" spans="1:5">
      <c r="A985" t="s">
        <v>5012</v>
      </c>
      <c r="D985" t="s">
        <v>5013</v>
      </c>
      <c r="E985" t="s">
        <v>5456</v>
      </c>
    </row>
    <row r="986" spans="1:5">
      <c r="A986" t="s">
        <v>1022</v>
      </c>
      <c r="D986" t="s">
        <v>1023</v>
      </c>
      <c r="E986" t="s">
        <v>5457</v>
      </c>
    </row>
    <row r="987" spans="1:5">
      <c r="A987" t="s">
        <v>5014</v>
      </c>
      <c r="D987" t="s">
        <v>5015</v>
      </c>
      <c r="E987" t="s">
        <v>5458</v>
      </c>
    </row>
    <row r="988" spans="1:5">
      <c r="A988" t="s">
        <v>5016</v>
      </c>
      <c r="D988" t="s">
        <v>5017</v>
      </c>
      <c r="E988" t="s">
        <v>5459</v>
      </c>
    </row>
    <row r="989" spans="1:5">
      <c r="A989" t="s">
        <v>5018</v>
      </c>
      <c r="D989" t="s">
        <v>5019</v>
      </c>
      <c r="E989" t="s">
        <v>5460</v>
      </c>
    </row>
    <row r="990" spans="1:5">
      <c r="A990" t="s">
        <v>5020</v>
      </c>
      <c r="D990" t="s">
        <v>5021</v>
      </c>
      <c r="E990" t="s">
        <v>5461</v>
      </c>
    </row>
    <row r="991" spans="1:5">
      <c r="A991" t="s">
        <v>5022</v>
      </c>
      <c r="D991" t="s">
        <v>5023</v>
      </c>
      <c r="E991" t="s">
        <v>5462</v>
      </c>
    </row>
    <row r="992" spans="1:5">
      <c r="A992" t="s">
        <v>5024</v>
      </c>
      <c r="D992" t="s">
        <v>5025</v>
      </c>
      <c r="E992" t="s">
        <v>5463</v>
      </c>
    </row>
    <row r="993" spans="1:7">
      <c r="A993" t="s">
        <v>5026</v>
      </c>
      <c r="D993" t="s">
        <v>5027</v>
      </c>
      <c r="E993" t="s">
        <v>5464</v>
      </c>
    </row>
    <row r="994" spans="1:7">
      <c r="A994" t="s">
        <v>5028</v>
      </c>
      <c r="D994" t="s">
        <v>5029</v>
      </c>
      <c r="E994" t="s">
        <v>5465</v>
      </c>
    </row>
    <row r="995" spans="1:7">
      <c r="A995" t="s">
        <v>5030</v>
      </c>
      <c r="D995" t="s">
        <v>5031</v>
      </c>
      <c r="E995" t="s">
        <v>5466</v>
      </c>
    </row>
    <row r="996" spans="1:7">
      <c r="A996" t="s">
        <v>2817</v>
      </c>
      <c r="B996">
        <v>8247</v>
      </c>
      <c r="C996" t="s">
        <v>2818</v>
      </c>
      <c r="D996" t="s">
        <v>5032</v>
      </c>
      <c r="E996" t="s">
        <v>5033</v>
      </c>
      <c r="F996" t="s">
        <v>18</v>
      </c>
      <c r="G996" t="s">
        <v>2853</v>
      </c>
    </row>
    <row r="997" spans="1:7">
      <c r="A997" t="s">
        <v>2821</v>
      </c>
      <c r="B997">
        <v>8247</v>
      </c>
      <c r="C997" t="s">
        <v>2822</v>
      </c>
      <c r="D997" t="s">
        <v>5034</v>
      </c>
      <c r="E997" t="s">
        <v>5035</v>
      </c>
      <c r="F997" t="s">
        <v>18</v>
      </c>
      <c r="G997" t="s">
        <v>2853</v>
      </c>
    </row>
    <row r="998" spans="1:7">
      <c r="A998" t="s">
        <v>5036</v>
      </c>
      <c r="B998">
        <v>5773</v>
      </c>
      <c r="C998" t="s">
        <v>2822</v>
      </c>
      <c r="D998" t="s">
        <v>5037</v>
      </c>
      <c r="E998" t="s">
        <v>5038</v>
      </c>
      <c r="F998" t="s">
        <v>21</v>
      </c>
      <c r="G998" t="s">
        <v>5039</v>
      </c>
    </row>
    <row r="999" spans="1:7">
      <c r="A999" t="s">
        <v>5040</v>
      </c>
      <c r="B999">
        <v>5639</v>
      </c>
      <c r="C999" t="s">
        <v>5041</v>
      </c>
      <c r="D999" t="s">
        <v>5042</v>
      </c>
      <c r="E999" t="s">
        <v>5043</v>
      </c>
      <c r="F999" t="s">
        <v>21</v>
      </c>
      <c r="G999" t="s">
        <v>5039</v>
      </c>
    </row>
    <row r="1000" spans="1:7">
      <c r="A1000" t="s">
        <v>5044</v>
      </c>
      <c r="B1000">
        <v>5662</v>
      </c>
      <c r="C1000" t="s">
        <v>5045</v>
      </c>
      <c r="D1000" t="s">
        <v>5046</v>
      </c>
      <c r="E1000" t="s">
        <v>5047</v>
      </c>
      <c r="F1000" t="s">
        <v>21</v>
      </c>
      <c r="G1000" t="s">
        <v>5039</v>
      </c>
    </row>
    <row r="1001" spans="1:7">
      <c r="A1001" t="s">
        <v>5048</v>
      </c>
      <c r="B1001">
        <v>5692</v>
      </c>
      <c r="C1001" t="s">
        <v>5049</v>
      </c>
      <c r="D1001" t="s">
        <v>5050</v>
      </c>
      <c r="E1001" t="s">
        <v>5051</v>
      </c>
      <c r="F1001" t="s">
        <v>21</v>
      </c>
      <c r="G1001" t="s">
        <v>5039</v>
      </c>
    </row>
    <row r="1002" spans="1:7">
      <c r="A1002" t="s">
        <v>5052</v>
      </c>
      <c r="B1002">
        <v>5765</v>
      </c>
      <c r="C1002" t="s">
        <v>5053</v>
      </c>
      <c r="D1002" t="s">
        <v>5054</v>
      </c>
      <c r="E1002" t="s">
        <v>5055</v>
      </c>
      <c r="F1002" t="s">
        <v>21</v>
      </c>
      <c r="G1002" t="s">
        <v>5039</v>
      </c>
    </row>
    <row r="1003" spans="1:7">
      <c r="A1003" t="s">
        <v>5056</v>
      </c>
      <c r="B1003">
        <v>5765</v>
      </c>
      <c r="C1003" t="s">
        <v>5057</v>
      </c>
      <c r="D1003" t="s">
        <v>5058</v>
      </c>
      <c r="E1003" t="s">
        <v>5059</v>
      </c>
      <c r="F1003" t="s">
        <v>21</v>
      </c>
      <c r="G1003" t="s">
        <v>5039</v>
      </c>
    </row>
    <row r="1004" spans="1:7">
      <c r="A1004" t="s">
        <v>5060</v>
      </c>
      <c r="B1004">
        <v>5765</v>
      </c>
      <c r="C1004" t="s">
        <v>5045</v>
      </c>
      <c r="D1004" t="s">
        <v>5061</v>
      </c>
      <c r="E1004" t="s">
        <v>5062</v>
      </c>
      <c r="F1004" t="s">
        <v>21</v>
      </c>
      <c r="G1004" t="s">
        <v>5039</v>
      </c>
    </row>
    <row r="1005" spans="1:7">
      <c r="A1005" t="s">
        <v>5063</v>
      </c>
      <c r="B1005">
        <v>5765</v>
      </c>
      <c r="C1005" t="s">
        <v>5064</v>
      </c>
      <c r="D1005" t="s">
        <v>5065</v>
      </c>
      <c r="E1005" t="s">
        <v>5066</v>
      </c>
      <c r="F1005" t="s">
        <v>21</v>
      </c>
      <c r="G1005" t="s">
        <v>5039</v>
      </c>
    </row>
    <row r="1006" spans="1:7">
      <c r="A1006" t="s">
        <v>5067</v>
      </c>
      <c r="B1006">
        <v>5773</v>
      </c>
      <c r="C1006" t="s">
        <v>5053</v>
      </c>
      <c r="D1006" t="s">
        <v>5068</v>
      </c>
      <c r="E1006" t="s">
        <v>5069</v>
      </c>
      <c r="F1006" t="s">
        <v>21</v>
      </c>
      <c r="G1006" t="s">
        <v>5039</v>
      </c>
    </row>
    <row r="1007" spans="1:7">
      <c r="A1007" t="s">
        <v>5070</v>
      </c>
      <c r="B1007">
        <v>5773</v>
      </c>
      <c r="C1007" t="s">
        <v>5064</v>
      </c>
      <c r="D1007" t="s">
        <v>5071</v>
      </c>
      <c r="E1007" t="s">
        <v>5072</v>
      </c>
      <c r="F1007" t="s">
        <v>21</v>
      </c>
      <c r="G1007" t="s">
        <v>5039</v>
      </c>
    </row>
    <row r="1008" spans="1:7">
      <c r="A1008" t="s">
        <v>2813</v>
      </c>
      <c r="B1008" t="s">
        <v>3148</v>
      </c>
      <c r="C1008" t="s">
        <v>2814</v>
      </c>
      <c r="D1008" t="s">
        <v>2439</v>
      </c>
      <c r="E1008" t="s">
        <v>5073</v>
      </c>
      <c r="F1008" t="s">
        <v>18</v>
      </c>
    </row>
    <row r="1009" spans="1:7">
      <c r="A1009" t="s">
        <v>2815</v>
      </c>
      <c r="B1009" t="s">
        <v>3149</v>
      </c>
      <c r="C1009" t="s">
        <v>2816</v>
      </c>
      <c r="D1009" t="s">
        <v>2440</v>
      </c>
      <c r="E1009" t="s">
        <v>5074</v>
      </c>
      <c r="F1009" t="s">
        <v>18</v>
      </c>
    </row>
    <row r="1010" spans="1:7">
      <c r="A1010" t="s">
        <v>2824</v>
      </c>
      <c r="B1010" t="s">
        <v>3208</v>
      </c>
      <c r="C1010" t="s">
        <v>2825</v>
      </c>
      <c r="D1010" t="s">
        <v>5075</v>
      </c>
      <c r="E1010" t="s">
        <v>5076</v>
      </c>
      <c r="F1010" t="s">
        <v>18</v>
      </c>
      <c r="G1010" t="s">
        <v>2853</v>
      </c>
    </row>
    <row r="1011" spans="1:7">
      <c r="A1011" t="s">
        <v>2827</v>
      </c>
      <c r="B1011" t="s">
        <v>5077</v>
      </c>
      <c r="C1011" t="s">
        <v>2828</v>
      </c>
      <c r="D1011" t="s">
        <v>5078</v>
      </c>
      <c r="E1011" t="s">
        <v>5079</v>
      </c>
      <c r="F1011" t="s">
        <v>18</v>
      </c>
      <c r="G1011" t="s">
        <v>2853</v>
      </c>
    </row>
    <row r="1012" spans="1:7">
      <c r="A1012" t="s">
        <v>2830</v>
      </c>
      <c r="B1012" t="s">
        <v>2837</v>
      </c>
      <c r="C1012" t="s">
        <v>2831</v>
      </c>
      <c r="D1012" t="s">
        <v>5080</v>
      </c>
      <c r="E1012" t="s">
        <v>5081</v>
      </c>
      <c r="F1012" t="s">
        <v>18</v>
      </c>
      <c r="G1012" t="s">
        <v>2853</v>
      </c>
    </row>
    <row r="1013" spans="1:7">
      <c r="A1013" t="s">
        <v>5082</v>
      </c>
      <c r="B1013" t="s">
        <v>122</v>
      </c>
      <c r="C1013" t="s">
        <v>5083</v>
      </c>
      <c r="D1013" t="s">
        <v>5084</v>
      </c>
      <c r="E1013" t="s">
        <v>5085</v>
      </c>
      <c r="F1013" t="s">
        <v>21</v>
      </c>
    </row>
    <row r="1014" spans="1:7">
      <c r="A1014" t="s">
        <v>5086</v>
      </c>
      <c r="B1014" t="s">
        <v>122</v>
      </c>
      <c r="C1014" t="s">
        <v>5087</v>
      </c>
      <c r="D1014" t="s">
        <v>5088</v>
      </c>
      <c r="E1014" t="s">
        <v>5089</v>
      </c>
    </row>
    <row r="1015" spans="1:7">
      <c r="A1015" t="s">
        <v>3014</v>
      </c>
      <c r="B1015" t="s">
        <v>122</v>
      </c>
      <c r="C1015" t="s">
        <v>3116</v>
      </c>
      <c r="D1015" t="s">
        <v>5090</v>
      </c>
      <c r="E1015" t="s">
        <v>5091</v>
      </c>
    </row>
    <row r="1016" spans="1:7">
      <c r="A1016" t="s">
        <v>5092</v>
      </c>
      <c r="B1016" t="s">
        <v>122</v>
      </c>
      <c r="C1016" t="s">
        <v>5093</v>
      </c>
      <c r="D1016" t="s">
        <v>5094</v>
      </c>
      <c r="E1016" t="s">
        <v>5095</v>
      </c>
    </row>
    <row r="1017" spans="1:7">
      <c r="A1017" t="s">
        <v>5096</v>
      </c>
      <c r="B1017" t="s">
        <v>2024</v>
      </c>
      <c r="C1017" t="s">
        <v>5097</v>
      </c>
      <c r="D1017" t="s">
        <v>5098</v>
      </c>
      <c r="E1017" t="s">
        <v>5467</v>
      </c>
    </row>
    <row r="1018" spans="1:7">
      <c r="A1018" t="s">
        <v>5099</v>
      </c>
      <c r="B1018" t="s">
        <v>2024</v>
      </c>
      <c r="C1018" t="s">
        <v>5100</v>
      </c>
      <c r="D1018" t="s">
        <v>5101</v>
      </c>
      <c r="E1018" t="s">
        <v>5468</v>
      </c>
    </row>
    <row r="1019" spans="1:7">
      <c r="A1019" t="s">
        <v>5102</v>
      </c>
      <c r="B1019" t="s">
        <v>2021</v>
      </c>
      <c r="C1019" t="s">
        <v>5103</v>
      </c>
      <c r="D1019" t="s">
        <v>5104</v>
      </c>
      <c r="E1019" t="s">
        <v>5469</v>
      </c>
    </row>
    <row r="1020" spans="1:7">
      <c r="A1020" t="s">
        <v>5105</v>
      </c>
      <c r="B1020" t="s">
        <v>2024</v>
      </c>
      <c r="C1020" t="s">
        <v>4119</v>
      </c>
      <c r="D1020" t="s">
        <v>5106</v>
      </c>
      <c r="E1020" t="s">
        <v>5470</v>
      </c>
    </row>
    <row r="1021" spans="1:7">
      <c r="A1021" t="s">
        <v>5107</v>
      </c>
      <c r="B1021" t="s">
        <v>2022</v>
      </c>
      <c r="C1021" t="s">
        <v>5108</v>
      </c>
      <c r="D1021" t="s">
        <v>5109</v>
      </c>
      <c r="E1021" t="s">
        <v>5471</v>
      </c>
    </row>
    <row r="1022" spans="1:7">
      <c r="A1022" t="s">
        <v>5110</v>
      </c>
      <c r="B1022" t="s">
        <v>5111</v>
      </c>
      <c r="C1022" t="s">
        <v>5112</v>
      </c>
      <c r="D1022" t="s">
        <v>5113</v>
      </c>
      <c r="E1022" t="s">
        <v>5472</v>
      </c>
    </row>
    <row r="1023" spans="1:7">
      <c r="A1023" t="s">
        <v>2412</v>
      </c>
      <c r="D1023" t="s">
        <v>2531</v>
      </c>
      <c r="E1023" t="s">
        <v>4662</v>
      </c>
      <c r="F1023" t="s">
        <v>18</v>
      </c>
      <c r="G1023" t="s">
        <v>2851</v>
      </c>
    </row>
    <row r="1024" spans="1:7">
      <c r="A1024" t="s">
        <v>480</v>
      </c>
      <c r="D1024" t="s">
        <v>2532</v>
      </c>
      <c r="E1024" t="s">
        <v>5473</v>
      </c>
      <c r="F1024" t="s">
        <v>18</v>
      </c>
      <c r="G1024" t="s">
        <v>2851</v>
      </c>
    </row>
    <row r="1025" spans="1:12">
      <c r="A1025" t="s">
        <v>686</v>
      </c>
      <c r="D1025" t="s">
        <v>2533</v>
      </c>
      <c r="E1025" t="s">
        <v>4673</v>
      </c>
      <c r="F1025" t="s">
        <v>18</v>
      </c>
      <c r="G1025" t="s">
        <v>2851</v>
      </c>
    </row>
    <row r="1026" spans="1:12">
      <c r="A1026" t="s">
        <v>687</v>
      </c>
      <c r="D1026" t="s">
        <v>2533</v>
      </c>
      <c r="E1026" t="s">
        <v>4675</v>
      </c>
      <c r="F1026" t="s">
        <v>18</v>
      </c>
      <c r="G1026" t="s">
        <v>2851</v>
      </c>
    </row>
    <row r="1027" spans="1:12">
      <c r="A1027" t="s">
        <v>4677</v>
      </c>
      <c r="D1027" t="s">
        <v>5114</v>
      </c>
      <c r="E1027" t="s">
        <v>4678</v>
      </c>
      <c r="F1027" t="s">
        <v>18</v>
      </c>
      <c r="G1027" t="s">
        <v>2851</v>
      </c>
    </row>
    <row r="1028" spans="1:12">
      <c r="A1028" t="s">
        <v>688</v>
      </c>
      <c r="D1028" t="s">
        <v>2534</v>
      </c>
      <c r="E1028" t="s">
        <v>4683</v>
      </c>
      <c r="F1028" t="s">
        <v>18</v>
      </c>
      <c r="G1028" t="s">
        <v>2851</v>
      </c>
    </row>
    <row r="1029" spans="1:12">
      <c r="A1029" t="s">
        <v>689</v>
      </c>
      <c r="D1029" t="s">
        <v>690</v>
      </c>
      <c r="E1029" t="s">
        <v>4685</v>
      </c>
      <c r="F1029" t="s">
        <v>18</v>
      </c>
      <c r="G1029" t="s">
        <v>2851</v>
      </c>
    </row>
    <row r="1030" spans="1:12">
      <c r="A1030" t="s">
        <v>5115</v>
      </c>
      <c r="D1030" t="s">
        <v>4699</v>
      </c>
      <c r="E1030" t="s">
        <v>4700</v>
      </c>
      <c r="F1030" t="s">
        <v>18</v>
      </c>
      <c r="G1030" t="s">
        <v>3687</v>
      </c>
      <c r="H1030" t="s">
        <v>3175</v>
      </c>
      <c r="I1030" t="s">
        <v>154</v>
      </c>
      <c r="J1030" t="s">
        <v>3688</v>
      </c>
      <c r="K1030" t="s">
        <v>3724</v>
      </c>
      <c r="L1030" t="s">
        <v>63</v>
      </c>
    </row>
    <row r="1031" spans="1:12">
      <c r="A1031" t="s">
        <v>5116</v>
      </c>
      <c r="D1031" t="s">
        <v>4702</v>
      </c>
      <c r="E1031" t="s">
        <v>4703</v>
      </c>
      <c r="F1031" t="s">
        <v>18</v>
      </c>
      <c r="G1031" t="s">
        <v>3687</v>
      </c>
      <c r="H1031" t="s">
        <v>3175</v>
      </c>
      <c r="I1031" t="s">
        <v>154</v>
      </c>
      <c r="J1031" t="s">
        <v>3688</v>
      </c>
      <c r="K1031" t="s">
        <v>3689</v>
      </c>
      <c r="L1031" t="s">
        <v>63</v>
      </c>
    </row>
    <row r="1032" spans="1:12">
      <c r="A1032" t="s">
        <v>5117</v>
      </c>
      <c r="D1032" t="s">
        <v>4705</v>
      </c>
      <c r="E1032" t="s">
        <v>2451</v>
      </c>
      <c r="F1032" t="s">
        <v>18</v>
      </c>
      <c r="G1032" t="s">
        <v>3687</v>
      </c>
      <c r="H1032" t="s">
        <v>3175</v>
      </c>
      <c r="I1032" t="s">
        <v>154</v>
      </c>
      <c r="J1032" t="s">
        <v>3688</v>
      </c>
      <c r="K1032" t="s">
        <v>3689</v>
      </c>
      <c r="L1032" t="s">
        <v>63</v>
      </c>
    </row>
    <row r="1033" spans="1:12">
      <c r="A1033" t="s">
        <v>5118</v>
      </c>
      <c r="D1033" t="s">
        <v>4707</v>
      </c>
      <c r="E1033" t="s">
        <v>2506</v>
      </c>
      <c r="F1033" t="s">
        <v>18</v>
      </c>
      <c r="G1033" t="s">
        <v>3687</v>
      </c>
      <c r="H1033" t="s">
        <v>3175</v>
      </c>
      <c r="I1033" t="s">
        <v>154</v>
      </c>
      <c r="J1033" t="s">
        <v>3688</v>
      </c>
      <c r="K1033" t="s">
        <v>3689</v>
      </c>
      <c r="L1033" t="s">
        <v>63</v>
      </c>
    </row>
    <row r="1034" spans="1:12">
      <c r="A1034" t="s">
        <v>5119</v>
      </c>
      <c r="D1034" t="s">
        <v>465</v>
      </c>
      <c r="E1034" t="s">
        <v>5474</v>
      </c>
      <c r="F1034" t="s">
        <v>18</v>
      </c>
      <c r="G1034" t="s">
        <v>2853</v>
      </c>
    </row>
    <row r="1035" spans="1:12">
      <c r="A1035" s="249" t="s">
        <v>7712</v>
      </c>
      <c r="D1035" s="249" t="s">
        <v>4699</v>
      </c>
      <c r="E1035" t="s">
        <v>4700</v>
      </c>
      <c r="F1035" t="s">
        <v>18</v>
      </c>
    </row>
    <row r="1036" spans="1:12">
      <c r="A1036" s="249" t="s">
        <v>7739</v>
      </c>
      <c r="D1036" s="249" t="s">
        <v>4702</v>
      </c>
      <c r="E1036" t="s">
        <v>4703</v>
      </c>
      <c r="F1036" t="s">
        <v>18</v>
      </c>
    </row>
    <row r="1037" spans="1:12">
      <c r="A1037" s="249" t="s">
        <v>7713</v>
      </c>
      <c r="D1037" s="249" t="s">
        <v>4705</v>
      </c>
      <c r="E1037" t="s">
        <v>2451</v>
      </c>
      <c r="F1037" t="s">
        <v>18</v>
      </c>
    </row>
    <row r="1038" spans="1:12">
      <c r="A1038" s="249" t="s">
        <v>7738</v>
      </c>
      <c r="D1038" s="249" t="s">
        <v>4707</v>
      </c>
      <c r="E1038" t="s">
        <v>2506</v>
      </c>
      <c r="F1038" t="s">
        <v>18</v>
      </c>
    </row>
    <row r="1039" spans="1:12">
      <c r="A1039" t="s">
        <v>5712</v>
      </c>
      <c r="B1039" t="str">
        <f t="shared" ref="B1039:B1059" si="0">LEFT(A1039,4)</f>
        <v>5462</v>
      </c>
      <c r="C1039" t="str">
        <f t="shared" ref="C1039:C1059" si="1">RIGHT(A1039,3)</f>
        <v>52U</v>
      </c>
      <c r="D1039" t="s">
        <v>5713</v>
      </c>
      <c r="E1039" t="str">
        <f t="shared" ref="E1039:E1063" si="2">CONCATENATE(A1039," ",D1039)</f>
        <v>546252U x3650 M5, Xeon 8C E5-2630Lv3 55W 1.8GHz/1866MHz/20MB, 1x16GB, O/Bay HS 2.5in SAS/SATA, SR M5210, 550W p/s, Rack</v>
      </c>
      <c r="F1039" t="s">
        <v>18</v>
      </c>
    </row>
    <row r="1040" spans="1:12">
      <c r="A1040" t="s">
        <v>5714</v>
      </c>
      <c r="B1040" t="str">
        <f t="shared" si="0"/>
        <v>5462</v>
      </c>
      <c r="C1040" t="str">
        <f t="shared" si="1"/>
        <v>62U</v>
      </c>
      <c r="D1040" t="s">
        <v>5715</v>
      </c>
      <c r="E1040" t="str">
        <f t="shared" si="2"/>
        <v>546262U x3650 M5, Xeon 12C E5-2670v3 120W 2.3GHz/2133MHz/30MB, 1x16GB, O/Bay HS 2.5in SAS/SATA, SR M5210, 750W p/s, Rack</v>
      </c>
      <c r="F1040" t="s">
        <v>18</v>
      </c>
    </row>
    <row r="1041" spans="1:6">
      <c r="A1041" t="s">
        <v>5716</v>
      </c>
      <c r="B1041" t="str">
        <f t="shared" si="0"/>
        <v>5462</v>
      </c>
      <c r="C1041" t="str">
        <f t="shared" si="1"/>
        <v>A2U</v>
      </c>
      <c r="D1041" t="s">
        <v>5717</v>
      </c>
      <c r="E1041" t="str">
        <f t="shared" si="2"/>
        <v>5462A2U x3650 M5, Xeon 6C E5-2603v3 85W 1.6GHz/1600MHz/15MB, 1x8GB, O/Bay SS 2.5in SAS/SATA, 550W p/s, Rack</v>
      </c>
      <c r="F1041" t="s">
        <v>18</v>
      </c>
    </row>
    <row r="1042" spans="1:6">
      <c r="A1042" t="s">
        <v>5718</v>
      </c>
      <c r="B1042" t="str">
        <f t="shared" si="0"/>
        <v>5462</v>
      </c>
      <c r="C1042" t="str">
        <f t="shared" si="1"/>
        <v>B2U</v>
      </c>
      <c r="D1042" t="s">
        <v>5719</v>
      </c>
      <c r="E1042" t="str">
        <f t="shared" si="2"/>
        <v>5462B2U x3650 M5, Xeon 6C E5-2609v3 85W 1.9GHz/1600MHz/15MB, 1x8GB, O/Bay SS 3.5in SAS/SATA, 550W p/s, Rack</v>
      </c>
      <c r="F1042" t="s">
        <v>18</v>
      </c>
    </row>
    <row r="1043" spans="1:6">
      <c r="A1043" t="s">
        <v>5720</v>
      </c>
      <c r="B1043" t="str">
        <f t="shared" si="0"/>
        <v>5462</v>
      </c>
      <c r="C1043" t="str">
        <f t="shared" si="1"/>
        <v>C2U</v>
      </c>
      <c r="D1043" t="s">
        <v>5721</v>
      </c>
      <c r="E1043" t="str">
        <f t="shared" si="2"/>
        <v>5462C2U x3650 M5, Xeon 6C E5-2620v3 85W 2.4GHz/1866MHz/15MB, 1x16GB, O/Bay HS 2.5in SAS/SATA, SR M1215, 550W p/s, Rack</v>
      </c>
      <c r="F1043" t="s">
        <v>18</v>
      </c>
    </row>
    <row r="1044" spans="1:6">
      <c r="A1044" t="s">
        <v>5722</v>
      </c>
      <c r="B1044" t="str">
        <f t="shared" si="0"/>
        <v>5462</v>
      </c>
      <c r="C1044" t="str">
        <f t="shared" si="1"/>
        <v>C4U</v>
      </c>
      <c r="D1044" t="s">
        <v>5723</v>
      </c>
      <c r="E1044" t="str">
        <f t="shared" si="2"/>
        <v>5462C4U x3650 M5, Xeon 6C E5-2620v3 85W 2.4GHz/1866MHz/15MB, 1x16GB, O/Bay HS 3.5in SAS/SATA, SR M1215, 550W p/s, Rack</v>
      </c>
      <c r="F1044" t="s">
        <v>18</v>
      </c>
    </row>
    <row r="1045" spans="1:6">
      <c r="A1045" t="s">
        <v>5724</v>
      </c>
      <c r="B1045" t="str">
        <f t="shared" si="0"/>
        <v>5462</v>
      </c>
      <c r="C1045" t="str">
        <f t="shared" si="1"/>
        <v>D2U</v>
      </c>
      <c r="D1045" t="s">
        <v>5725</v>
      </c>
      <c r="E1045" t="str">
        <f t="shared" si="2"/>
        <v>5462D2U x3650 M5, Xeon 8C E5-2630v3 85W 2.4GHz/1866MHz/20MB, 1x16GB, O/Bay HS 2.5in SAS/SATA, SR M5210, 550W p/s, Rack</v>
      </c>
      <c r="F1045" t="s">
        <v>18</v>
      </c>
    </row>
    <row r="1046" spans="1:6">
      <c r="A1046" t="s">
        <v>5726</v>
      </c>
      <c r="B1046" t="str">
        <f t="shared" si="0"/>
        <v>5462</v>
      </c>
      <c r="C1046" t="str">
        <f t="shared" si="1"/>
        <v>D4U</v>
      </c>
      <c r="D1046" t="s">
        <v>5727</v>
      </c>
      <c r="E1046" t="str">
        <f t="shared" si="2"/>
        <v>5462D4U x3650 M5, Xeon 8C E5-2630v3 85W 2.4GHz/1866MHz/20MB, 1x16GB, O/Bay HS 3.5in SAS/SATA, SR M5210, 750W p/s, Rack</v>
      </c>
      <c r="F1046" t="s">
        <v>18</v>
      </c>
    </row>
    <row r="1047" spans="1:6">
      <c r="A1047" t="s">
        <v>5745</v>
      </c>
      <c r="B1047" t="str">
        <f t="shared" si="0"/>
        <v>5462</v>
      </c>
      <c r="C1047" t="str">
        <f t="shared" si="1"/>
        <v>ENU</v>
      </c>
      <c r="D1047" t="s">
        <v>5741</v>
      </c>
      <c r="E1047" t="str">
        <f t="shared" si="2"/>
        <v>5462ENU Express x3650 M5, Xeon 6C E5-2609v3 85W 1.9GHz/1600MHz/15MB, 1x8GB, O/Bay HS 2.5in SATA/SAS, SR M5210, Multiburner, 550W p/s, Rack</v>
      </c>
      <c r="F1047" t="s">
        <v>18</v>
      </c>
    </row>
    <row r="1048" spans="1:6">
      <c r="A1048" t="s">
        <v>5746</v>
      </c>
      <c r="B1048" t="str">
        <f t="shared" si="0"/>
        <v>5462</v>
      </c>
      <c r="C1048" t="str">
        <f t="shared" si="1"/>
        <v>EOU</v>
      </c>
      <c r="D1048" t="s">
        <v>5747</v>
      </c>
      <c r="E1048" t="str">
        <f t="shared" si="2"/>
        <v>5462EOU Express x3650 M5, Xeon 6C E5-2620v3 85W 2.4GHz/1866MHz/15MB, 1x8GB, O/Bay HS 2.5in SATA/SAS, SR M5210, Multiburner, 550W p/s, Rack</v>
      </c>
      <c r="F1048" t="s">
        <v>18</v>
      </c>
    </row>
    <row r="1049" spans="1:6">
      <c r="A1049" t="s">
        <v>5748</v>
      </c>
      <c r="B1049" t="str">
        <f t="shared" si="0"/>
        <v>5462</v>
      </c>
      <c r="C1049" t="str">
        <f t="shared" si="1"/>
        <v>EPU</v>
      </c>
      <c r="D1049" t="s">
        <v>5749</v>
      </c>
      <c r="E1049" t="str">
        <f t="shared" si="2"/>
        <v>5462EPU Express x3650 M5, Xeon 6C E5-2620v3 85W 2.4GHz/1866MHz/15MB, 1x8GB, 2x300GB, HS 2.5in SAS, SR M5210, Multiburner, 2x550W p/s, Rack</v>
      </c>
      <c r="F1049" t="s">
        <v>18</v>
      </c>
    </row>
    <row r="1050" spans="1:6">
      <c r="A1050" t="s">
        <v>5750</v>
      </c>
      <c r="B1050" t="str">
        <f t="shared" si="0"/>
        <v>5462</v>
      </c>
      <c r="C1050" t="str">
        <f t="shared" si="1"/>
        <v>EQU</v>
      </c>
      <c r="D1050" t="s">
        <v>5743</v>
      </c>
      <c r="E1050" t="str">
        <f t="shared" si="2"/>
        <v>5462EQU Express x3650 M5, Xeon 8C E5-2630v3 85W 2.4GHz/1866MHz/20MB, 1x16GB, O/Bay HS 2.5in SATA/SAS, SR M5210, Multiburner, 550W p/s, Rack</v>
      </c>
      <c r="F1050" t="s">
        <v>18</v>
      </c>
    </row>
    <row r="1051" spans="1:6">
      <c r="A1051" t="s">
        <v>5752</v>
      </c>
      <c r="B1051" t="str">
        <f t="shared" si="0"/>
        <v>5462</v>
      </c>
      <c r="C1051" t="str">
        <f t="shared" si="1"/>
        <v>ERU</v>
      </c>
      <c r="D1051" t="s">
        <v>5753</v>
      </c>
      <c r="E1051" t="str">
        <f t="shared" si="2"/>
        <v>5462ERU Express x3650 M5, 2xXeon 10C E5-2650v3 105W 2.3GHz/2133MHz/25MB, 2x16GB, O/Bay HS 2.5in SATA/SAS, SR M5210, Multiburner, 2x750W p/s, Rack</v>
      </c>
      <c r="F1051" t="s">
        <v>18</v>
      </c>
    </row>
    <row r="1052" spans="1:6">
      <c r="A1052" t="s">
        <v>5756</v>
      </c>
      <c r="B1052" t="str">
        <f t="shared" si="0"/>
        <v>5462</v>
      </c>
      <c r="C1052" t="str">
        <f t="shared" si="1"/>
        <v>ESU</v>
      </c>
      <c r="D1052" t="s">
        <v>5755</v>
      </c>
      <c r="E1052" t="str">
        <f t="shared" si="2"/>
        <v>5462ESU Express x3650 M5, Xeon 12C E5-2670v3 120W 2.3GHz/2133MHz/30MB, 1x16GB, O/Bay HS 2.5in SATA/SAS, SR M5210, Multiburner, 750W p/s, Rack</v>
      </c>
      <c r="F1052" t="s">
        <v>18</v>
      </c>
    </row>
    <row r="1053" spans="1:6">
      <c r="A1053" t="s">
        <v>5728</v>
      </c>
      <c r="B1053" t="str">
        <f t="shared" si="0"/>
        <v>5462</v>
      </c>
      <c r="C1053" t="str">
        <f t="shared" si="1"/>
        <v>F2U</v>
      </c>
      <c r="D1053" t="s">
        <v>5729</v>
      </c>
      <c r="E1053" t="str">
        <f t="shared" si="2"/>
        <v>5462F2U x3650 M5, Xeon 8C E5-2640v3 90W 2.6GHz/1866MHz/20MB, 1x16GB, O/Bay HS 2.5in SAS/SATA, SR M5210, 550W p/s, Rack</v>
      </c>
      <c r="F1053" t="s">
        <v>18</v>
      </c>
    </row>
    <row r="1054" spans="1:6">
      <c r="A1054" t="s">
        <v>5730</v>
      </c>
      <c r="B1054" t="str">
        <f t="shared" si="0"/>
        <v>5462</v>
      </c>
      <c r="C1054" t="str">
        <f t="shared" si="1"/>
        <v>F4U</v>
      </c>
      <c r="D1054" t="s">
        <v>5731</v>
      </c>
      <c r="E1054" t="str">
        <f t="shared" si="2"/>
        <v>5462F4U x3650 M5, Xeon 8C E5-2640v3 90W 2.6GHz/1866MHz/20MB, 1x16GB, O/Bay HS 2.5in SAS/SATA, SR M5210, 750W p/s, Rack</v>
      </c>
      <c r="F1054" t="s">
        <v>18</v>
      </c>
    </row>
    <row r="1055" spans="1:6">
      <c r="A1055" t="s">
        <v>5732</v>
      </c>
      <c r="B1055" t="str">
        <f t="shared" si="0"/>
        <v>5462</v>
      </c>
      <c r="C1055" t="str">
        <f t="shared" si="1"/>
        <v>G2U</v>
      </c>
      <c r="D1055" t="s">
        <v>5733</v>
      </c>
      <c r="E1055" t="str">
        <f t="shared" si="2"/>
        <v>5462G2U x3650 M5, Xeon 10C E5-2650v3 105W 2.3GHz/2133MHz/25MB, 1x16GB, O/Bay HS 2.5in SAS/SATA, SR M5210, 750W p/s, Rack</v>
      </c>
      <c r="F1055" t="s">
        <v>18</v>
      </c>
    </row>
    <row r="1056" spans="1:6">
      <c r="A1056" t="s">
        <v>5734</v>
      </c>
      <c r="B1056" t="str">
        <f t="shared" si="0"/>
        <v>5462</v>
      </c>
      <c r="C1056" t="str">
        <f t="shared" si="1"/>
        <v>J2U</v>
      </c>
      <c r="D1056" t="s">
        <v>5735</v>
      </c>
      <c r="E1056" t="str">
        <f t="shared" si="2"/>
        <v>5462J2U x3650 M5, Xeon 12C E5-2680v3 120W 2.5GHz/2133MHz/30MB, 1x16GB, O/Bay HS 2.5in SAS/SATA, SR M5210, 900W p/s, Rack</v>
      </c>
      <c r="F1056" t="s">
        <v>18</v>
      </c>
    </row>
    <row r="1057" spans="1:6">
      <c r="A1057" t="s">
        <v>5736</v>
      </c>
      <c r="B1057" t="str">
        <f t="shared" si="0"/>
        <v>5462</v>
      </c>
      <c r="C1057" t="str">
        <f t="shared" si="1"/>
        <v>L2U</v>
      </c>
      <c r="D1057" t="s">
        <v>5737</v>
      </c>
      <c r="E1057" t="str">
        <f t="shared" si="2"/>
        <v>5462L2U x3650 M5, Xeon 12C E5-2690v3 135W 2.6GHz/2133MHz/30MB, 1x16GB, O/Bay HS 2.5in SAS/SATA, SR M5210, 900W p/s, Rack</v>
      </c>
      <c r="F1057" t="s">
        <v>18</v>
      </c>
    </row>
    <row r="1058" spans="1:6">
      <c r="A1058" t="s">
        <v>5738</v>
      </c>
      <c r="B1058" t="str">
        <f t="shared" si="0"/>
        <v>5462</v>
      </c>
      <c r="C1058" t="str">
        <f t="shared" si="1"/>
        <v>M2U</v>
      </c>
      <c r="D1058" t="s">
        <v>5739</v>
      </c>
      <c r="E1058" t="str">
        <f t="shared" si="2"/>
        <v>5462M2U x3650 M5, Xeon 18C E5-2699v3 145W 2.3GHz/2133MHz/45MB, 1x16GB, O/Bay HS 2.5in SAS/SATA, SR M5210, 750W p/s, Rack</v>
      </c>
      <c r="F1058" t="s">
        <v>18</v>
      </c>
    </row>
    <row r="1059" spans="1:6">
      <c r="A1059" s="16" t="s">
        <v>8309</v>
      </c>
      <c r="B1059" t="str">
        <f t="shared" si="0"/>
        <v>5462</v>
      </c>
      <c r="C1059" t="str">
        <f t="shared" si="1"/>
        <v>AC1</v>
      </c>
      <c r="D1059" t="s">
        <v>5711</v>
      </c>
      <c r="E1059" t="str">
        <f t="shared" si="2"/>
        <v>5462AC1 x3650 M5</v>
      </c>
      <c r="F1059" t="s">
        <v>18</v>
      </c>
    </row>
    <row r="1060" spans="1:6">
      <c r="A1060" t="s">
        <v>2940</v>
      </c>
      <c r="B1060" t="str">
        <f>LEFT(A1060,4)</f>
        <v>2078</v>
      </c>
      <c r="C1060" t="str">
        <f>RIGHT(A1060,3)</f>
        <v>12C</v>
      </c>
      <c r="D1060" t="s">
        <v>8342</v>
      </c>
      <c r="E1060" t="str">
        <f t="shared" si="2"/>
        <v>2078-12C V5000 LFF Control</v>
      </c>
      <c r="F1060" t="s">
        <v>18</v>
      </c>
    </row>
    <row r="1061" spans="1:6">
      <c r="A1061" t="s">
        <v>2941</v>
      </c>
      <c r="B1061" t="str">
        <f>LEFT(A1061,4)</f>
        <v>2078</v>
      </c>
      <c r="C1061" t="str">
        <f>RIGHT(A1061,3)</f>
        <v>12E</v>
      </c>
      <c r="D1061" t="s">
        <v>8343</v>
      </c>
      <c r="E1061" t="str">
        <f t="shared" si="2"/>
        <v>2078-12E V5000 LFF Expansion</v>
      </c>
      <c r="F1061" t="s">
        <v>18</v>
      </c>
    </row>
    <row r="1062" spans="1:6">
      <c r="A1062" t="s">
        <v>2942</v>
      </c>
      <c r="B1062" t="str">
        <f>LEFT(A1062,4)</f>
        <v>2078</v>
      </c>
      <c r="C1062" t="str">
        <f>RIGHT(A1062,3)</f>
        <v>24C</v>
      </c>
      <c r="D1062" t="s">
        <v>8344</v>
      </c>
      <c r="E1062" t="str">
        <f t="shared" si="2"/>
        <v>2078-24C V5000 SFF Control</v>
      </c>
      <c r="F1062" t="s">
        <v>18</v>
      </c>
    </row>
    <row r="1063" spans="1:6">
      <c r="A1063" t="s">
        <v>2943</v>
      </c>
      <c r="B1063" t="str">
        <f>LEFT(A1063,4)</f>
        <v>2078</v>
      </c>
      <c r="C1063" t="str">
        <f>RIGHT(A1063,3)</f>
        <v>24E</v>
      </c>
      <c r="D1063" t="s">
        <v>8345</v>
      </c>
      <c r="E1063" t="str">
        <f t="shared" si="2"/>
        <v>2078-24E V5000 SFF Expansion</v>
      </c>
      <c r="F1063" t="s">
        <v>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/>
  </sheetViews>
  <sheetFormatPr baseColWidth="10" defaultRowHeight="15"/>
  <sheetData>
    <row r="1" spans="2:4">
      <c r="B1" s="321"/>
    </row>
    <row r="3" spans="2:4">
      <c r="B3" s="230" t="s">
        <v>3164</v>
      </c>
      <c r="C3" s="230" t="s">
        <v>9933</v>
      </c>
      <c r="D3" s="230" t="s">
        <v>1363</v>
      </c>
    </row>
    <row r="4" spans="2:4">
      <c r="B4" s="321">
        <v>42387</v>
      </c>
      <c r="C4" t="s">
        <v>9934</v>
      </c>
      <c r="D4" t="s">
        <v>9935</v>
      </c>
    </row>
    <row r="5" spans="2:4">
      <c r="B5" s="321">
        <v>42387</v>
      </c>
      <c r="C5" t="s">
        <v>9934</v>
      </c>
      <c r="D5" t="s">
        <v>9935</v>
      </c>
    </row>
    <row r="6" spans="2:4">
      <c r="B6" s="321">
        <v>42388</v>
      </c>
      <c r="C6" t="s">
        <v>9997</v>
      </c>
      <c r="D6" t="s">
        <v>9998</v>
      </c>
    </row>
    <row r="7" spans="2:4">
      <c r="B7" s="321">
        <v>42388</v>
      </c>
      <c r="C7" t="s">
        <v>9934</v>
      </c>
      <c r="D7" t="s">
        <v>9935</v>
      </c>
    </row>
    <row r="8" spans="2:4">
      <c r="B8" s="321">
        <v>42388</v>
      </c>
      <c r="C8" t="s">
        <v>9997</v>
      </c>
      <c r="D8" t="s">
        <v>9998</v>
      </c>
    </row>
    <row r="9" spans="2:4">
      <c r="B9" s="321">
        <v>42388</v>
      </c>
      <c r="C9" t="s">
        <v>9934</v>
      </c>
      <c r="D9" t="s">
        <v>9935</v>
      </c>
    </row>
    <row r="10" spans="2:4">
      <c r="B10" s="321">
        <v>42388</v>
      </c>
      <c r="C10" t="s">
        <v>9934</v>
      </c>
      <c r="D10" t="s">
        <v>9935</v>
      </c>
    </row>
    <row r="11" spans="2:4">
      <c r="B11" s="321">
        <v>42388</v>
      </c>
      <c r="C11" t="s">
        <v>9997</v>
      </c>
      <c r="D11" t="s">
        <v>9998</v>
      </c>
    </row>
    <row r="12" spans="2:4">
      <c r="B12" s="321">
        <v>42388</v>
      </c>
      <c r="C12" t="s">
        <v>9997</v>
      </c>
      <c r="D12" t="s">
        <v>9998</v>
      </c>
    </row>
    <row r="13" spans="2:4">
      <c r="B13" s="321">
        <v>42388</v>
      </c>
      <c r="C13" t="s">
        <v>10982</v>
      </c>
      <c r="D13" t="s">
        <v>10983</v>
      </c>
    </row>
    <row r="14" spans="2:4">
      <c r="B14" s="321">
        <v>42396</v>
      </c>
      <c r="C14" t="s">
        <v>13956</v>
      </c>
      <c r="D14" t="s">
        <v>13957</v>
      </c>
    </row>
    <row r="15" spans="2:4">
      <c r="B15" s="321">
        <v>42396</v>
      </c>
      <c r="C15" t="s">
        <v>13956</v>
      </c>
      <c r="D15" t="s">
        <v>13957</v>
      </c>
    </row>
    <row r="16" spans="2:4">
      <c r="B16" s="321">
        <v>42396</v>
      </c>
      <c r="C16" t="s">
        <v>13956</v>
      </c>
      <c r="D16" t="s">
        <v>13957</v>
      </c>
    </row>
    <row r="17" spans="2:3">
      <c r="B17" s="321">
        <v>42417</v>
      </c>
      <c r="C17" t="s">
        <v>14028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LADECOSTOS" label="TABLA DE COSTOS" insertAfterQ="TabView">
        <group id="FichaCreacion" label="Creacion">
          <button id="CrearTabla" label="Crear tabla de costos" size="large" imageMso="FileNew" onAction="Herramientas.CrearTablaCostos"/>
        </group>
        <group id="FichaConfiguraciones" label="Configuraciones">
          <button id="CargareConfig_01" label="Cargar eConfig" size="large" imageMso="_3DPerspectiveIncrease" onAction="CargarArchivos.CargareConfig"/>
          <button id="CargarLenovo_02" label="Cargar Lenovo" size="large" imageMso="_3DPerspectiveIncrease" onAction="CargarArchivos.CargarIntel"/>
          <button id="CargarCisco_03" label="Cargar Cisco" size="large" imageMso="_3DPerspectiveIncrease" onAction="CargarArchivos.CargarCisco"/>
        </group>
        <group id="FichaTablas" label="Tablas">
          <button id="GenerarTablaCompras_05" label="Generar tabla compras - Archivo" size="large" imageMso="SlidesPerPageSlideOutline" onAction="GenerarTablas.GenerarArchivoPedido"/>
          <button id="GenerarTablaCompras_14" label="Generar tabla compras - Hoja" size="large" imageMso="SlidesPerPageSlideOutline" onAction="GenerarTablas.GenerarArchivoPedidoNuevo"/>
          <button id="GenerarTablaClientes_06" label="Generar tabla clientes" size="large" imageMso="FrameCreateLeft" onAction="GenerarTablas.GenerarTablaCliente2"/>
          <button id="GenerarServicios_07" label="Generar servicios" size="large" imageMso="ControlsGallery" onAction="GenerarTablas.GenerarServicios2"/>
          <button id="CalcularGarantias_12" label="Calcular garantias" size="large" imageMso="Calculator" onAction="GenerarTablas.CalcularGarantias"/>
          <button id="CaracteristicasAmbientales_09" label="Tabla caracteristicas ambientales" size="large" imageMso="InsertDrawingCanvas" onAction="GenerarTablas.GenerarTablaCaracteristicasAmbientales"/>
          <button id="CentroDeGestion" label="Cálculo tarifas centro de gestion" size="large" imageMso="Calculator" onAction="GenerarTablas.TarifasCDG"/>
        </group>
        <group id="FichaHerramientas" label="Herramientas">
          <button id="ExportarListaServicios_08" label="Lista codigos de servicios" size="large" imageMso="TableSelect" onAction="Herramientas.ExportarListaCodigosDeServicios"/>
          <button id="ListaConfiguraciones_10" label="Generar archivo configuraciones" size="large" imageMso="SourceControlCheckOut" onAction="Herramientas.ListaConfiguraciones"/>
          <button id="ActualizarTabla_11" label="Actualizar tabla de costos" size="large" imageMso="RecordsRefreshMenu" onAction="Herramientas.ActualizarTablaDeCostos"/>
          <button id="ConvertirATabla_12" label="Convertir a tabla de costos" size="large" imageMso="ViewSlideSorterView" onAction="Herramientas.ConvertirATablaDeCostos"/>
          <button id="Validar_13" label="Validar tabla de costos" size="large" imageMso="TagMarkComplete" onAction="Herramientas.ValidarTabla"/>
        </group>
        <group id="FichaAyuda" label="Ayuda">
          <button id="Ayuda_04" label="AcercaDe" size="large" imageMso="OpenStartPage" onAction="Ayuda.AcercaD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Tabla de costos</vt:lpstr>
      <vt:lpstr>Servicios</vt:lpstr>
      <vt:lpstr>Reglas servicios</vt:lpstr>
      <vt:lpstr>Garantias</vt:lpstr>
      <vt:lpstr>Exhibits</vt:lpstr>
      <vt:lpstr>Tabla de costos base</vt:lpstr>
      <vt:lpstr>Botones</vt:lpstr>
      <vt:lpstr>Plataforma CDG</vt:lpstr>
      <vt:lpstr>Parametros</vt:lpstr>
      <vt:lpstr>Parametros CDG</vt:lpstr>
      <vt:lpstr>Tabla Compras</vt:lpstr>
      <vt:lpstr>Tabla Cliente (2)</vt:lpstr>
      <vt:lpstr>Lista de Precios</vt:lpstr>
      <vt:lpstr>Portafolio Power</vt:lpstr>
      <vt:lpstr>Portafolio System x</vt:lpstr>
      <vt:lpstr>Temporal garantias</vt:lpstr>
      <vt:lpstr>Garantias base</vt:lpstr>
      <vt:lpstr>Caracteristicas ambientales</vt:lpstr>
      <vt:lpstr>Formato tabla caracteristicas</vt:lpstr>
      <vt:lpstr>Portafolio Storage - DOU</vt:lpstr>
      <vt:lpstr>Portafolio Storage</vt:lpstr>
      <vt:lpstr>Portafolio PureFlex</vt:lpstr>
      <vt:lpstr>Categorias Hardware</vt:lpstr>
      <vt:lpstr>Lista productos</vt:lpstr>
      <vt:lpstr>Historia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Tabla de costos</dc:title>
  <dc:subject>8.7.1</dc:subject>
  <dc:creator>Alessio Di Mare</dc:creator>
  <cp:lastModifiedBy>Cristina Barros Padilla</cp:lastModifiedBy>
  <dcterms:created xsi:type="dcterms:W3CDTF">2012-01-07T14:52:58Z</dcterms:created>
  <dcterms:modified xsi:type="dcterms:W3CDTF">2016-08-22T15:16:06Z</dcterms:modified>
  <cp:contentStatus>Disponible</cp:contentStatus>
</cp:coreProperties>
</file>